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abloherrera/Documents/Claude/Projects/route optimization/sk_optimizer/data/"/>
    </mc:Choice>
  </mc:AlternateContent>
  <xr:revisionPtr revIDLastSave="0" documentId="13_ncr:1_{4BC6EB7E-A372-1846-B4D6-D5D548A9B7CD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Delivery_Log" sheetId="1" r:id="rId1"/>
    <sheet name="Client_List" sheetId="2" r:id="rId2"/>
    <sheet name="Optimizer_Input" sheetId="3" r:id="rId3"/>
    <sheet name="Client_Time_Windows" sheetId="4" r:id="rId4"/>
    <sheet name="Client_Closures" sheetId="5" r:id="rId5"/>
    <sheet name="Trucks" sheetId="6" r:id="rId6"/>
    <sheet name="Depot" sheetId="7" r:id="rId7"/>
  </sheets>
  <definedNames>
    <definedName name="_xlnm._FilterDatabase" localSheetId="1" hidden="1">Client_List!$A$3:$K$173</definedName>
    <definedName name="_xlnm._FilterDatabase" localSheetId="0" hidden="1">Delivery_Log!$A$3:$L$5000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00" i="1" l="1"/>
  <c r="K2500" i="1"/>
  <c r="I2500" i="1"/>
  <c r="H2500" i="1"/>
  <c r="F2500" i="1"/>
  <c r="E2500" i="1"/>
  <c r="D2500" i="1"/>
  <c r="C2500" i="1"/>
  <c r="L2499" i="1"/>
  <c r="K2499" i="1"/>
  <c r="I2499" i="1"/>
  <c r="H2499" i="1"/>
  <c r="F2499" i="1"/>
  <c r="E2499" i="1"/>
  <c r="D2499" i="1"/>
  <c r="C2499" i="1"/>
  <c r="L2498" i="1"/>
  <c r="K2498" i="1"/>
  <c r="I2498" i="1"/>
  <c r="H2498" i="1"/>
  <c r="F2498" i="1"/>
  <c r="E2498" i="1"/>
  <c r="D2498" i="1"/>
  <c r="C2498" i="1"/>
  <c r="L2497" i="1"/>
  <c r="K2497" i="1"/>
  <c r="I2497" i="1"/>
  <c r="H2497" i="1"/>
  <c r="F2497" i="1"/>
  <c r="E2497" i="1"/>
  <c r="D2497" i="1"/>
  <c r="C2497" i="1"/>
  <c r="L2496" i="1"/>
  <c r="K2496" i="1"/>
  <c r="I2496" i="1"/>
  <c r="H2496" i="1"/>
  <c r="F2496" i="1"/>
  <c r="E2496" i="1"/>
  <c r="D2496" i="1"/>
  <c r="C2496" i="1"/>
  <c r="L2495" i="1"/>
  <c r="K2495" i="1"/>
  <c r="I2495" i="1"/>
  <c r="H2495" i="1"/>
  <c r="F2495" i="1"/>
  <c r="E2495" i="1"/>
  <c r="D2495" i="1"/>
  <c r="C2495" i="1"/>
  <c r="L2494" i="1"/>
  <c r="K2494" i="1"/>
  <c r="I2494" i="1"/>
  <c r="H2494" i="1"/>
  <c r="F2494" i="1"/>
  <c r="E2494" i="1"/>
  <c r="D2494" i="1"/>
  <c r="C2494" i="1"/>
  <c r="L2493" i="1"/>
  <c r="K2493" i="1"/>
  <c r="I2493" i="1"/>
  <c r="H2493" i="1"/>
  <c r="F2493" i="1"/>
  <c r="E2493" i="1"/>
  <c r="D2493" i="1"/>
  <c r="C2493" i="1"/>
  <c r="L2492" i="1"/>
  <c r="K2492" i="1"/>
  <c r="I2492" i="1"/>
  <c r="H2492" i="1"/>
  <c r="F2492" i="1"/>
  <c r="E2492" i="1"/>
  <c r="D2492" i="1"/>
  <c r="C2492" i="1"/>
  <c r="L2491" i="1"/>
  <c r="K2491" i="1"/>
  <c r="I2491" i="1"/>
  <c r="H2491" i="1"/>
  <c r="F2491" i="1"/>
  <c r="E2491" i="1"/>
  <c r="D2491" i="1"/>
  <c r="C2491" i="1"/>
  <c r="L2490" i="1"/>
  <c r="K2490" i="1"/>
  <c r="I2490" i="1"/>
  <c r="H2490" i="1"/>
  <c r="F2490" i="1"/>
  <c r="E2490" i="1"/>
  <c r="D2490" i="1"/>
  <c r="C2490" i="1"/>
  <c r="L2489" i="1"/>
  <c r="K2489" i="1"/>
  <c r="I2489" i="1"/>
  <c r="H2489" i="1"/>
  <c r="F2489" i="1"/>
  <c r="E2489" i="1"/>
  <c r="D2489" i="1"/>
  <c r="C2489" i="1"/>
  <c r="L2488" i="1"/>
  <c r="K2488" i="1"/>
  <c r="I2488" i="1"/>
  <c r="H2488" i="1"/>
  <c r="F2488" i="1"/>
  <c r="E2488" i="1"/>
  <c r="D2488" i="1"/>
  <c r="C2488" i="1"/>
  <c r="L2487" i="1"/>
  <c r="K2487" i="1"/>
  <c r="I2487" i="1"/>
  <c r="H2487" i="1"/>
  <c r="F2487" i="1"/>
  <c r="E2487" i="1"/>
  <c r="D2487" i="1"/>
  <c r="C2487" i="1"/>
  <c r="L2486" i="1"/>
  <c r="K2486" i="1"/>
  <c r="I2486" i="1"/>
  <c r="H2486" i="1"/>
  <c r="F2486" i="1"/>
  <c r="E2486" i="1"/>
  <c r="D2486" i="1"/>
  <c r="C2486" i="1"/>
  <c r="L2485" i="1"/>
  <c r="K2485" i="1"/>
  <c r="I2485" i="1"/>
  <c r="H2485" i="1"/>
  <c r="F2485" i="1"/>
  <c r="E2485" i="1"/>
  <c r="D2485" i="1"/>
  <c r="C2485" i="1"/>
  <c r="L2484" i="1"/>
  <c r="K2484" i="1"/>
  <c r="I2484" i="1"/>
  <c r="H2484" i="1"/>
  <c r="F2484" i="1"/>
  <c r="E2484" i="1"/>
  <c r="D2484" i="1"/>
  <c r="C2484" i="1"/>
  <c r="L2483" i="1"/>
  <c r="K2483" i="1"/>
  <c r="I2483" i="1"/>
  <c r="H2483" i="1"/>
  <c r="F2483" i="1"/>
  <c r="E2483" i="1"/>
  <c r="D2483" i="1"/>
  <c r="C2483" i="1"/>
  <c r="L2482" i="1"/>
  <c r="K2482" i="1"/>
  <c r="I2482" i="1"/>
  <c r="H2482" i="1"/>
  <c r="F2482" i="1"/>
  <c r="E2482" i="1"/>
  <c r="D2482" i="1"/>
  <c r="C2482" i="1"/>
  <c r="L2481" i="1"/>
  <c r="K2481" i="1"/>
  <c r="I2481" i="1"/>
  <c r="H2481" i="1"/>
  <c r="F2481" i="1"/>
  <c r="E2481" i="1"/>
  <c r="D2481" i="1"/>
  <c r="C2481" i="1"/>
  <c r="L2480" i="1"/>
  <c r="K2480" i="1"/>
  <c r="I2480" i="1"/>
  <c r="H2480" i="1"/>
  <c r="F2480" i="1"/>
  <c r="E2480" i="1"/>
  <c r="D2480" i="1"/>
  <c r="C2480" i="1"/>
  <c r="L2479" i="1"/>
  <c r="K2479" i="1"/>
  <c r="I2479" i="1"/>
  <c r="H2479" i="1"/>
  <c r="F2479" i="1"/>
  <c r="E2479" i="1"/>
  <c r="D2479" i="1"/>
  <c r="C2479" i="1"/>
  <c r="L2478" i="1"/>
  <c r="K2478" i="1"/>
  <c r="I2478" i="1"/>
  <c r="H2478" i="1"/>
  <c r="F2478" i="1"/>
  <c r="E2478" i="1"/>
  <c r="D2478" i="1"/>
  <c r="C2478" i="1"/>
  <c r="L2477" i="1"/>
  <c r="K2477" i="1"/>
  <c r="I2477" i="1"/>
  <c r="H2477" i="1"/>
  <c r="F2477" i="1"/>
  <c r="E2477" i="1"/>
  <c r="D2477" i="1"/>
  <c r="C2477" i="1"/>
  <c r="L2476" i="1"/>
  <c r="K2476" i="1"/>
  <c r="I2476" i="1"/>
  <c r="H2476" i="1"/>
  <c r="F2476" i="1"/>
  <c r="E2476" i="1"/>
  <c r="D2476" i="1"/>
  <c r="C2476" i="1"/>
  <c r="L2475" i="1"/>
  <c r="K2475" i="1"/>
  <c r="I2475" i="1"/>
  <c r="H2475" i="1"/>
  <c r="F2475" i="1"/>
  <c r="E2475" i="1"/>
  <c r="D2475" i="1"/>
  <c r="C2475" i="1"/>
  <c r="L2474" i="1"/>
  <c r="K2474" i="1"/>
  <c r="I2474" i="1"/>
  <c r="H2474" i="1"/>
  <c r="F2474" i="1"/>
  <c r="E2474" i="1"/>
  <c r="D2474" i="1"/>
  <c r="C2474" i="1"/>
  <c r="L2473" i="1"/>
  <c r="K2473" i="1"/>
  <c r="I2473" i="1"/>
  <c r="H2473" i="1"/>
  <c r="F2473" i="1"/>
  <c r="E2473" i="1"/>
  <c r="D2473" i="1"/>
  <c r="C2473" i="1"/>
  <c r="L2472" i="1"/>
  <c r="K2472" i="1"/>
  <c r="I2472" i="1"/>
  <c r="H2472" i="1"/>
  <c r="F2472" i="1"/>
  <c r="E2472" i="1"/>
  <c r="D2472" i="1"/>
  <c r="C2472" i="1"/>
  <c r="L2471" i="1"/>
  <c r="K2471" i="1"/>
  <c r="I2471" i="1"/>
  <c r="H2471" i="1"/>
  <c r="F2471" i="1"/>
  <c r="E2471" i="1"/>
  <c r="D2471" i="1"/>
  <c r="C2471" i="1"/>
  <c r="L2470" i="1"/>
  <c r="K2470" i="1"/>
  <c r="I2470" i="1"/>
  <c r="H2470" i="1"/>
  <c r="F2470" i="1"/>
  <c r="E2470" i="1"/>
  <c r="D2470" i="1"/>
  <c r="C2470" i="1"/>
  <c r="L2469" i="1"/>
  <c r="K2469" i="1"/>
  <c r="I2469" i="1"/>
  <c r="H2469" i="1"/>
  <c r="F2469" i="1"/>
  <c r="E2469" i="1"/>
  <c r="D2469" i="1"/>
  <c r="C2469" i="1"/>
  <c r="L2468" i="1"/>
  <c r="K2468" i="1"/>
  <c r="I2468" i="1"/>
  <c r="H2468" i="1"/>
  <c r="F2468" i="1"/>
  <c r="E2468" i="1"/>
  <c r="D2468" i="1"/>
  <c r="C2468" i="1"/>
  <c r="L2467" i="1"/>
  <c r="K2467" i="1"/>
  <c r="I2467" i="1"/>
  <c r="H2467" i="1"/>
  <c r="F2467" i="1"/>
  <c r="E2467" i="1"/>
  <c r="D2467" i="1"/>
  <c r="C2467" i="1"/>
  <c r="L2466" i="1"/>
  <c r="K2466" i="1"/>
  <c r="I2466" i="1"/>
  <c r="H2466" i="1"/>
  <c r="F2466" i="1"/>
  <c r="E2466" i="1"/>
  <c r="D2466" i="1"/>
  <c r="C2466" i="1"/>
  <c r="L2465" i="1"/>
  <c r="K2465" i="1"/>
  <c r="I2465" i="1"/>
  <c r="H2465" i="1"/>
  <c r="F2465" i="1"/>
  <c r="E2465" i="1"/>
  <c r="D2465" i="1"/>
  <c r="C2465" i="1"/>
  <c r="L2464" i="1"/>
  <c r="K2464" i="1"/>
  <c r="I2464" i="1"/>
  <c r="H2464" i="1"/>
  <c r="F2464" i="1"/>
  <c r="E2464" i="1"/>
  <c r="D2464" i="1"/>
  <c r="C2464" i="1"/>
  <c r="L2463" i="1"/>
  <c r="K2463" i="1"/>
  <c r="I2463" i="1"/>
  <c r="H2463" i="1"/>
  <c r="F2463" i="1"/>
  <c r="E2463" i="1"/>
  <c r="D2463" i="1"/>
  <c r="C2463" i="1"/>
  <c r="L2462" i="1"/>
  <c r="K2462" i="1"/>
  <c r="I2462" i="1"/>
  <c r="H2462" i="1"/>
  <c r="F2462" i="1"/>
  <c r="E2462" i="1"/>
  <c r="D2462" i="1"/>
  <c r="C2462" i="1"/>
  <c r="L2461" i="1"/>
  <c r="K2461" i="1"/>
  <c r="I2461" i="1"/>
  <c r="H2461" i="1"/>
  <c r="F2461" i="1"/>
  <c r="E2461" i="1"/>
  <c r="D2461" i="1"/>
  <c r="C2461" i="1"/>
  <c r="L2460" i="1"/>
  <c r="K2460" i="1"/>
  <c r="I2460" i="1"/>
  <c r="H2460" i="1"/>
  <c r="F2460" i="1"/>
  <c r="E2460" i="1"/>
  <c r="D2460" i="1"/>
  <c r="C2460" i="1"/>
  <c r="L2459" i="1"/>
  <c r="K2459" i="1"/>
  <c r="I2459" i="1"/>
  <c r="H2459" i="1"/>
  <c r="F2459" i="1"/>
  <c r="E2459" i="1"/>
  <c r="D2459" i="1"/>
  <c r="C2459" i="1"/>
  <c r="L2458" i="1"/>
  <c r="K2458" i="1"/>
  <c r="I2458" i="1"/>
  <c r="H2458" i="1"/>
  <c r="F2458" i="1"/>
  <c r="E2458" i="1"/>
  <c r="D2458" i="1"/>
  <c r="C2458" i="1"/>
  <c r="L2457" i="1"/>
  <c r="K2457" i="1"/>
  <c r="I2457" i="1"/>
  <c r="H2457" i="1"/>
  <c r="F2457" i="1"/>
  <c r="E2457" i="1"/>
  <c r="D2457" i="1"/>
  <c r="C2457" i="1"/>
  <c r="L2456" i="1"/>
  <c r="K2456" i="1"/>
  <c r="I2456" i="1"/>
  <c r="H2456" i="1"/>
  <c r="F2456" i="1"/>
  <c r="E2456" i="1"/>
  <c r="D2456" i="1"/>
  <c r="C2456" i="1"/>
  <c r="L2455" i="1"/>
  <c r="K2455" i="1"/>
  <c r="I2455" i="1"/>
  <c r="H2455" i="1"/>
  <c r="F2455" i="1"/>
  <c r="E2455" i="1"/>
  <c r="D2455" i="1"/>
  <c r="C2455" i="1"/>
  <c r="L2454" i="1"/>
  <c r="K2454" i="1"/>
  <c r="I2454" i="1"/>
  <c r="H2454" i="1"/>
  <c r="F2454" i="1"/>
  <c r="E2454" i="1"/>
  <c r="D2454" i="1"/>
  <c r="C2454" i="1"/>
  <c r="L2453" i="1"/>
  <c r="K2453" i="1"/>
  <c r="I2453" i="1"/>
  <c r="H2453" i="1"/>
  <c r="F2453" i="1"/>
  <c r="E2453" i="1"/>
  <c r="D2453" i="1"/>
  <c r="C2453" i="1"/>
  <c r="L2452" i="1"/>
  <c r="K2452" i="1"/>
  <c r="I2452" i="1"/>
  <c r="H2452" i="1"/>
  <c r="F2452" i="1"/>
  <c r="E2452" i="1"/>
  <c r="D2452" i="1"/>
  <c r="C2452" i="1"/>
  <c r="L2451" i="1"/>
  <c r="K2451" i="1"/>
  <c r="I2451" i="1"/>
  <c r="H2451" i="1"/>
  <c r="F2451" i="1"/>
  <c r="E2451" i="1"/>
  <c r="D2451" i="1"/>
  <c r="C2451" i="1"/>
  <c r="L2450" i="1"/>
  <c r="K2450" i="1"/>
  <c r="I2450" i="1"/>
  <c r="H2450" i="1"/>
  <c r="F2450" i="1"/>
  <c r="E2450" i="1"/>
  <c r="D2450" i="1"/>
  <c r="C2450" i="1"/>
  <c r="L2449" i="1"/>
  <c r="K2449" i="1"/>
  <c r="I2449" i="1"/>
  <c r="H2449" i="1"/>
  <c r="F2449" i="1"/>
  <c r="E2449" i="1"/>
  <c r="D2449" i="1"/>
  <c r="C2449" i="1"/>
  <c r="L2448" i="1"/>
  <c r="K2448" i="1"/>
  <c r="I2448" i="1"/>
  <c r="H2448" i="1"/>
  <c r="F2448" i="1"/>
  <c r="E2448" i="1"/>
  <c r="D2448" i="1"/>
  <c r="C2448" i="1"/>
  <c r="L2447" i="1"/>
  <c r="K2447" i="1"/>
  <c r="I2447" i="1"/>
  <c r="H2447" i="1"/>
  <c r="F2447" i="1"/>
  <c r="E2447" i="1"/>
  <c r="D2447" i="1"/>
  <c r="C2447" i="1"/>
  <c r="L2446" i="1"/>
  <c r="K2446" i="1"/>
  <c r="I2446" i="1"/>
  <c r="H2446" i="1"/>
  <c r="F2446" i="1"/>
  <c r="E2446" i="1"/>
  <c r="D2446" i="1"/>
  <c r="C2446" i="1"/>
  <c r="L2445" i="1"/>
  <c r="K2445" i="1"/>
  <c r="I2445" i="1"/>
  <c r="H2445" i="1"/>
  <c r="F2445" i="1"/>
  <c r="E2445" i="1"/>
  <c r="D2445" i="1"/>
  <c r="C2445" i="1"/>
  <c r="L2444" i="1"/>
  <c r="K2444" i="1"/>
  <c r="I2444" i="1"/>
  <c r="H2444" i="1"/>
  <c r="F2444" i="1"/>
  <c r="E2444" i="1"/>
  <c r="D2444" i="1"/>
  <c r="C2444" i="1"/>
  <c r="L2443" i="1"/>
  <c r="K2443" i="1"/>
  <c r="I2443" i="1"/>
  <c r="H2443" i="1"/>
  <c r="F2443" i="1"/>
  <c r="E2443" i="1"/>
  <c r="D2443" i="1"/>
  <c r="C2443" i="1"/>
  <c r="L2442" i="1"/>
  <c r="K2442" i="1"/>
  <c r="I2442" i="1"/>
  <c r="H2442" i="1"/>
  <c r="F2442" i="1"/>
  <c r="E2442" i="1"/>
  <c r="D2442" i="1"/>
  <c r="C2442" i="1"/>
  <c r="L2441" i="1"/>
  <c r="K2441" i="1"/>
  <c r="I2441" i="1"/>
  <c r="H2441" i="1"/>
  <c r="F2441" i="1"/>
  <c r="E2441" i="1"/>
  <c r="D2441" i="1"/>
  <c r="C2441" i="1"/>
  <c r="L2440" i="1"/>
  <c r="K2440" i="1"/>
  <c r="I2440" i="1"/>
  <c r="H2440" i="1"/>
  <c r="F2440" i="1"/>
  <c r="E2440" i="1"/>
  <c r="D2440" i="1"/>
  <c r="C2440" i="1"/>
  <c r="L2439" i="1"/>
  <c r="K2439" i="1"/>
  <c r="I2439" i="1"/>
  <c r="H2439" i="1"/>
  <c r="F2439" i="1"/>
  <c r="E2439" i="1"/>
  <c r="D2439" i="1"/>
  <c r="C2439" i="1"/>
  <c r="L2438" i="1"/>
  <c r="K2438" i="1"/>
  <c r="I2438" i="1"/>
  <c r="H2438" i="1"/>
  <c r="F2438" i="1"/>
  <c r="E2438" i="1"/>
  <c r="D2438" i="1"/>
  <c r="C2438" i="1"/>
  <c r="L2437" i="1"/>
  <c r="K2437" i="1"/>
  <c r="I2437" i="1"/>
  <c r="H2437" i="1"/>
  <c r="F2437" i="1"/>
  <c r="E2437" i="1"/>
  <c r="D2437" i="1"/>
  <c r="C2437" i="1"/>
  <c r="L2436" i="1"/>
  <c r="K2436" i="1"/>
  <c r="I2436" i="1"/>
  <c r="H2436" i="1"/>
  <c r="F2436" i="1"/>
  <c r="E2436" i="1"/>
  <c r="D2436" i="1"/>
  <c r="C2436" i="1"/>
  <c r="L2435" i="1"/>
  <c r="K2435" i="1"/>
  <c r="I2435" i="1"/>
  <c r="H2435" i="1"/>
  <c r="F2435" i="1"/>
  <c r="E2435" i="1"/>
  <c r="D2435" i="1"/>
  <c r="C2435" i="1"/>
  <c r="L2434" i="1"/>
  <c r="K2434" i="1"/>
  <c r="I2434" i="1"/>
  <c r="H2434" i="1"/>
  <c r="F2434" i="1"/>
  <c r="E2434" i="1"/>
  <c r="D2434" i="1"/>
  <c r="C2434" i="1"/>
  <c r="L2433" i="1"/>
  <c r="K2433" i="1"/>
  <c r="I2433" i="1"/>
  <c r="H2433" i="1"/>
  <c r="F2433" i="1"/>
  <c r="E2433" i="1"/>
  <c r="D2433" i="1"/>
  <c r="C2433" i="1"/>
  <c r="L2432" i="1"/>
  <c r="K2432" i="1"/>
  <c r="I2432" i="1"/>
  <c r="H2432" i="1"/>
  <c r="F2432" i="1"/>
  <c r="E2432" i="1"/>
  <c r="D2432" i="1"/>
  <c r="C2432" i="1"/>
  <c r="L2431" i="1"/>
  <c r="K2431" i="1"/>
  <c r="I2431" i="1"/>
  <c r="H2431" i="1"/>
  <c r="F2431" i="1"/>
  <c r="E2431" i="1"/>
  <c r="D2431" i="1"/>
  <c r="C2431" i="1"/>
  <c r="L2430" i="1"/>
  <c r="K2430" i="1"/>
  <c r="I2430" i="1"/>
  <c r="H2430" i="1"/>
  <c r="F2430" i="1"/>
  <c r="E2430" i="1"/>
  <c r="D2430" i="1"/>
  <c r="C2430" i="1"/>
  <c r="L2429" i="1"/>
  <c r="K2429" i="1"/>
  <c r="I2429" i="1"/>
  <c r="H2429" i="1"/>
  <c r="F2429" i="1"/>
  <c r="E2429" i="1"/>
  <c r="D2429" i="1"/>
  <c r="C2429" i="1"/>
  <c r="L2428" i="1"/>
  <c r="K2428" i="1"/>
  <c r="I2428" i="1"/>
  <c r="H2428" i="1"/>
  <c r="F2428" i="1"/>
  <c r="E2428" i="1"/>
  <c r="D2428" i="1"/>
  <c r="C2428" i="1"/>
  <c r="L2427" i="1"/>
  <c r="K2427" i="1"/>
  <c r="I2427" i="1"/>
  <c r="H2427" i="1"/>
  <c r="F2427" i="1"/>
  <c r="E2427" i="1"/>
  <c r="D2427" i="1"/>
  <c r="C2427" i="1"/>
  <c r="L2426" i="1"/>
  <c r="K2426" i="1"/>
  <c r="I2426" i="1"/>
  <c r="H2426" i="1"/>
  <c r="F2426" i="1"/>
  <c r="E2426" i="1"/>
  <c r="D2426" i="1"/>
  <c r="C2426" i="1"/>
  <c r="L2425" i="1"/>
  <c r="K2425" i="1"/>
  <c r="I2425" i="1"/>
  <c r="H2425" i="1"/>
  <c r="F2425" i="1"/>
  <c r="E2425" i="1"/>
  <c r="D2425" i="1"/>
  <c r="C2425" i="1"/>
  <c r="L2424" i="1"/>
  <c r="K2424" i="1"/>
  <c r="I2424" i="1"/>
  <c r="H2424" i="1"/>
  <c r="F2424" i="1"/>
  <c r="E2424" i="1"/>
  <c r="D2424" i="1"/>
  <c r="C2424" i="1"/>
  <c r="L2423" i="1"/>
  <c r="K2423" i="1"/>
  <c r="I2423" i="1"/>
  <c r="H2423" i="1"/>
  <c r="F2423" i="1"/>
  <c r="E2423" i="1"/>
  <c r="D2423" i="1"/>
  <c r="C2423" i="1"/>
  <c r="L2422" i="1"/>
  <c r="K2422" i="1"/>
  <c r="I2422" i="1"/>
  <c r="H2422" i="1"/>
  <c r="F2422" i="1"/>
  <c r="E2422" i="1"/>
  <c r="D2422" i="1"/>
  <c r="C2422" i="1"/>
  <c r="L2421" i="1"/>
  <c r="K2421" i="1"/>
  <c r="I2421" i="1"/>
  <c r="H2421" i="1"/>
  <c r="F2421" i="1"/>
  <c r="E2421" i="1"/>
  <c r="D2421" i="1"/>
  <c r="C2421" i="1"/>
  <c r="L2420" i="1"/>
  <c r="K2420" i="1"/>
  <c r="I2420" i="1"/>
  <c r="H2420" i="1"/>
  <c r="F2420" i="1"/>
  <c r="E2420" i="1"/>
  <c r="D2420" i="1"/>
  <c r="C2420" i="1"/>
  <c r="L2419" i="1"/>
  <c r="K2419" i="1"/>
  <c r="I2419" i="1"/>
  <c r="H2419" i="1"/>
  <c r="F2419" i="1"/>
  <c r="E2419" i="1"/>
  <c r="D2419" i="1"/>
  <c r="C2419" i="1"/>
  <c r="L2418" i="1"/>
  <c r="K2418" i="1"/>
  <c r="I2418" i="1"/>
  <c r="H2418" i="1"/>
  <c r="F2418" i="1"/>
  <c r="E2418" i="1"/>
  <c r="D2418" i="1"/>
  <c r="C2418" i="1"/>
  <c r="L2417" i="1"/>
  <c r="K2417" i="1"/>
  <c r="I2417" i="1"/>
  <c r="H2417" i="1"/>
  <c r="F2417" i="1"/>
  <c r="E2417" i="1"/>
  <c r="D2417" i="1"/>
  <c r="C2417" i="1"/>
  <c r="L2416" i="1"/>
  <c r="K2416" i="1"/>
  <c r="I2416" i="1"/>
  <c r="H2416" i="1"/>
  <c r="F2416" i="1"/>
  <c r="E2416" i="1"/>
  <c r="D2416" i="1"/>
  <c r="C2416" i="1"/>
  <c r="L2415" i="1"/>
  <c r="K2415" i="1"/>
  <c r="I2415" i="1"/>
  <c r="H2415" i="1"/>
  <c r="F2415" i="1"/>
  <c r="E2415" i="1"/>
  <c r="D2415" i="1"/>
  <c r="C2415" i="1"/>
  <c r="L2414" i="1"/>
  <c r="K2414" i="1"/>
  <c r="I2414" i="1"/>
  <c r="H2414" i="1"/>
  <c r="F2414" i="1"/>
  <c r="E2414" i="1"/>
  <c r="D2414" i="1"/>
  <c r="C2414" i="1"/>
  <c r="L2413" i="1"/>
  <c r="K2413" i="1"/>
  <c r="I2413" i="1"/>
  <c r="H2413" i="1"/>
  <c r="F2413" i="1"/>
  <c r="E2413" i="1"/>
  <c r="D2413" i="1"/>
  <c r="C2413" i="1"/>
  <c r="L2412" i="1"/>
  <c r="K2412" i="1"/>
  <c r="I2412" i="1"/>
  <c r="H2412" i="1"/>
  <c r="F2412" i="1"/>
  <c r="E2412" i="1"/>
  <c r="D2412" i="1"/>
  <c r="C2412" i="1"/>
  <c r="L2411" i="1"/>
  <c r="K2411" i="1"/>
  <c r="I2411" i="1"/>
  <c r="H2411" i="1"/>
  <c r="F2411" i="1"/>
  <c r="E2411" i="1"/>
  <c r="D2411" i="1"/>
  <c r="C2411" i="1"/>
  <c r="L2410" i="1"/>
  <c r="K2410" i="1"/>
  <c r="I2410" i="1"/>
  <c r="H2410" i="1"/>
  <c r="F2410" i="1"/>
  <c r="E2410" i="1"/>
  <c r="D2410" i="1"/>
  <c r="C2410" i="1"/>
  <c r="L2409" i="1"/>
  <c r="K2409" i="1"/>
  <c r="I2409" i="1"/>
  <c r="H2409" i="1"/>
  <c r="F2409" i="1"/>
  <c r="E2409" i="1"/>
  <c r="D2409" i="1"/>
  <c r="C2409" i="1"/>
  <c r="L2408" i="1"/>
  <c r="K2408" i="1"/>
  <c r="I2408" i="1"/>
  <c r="H2408" i="1"/>
  <c r="F2408" i="1"/>
  <c r="E2408" i="1"/>
  <c r="D2408" i="1"/>
  <c r="C2408" i="1"/>
  <c r="L2407" i="1"/>
  <c r="K2407" i="1"/>
  <c r="I2407" i="1"/>
  <c r="H2407" i="1"/>
  <c r="F2407" i="1"/>
  <c r="E2407" i="1"/>
  <c r="D2407" i="1"/>
  <c r="C2407" i="1"/>
  <c r="L2406" i="1"/>
  <c r="K2406" i="1"/>
  <c r="I2406" i="1"/>
  <c r="H2406" i="1"/>
  <c r="F2406" i="1"/>
  <c r="E2406" i="1"/>
  <c r="D2406" i="1"/>
  <c r="C2406" i="1"/>
  <c r="L2405" i="1"/>
  <c r="K2405" i="1"/>
  <c r="I2405" i="1"/>
  <c r="H2405" i="1"/>
  <c r="F2405" i="1"/>
  <c r="E2405" i="1"/>
  <c r="D2405" i="1"/>
  <c r="C2405" i="1"/>
  <c r="L2404" i="1"/>
  <c r="K2404" i="1"/>
  <c r="I2404" i="1"/>
  <c r="H2404" i="1"/>
  <c r="F2404" i="1"/>
  <c r="E2404" i="1"/>
  <c r="D2404" i="1"/>
  <c r="C2404" i="1"/>
  <c r="L2403" i="1"/>
  <c r="K2403" i="1"/>
  <c r="I2403" i="1"/>
  <c r="H2403" i="1"/>
  <c r="F2403" i="1"/>
  <c r="E2403" i="1"/>
  <c r="D2403" i="1"/>
  <c r="C2403" i="1"/>
  <c r="L2402" i="1"/>
  <c r="K2402" i="1"/>
  <c r="I2402" i="1"/>
  <c r="H2402" i="1"/>
  <c r="F2402" i="1"/>
  <c r="E2402" i="1"/>
  <c r="D2402" i="1"/>
  <c r="C2402" i="1"/>
  <c r="L2401" i="1"/>
  <c r="K2401" i="1"/>
  <c r="I2401" i="1"/>
  <c r="H2401" i="1"/>
  <c r="F2401" i="1"/>
  <c r="E2401" i="1"/>
  <c r="D2401" i="1"/>
  <c r="C2401" i="1"/>
  <c r="L2400" i="1"/>
  <c r="K2400" i="1"/>
  <c r="I2400" i="1"/>
  <c r="H2400" i="1"/>
  <c r="F2400" i="1"/>
  <c r="E2400" i="1"/>
  <c r="D2400" i="1"/>
  <c r="C2400" i="1"/>
  <c r="L2399" i="1"/>
  <c r="K2399" i="1"/>
  <c r="I2399" i="1"/>
  <c r="H2399" i="1"/>
  <c r="F2399" i="1"/>
  <c r="E2399" i="1"/>
  <c r="D2399" i="1"/>
  <c r="C2399" i="1"/>
  <c r="L2398" i="1"/>
  <c r="K2398" i="1"/>
  <c r="I2398" i="1"/>
  <c r="H2398" i="1"/>
  <c r="F2398" i="1"/>
  <c r="E2398" i="1"/>
  <c r="D2398" i="1"/>
  <c r="C2398" i="1"/>
  <c r="L2397" i="1"/>
  <c r="K2397" i="1"/>
  <c r="I2397" i="1"/>
  <c r="H2397" i="1"/>
  <c r="F2397" i="1"/>
  <c r="E2397" i="1"/>
  <c r="D2397" i="1"/>
  <c r="C2397" i="1"/>
  <c r="L2396" i="1"/>
  <c r="K2396" i="1"/>
  <c r="I2396" i="1"/>
  <c r="H2396" i="1"/>
  <c r="F2396" i="1"/>
  <c r="E2396" i="1"/>
  <c r="D2396" i="1"/>
  <c r="C2396" i="1"/>
  <c r="L2395" i="1"/>
  <c r="K2395" i="1"/>
  <c r="I2395" i="1"/>
  <c r="H2395" i="1"/>
  <c r="F2395" i="1"/>
  <c r="E2395" i="1"/>
  <c r="D2395" i="1"/>
  <c r="C2395" i="1"/>
  <c r="L2394" i="1"/>
  <c r="K2394" i="1"/>
  <c r="I2394" i="1"/>
  <c r="H2394" i="1"/>
  <c r="F2394" i="1"/>
  <c r="E2394" i="1"/>
  <c r="D2394" i="1"/>
  <c r="C2394" i="1"/>
  <c r="L2393" i="1"/>
  <c r="K2393" i="1"/>
  <c r="I2393" i="1"/>
  <c r="H2393" i="1"/>
  <c r="F2393" i="1"/>
  <c r="E2393" i="1"/>
  <c r="D2393" i="1"/>
  <c r="C2393" i="1"/>
  <c r="L2392" i="1"/>
  <c r="K2392" i="1"/>
  <c r="I2392" i="1"/>
  <c r="H2392" i="1"/>
  <c r="F2392" i="1"/>
  <c r="E2392" i="1"/>
  <c r="D2392" i="1"/>
  <c r="C2392" i="1"/>
  <c r="L2391" i="1"/>
  <c r="K2391" i="1"/>
  <c r="I2391" i="1"/>
  <c r="H2391" i="1"/>
  <c r="F2391" i="1"/>
  <c r="E2391" i="1"/>
  <c r="D2391" i="1"/>
  <c r="C2391" i="1"/>
  <c r="L2390" i="1"/>
  <c r="K2390" i="1"/>
  <c r="I2390" i="1"/>
  <c r="H2390" i="1"/>
  <c r="F2390" i="1"/>
  <c r="E2390" i="1"/>
  <c r="D2390" i="1"/>
  <c r="C2390" i="1"/>
  <c r="L2389" i="1"/>
  <c r="K2389" i="1"/>
  <c r="I2389" i="1"/>
  <c r="H2389" i="1"/>
  <c r="F2389" i="1"/>
  <c r="E2389" i="1"/>
  <c r="D2389" i="1"/>
  <c r="C2389" i="1"/>
  <c r="L2388" i="1"/>
  <c r="K2388" i="1"/>
  <c r="I2388" i="1"/>
  <c r="H2388" i="1"/>
  <c r="F2388" i="1"/>
  <c r="E2388" i="1"/>
  <c r="D2388" i="1"/>
  <c r="C2388" i="1"/>
  <c r="L2387" i="1"/>
  <c r="K2387" i="1"/>
  <c r="I2387" i="1"/>
  <c r="H2387" i="1"/>
  <c r="F2387" i="1"/>
  <c r="E2387" i="1"/>
  <c r="D2387" i="1"/>
  <c r="C2387" i="1"/>
  <c r="L2386" i="1"/>
  <c r="K2386" i="1"/>
  <c r="I2386" i="1"/>
  <c r="H2386" i="1"/>
  <c r="F2386" i="1"/>
  <c r="E2386" i="1"/>
  <c r="D2386" i="1"/>
  <c r="C2386" i="1"/>
  <c r="L2385" i="1"/>
  <c r="K2385" i="1"/>
  <c r="I2385" i="1"/>
  <c r="H2385" i="1"/>
  <c r="F2385" i="1"/>
  <c r="E2385" i="1"/>
  <c r="D2385" i="1"/>
  <c r="C2385" i="1"/>
  <c r="L2384" i="1"/>
  <c r="K2384" i="1"/>
  <c r="I2384" i="1"/>
  <c r="H2384" i="1"/>
  <c r="F2384" i="1"/>
  <c r="E2384" i="1"/>
  <c r="D2384" i="1"/>
  <c r="C2384" i="1"/>
  <c r="L2383" i="1"/>
  <c r="K2383" i="1"/>
  <c r="I2383" i="1"/>
  <c r="H2383" i="1"/>
  <c r="F2383" i="1"/>
  <c r="E2383" i="1"/>
  <c r="D2383" i="1"/>
  <c r="C2383" i="1"/>
  <c r="L2382" i="1"/>
  <c r="K2382" i="1"/>
  <c r="I2382" i="1"/>
  <c r="H2382" i="1"/>
  <c r="F2382" i="1"/>
  <c r="E2382" i="1"/>
  <c r="D2382" i="1"/>
  <c r="C2382" i="1"/>
  <c r="L2381" i="1"/>
  <c r="K2381" i="1"/>
  <c r="I2381" i="1"/>
  <c r="H2381" i="1"/>
  <c r="F2381" i="1"/>
  <c r="E2381" i="1"/>
  <c r="D2381" i="1"/>
  <c r="C2381" i="1"/>
  <c r="L2380" i="1"/>
  <c r="K2380" i="1"/>
  <c r="I2380" i="1"/>
  <c r="H2380" i="1"/>
  <c r="F2380" i="1"/>
  <c r="E2380" i="1"/>
  <c r="D2380" i="1"/>
  <c r="C2380" i="1"/>
  <c r="L2379" i="1"/>
  <c r="K2379" i="1"/>
  <c r="I2379" i="1"/>
  <c r="H2379" i="1"/>
  <c r="F2379" i="1"/>
  <c r="E2379" i="1"/>
  <c r="D2379" i="1"/>
  <c r="C2379" i="1"/>
  <c r="L2378" i="1"/>
  <c r="K2378" i="1"/>
  <c r="I2378" i="1"/>
  <c r="H2378" i="1"/>
  <c r="F2378" i="1"/>
  <c r="E2378" i="1"/>
  <c r="D2378" i="1"/>
  <c r="C2378" i="1"/>
  <c r="L2377" i="1"/>
  <c r="K2377" i="1"/>
  <c r="I2377" i="1"/>
  <c r="H2377" i="1"/>
  <c r="F2377" i="1"/>
  <c r="E2377" i="1"/>
  <c r="D2377" i="1"/>
  <c r="C2377" i="1"/>
  <c r="L2376" i="1"/>
  <c r="K2376" i="1"/>
  <c r="I2376" i="1"/>
  <c r="H2376" i="1"/>
  <c r="F2376" i="1"/>
  <c r="E2376" i="1"/>
  <c r="D2376" i="1"/>
  <c r="C2376" i="1"/>
  <c r="L2375" i="1"/>
  <c r="K2375" i="1"/>
  <c r="I2375" i="1"/>
  <c r="H2375" i="1"/>
  <c r="F2375" i="1"/>
  <c r="E2375" i="1"/>
  <c r="D2375" i="1"/>
  <c r="C2375" i="1"/>
  <c r="L2374" i="1"/>
  <c r="K2374" i="1"/>
  <c r="I2374" i="1"/>
  <c r="H2374" i="1"/>
  <c r="F2374" i="1"/>
  <c r="E2374" i="1"/>
  <c r="D2374" i="1"/>
  <c r="C2374" i="1"/>
  <c r="L2373" i="1"/>
  <c r="K2373" i="1"/>
  <c r="I2373" i="1"/>
  <c r="H2373" i="1"/>
  <c r="F2373" i="1"/>
  <c r="E2373" i="1"/>
  <c r="D2373" i="1"/>
  <c r="C2373" i="1"/>
  <c r="L2372" i="1"/>
  <c r="K2372" i="1"/>
  <c r="I2372" i="1"/>
  <c r="H2372" i="1"/>
  <c r="F2372" i="1"/>
  <c r="E2372" i="1"/>
  <c r="D2372" i="1"/>
  <c r="C2372" i="1"/>
  <c r="L2371" i="1"/>
  <c r="K2371" i="1"/>
  <c r="I2371" i="1"/>
  <c r="H2371" i="1"/>
  <c r="F2371" i="1"/>
  <c r="E2371" i="1"/>
  <c r="D2371" i="1"/>
  <c r="C2371" i="1"/>
  <c r="L2370" i="1"/>
  <c r="K2370" i="1"/>
  <c r="I2370" i="1"/>
  <c r="H2370" i="1"/>
  <c r="F2370" i="1"/>
  <c r="E2370" i="1"/>
  <c r="D2370" i="1"/>
  <c r="C2370" i="1"/>
  <c r="L2369" i="1"/>
  <c r="K2369" i="1"/>
  <c r="I2369" i="1"/>
  <c r="H2369" i="1"/>
  <c r="F2369" i="1"/>
  <c r="E2369" i="1"/>
  <c r="D2369" i="1"/>
  <c r="C2369" i="1"/>
  <c r="L2368" i="1"/>
  <c r="K2368" i="1"/>
  <c r="I2368" i="1"/>
  <c r="H2368" i="1"/>
  <c r="F2368" i="1"/>
  <c r="E2368" i="1"/>
  <c r="D2368" i="1"/>
  <c r="C2368" i="1"/>
  <c r="L2367" i="1"/>
  <c r="K2367" i="1"/>
  <c r="I2367" i="1"/>
  <c r="H2367" i="1"/>
  <c r="F2367" i="1"/>
  <c r="E2367" i="1"/>
  <c r="D2367" i="1"/>
  <c r="C2367" i="1"/>
  <c r="L2366" i="1"/>
  <c r="K2366" i="1"/>
  <c r="I2366" i="1"/>
  <c r="H2366" i="1"/>
  <c r="F2366" i="1"/>
  <c r="E2366" i="1"/>
  <c r="D2366" i="1"/>
  <c r="C2366" i="1"/>
  <c r="L2365" i="1"/>
  <c r="K2365" i="1"/>
  <c r="I2365" i="1"/>
  <c r="H2365" i="1"/>
  <c r="F2365" i="1"/>
  <c r="E2365" i="1"/>
  <c r="D2365" i="1"/>
  <c r="C2365" i="1"/>
  <c r="L2364" i="1"/>
  <c r="K2364" i="1"/>
  <c r="I2364" i="1"/>
  <c r="H2364" i="1"/>
  <c r="F2364" i="1"/>
  <c r="E2364" i="1"/>
  <c r="D2364" i="1"/>
  <c r="C2364" i="1"/>
  <c r="L2363" i="1"/>
  <c r="K2363" i="1"/>
  <c r="I2363" i="1"/>
  <c r="H2363" i="1"/>
  <c r="F2363" i="1"/>
  <c r="E2363" i="1"/>
  <c r="D2363" i="1"/>
  <c r="C2363" i="1"/>
  <c r="L2362" i="1"/>
  <c r="K2362" i="1"/>
  <c r="I2362" i="1"/>
  <c r="H2362" i="1"/>
  <c r="F2362" i="1"/>
  <c r="E2362" i="1"/>
  <c r="D2362" i="1"/>
  <c r="C2362" i="1"/>
  <c r="L2361" i="1"/>
  <c r="K2361" i="1"/>
  <c r="I2361" i="1"/>
  <c r="H2361" i="1"/>
  <c r="F2361" i="1"/>
  <c r="E2361" i="1"/>
  <c r="D2361" i="1"/>
  <c r="C2361" i="1"/>
  <c r="L2360" i="1"/>
  <c r="K2360" i="1"/>
  <c r="I2360" i="1"/>
  <c r="H2360" i="1"/>
  <c r="F2360" i="1"/>
  <c r="E2360" i="1"/>
  <c r="D2360" i="1"/>
  <c r="C2360" i="1"/>
  <c r="L2359" i="1"/>
  <c r="K2359" i="1"/>
  <c r="I2359" i="1"/>
  <c r="H2359" i="1"/>
  <c r="F2359" i="1"/>
  <c r="E2359" i="1"/>
  <c r="D2359" i="1"/>
  <c r="C2359" i="1"/>
  <c r="L2358" i="1"/>
  <c r="K2358" i="1"/>
  <c r="I2358" i="1"/>
  <c r="H2358" i="1"/>
  <c r="F2358" i="1"/>
  <c r="E2358" i="1"/>
  <c r="D2358" i="1"/>
  <c r="C2358" i="1"/>
  <c r="L2357" i="1"/>
  <c r="K2357" i="1"/>
  <c r="I2357" i="1"/>
  <c r="H2357" i="1"/>
  <c r="F2357" i="1"/>
  <c r="E2357" i="1"/>
  <c r="D2357" i="1"/>
  <c r="C2357" i="1"/>
  <c r="L2356" i="1"/>
  <c r="K2356" i="1"/>
  <c r="I2356" i="1"/>
  <c r="H2356" i="1"/>
  <c r="F2356" i="1"/>
  <c r="E2356" i="1"/>
  <c r="D2356" i="1"/>
  <c r="C2356" i="1"/>
  <c r="L2355" i="1"/>
  <c r="K2355" i="1"/>
  <c r="I2355" i="1"/>
  <c r="H2355" i="1"/>
  <c r="F2355" i="1"/>
  <c r="E2355" i="1"/>
  <c r="D2355" i="1"/>
  <c r="C2355" i="1"/>
  <c r="L2354" i="1"/>
  <c r="K2354" i="1"/>
  <c r="I2354" i="1"/>
  <c r="H2354" i="1"/>
  <c r="F2354" i="1"/>
  <c r="E2354" i="1"/>
  <c r="D2354" i="1"/>
  <c r="C2354" i="1"/>
  <c r="L2353" i="1"/>
  <c r="K2353" i="1"/>
  <c r="I2353" i="1"/>
  <c r="H2353" i="1"/>
  <c r="F2353" i="1"/>
  <c r="E2353" i="1"/>
  <c r="D2353" i="1"/>
  <c r="C2353" i="1"/>
  <c r="L2352" i="1"/>
  <c r="K2352" i="1"/>
  <c r="I2352" i="1"/>
  <c r="H2352" i="1"/>
  <c r="F2352" i="1"/>
  <c r="E2352" i="1"/>
  <c r="D2352" i="1"/>
  <c r="C2352" i="1"/>
  <c r="L2351" i="1"/>
  <c r="K2351" i="1"/>
  <c r="I2351" i="1"/>
  <c r="H2351" i="1"/>
  <c r="F2351" i="1"/>
  <c r="E2351" i="1"/>
  <c r="D2351" i="1"/>
  <c r="C2351" i="1"/>
  <c r="L2350" i="1"/>
  <c r="K2350" i="1"/>
  <c r="I2350" i="1"/>
  <c r="H2350" i="1"/>
  <c r="F2350" i="1"/>
  <c r="E2350" i="1"/>
  <c r="D2350" i="1"/>
  <c r="C2350" i="1"/>
  <c r="L2349" i="1"/>
  <c r="K2349" i="1"/>
  <c r="I2349" i="1"/>
  <c r="H2349" i="1"/>
  <c r="F2349" i="1"/>
  <c r="E2349" i="1"/>
  <c r="D2349" i="1"/>
  <c r="C2349" i="1"/>
  <c r="L2348" i="1"/>
  <c r="K2348" i="1"/>
  <c r="I2348" i="1"/>
  <c r="H2348" i="1"/>
  <c r="F2348" i="1"/>
  <c r="E2348" i="1"/>
  <c r="D2348" i="1"/>
  <c r="C2348" i="1"/>
  <c r="L2347" i="1"/>
  <c r="K2347" i="1"/>
  <c r="I2347" i="1"/>
  <c r="H2347" i="1"/>
  <c r="F2347" i="1"/>
  <c r="E2347" i="1"/>
  <c r="D2347" i="1"/>
  <c r="C2347" i="1"/>
  <c r="L2346" i="1"/>
  <c r="K2346" i="1"/>
  <c r="I2346" i="1"/>
  <c r="H2346" i="1"/>
  <c r="F2346" i="1"/>
  <c r="E2346" i="1"/>
  <c r="D2346" i="1"/>
  <c r="C2346" i="1"/>
  <c r="L2345" i="1"/>
  <c r="K2345" i="1"/>
  <c r="I2345" i="1"/>
  <c r="H2345" i="1"/>
  <c r="F2345" i="1"/>
  <c r="E2345" i="1"/>
  <c r="D2345" i="1"/>
  <c r="C2345" i="1"/>
  <c r="L2344" i="1"/>
  <c r="K2344" i="1"/>
  <c r="I2344" i="1"/>
  <c r="H2344" i="1"/>
  <c r="F2344" i="1"/>
  <c r="E2344" i="1"/>
  <c r="D2344" i="1"/>
  <c r="C2344" i="1"/>
  <c r="L2343" i="1"/>
  <c r="K2343" i="1"/>
  <c r="I2343" i="1"/>
  <c r="H2343" i="1"/>
  <c r="F2343" i="1"/>
  <c r="E2343" i="1"/>
  <c r="D2343" i="1"/>
  <c r="C2343" i="1"/>
  <c r="L2342" i="1"/>
  <c r="K2342" i="1"/>
  <c r="I2342" i="1"/>
  <c r="H2342" i="1"/>
  <c r="F2342" i="1"/>
  <c r="E2342" i="1"/>
  <c r="D2342" i="1"/>
  <c r="C2342" i="1"/>
  <c r="L2341" i="1"/>
  <c r="K2341" i="1"/>
  <c r="I2341" i="1"/>
  <c r="H2341" i="1"/>
  <c r="F2341" i="1"/>
  <c r="E2341" i="1"/>
  <c r="D2341" i="1"/>
  <c r="C2341" i="1"/>
  <c r="L2340" i="1"/>
  <c r="K2340" i="1"/>
  <c r="I2340" i="1"/>
  <c r="H2340" i="1"/>
  <c r="F2340" i="1"/>
  <c r="E2340" i="1"/>
  <c r="D2340" i="1"/>
  <c r="C2340" i="1"/>
  <c r="L2339" i="1"/>
  <c r="K2339" i="1"/>
  <c r="I2339" i="1"/>
  <c r="H2339" i="1"/>
  <c r="F2339" i="1"/>
  <c r="E2339" i="1"/>
  <c r="D2339" i="1"/>
  <c r="C2339" i="1"/>
  <c r="L2338" i="1"/>
  <c r="K2338" i="1"/>
  <c r="I2338" i="1"/>
  <c r="H2338" i="1"/>
  <c r="F2338" i="1"/>
  <c r="E2338" i="1"/>
  <c r="D2338" i="1"/>
  <c r="C2338" i="1"/>
  <c r="L2337" i="1"/>
  <c r="K2337" i="1"/>
  <c r="I2337" i="1"/>
  <c r="H2337" i="1"/>
  <c r="F2337" i="1"/>
  <c r="E2337" i="1"/>
  <c r="D2337" i="1"/>
  <c r="C2337" i="1"/>
  <c r="L2336" i="1"/>
  <c r="K2336" i="1"/>
  <c r="I2336" i="1"/>
  <c r="H2336" i="1"/>
  <c r="F2336" i="1"/>
  <c r="E2336" i="1"/>
  <c r="D2336" i="1"/>
  <c r="C2336" i="1"/>
  <c r="L2335" i="1"/>
  <c r="K2335" i="1"/>
  <c r="I2335" i="1"/>
  <c r="H2335" i="1"/>
  <c r="F2335" i="1"/>
  <c r="E2335" i="1"/>
  <c r="D2335" i="1"/>
  <c r="C2335" i="1"/>
  <c r="L2334" i="1"/>
  <c r="K2334" i="1"/>
  <c r="I2334" i="1"/>
  <c r="H2334" i="1"/>
  <c r="F2334" i="1"/>
  <c r="E2334" i="1"/>
  <c r="D2334" i="1"/>
  <c r="C2334" i="1"/>
  <c r="L2333" i="1"/>
  <c r="K2333" i="1"/>
  <c r="I2333" i="1"/>
  <c r="H2333" i="1"/>
  <c r="F2333" i="1"/>
  <c r="E2333" i="1"/>
  <c r="D2333" i="1"/>
  <c r="C2333" i="1"/>
  <c r="L2332" i="1"/>
  <c r="K2332" i="1"/>
  <c r="I2332" i="1"/>
  <c r="H2332" i="1"/>
  <c r="F2332" i="1"/>
  <c r="E2332" i="1"/>
  <c r="D2332" i="1"/>
  <c r="C2332" i="1"/>
  <c r="L2331" i="1"/>
  <c r="K2331" i="1"/>
  <c r="I2331" i="1"/>
  <c r="H2331" i="1"/>
  <c r="F2331" i="1"/>
  <c r="E2331" i="1"/>
  <c r="D2331" i="1"/>
  <c r="C2331" i="1"/>
  <c r="L2330" i="1"/>
  <c r="K2330" i="1"/>
  <c r="I2330" i="1"/>
  <c r="H2330" i="1"/>
  <c r="F2330" i="1"/>
  <c r="E2330" i="1"/>
  <c r="D2330" i="1"/>
  <c r="C2330" i="1"/>
  <c r="L2329" i="1"/>
  <c r="K2329" i="1"/>
  <c r="I2329" i="1"/>
  <c r="H2329" i="1"/>
  <c r="F2329" i="1"/>
  <c r="E2329" i="1"/>
  <c r="D2329" i="1"/>
  <c r="C2329" i="1"/>
  <c r="L2328" i="1"/>
  <c r="K2328" i="1"/>
  <c r="I2328" i="1"/>
  <c r="H2328" i="1"/>
  <c r="F2328" i="1"/>
  <c r="E2328" i="1"/>
  <c r="D2328" i="1"/>
  <c r="C2328" i="1"/>
  <c r="L2327" i="1"/>
  <c r="K2327" i="1"/>
  <c r="I2327" i="1"/>
  <c r="H2327" i="1"/>
  <c r="F2327" i="1"/>
  <c r="E2327" i="1"/>
  <c r="D2327" i="1"/>
  <c r="C2327" i="1"/>
  <c r="L2326" i="1"/>
  <c r="K2326" i="1"/>
  <c r="I2326" i="1"/>
  <c r="H2326" i="1"/>
  <c r="F2326" i="1"/>
  <c r="E2326" i="1"/>
  <c r="D2326" i="1"/>
  <c r="C2326" i="1"/>
  <c r="L2325" i="1"/>
  <c r="K2325" i="1"/>
  <c r="I2325" i="1"/>
  <c r="H2325" i="1"/>
  <c r="F2325" i="1"/>
  <c r="E2325" i="1"/>
  <c r="D2325" i="1"/>
  <c r="C2325" i="1"/>
  <c r="L2324" i="1"/>
  <c r="K2324" i="1"/>
  <c r="I2324" i="1"/>
  <c r="H2324" i="1"/>
  <c r="F2324" i="1"/>
  <c r="E2324" i="1"/>
  <c r="D2324" i="1"/>
  <c r="C2324" i="1"/>
  <c r="L2323" i="1"/>
  <c r="K2323" i="1"/>
  <c r="I2323" i="1"/>
  <c r="H2323" i="1"/>
  <c r="F2323" i="1"/>
  <c r="E2323" i="1"/>
  <c r="D2323" i="1"/>
  <c r="C2323" i="1"/>
  <c r="L2322" i="1"/>
  <c r="K2322" i="1"/>
  <c r="I2322" i="1"/>
  <c r="H2322" i="1"/>
  <c r="F2322" i="1"/>
  <c r="E2322" i="1"/>
  <c r="D2322" i="1"/>
  <c r="C2322" i="1"/>
  <c r="L2321" i="1"/>
  <c r="K2321" i="1"/>
  <c r="I2321" i="1"/>
  <c r="H2321" i="1"/>
  <c r="F2321" i="1"/>
  <c r="E2321" i="1"/>
  <c r="D2321" i="1"/>
  <c r="C2321" i="1"/>
  <c r="L2320" i="1"/>
  <c r="K2320" i="1"/>
  <c r="I2320" i="1"/>
  <c r="H2320" i="1"/>
  <c r="F2320" i="1"/>
  <c r="E2320" i="1"/>
  <c r="D2320" i="1"/>
  <c r="C2320" i="1"/>
  <c r="L2319" i="1"/>
  <c r="K2319" i="1"/>
  <c r="I2319" i="1"/>
  <c r="H2319" i="1"/>
  <c r="F2319" i="1"/>
  <c r="E2319" i="1"/>
  <c r="D2319" i="1"/>
  <c r="C2319" i="1"/>
  <c r="L2318" i="1"/>
  <c r="K2318" i="1"/>
  <c r="I2318" i="1"/>
  <c r="H2318" i="1"/>
  <c r="F2318" i="1"/>
  <c r="E2318" i="1"/>
  <c r="D2318" i="1"/>
  <c r="C2318" i="1"/>
  <c r="L2317" i="1"/>
  <c r="K2317" i="1"/>
  <c r="I2317" i="1"/>
  <c r="H2317" i="1"/>
  <c r="F2317" i="1"/>
  <c r="E2317" i="1"/>
  <c r="D2317" i="1"/>
  <c r="C2317" i="1"/>
  <c r="L2316" i="1"/>
  <c r="K2316" i="1"/>
  <c r="I2316" i="1"/>
  <c r="H2316" i="1"/>
  <c r="F2316" i="1"/>
  <c r="E2316" i="1"/>
  <c r="D2316" i="1"/>
  <c r="C2316" i="1"/>
  <c r="L2315" i="1"/>
  <c r="K2315" i="1"/>
  <c r="I2315" i="1"/>
  <c r="H2315" i="1"/>
  <c r="F2315" i="1"/>
  <c r="E2315" i="1"/>
  <c r="D2315" i="1"/>
  <c r="C2315" i="1"/>
  <c r="L2314" i="1"/>
  <c r="K2314" i="1"/>
  <c r="I2314" i="1"/>
  <c r="H2314" i="1"/>
  <c r="F2314" i="1"/>
  <c r="E2314" i="1"/>
  <c r="D2314" i="1"/>
  <c r="C2314" i="1"/>
  <c r="L2313" i="1"/>
  <c r="K2313" i="1"/>
  <c r="I2313" i="1"/>
  <c r="H2313" i="1"/>
  <c r="F2313" i="1"/>
  <c r="E2313" i="1"/>
  <c r="D2313" i="1"/>
  <c r="C2313" i="1"/>
  <c r="L2312" i="1"/>
  <c r="K2312" i="1"/>
  <c r="I2312" i="1"/>
  <c r="H2312" i="1"/>
  <c r="F2312" i="1"/>
  <c r="E2312" i="1"/>
  <c r="D2312" i="1"/>
  <c r="C2312" i="1"/>
  <c r="L2311" i="1"/>
  <c r="K2311" i="1"/>
  <c r="I2311" i="1"/>
  <c r="H2311" i="1"/>
  <c r="F2311" i="1"/>
  <c r="E2311" i="1"/>
  <c r="D2311" i="1"/>
  <c r="C2311" i="1"/>
  <c r="L2310" i="1"/>
  <c r="K2310" i="1"/>
  <c r="I2310" i="1"/>
  <c r="H2310" i="1"/>
  <c r="F2310" i="1"/>
  <c r="E2310" i="1"/>
  <c r="D2310" i="1"/>
  <c r="C2310" i="1"/>
  <c r="L2309" i="1"/>
  <c r="K2309" i="1"/>
  <c r="I2309" i="1"/>
  <c r="H2309" i="1"/>
  <c r="F2309" i="1"/>
  <c r="E2309" i="1"/>
  <c r="D2309" i="1"/>
  <c r="C2309" i="1"/>
  <c r="L2308" i="1"/>
  <c r="K2308" i="1"/>
  <c r="I2308" i="1"/>
  <c r="H2308" i="1"/>
  <c r="F2308" i="1"/>
  <c r="E2308" i="1"/>
  <c r="D2308" i="1"/>
  <c r="C2308" i="1"/>
  <c r="L2307" i="1"/>
  <c r="K2307" i="1"/>
  <c r="I2307" i="1"/>
  <c r="H2307" i="1"/>
  <c r="F2307" i="1"/>
  <c r="E2307" i="1"/>
  <c r="D2307" i="1"/>
  <c r="C2307" i="1"/>
  <c r="L2306" i="1"/>
  <c r="K2306" i="1"/>
  <c r="I2306" i="1"/>
  <c r="H2306" i="1"/>
  <c r="F2306" i="1"/>
  <c r="E2306" i="1"/>
  <c r="D2306" i="1"/>
  <c r="C2306" i="1"/>
  <c r="L2305" i="1"/>
  <c r="K2305" i="1"/>
  <c r="I2305" i="1"/>
  <c r="H2305" i="1"/>
  <c r="F2305" i="1"/>
  <c r="E2305" i="1"/>
  <c r="D2305" i="1"/>
  <c r="C2305" i="1"/>
  <c r="L2304" i="1"/>
  <c r="K2304" i="1"/>
  <c r="I2304" i="1"/>
  <c r="H2304" i="1"/>
  <c r="F2304" i="1"/>
  <c r="E2304" i="1"/>
  <c r="D2304" i="1"/>
  <c r="C2304" i="1"/>
  <c r="L2303" i="1"/>
  <c r="K2303" i="1"/>
  <c r="I2303" i="1"/>
  <c r="H2303" i="1"/>
  <c r="F2303" i="1"/>
  <c r="E2303" i="1"/>
  <c r="D2303" i="1"/>
  <c r="C2303" i="1"/>
  <c r="L2302" i="1"/>
  <c r="K2302" i="1"/>
  <c r="I2302" i="1"/>
  <c r="H2302" i="1"/>
  <c r="F2302" i="1"/>
  <c r="E2302" i="1"/>
  <c r="D2302" i="1"/>
  <c r="C2302" i="1"/>
  <c r="L2301" i="1"/>
  <c r="K2301" i="1"/>
  <c r="I2301" i="1"/>
  <c r="H2301" i="1"/>
  <c r="F2301" i="1"/>
  <c r="E2301" i="1"/>
  <c r="D2301" i="1"/>
  <c r="C2301" i="1"/>
  <c r="L2300" i="1"/>
  <c r="K2300" i="1"/>
  <c r="I2300" i="1"/>
  <c r="H2300" i="1"/>
  <c r="F2300" i="1"/>
  <c r="E2300" i="1"/>
  <c r="D2300" i="1"/>
  <c r="C2300" i="1"/>
  <c r="L2299" i="1"/>
  <c r="K2299" i="1"/>
  <c r="I2299" i="1"/>
  <c r="H2299" i="1"/>
  <c r="F2299" i="1"/>
  <c r="E2299" i="1"/>
  <c r="D2299" i="1"/>
  <c r="C2299" i="1"/>
  <c r="L2298" i="1"/>
  <c r="K2298" i="1"/>
  <c r="I2298" i="1"/>
  <c r="H2298" i="1"/>
  <c r="F2298" i="1"/>
  <c r="E2298" i="1"/>
  <c r="D2298" i="1"/>
  <c r="C2298" i="1"/>
  <c r="L2297" i="1"/>
  <c r="K2297" i="1"/>
  <c r="I2297" i="1"/>
  <c r="H2297" i="1"/>
  <c r="F2297" i="1"/>
  <c r="E2297" i="1"/>
  <c r="D2297" i="1"/>
  <c r="C2297" i="1"/>
  <c r="L2296" i="1"/>
  <c r="K2296" i="1"/>
  <c r="I2296" i="1"/>
  <c r="H2296" i="1"/>
  <c r="F2296" i="1"/>
  <c r="E2296" i="1"/>
  <c r="D2296" i="1"/>
  <c r="C2296" i="1"/>
  <c r="L2295" i="1"/>
  <c r="K2295" i="1"/>
  <c r="I2295" i="1"/>
  <c r="H2295" i="1"/>
  <c r="F2295" i="1"/>
  <c r="E2295" i="1"/>
  <c r="D2295" i="1"/>
  <c r="C2295" i="1"/>
  <c r="L2294" i="1"/>
  <c r="K2294" i="1"/>
  <c r="I2294" i="1"/>
  <c r="H2294" i="1"/>
  <c r="F2294" i="1"/>
  <c r="E2294" i="1"/>
  <c r="D2294" i="1"/>
  <c r="C2294" i="1"/>
  <c r="L2293" i="1"/>
  <c r="K2293" i="1"/>
  <c r="I2293" i="1"/>
  <c r="H2293" i="1"/>
  <c r="F2293" i="1"/>
  <c r="E2293" i="1"/>
  <c r="D2293" i="1"/>
  <c r="C2293" i="1"/>
  <c r="L2292" i="1"/>
  <c r="K2292" i="1"/>
  <c r="I2292" i="1"/>
  <c r="H2292" i="1"/>
  <c r="F2292" i="1"/>
  <c r="E2292" i="1"/>
  <c r="D2292" i="1"/>
  <c r="C2292" i="1"/>
  <c r="L2291" i="1"/>
  <c r="K2291" i="1"/>
  <c r="I2291" i="1"/>
  <c r="H2291" i="1"/>
  <c r="F2291" i="1"/>
  <c r="E2291" i="1"/>
  <c r="D2291" i="1"/>
  <c r="C2291" i="1"/>
  <c r="L2290" i="1"/>
  <c r="K2290" i="1"/>
  <c r="I2290" i="1"/>
  <c r="H2290" i="1"/>
  <c r="F2290" i="1"/>
  <c r="E2290" i="1"/>
  <c r="D2290" i="1"/>
  <c r="C2290" i="1"/>
  <c r="L2289" i="1"/>
  <c r="K2289" i="1"/>
  <c r="I2289" i="1"/>
  <c r="H2289" i="1"/>
  <c r="F2289" i="1"/>
  <c r="E2289" i="1"/>
  <c r="D2289" i="1"/>
  <c r="C2289" i="1"/>
  <c r="L2288" i="1"/>
  <c r="K2288" i="1"/>
  <c r="I2288" i="1"/>
  <c r="H2288" i="1"/>
  <c r="F2288" i="1"/>
  <c r="E2288" i="1"/>
  <c r="D2288" i="1"/>
  <c r="C2288" i="1"/>
  <c r="L2287" i="1"/>
  <c r="K2287" i="1"/>
  <c r="I2287" i="1"/>
  <c r="H2287" i="1"/>
  <c r="F2287" i="1"/>
  <c r="E2287" i="1"/>
  <c r="D2287" i="1"/>
  <c r="C2287" i="1"/>
  <c r="L2286" i="1"/>
  <c r="K2286" i="1"/>
  <c r="I2286" i="1"/>
  <c r="H2286" i="1"/>
  <c r="F2286" i="1"/>
  <c r="E2286" i="1"/>
  <c r="D2286" i="1"/>
  <c r="C2286" i="1"/>
  <c r="L2285" i="1"/>
  <c r="K2285" i="1"/>
  <c r="I2285" i="1"/>
  <c r="H2285" i="1"/>
  <c r="F2285" i="1"/>
  <c r="E2285" i="1"/>
  <c r="D2285" i="1"/>
  <c r="C2285" i="1"/>
  <c r="L2284" i="1"/>
  <c r="K2284" i="1"/>
  <c r="I2284" i="1"/>
  <c r="H2284" i="1"/>
  <c r="F2284" i="1"/>
  <c r="E2284" i="1"/>
  <c r="D2284" i="1"/>
  <c r="C2284" i="1"/>
  <c r="L2283" i="1"/>
  <c r="K2283" i="1"/>
  <c r="I2283" i="1"/>
  <c r="H2283" i="1"/>
  <c r="F2283" i="1"/>
  <c r="E2283" i="1"/>
  <c r="D2283" i="1"/>
  <c r="C2283" i="1"/>
  <c r="L2282" i="1"/>
  <c r="K2282" i="1"/>
  <c r="I2282" i="1"/>
  <c r="H2282" i="1"/>
  <c r="F2282" i="1"/>
  <c r="E2282" i="1"/>
  <c r="D2282" i="1"/>
  <c r="C2282" i="1"/>
  <c r="L2281" i="1"/>
  <c r="K2281" i="1"/>
  <c r="I2281" i="1"/>
  <c r="H2281" i="1"/>
  <c r="F2281" i="1"/>
  <c r="E2281" i="1"/>
  <c r="D2281" i="1"/>
  <c r="C2281" i="1"/>
  <c r="L2280" i="1"/>
  <c r="K2280" i="1"/>
  <c r="I2280" i="1"/>
  <c r="H2280" i="1"/>
  <c r="F2280" i="1"/>
  <c r="E2280" i="1"/>
  <c r="D2280" i="1"/>
  <c r="C2280" i="1"/>
  <c r="L2279" i="1"/>
  <c r="K2279" i="1"/>
  <c r="I2279" i="1"/>
  <c r="H2279" i="1"/>
  <c r="F2279" i="1"/>
  <c r="E2279" i="1"/>
  <c r="D2279" i="1"/>
  <c r="C2279" i="1"/>
  <c r="L2278" i="1"/>
  <c r="K2278" i="1"/>
  <c r="I2278" i="1"/>
  <c r="H2278" i="1"/>
  <c r="F2278" i="1"/>
  <c r="E2278" i="1"/>
  <c r="D2278" i="1"/>
  <c r="C2278" i="1"/>
  <c r="L2277" i="1"/>
  <c r="K2277" i="1"/>
  <c r="I2277" i="1"/>
  <c r="H2277" i="1"/>
  <c r="F2277" i="1"/>
  <c r="E2277" i="1"/>
  <c r="D2277" i="1"/>
  <c r="C2277" i="1"/>
  <c r="L2276" i="1"/>
  <c r="K2276" i="1"/>
  <c r="I2276" i="1"/>
  <c r="H2276" i="1"/>
  <c r="F2276" i="1"/>
  <c r="E2276" i="1"/>
  <c r="D2276" i="1"/>
  <c r="C2276" i="1"/>
  <c r="L2275" i="1"/>
  <c r="K2275" i="1"/>
  <c r="I2275" i="1"/>
  <c r="H2275" i="1"/>
  <c r="F2275" i="1"/>
  <c r="E2275" i="1"/>
  <c r="D2275" i="1"/>
  <c r="C2275" i="1"/>
  <c r="L2274" i="1"/>
  <c r="K2274" i="1"/>
  <c r="I2274" i="1"/>
  <c r="H2274" i="1"/>
  <c r="F2274" i="1"/>
  <c r="E2274" i="1"/>
  <c r="D2274" i="1"/>
  <c r="C2274" i="1"/>
  <c r="L2273" i="1"/>
  <c r="K2273" i="1"/>
  <c r="I2273" i="1"/>
  <c r="H2273" i="1"/>
  <c r="F2273" i="1"/>
  <c r="E2273" i="1"/>
  <c r="D2273" i="1"/>
  <c r="C2273" i="1"/>
  <c r="L2272" i="1"/>
  <c r="K2272" i="1"/>
  <c r="I2272" i="1"/>
  <c r="H2272" i="1"/>
  <c r="F2272" i="1"/>
  <c r="E2272" i="1"/>
  <c r="D2272" i="1"/>
  <c r="C2272" i="1"/>
  <c r="L2271" i="1"/>
  <c r="K2271" i="1"/>
  <c r="I2271" i="1"/>
  <c r="H2271" i="1"/>
  <c r="F2271" i="1"/>
  <c r="E2271" i="1"/>
  <c r="D2271" i="1"/>
  <c r="C2271" i="1"/>
  <c r="L2270" i="1"/>
  <c r="K2270" i="1"/>
  <c r="I2270" i="1"/>
  <c r="H2270" i="1"/>
  <c r="F2270" i="1"/>
  <c r="E2270" i="1"/>
  <c r="D2270" i="1"/>
  <c r="C2270" i="1"/>
  <c r="L2269" i="1"/>
  <c r="K2269" i="1"/>
  <c r="I2269" i="1"/>
  <c r="H2269" i="1"/>
  <c r="F2269" i="1"/>
  <c r="E2269" i="1"/>
  <c r="D2269" i="1"/>
  <c r="C2269" i="1"/>
  <c r="L2268" i="1"/>
  <c r="K2268" i="1"/>
  <c r="I2268" i="1"/>
  <c r="H2268" i="1"/>
  <c r="F2268" i="1"/>
  <c r="E2268" i="1"/>
  <c r="D2268" i="1"/>
  <c r="C2268" i="1"/>
  <c r="L2267" i="1"/>
  <c r="K2267" i="1"/>
  <c r="I2267" i="1"/>
  <c r="H2267" i="1"/>
  <c r="F2267" i="1"/>
  <c r="E2267" i="1"/>
  <c r="D2267" i="1"/>
  <c r="C2267" i="1"/>
  <c r="L2266" i="1"/>
  <c r="K2266" i="1"/>
  <c r="I2266" i="1"/>
  <c r="H2266" i="1"/>
  <c r="F2266" i="1"/>
  <c r="E2266" i="1"/>
  <c r="D2266" i="1"/>
  <c r="C2266" i="1"/>
  <c r="L2265" i="1"/>
  <c r="K2265" i="1"/>
  <c r="I2265" i="1"/>
  <c r="H2265" i="1"/>
  <c r="F2265" i="1"/>
  <c r="E2265" i="1"/>
  <c r="D2265" i="1"/>
  <c r="C2265" i="1"/>
  <c r="L2264" i="1"/>
  <c r="K2264" i="1"/>
  <c r="I2264" i="1"/>
  <c r="H2264" i="1"/>
  <c r="F2264" i="1"/>
  <c r="E2264" i="1"/>
  <c r="D2264" i="1"/>
  <c r="C2264" i="1"/>
  <c r="L2263" i="1"/>
  <c r="K2263" i="1"/>
  <c r="I2263" i="1"/>
  <c r="H2263" i="1"/>
  <c r="F2263" i="1"/>
  <c r="E2263" i="1"/>
  <c r="D2263" i="1"/>
  <c r="C2263" i="1"/>
  <c r="L2262" i="1"/>
  <c r="K2262" i="1"/>
  <c r="I2262" i="1"/>
  <c r="H2262" i="1"/>
  <c r="F2262" i="1"/>
  <c r="E2262" i="1"/>
  <c r="D2262" i="1"/>
  <c r="C2262" i="1"/>
  <c r="L2261" i="1"/>
  <c r="K2261" i="1"/>
  <c r="I2261" i="1"/>
  <c r="H2261" i="1"/>
  <c r="F2261" i="1"/>
  <c r="E2261" i="1"/>
  <c r="D2261" i="1"/>
  <c r="C2261" i="1"/>
  <c r="L2260" i="1"/>
  <c r="K2260" i="1"/>
  <c r="I2260" i="1"/>
  <c r="H2260" i="1"/>
  <c r="F2260" i="1"/>
  <c r="E2260" i="1"/>
  <c r="D2260" i="1"/>
  <c r="C2260" i="1"/>
  <c r="L2259" i="1"/>
  <c r="K2259" i="1"/>
  <c r="I2259" i="1"/>
  <c r="H2259" i="1"/>
  <c r="F2259" i="1"/>
  <c r="E2259" i="1"/>
  <c r="D2259" i="1"/>
  <c r="C2259" i="1"/>
  <c r="L2258" i="1"/>
  <c r="K2258" i="1"/>
  <c r="I2258" i="1"/>
  <c r="H2258" i="1"/>
  <c r="F2258" i="1"/>
  <c r="E2258" i="1"/>
  <c r="D2258" i="1"/>
  <c r="C2258" i="1"/>
  <c r="L2257" i="1"/>
  <c r="K2257" i="1"/>
  <c r="I2257" i="1"/>
  <c r="H2257" i="1"/>
  <c r="F2257" i="1"/>
  <c r="E2257" i="1"/>
  <c r="D2257" i="1"/>
  <c r="C2257" i="1"/>
  <c r="L2256" i="1"/>
  <c r="K2256" i="1"/>
  <c r="I2256" i="1"/>
  <c r="H2256" i="1"/>
  <c r="F2256" i="1"/>
  <c r="E2256" i="1"/>
  <c r="D2256" i="1"/>
  <c r="C2256" i="1"/>
  <c r="L2255" i="1"/>
  <c r="K2255" i="1"/>
  <c r="I2255" i="1"/>
  <c r="H2255" i="1"/>
  <c r="F2255" i="1"/>
  <c r="E2255" i="1"/>
  <c r="D2255" i="1"/>
  <c r="C2255" i="1"/>
  <c r="L2254" i="1"/>
  <c r="K2254" i="1"/>
  <c r="I2254" i="1"/>
  <c r="H2254" i="1"/>
  <c r="F2254" i="1"/>
  <c r="E2254" i="1"/>
  <c r="D2254" i="1"/>
  <c r="C2254" i="1"/>
  <c r="L2253" i="1"/>
  <c r="K2253" i="1"/>
  <c r="I2253" i="1"/>
  <c r="H2253" i="1"/>
  <c r="F2253" i="1"/>
  <c r="E2253" i="1"/>
  <c r="D2253" i="1"/>
  <c r="C2253" i="1"/>
  <c r="L2252" i="1"/>
  <c r="K2252" i="1"/>
  <c r="I2252" i="1"/>
  <c r="H2252" i="1"/>
  <c r="F2252" i="1"/>
  <c r="E2252" i="1"/>
  <c r="D2252" i="1"/>
  <c r="C2252" i="1"/>
  <c r="L2251" i="1"/>
  <c r="K2251" i="1"/>
  <c r="I2251" i="1"/>
  <c r="H2251" i="1"/>
  <c r="F2251" i="1"/>
  <c r="E2251" i="1"/>
  <c r="D2251" i="1"/>
  <c r="C2251" i="1"/>
  <c r="L2250" i="1"/>
  <c r="K2250" i="1"/>
  <c r="I2250" i="1"/>
  <c r="H2250" i="1"/>
  <c r="F2250" i="1"/>
  <c r="E2250" i="1"/>
  <c r="D2250" i="1"/>
  <c r="C2250" i="1"/>
  <c r="L2249" i="1"/>
  <c r="K2249" i="1"/>
  <c r="I2249" i="1"/>
  <c r="H2249" i="1"/>
  <c r="F2249" i="1"/>
  <c r="E2249" i="1"/>
  <c r="D2249" i="1"/>
  <c r="C2249" i="1"/>
  <c r="L2248" i="1"/>
  <c r="K2248" i="1"/>
  <c r="I2248" i="1"/>
  <c r="H2248" i="1"/>
  <c r="F2248" i="1"/>
  <c r="E2248" i="1"/>
  <c r="D2248" i="1"/>
  <c r="C2248" i="1"/>
  <c r="L2247" i="1"/>
  <c r="K2247" i="1"/>
  <c r="I2247" i="1"/>
  <c r="H2247" i="1"/>
  <c r="F2247" i="1"/>
  <c r="E2247" i="1"/>
  <c r="D2247" i="1"/>
  <c r="C2247" i="1"/>
  <c r="L2246" i="1"/>
  <c r="K2246" i="1"/>
  <c r="I2246" i="1"/>
  <c r="H2246" i="1"/>
  <c r="F2246" i="1"/>
  <c r="E2246" i="1"/>
  <c r="D2246" i="1"/>
  <c r="C2246" i="1"/>
  <c r="L2245" i="1"/>
  <c r="K2245" i="1"/>
  <c r="I2245" i="1"/>
  <c r="H2245" i="1"/>
  <c r="F2245" i="1"/>
  <c r="E2245" i="1"/>
  <c r="D2245" i="1"/>
  <c r="C2245" i="1"/>
  <c r="L2244" i="1"/>
  <c r="K2244" i="1"/>
  <c r="I2244" i="1"/>
  <c r="H2244" i="1"/>
  <c r="F2244" i="1"/>
  <c r="E2244" i="1"/>
  <c r="D2244" i="1"/>
  <c r="C2244" i="1"/>
  <c r="L2243" i="1"/>
  <c r="K2243" i="1"/>
  <c r="I2243" i="1"/>
  <c r="H2243" i="1"/>
  <c r="F2243" i="1"/>
  <c r="E2243" i="1"/>
  <c r="D2243" i="1"/>
  <c r="C2243" i="1"/>
  <c r="L2242" i="1"/>
  <c r="K2242" i="1"/>
  <c r="I2242" i="1"/>
  <c r="H2242" i="1"/>
  <c r="F2242" i="1"/>
  <c r="E2242" i="1"/>
  <c r="D2242" i="1"/>
  <c r="C2242" i="1"/>
  <c r="L2241" i="1"/>
  <c r="K2241" i="1"/>
  <c r="I2241" i="1"/>
  <c r="H2241" i="1"/>
  <c r="F2241" i="1"/>
  <c r="E2241" i="1"/>
  <c r="D2241" i="1"/>
  <c r="C2241" i="1"/>
  <c r="L2240" i="1"/>
  <c r="K2240" i="1"/>
  <c r="I2240" i="1"/>
  <c r="H2240" i="1"/>
  <c r="F2240" i="1"/>
  <c r="E2240" i="1"/>
  <c r="D2240" i="1"/>
  <c r="C2240" i="1"/>
  <c r="L2239" i="1"/>
  <c r="K2239" i="1"/>
  <c r="I2239" i="1"/>
  <c r="H2239" i="1"/>
  <c r="F2239" i="1"/>
  <c r="E2239" i="1"/>
  <c r="D2239" i="1"/>
  <c r="C2239" i="1"/>
  <c r="L2238" i="1"/>
  <c r="K2238" i="1"/>
  <c r="I2238" i="1"/>
  <c r="H2238" i="1"/>
  <c r="F2238" i="1"/>
  <c r="E2238" i="1"/>
  <c r="D2238" i="1"/>
  <c r="C2238" i="1"/>
  <c r="L2237" i="1"/>
  <c r="K2237" i="1"/>
  <c r="I2237" i="1"/>
  <c r="H2237" i="1"/>
  <c r="F2237" i="1"/>
  <c r="E2237" i="1"/>
  <c r="D2237" i="1"/>
  <c r="C2237" i="1"/>
  <c r="L2236" i="1"/>
  <c r="K2236" i="1"/>
  <c r="I2236" i="1"/>
  <c r="H2236" i="1"/>
  <c r="F2236" i="1"/>
  <c r="E2236" i="1"/>
  <c r="D2236" i="1"/>
  <c r="C2236" i="1"/>
  <c r="L2235" i="1"/>
  <c r="K2235" i="1"/>
  <c r="I2235" i="1"/>
  <c r="H2235" i="1"/>
  <c r="F2235" i="1"/>
  <c r="E2235" i="1"/>
  <c r="D2235" i="1"/>
  <c r="C2235" i="1"/>
  <c r="L2234" i="1"/>
  <c r="K2234" i="1"/>
  <c r="I2234" i="1"/>
  <c r="H2234" i="1"/>
  <c r="F2234" i="1"/>
  <c r="E2234" i="1"/>
  <c r="D2234" i="1"/>
  <c r="C2234" i="1"/>
  <c r="L2233" i="1"/>
  <c r="K2233" i="1"/>
  <c r="I2233" i="1"/>
  <c r="H2233" i="1"/>
  <c r="F2233" i="1"/>
  <c r="E2233" i="1"/>
  <c r="D2233" i="1"/>
  <c r="C2233" i="1"/>
  <c r="L2232" i="1"/>
  <c r="K2232" i="1"/>
  <c r="I2232" i="1"/>
  <c r="H2232" i="1"/>
  <c r="F2232" i="1"/>
  <c r="E2232" i="1"/>
  <c r="D2232" i="1"/>
  <c r="C2232" i="1"/>
  <c r="L2231" i="1"/>
  <c r="K2231" i="1"/>
  <c r="I2231" i="1"/>
  <c r="H2231" i="1"/>
  <c r="F2231" i="1"/>
  <c r="E2231" i="1"/>
  <c r="D2231" i="1"/>
  <c r="C2231" i="1"/>
  <c r="L2230" i="1"/>
  <c r="K2230" i="1"/>
  <c r="I2230" i="1"/>
  <c r="H2230" i="1"/>
  <c r="F2230" i="1"/>
  <c r="E2230" i="1"/>
  <c r="D2230" i="1"/>
  <c r="C2230" i="1"/>
  <c r="L2229" i="1"/>
  <c r="K2229" i="1"/>
  <c r="I2229" i="1"/>
  <c r="H2229" i="1"/>
  <c r="F2229" i="1"/>
  <c r="E2229" i="1"/>
  <c r="D2229" i="1"/>
  <c r="C2229" i="1"/>
  <c r="L2228" i="1"/>
  <c r="K2228" i="1"/>
  <c r="I2228" i="1"/>
  <c r="H2228" i="1"/>
  <c r="F2228" i="1"/>
  <c r="E2228" i="1"/>
  <c r="D2228" i="1"/>
  <c r="C2228" i="1"/>
  <c r="L2227" i="1"/>
  <c r="K2227" i="1"/>
  <c r="I2227" i="1"/>
  <c r="H2227" i="1"/>
  <c r="F2227" i="1"/>
  <c r="E2227" i="1"/>
  <c r="D2227" i="1"/>
  <c r="C2227" i="1"/>
  <c r="L2226" i="1"/>
  <c r="K2226" i="1"/>
  <c r="I2226" i="1"/>
  <c r="H2226" i="1"/>
  <c r="F2226" i="1"/>
  <c r="E2226" i="1"/>
  <c r="D2226" i="1"/>
  <c r="C2226" i="1"/>
  <c r="L2225" i="1"/>
  <c r="K2225" i="1"/>
  <c r="I2225" i="1"/>
  <c r="H2225" i="1"/>
  <c r="F2225" i="1"/>
  <c r="E2225" i="1"/>
  <c r="D2225" i="1"/>
  <c r="C2225" i="1"/>
  <c r="L2224" i="1"/>
  <c r="K2224" i="1"/>
  <c r="I2224" i="1"/>
  <c r="H2224" i="1"/>
  <c r="F2224" i="1"/>
  <c r="E2224" i="1"/>
  <c r="D2224" i="1"/>
  <c r="C2224" i="1"/>
  <c r="L2223" i="1"/>
  <c r="K2223" i="1"/>
  <c r="I2223" i="1"/>
  <c r="H2223" i="1"/>
  <c r="F2223" i="1"/>
  <c r="E2223" i="1"/>
  <c r="D2223" i="1"/>
  <c r="C2223" i="1"/>
  <c r="L2222" i="1"/>
  <c r="K2222" i="1"/>
  <c r="I2222" i="1"/>
  <c r="H2222" i="1"/>
  <c r="F2222" i="1"/>
  <c r="E2222" i="1"/>
  <c r="D2222" i="1"/>
  <c r="C2222" i="1"/>
  <c r="L2221" i="1"/>
  <c r="K2221" i="1"/>
  <c r="I2221" i="1"/>
  <c r="H2221" i="1"/>
  <c r="F2221" i="1"/>
  <c r="E2221" i="1"/>
  <c r="D2221" i="1"/>
  <c r="C2221" i="1"/>
  <c r="L2220" i="1"/>
  <c r="K2220" i="1"/>
  <c r="I2220" i="1"/>
  <c r="H2220" i="1"/>
  <c r="F2220" i="1"/>
  <c r="E2220" i="1"/>
  <c r="D2220" i="1"/>
  <c r="C2220" i="1"/>
  <c r="L2219" i="1"/>
  <c r="K2219" i="1"/>
  <c r="I2219" i="1"/>
  <c r="H2219" i="1"/>
  <c r="F2219" i="1"/>
  <c r="E2219" i="1"/>
  <c r="D2219" i="1"/>
  <c r="C2219" i="1"/>
  <c r="L2218" i="1"/>
  <c r="K2218" i="1"/>
  <c r="I2218" i="1"/>
  <c r="H2218" i="1"/>
  <c r="F2218" i="1"/>
  <c r="E2218" i="1"/>
  <c r="D2218" i="1"/>
  <c r="C2218" i="1"/>
  <c r="L2217" i="1"/>
  <c r="K2217" i="1"/>
  <c r="I2217" i="1"/>
  <c r="H2217" i="1"/>
  <c r="F2217" i="1"/>
  <c r="E2217" i="1"/>
  <c r="D2217" i="1"/>
  <c r="C2217" i="1"/>
  <c r="L2216" i="1"/>
  <c r="K2216" i="1"/>
  <c r="I2216" i="1"/>
  <c r="H2216" i="1"/>
  <c r="F2216" i="1"/>
  <c r="E2216" i="1"/>
  <c r="D2216" i="1"/>
  <c r="C2216" i="1"/>
  <c r="L2215" i="1"/>
  <c r="K2215" i="1"/>
  <c r="I2215" i="1"/>
  <c r="H2215" i="1"/>
  <c r="F2215" i="1"/>
  <c r="E2215" i="1"/>
  <c r="D2215" i="1"/>
  <c r="C2215" i="1"/>
  <c r="L2214" i="1"/>
  <c r="K2214" i="1"/>
  <c r="I2214" i="1"/>
  <c r="H2214" i="1"/>
  <c r="F2214" i="1"/>
  <c r="E2214" i="1"/>
  <c r="D2214" i="1"/>
  <c r="C2214" i="1"/>
  <c r="L2213" i="1"/>
  <c r="K2213" i="1"/>
  <c r="I2213" i="1"/>
  <c r="H2213" i="1"/>
  <c r="F2213" i="1"/>
  <c r="E2213" i="1"/>
  <c r="D2213" i="1"/>
  <c r="C2213" i="1"/>
  <c r="L2212" i="1"/>
  <c r="K2212" i="1"/>
  <c r="I2212" i="1"/>
  <c r="H2212" i="1"/>
  <c r="F2212" i="1"/>
  <c r="E2212" i="1"/>
  <c r="D2212" i="1"/>
  <c r="C2212" i="1"/>
  <c r="L2211" i="1"/>
  <c r="K2211" i="1"/>
  <c r="I2211" i="1"/>
  <c r="H2211" i="1"/>
  <c r="F2211" i="1"/>
  <c r="E2211" i="1"/>
  <c r="D2211" i="1"/>
  <c r="C2211" i="1"/>
  <c r="L2210" i="1"/>
  <c r="K2210" i="1"/>
  <c r="I2210" i="1"/>
  <c r="H2210" i="1"/>
  <c r="F2210" i="1"/>
  <c r="E2210" i="1"/>
  <c r="D2210" i="1"/>
  <c r="C2210" i="1"/>
  <c r="L2209" i="1"/>
  <c r="K2209" i="1"/>
  <c r="I2209" i="1"/>
  <c r="H2209" i="1"/>
  <c r="F2209" i="1"/>
  <c r="E2209" i="1"/>
  <c r="D2209" i="1"/>
  <c r="C2209" i="1"/>
  <c r="L2208" i="1"/>
  <c r="K2208" i="1"/>
  <c r="I2208" i="1"/>
  <c r="H2208" i="1"/>
  <c r="F2208" i="1"/>
  <c r="E2208" i="1"/>
  <c r="D2208" i="1"/>
  <c r="C2208" i="1"/>
  <c r="L2207" i="1"/>
  <c r="K2207" i="1"/>
  <c r="I2207" i="1"/>
  <c r="H2207" i="1"/>
  <c r="F2207" i="1"/>
  <c r="E2207" i="1"/>
  <c r="D2207" i="1"/>
  <c r="C2207" i="1"/>
  <c r="L2206" i="1"/>
  <c r="K2206" i="1"/>
  <c r="I2206" i="1"/>
  <c r="H2206" i="1"/>
  <c r="F2206" i="1"/>
  <c r="E2206" i="1"/>
  <c r="D2206" i="1"/>
  <c r="C2206" i="1"/>
  <c r="L2205" i="1"/>
  <c r="K2205" i="1"/>
  <c r="I2205" i="1"/>
  <c r="H2205" i="1"/>
  <c r="F2205" i="1"/>
  <c r="E2205" i="1"/>
  <c r="D2205" i="1"/>
  <c r="C2205" i="1"/>
  <c r="L2204" i="1"/>
  <c r="K2204" i="1"/>
  <c r="I2204" i="1"/>
  <c r="H2204" i="1"/>
  <c r="F2204" i="1"/>
  <c r="E2204" i="1"/>
  <c r="D2204" i="1"/>
  <c r="C2204" i="1"/>
  <c r="L2203" i="1"/>
  <c r="K2203" i="1"/>
  <c r="I2203" i="1"/>
  <c r="H2203" i="1"/>
  <c r="F2203" i="1"/>
  <c r="E2203" i="1"/>
  <c r="D2203" i="1"/>
  <c r="C2203" i="1"/>
  <c r="L2202" i="1"/>
  <c r="K2202" i="1"/>
  <c r="I2202" i="1"/>
  <c r="H2202" i="1"/>
  <c r="F2202" i="1"/>
  <c r="E2202" i="1"/>
  <c r="D2202" i="1"/>
  <c r="C2202" i="1"/>
  <c r="L2201" i="1"/>
  <c r="K2201" i="1"/>
  <c r="I2201" i="1"/>
  <c r="H2201" i="1"/>
  <c r="F2201" i="1"/>
  <c r="E2201" i="1"/>
  <c r="D2201" i="1"/>
  <c r="C2201" i="1"/>
  <c r="L2200" i="1"/>
  <c r="K2200" i="1"/>
  <c r="I2200" i="1"/>
  <c r="H2200" i="1"/>
  <c r="F2200" i="1"/>
  <c r="E2200" i="1"/>
  <c r="D2200" i="1"/>
  <c r="C2200" i="1"/>
  <c r="L2199" i="1"/>
  <c r="K2199" i="1"/>
  <c r="I2199" i="1"/>
  <c r="H2199" i="1"/>
  <c r="F2199" i="1"/>
  <c r="E2199" i="1"/>
  <c r="D2199" i="1"/>
  <c r="C2199" i="1"/>
  <c r="L2198" i="1"/>
  <c r="K2198" i="1"/>
  <c r="I2198" i="1"/>
  <c r="H2198" i="1"/>
  <c r="F2198" i="1"/>
  <c r="E2198" i="1"/>
  <c r="D2198" i="1"/>
  <c r="C2198" i="1"/>
  <c r="L2197" i="1"/>
  <c r="K2197" i="1"/>
  <c r="I2197" i="1"/>
  <c r="H2197" i="1"/>
  <c r="F2197" i="1"/>
  <c r="E2197" i="1"/>
  <c r="D2197" i="1"/>
  <c r="C2197" i="1"/>
  <c r="L2196" i="1"/>
  <c r="K2196" i="1"/>
  <c r="I2196" i="1"/>
  <c r="H2196" i="1"/>
  <c r="F2196" i="1"/>
  <c r="E2196" i="1"/>
  <c r="D2196" i="1"/>
  <c r="C2196" i="1"/>
  <c r="L2195" i="1"/>
  <c r="K2195" i="1"/>
  <c r="I2195" i="1"/>
  <c r="H2195" i="1"/>
  <c r="F2195" i="1"/>
  <c r="E2195" i="1"/>
  <c r="D2195" i="1"/>
  <c r="C2195" i="1"/>
  <c r="L2194" i="1"/>
  <c r="K2194" i="1"/>
  <c r="I2194" i="1"/>
  <c r="H2194" i="1"/>
  <c r="F2194" i="1"/>
  <c r="E2194" i="1"/>
  <c r="D2194" i="1"/>
  <c r="C2194" i="1"/>
  <c r="L2193" i="1"/>
  <c r="K2193" i="1"/>
  <c r="I2193" i="1"/>
  <c r="H2193" i="1"/>
  <c r="F2193" i="1"/>
  <c r="E2193" i="1"/>
  <c r="D2193" i="1"/>
  <c r="C2193" i="1"/>
  <c r="L2192" i="1"/>
  <c r="K2192" i="1"/>
  <c r="I2192" i="1"/>
  <c r="H2192" i="1"/>
  <c r="F2192" i="1"/>
  <c r="E2192" i="1"/>
  <c r="D2192" i="1"/>
  <c r="C2192" i="1"/>
  <c r="L2191" i="1"/>
  <c r="K2191" i="1"/>
  <c r="I2191" i="1"/>
  <c r="H2191" i="1"/>
  <c r="F2191" i="1"/>
  <c r="E2191" i="1"/>
  <c r="D2191" i="1"/>
  <c r="C2191" i="1"/>
  <c r="L2190" i="1"/>
  <c r="K2190" i="1"/>
  <c r="I2190" i="1"/>
  <c r="H2190" i="1"/>
  <c r="F2190" i="1"/>
  <c r="E2190" i="1"/>
  <c r="D2190" i="1"/>
  <c r="C2190" i="1"/>
  <c r="L2189" i="1"/>
  <c r="K2189" i="1"/>
  <c r="I2189" i="1"/>
  <c r="H2189" i="1"/>
  <c r="F2189" i="1"/>
  <c r="E2189" i="1"/>
  <c r="D2189" i="1"/>
  <c r="C2189" i="1"/>
  <c r="L2188" i="1"/>
  <c r="K2188" i="1"/>
  <c r="I2188" i="1"/>
  <c r="H2188" i="1"/>
  <c r="F2188" i="1"/>
  <c r="E2188" i="1"/>
  <c r="D2188" i="1"/>
  <c r="C2188" i="1"/>
  <c r="L2187" i="1"/>
  <c r="K2187" i="1"/>
  <c r="I2187" i="1"/>
  <c r="H2187" i="1"/>
  <c r="F2187" i="1"/>
  <c r="E2187" i="1"/>
  <c r="D2187" i="1"/>
  <c r="C2187" i="1"/>
  <c r="L2186" i="1"/>
  <c r="K2186" i="1"/>
  <c r="I2186" i="1"/>
  <c r="H2186" i="1"/>
  <c r="F2186" i="1"/>
  <c r="E2186" i="1"/>
  <c r="D2186" i="1"/>
  <c r="C2186" i="1"/>
  <c r="L2185" i="1"/>
  <c r="K2185" i="1"/>
  <c r="I2185" i="1"/>
  <c r="H2185" i="1"/>
  <c r="F2185" i="1"/>
  <c r="E2185" i="1"/>
  <c r="D2185" i="1"/>
  <c r="C2185" i="1"/>
  <c r="L2184" i="1"/>
  <c r="K2184" i="1"/>
  <c r="I2184" i="1"/>
  <c r="H2184" i="1"/>
  <c r="F2184" i="1"/>
  <c r="E2184" i="1"/>
  <c r="D2184" i="1"/>
  <c r="C2184" i="1"/>
  <c r="L2183" i="1"/>
  <c r="K2183" i="1"/>
  <c r="I2183" i="1"/>
  <c r="H2183" i="1"/>
  <c r="F2183" i="1"/>
  <c r="E2183" i="1"/>
  <c r="D2183" i="1"/>
  <c r="C2183" i="1"/>
  <c r="L2182" i="1"/>
  <c r="K2182" i="1"/>
  <c r="I2182" i="1"/>
  <c r="H2182" i="1"/>
  <c r="F2182" i="1"/>
  <c r="E2182" i="1"/>
  <c r="D2182" i="1"/>
  <c r="C2182" i="1"/>
  <c r="L2181" i="1"/>
  <c r="K2181" i="1"/>
  <c r="I2181" i="1"/>
  <c r="H2181" i="1"/>
  <c r="F2181" i="1"/>
  <c r="E2181" i="1"/>
  <c r="D2181" i="1"/>
  <c r="C2181" i="1"/>
  <c r="L2180" i="1"/>
  <c r="K2180" i="1"/>
  <c r="I2180" i="1"/>
  <c r="H2180" i="1"/>
  <c r="F2180" i="1"/>
  <c r="E2180" i="1"/>
  <c r="D2180" i="1"/>
  <c r="C2180" i="1"/>
  <c r="L2179" i="1"/>
  <c r="K2179" i="1"/>
  <c r="I2179" i="1"/>
  <c r="H2179" i="1"/>
  <c r="F2179" i="1"/>
  <c r="E2179" i="1"/>
  <c r="D2179" i="1"/>
  <c r="C2179" i="1"/>
  <c r="L2178" i="1"/>
  <c r="K2178" i="1"/>
  <c r="I2178" i="1"/>
  <c r="H2178" i="1"/>
  <c r="F2178" i="1"/>
  <c r="E2178" i="1"/>
  <c r="D2178" i="1"/>
  <c r="C2178" i="1"/>
  <c r="L2177" i="1"/>
  <c r="K2177" i="1"/>
  <c r="I2177" i="1"/>
  <c r="H2177" i="1"/>
  <c r="F2177" i="1"/>
  <c r="E2177" i="1"/>
  <c r="D2177" i="1"/>
  <c r="C2177" i="1"/>
  <c r="L2176" i="1"/>
  <c r="K2176" i="1"/>
  <c r="I2176" i="1"/>
  <c r="H2176" i="1"/>
  <c r="F2176" i="1"/>
  <c r="E2176" i="1"/>
  <c r="D2176" i="1"/>
  <c r="C2176" i="1"/>
  <c r="L2175" i="1"/>
  <c r="K2175" i="1"/>
  <c r="I2175" i="1"/>
  <c r="H2175" i="1"/>
  <c r="F2175" i="1"/>
  <c r="E2175" i="1"/>
  <c r="D2175" i="1"/>
  <c r="C2175" i="1"/>
  <c r="L2174" i="1"/>
  <c r="K2174" i="1"/>
  <c r="I2174" i="1"/>
  <c r="H2174" i="1"/>
  <c r="F2174" i="1"/>
  <c r="E2174" i="1"/>
  <c r="D2174" i="1"/>
  <c r="C2174" i="1"/>
  <c r="L2173" i="1"/>
  <c r="K2173" i="1"/>
  <c r="I2173" i="1"/>
  <c r="H2173" i="1"/>
  <c r="F2173" i="1"/>
  <c r="E2173" i="1"/>
  <c r="D2173" i="1"/>
  <c r="C2173" i="1"/>
  <c r="L2172" i="1"/>
  <c r="K2172" i="1"/>
  <c r="I2172" i="1"/>
  <c r="H2172" i="1"/>
  <c r="F2172" i="1"/>
  <c r="E2172" i="1"/>
  <c r="D2172" i="1"/>
  <c r="C2172" i="1"/>
  <c r="L2171" i="1"/>
  <c r="K2171" i="1"/>
  <c r="I2171" i="1"/>
  <c r="H2171" i="1"/>
  <c r="F2171" i="1"/>
  <c r="E2171" i="1"/>
  <c r="D2171" i="1"/>
  <c r="C2171" i="1"/>
  <c r="L2170" i="1"/>
  <c r="K2170" i="1"/>
  <c r="I2170" i="1"/>
  <c r="H2170" i="1"/>
  <c r="F2170" i="1"/>
  <c r="E2170" i="1"/>
  <c r="D2170" i="1"/>
  <c r="C2170" i="1"/>
  <c r="L2169" i="1"/>
  <c r="K2169" i="1"/>
  <c r="I2169" i="1"/>
  <c r="H2169" i="1"/>
  <c r="F2169" i="1"/>
  <c r="E2169" i="1"/>
  <c r="D2169" i="1"/>
  <c r="C2169" i="1"/>
  <c r="L2168" i="1"/>
  <c r="K2168" i="1"/>
  <c r="I2168" i="1"/>
  <c r="H2168" i="1"/>
  <c r="F2168" i="1"/>
  <c r="E2168" i="1"/>
  <c r="D2168" i="1"/>
  <c r="C2168" i="1"/>
  <c r="L2167" i="1"/>
  <c r="K2167" i="1"/>
  <c r="I2167" i="1"/>
  <c r="H2167" i="1"/>
  <c r="F2167" i="1"/>
  <c r="E2167" i="1"/>
  <c r="D2167" i="1"/>
  <c r="C2167" i="1"/>
  <c r="L2166" i="1"/>
  <c r="K2166" i="1"/>
  <c r="I2166" i="1"/>
  <c r="H2166" i="1"/>
  <c r="F2166" i="1"/>
  <c r="E2166" i="1"/>
  <c r="D2166" i="1"/>
  <c r="C2166" i="1"/>
  <c r="L2165" i="1"/>
  <c r="K2165" i="1"/>
  <c r="I2165" i="1"/>
  <c r="H2165" i="1"/>
  <c r="F2165" i="1"/>
  <c r="E2165" i="1"/>
  <c r="D2165" i="1"/>
  <c r="C2165" i="1"/>
  <c r="L2164" i="1"/>
  <c r="K2164" i="1"/>
  <c r="I2164" i="1"/>
  <c r="H2164" i="1"/>
  <c r="F2164" i="1"/>
  <c r="E2164" i="1"/>
  <c r="D2164" i="1"/>
  <c r="C2164" i="1"/>
  <c r="L2163" i="1"/>
  <c r="K2163" i="1"/>
  <c r="I2163" i="1"/>
  <c r="H2163" i="1"/>
  <c r="F2163" i="1"/>
  <c r="E2163" i="1"/>
  <c r="D2163" i="1"/>
  <c r="C2163" i="1"/>
  <c r="L2162" i="1"/>
  <c r="K2162" i="1"/>
  <c r="I2162" i="1"/>
  <c r="H2162" i="1"/>
  <c r="F2162" i="1"/>
  <c r="E2162" i="1"/>
  <c r="D2162" i="1"/>
  <c r="C2162" i="1"/>
  <c r="L2161" i="1"/>
  <c r="K2161" i="1"/>
  <c r="I2161" i="1"/>
  <c r="H2161" i="1"/>
  <c r="F2161" i="1"/>
  <c r="E2161" i="1"/>
  <c r="D2161" i="1"/>
  <c r="C2161" i="1"/>
  <c r="L2160" i="1"/>
  <c r="K2160" i="1"/>
  <c r="I2160" i="1"/>
  <c r="H2160" i="1"/>
  <c r="F2160" i="1"/>
  <c r="E2160" i="1"/>
  <c r="D2160" i="1"/>
  <c r="C2160" i="1"/>
  <c r="L2159" i="1"/>
  <c r="K2159" i="1"/>
  <c r="I2159" i="1"/>
  <c r="H2159" i="1"/>
  <c r="F2159" i="1"/>
  <c r="E2159" i="1"/>
  <c r="D2159" i="1"/>
  <c r="C2159" i="1"/>
  <c r="L2158" i="1"/>
  <c r="K2158" i="1"/>
  <c r="I2158" i="1"/>
  <c r="H2158" i="1"/>
  <c r="F2158" i="1"/>
  <c r="E2158" i="1"/>
  <c r="D2158" i="1"/>
  <c r="C2158" i="1"/>
  <c r="L2157" i="1"/>
  <c r="K2157" i="1"/>
  <c r="I2157" i="1"/>
  <c r="H2157" i="1"/>
  <c r="F2157" i="1"/>
  <c r="E2157" i="1"/>
  <c r="D2157" i="1"/>
  <c r="C2157" i="1"/>
  <c r="L2156" i="1"/>
  <c r="K2156" i="1"/>
  <c r="I2156" i="1"/>
  <c r="H2156" i="1"/>
  <c r="F2156" i="1"/>
  <c r="E2156" i="1"/>
  <c r="D2156" i="1"/>
  <c r="C2156" i="1"/>
  <c r="L2155" i="1"/>
  <c r="K2155" i="1"/>
  <c r="I2155" i="1"/>
  <c r="H2155" i="1"/>
  <c r="F2155" i="1"/>
  <c r="E2155" i="1"/>
  <c r="D2155" i="1"/>
  <c r="C2155" i="1"/>
  <c r="L2154" i="1"/>
  <c r="K2154" i="1"/>
  <c r="I2154" i="1"/>
  <c r="H2154" i="1"/>
  <c r="F2154" i="1"/>
  <c r="E2154" i="1"/>
  <c r="D2154" i="1"/>
  <c r="C2154" i="1"/>
  <c r="L2153" i="1"/>
  <c r="K2153" i="1"/>
  <c r="I2153" i="1"/>
  <c r="H2153" i="1"/>
  <c r="F2153" i="1"/>
  <c r="E2153" i="1"/>
  <c r="D2153" i="1"/>
  <c r="C2153" i="1"/>
  <c r="L2152" i="1"/>
  <c r="K2152" i="1"/>
  <c r="I2152" i="1"/>
  <c r="H2152" i="1"/>
  <c r="F2152" i="1"/>
  <c r="E2152" i="1"/>
  <c r="D2152" i="1"/>
  <c r="C2152" i="1"/>
  <c r="L2151" i="1"/>
  <c r="K2151" i="1"/>
  <c r="I2151" i="1"/>
  <c r="H2151" i="1"/>
  <c r="F2151" i="1"/>
  <c r="E2151" i="1"/>
  <c r="D2151" i="1"/>
  <c r="C2151" i="1"/>
  <c r="L2150" i="1"/>
  <c r="K2150" i="1"/>
  <c r="I2150" i="1"/>
  <c r="H2150" i="1"/>
  <c r="F2150" i="1"/>
  <c r="E2150" i="1"/>
  <c r="D2150" i="1"/>
  <c r="C2150" i="1"/>
  <c r="L2149" i="1"/>
  <c r="K2149" i="1"/>
  <c r="I2149" i="1"/>
  <c r="H2149" i="1"/>
  <c r="F2149" i="1"/>
  <c r="E2149" i="1"/>
  <c r="D2149" i="1"/>
  <c r="C2149" i="1"/>
  <c r="L2148" i="1"/>
  <c r="K2148" i="1"/>
  <c r="I2148" i="1"/>
  <c r="H2148" i="1"/>
  <c r="F2148" i="1"/>
  <c r="E2148" i="1"/>
  <c r="D2148" i="1"/>
  <c r="C2148" i="1"/>
  <c r="L2147" i="1"/>
  <c r="K2147" i="1"/>
  <c r="I2147" i="1"/>
  <c r="H2147" i="1"/>
  <c r="F2147" i="1"/>
  <c r="E2147" i="1"/>
  <c r="D2147" i="1"/>
  <c r="C2147" i="1"/>
  <c r="L2146" i="1"/>
  <c r="K2146" i="1"/>
  <c r="I2146" i="1"/>
  <c r="H2146" i="1"/>
  <c r="F2146" i="1"/>
  <c r="E2146" i="1"/>
  <c r="D2146" i="1"/>
  <c r="C2146" i="1"/>
  <c r="L2145" i="1"/>
  <c r="K2145" i="1"/>
  <c r="I2145" i="1"/>
  <c r="H2145" i="1"/>
  <c r="F2145" i="1"/>
  <c r="E2145" i="1"/>
  <c r="D2145" i="1"/>
  <c r="C2145" i="1"/>
  <c r="L2144" i="1"/>
  <c r="K2144" i="1"/>
  <c r="I2144" i="1"/>
  <c r="H2144" i="1"/>
  <c r="F2144" i="1"/>
  <c r="E2144" i="1"/>
  <c r="D2144" i="1"/>
  <c r="C2144" i="1"/>
  <c r="L2143" i="1"/>
  <c r="K2143" i="1"/>
  <c r="I2143" i="1"/>
  <c r="H2143" i="1"/>
  <c r="F2143" i="1"/>
  <c r="E2143" i="1"/>
  <c r="D2143" i="1"/>
  <c r="C2143" i="1"/>
  <c r="L2142" i="1"/>
  <c r="K2142" i="1"/>
  <c r="I2142" i="1"/>
  <c r="H2142" i="1"/>
  <c r="F2142" i="1"/>
  <c r="E2142" i="1"/>
  <c r="D2142" i="1"/>
  <c r="C2142" i="1"/>
  <c r="L2141" i="1"/>
  <c r="K2141" i="1"/>
  <c r="I2141" i="1"/>
  <c r="H2141" i="1"/>
  <c r="F2141" i="1"/>
  <c r="E2141" i="1"/>
  <c r="D2141" i="1"/>
  <c r="C2141" i="1"/>
  <c r="L2140" i="1"/>
  <c r="K2140" i="1"/>
  <c r="I2140" i="1"/>
  <c r="H2140" i="1"/>
  <c r="F2140" i="1"/>
  <c r="E2140" i="1"/>
  <c r="D2140" i="1"/>
  <c r="C2140" i="1"/>
  <c r="L2139" i="1"/>
  <c r="K2139" i="1"/>
  <c r="I2139" i="1"/>
  <c r="H2139" i="1"/>
  <c r="F2139" i="1"/>
  <c r="E2139" i="1"/>
  <c r="D2139" i="1"/>
  <c r="C2139" i="1"/>
  <c r="L2138" i="1"/>
  <c r="K2138" i="1"/>
  <c r="I2138" i="1"/>
  <c r="H2138" i="1"/>
  <c r="F2138" i="1"/>
  <c r="E2138" i="1"/>
  <c r="D2138" i="1"/>
  <c r="C2138" i="1"/>
  <c r="L2137" i="1"/>
  <c r="K2137" i="1"/>
  <c r="I2137" i="1"/>
  <c r="H2137" i="1"/>
  <c r="F2137" i="1"/>
  <c r="E2137" i="1"/>
  <c r="D2137" i="1"/>
  <c r="C2137" i="1"/>
  <c r="L2136" i="1"/>
  <c r="K2136" i="1"/>
  <c r="I2136" i="1"/>
  <c r="H2136" i="1"/>
  <c r="F2136" i="1"/>
  <c r="E2136" i="1"/>
  <c r="D2136" i="1"/>
  <c r="C2136" i="1"/>
  <c r="L2135" i="1"/>
  <c r="K2135" i="1"/>
  <c r="I2135" i="1"/>
  <c r="H2135" i="1"/>
  <c r="F2135" i="1"/>
  <c r="E2135" i="1"/>
  <c r="D2135" i="1"/>
  <c r="C2135" i="1"/>
  <c r="L2134" i="1"/>
  <c r="K2134" i="1"/>
  <c r="I2134" i="1"/>
  <c r="H2134" i="1"/>
  <c r="F2134" i="1"/>
  <c r="E2134" i="1"/>
  <c r="D2134" i="1"/>
  <c r="C2134" i="1"/>
  <c r="L2133" i="1"/>
  <c r="K2133" i="1"/>
  <c r="I2133" i="1"/>
  <c r="H2133" i="1"/>
  <c r="F2133" i="1"/>
  <c r="E2133" i="1"/>
  <c r="D2133" i="1"/>
  <c r="C2133" i="1"/>
  <c r="L2132" i="1"/>
  <c r="K2132" i="1"/>
  <c r="I2132" i="1"/>
  <c r="H2132" i="1"/>
  <c r="F2132" i="1"/>
  <c r="E2132" i="1"/>
  <c r="D2132" i="1"/>
  <c r="C2132" i="1"/>
  <c r="L2131" i="1"/>
  <c r="K2131" i="1"/>
  <c r="I2131" i="1"/>
  <c r="H2131" i="1"/>
  <c r="F2131" i="1"/>
  <c r="E2131" i="1"/>
  <c r="D2131" i="1"/>
  <c r="C2131" i="1"/>
  <c r="L2130" i="1"/>
  <c r="K2130" i="1"/>
  <c r="I2130" i="1"/>
  <c r="H2130" i="1"/>
  <c r="F2130" i="1"/>
  <c r="E2130" i="1"/>
  <c r="D2130" i="1"/>
  <c r="C2130" i="1"/>
  <c r="L2129" i="1"/>
  <c r="K2129" i="1"/>
  <c r="I2129" i="1"/>
  <c r="H2129" i="1"/>
  <c r="F2129" i="1"/>
  <c r="E2129" i="1"/>
  <c r="D2129" i="1"/>
  <c r="C2129" i="1"/>
  <c r="L2128" i="1"/>
  <c r="K2128" i="1"/>
  <c r="I2128" i="1"/>
  <c r="H2128" i="1"/>
  <c r="F2128" i="1"/>
  <c r="E2128" i="1"/>
  <c r="D2128" i="1"/>
  <c r="C2128" i="1"/>
  <c r="L2127" i="1"/>
  <c r="K2127" i="1"/>
  <c r="I2127" i="1"/>
  <c r="H2127" i="1"/>
  <c r="F2127" i="1"/>
  <c r="E2127" i="1"/>
  <c r="D2127" i="1"/>
  <c r="C2127" i="1"/>
  <c r="L2126" i="1"/>
  <c r="K2126" i="1"/>
  <c r="I2126" i="1"/>
  <c r="H2126" i="1"/>
  <c r="F2126" i="1"/>
  <c r="E2126" i="1"/>
  <c r="D2126" i="1"/>
  <c r="C2126" i="1"/>
  <c r="L2125" i="1"/>
  <c r="K2125" i="1"/>
  <c r="I2125" i="1"/>
  <c r="H2125" i="1"/>
  <c r="F2125" i="1"/>
  <c r="E2125" i="1"/>
  <c r="D2125" i="1"/>
  <c r="C2125" i="1"/>
  <c r="L2124" i="1"/>
  <c r="K2124" i="1"/>
  <c r="I2124" i="1"/>
  <c r="H2124" i="1"/>
  <c r="F2124" i="1"/>
  <c r="E2124" i="1"/>
  <c r="D2124" i="1"/>
  <c r="C2124" i="1"/>
  <c r="L2123" i="1"/>
  <c r="K2123" i="1"/>
  <c r="I2123" i="1"/>
  <c r="H2123" i="1"/>
  <c r="F2123" i="1"/>
  <c r="E2123" i="1"/>
  <c r="D2123" i="1"/>
  <c r="C2123" i="1"/>
  <c r="L2122" i="1"/>
  <c r="K2122" i="1"/>
  <c r="I2122" i="1"/>
  <c r="H2122" i="1"/>
  <c r="F2122" i="1"/>
  <c r="E2122" i="1"/>
  <c r="D2122" i="1"/>
  <c r="C2122" i="1"/>
  <c r="L2121" i="1"/>
  <c r="K2121" i="1"/>
  <c r="I2121" i="1"/>
  <c r="H2121" i="1"/>
  <c r="F2121" i="1"/>
  <c r="E2121" i="1"/>
  <c r="D2121" i="1"/>
  <c r="C2121" i="1"/>
  <c r="L2120" i="1"/>
  <c r="K2120" i="1"/>
  <c r="I2120" i="1"/>
  <c r="H2120" i="1"/>
  <c r="F2120" i="1"/>
  <c r="E2120" i="1"/>
  <c r="D2120" i="1"/>
  <c r="C2120" i="1"/>
  <c r="L2119" i="1"/>
  <c r="K2119" i="1"/>
  <c r="I2119" i="1"/>
  <c r="H2119" i="1"/>
  <c r="F2119" i="1"/>
  <c r="E2119" i="1"/>
  <c r="D2119" i="1"/>
  <c r="C2119" i="1"/>
  <c r="L2118" i="1"/>
  <c r="K2118" i="1"/>
  <c r="I2118" i="1"/>
  <c r="H2118" i="1"/>
  <c r="F2118" i="1"/>
  <c r="E2118" i="1"/>
  <c r="D2118" i="1"/>
  <c r="C2118" i="1"/>
  <c r="L2117" i="1"/>
  <c r="K2117" i="1"/>
  <c r="I2117" i="1"/>
  <c r="H2117" i="1"/>
  <c r="F2117" i="1"/>
  <c r="E2117" i="1"/>
  <c r="D2117" i="1"/>
  <c r="C2117" i="1"/>
  <c r="L2116" i="1"/>
  <c r="K2116" i="1"/>
  <c r="I2116" i="1"/>
  <c r="H2116" i="1"/>
  <c r="F2116" i="1"/>
  <c r="E2116" i="1"/>
  <c r="D2116" i="1"/>
  <c r="C2116" i="1"/>
  <c r="L2115" i="1"/>
  <c r="K2115" i="1"/>
  <c r="I2115" i="1"/>
  <c r="H2115" i="1"/>
  <c r="F2115" i="1"/>
  <c r="E2115" i="1"/>
  <c r="D2115" i="1"/>
  <c r="C2115" i="1"/>
  <c r="L2114" i="1"/>
  <c r="K2114" i="1"/>
  <c r="I2114" i="1"/>
  <c r="H2114" i="1"/>
  <c r="F2114" i="1"/>
  <c r="E2114" i="1"/>
  <c r="D2114" i="1"/>
  <c r="C2114" i="1"/>
  <c r="L2113" i="1"/>
  <c r="K2113" i="1"/>
  <c r="I2113" i="1"/>
  <c r="H2113" i="1"/>
  <c r="F2113" i="1"/>
  <c r="E2113" i="1"/>
  <c r="D2113" i="1"/>
  <c r="C2113" i="1"/>
  <c r="L2112" i="1"/>
  <c r="K2112" i="1"/>
  <c r="I2112" i="1"/>
  <c r="H2112" i="1"/>
  <c r="F2112" i="1"/>
  <c r="E2112" i="1"/>
  <c r="D2112" i="1"/>
  <c r="C2112" i="1"/>
  <c r="L2111" i="1"/>
  <c r="K2111" i="1"/>
  <c r="I2111" i="1"/>
  <c r="H2111" i="1"/>
  <c r="F2111" i="1"/>
  <c r="E2111" i="1"/>
  <c r="D2111" i="1"/>
  <c r="C2111" i="1"/>
  <c r="L2110" i="1"/>
  <c r="K2110" i="1"/>
  <c r="I2110" i="1"/>
  <c r="H2110" i="1"/>
  <c r="F2110" i="1"/>
  <c r="E2110" i="1"/>
  <c r="D2110" i="1"/>
  <c r="C2110" i="1"/>
  <c r="L2109" i="1"/>
  <c r="K2109" i="1"/>
  <c r="I2109" i="1"/>
  <c r="H2109" i="1"/>
  <c r="F2109" i="1"/>
  <c r="E2109" i="1"/>
  <c r="D2109" i="1"/>
  <c r="C2109" i="1"/>
  <c r="L2108" i="1"/>
  <c r="K2108" i="1"/>
  <c r="I2108" i="1"/>
  <c r="H2108" i="1"/>
  <c r="F2108" i="1"/>
  <c r="E2108" i="1"/>
  <c r="D2108" i="1"/>
  <c r="C2108" i="1"/>
  <c r="L2107" i="1"/>
  <c r="K2107" i="1"/>
  <c r="I2107" i="1"/>
  <c r="H2107" i="1"/>
  <c r="F2107" i="1"/>
  <c r="E2107" i="1"/>
  <c r="D2107" i="1"/>
  <c r="C2107" i="1"/>
  <c r="L2106" i="1"/>
  <c r="K2106" i="1"/>
  <c r="I2106" i="1"/>
  <c r="H2106" i="1"/>
  <c r="F2106" i="1"/>
  <c r="E2106" i="1"/>
  <c r="D2106" i="1"/>
  <c r="C2106" i="1"/>
  <c r="L2105" i="1"/>
  <c r="K2105" i="1"/>
  <c r="I2105" i="1"/>
  <c r="H2105" i="1"/>
  <c r="F2105" i="1"/>
  <c r="E2105" i="1"/>
  <c r="D2105" i="1"/>
  <c r="C2105" i="1"/>
  <c r="L2104" i="1"/>
  <c r="K2104" i="1"/>
  <c r="I2104" i="1"/>
  <c r="H2104" i="1"/>
  <c r="F2104" i="1"/>
  <c r="E2104" i="1"/>
  <c r="D2104" i="1"/>
  <c r="C2104" i="1"/>
  <c r="L2103" i="1"/>
  <c r="K2103" i="1"/>
  <c r="I2103" i="1"/>
  <c r="H2103" i="1"/>
  <c r="F2103" i="1"/>
  <c r="E2103" i="1"/>
  <c r="D2103" i="1"/>
  <c r="C2103" i="1"/>
  <c r="L2102" i="1"/>
  <c r="K2102" i="1"/>
  <c r="I2102" i="1"/>
  <c r="H2102" i="1"/>
  <c r="F2102" i="1"/>
  <c r="E2102" i="1"/>
  <c r="D2102" i="1"/>
  <c r="C2102" i="1"/>
  <c r="L2101" i="1"/>
  <c r="K2101" i="1"/>
  <c r="I2101" i="1"/>
  <c r="H2101" i="1"/>
  <c r="F2101" i="1"/>
  <c r="E2101" i="1"/>
  <c r="D2101" i="1"/>
  <c r="C2101" i="1"/>
  <c r="L2100" i="1"/>
  <c r="K2100" i="1"/>
  <c r="I2100" i="1"/>
  <c r="H2100" i="1"/>
  <c r="F2100" i="1"/>
  <c r="E2100" i="1"/>
  <c r="D2100" i="1"/>
  <c r="C2100" i="1"/>
  <c r="L2099" i="1"/>
  <c r="K2099" i="1"/>
  <c r="I2099" i="1"/>
  <c r="H2099" i="1"/>
  <c r="F2099" i="1"/>
  <c r="E2099" i="1"/>
  <c r="D2099" i="1"/>
  <c r="C2099" i="1"/>
  <c r="L2098" i="1"/>
  <c r="K2098" i="1"/>
  <c r="I2098" i="1"/>
  <c r="H2098" i="1"/>
  <c r="F2098" i="1"/>
  <c r="E2098" i="1"/>
  <c r="D2098" i="1"/>
  <c r="C2098" i="1"/>
  <c r="L2097" i="1"/>
  <c r="K2097" i="1"/>
  <c r="I2097" i="1"/>
  <c r="H2097" i="1"/>
  <c r="F2097" i="1"/>
  <c r="E2097" i="1"/>
  <c r="D2097" i="1"/>
  <c r="C2097" i="1"/>
  <c r="L2096" i="1"/>
  <c r="K2096" i="1"/>
  <c r="I2096" i="1"/>
  <c r="H2096" i="1"/>
  <c r="F2096" i="1"/>
  <c r="E2096" i="1"/>
  <c r="D2096" i="1"/>
  <c r="C2096" i="1"/>
  <c r="L2095" i="1"/>
  <c r="K2095" i="1"/>
  <c r="I2095" i="1"/>
  <c r="H2095" i="1"/>
  <c r="F2095" i="1"/>
  <c r="E2095" i="1"/>
  <c r="D2095" i="1"/>
  <c r="C2095" i="1"/>
  <c r="L2094" i="1"/>
  <c r="K2094" i="1"/>
  <c r="I2094" i="1"/>
  <c r="H2094" i="1"/>
  <c r="F2094" i="1"/>
  <c r="E2094" i="1"/>
  <c r="D2094" i="1"/>
  <c r="C2094" i="1"/>
  <c r="L2093" i="1"/>
  <c r="K2093" i="1"/>
  <c r="I2093" i="1"/>
  <c r="H2093" i="1"/>
  <c r="F2093" i="1"/>
  <c r="E2093" i="1"/>
  <c r="D2093" i="1"/>
  <c r="C2093" i="1"/>
  <c r="L2092" i="1"/>
  <c r="K2092" i="1"/>
  <c r="I2092" i="1"/>
  <c r="H2092" i="1"/>
  <c r="F2092" i="1"/>
  <c r="E2092" i="1"/>
  <c r="D2092" i="1"/>
  <c r="C2092" i="1"/>
  <c r="L2091" i="1"/>
  <c r="K2091" i="1"/>
  <c r="I2091" i="1"/>
  <c r="H2091" i="1"/>
  <c r="F2091" i="1"/>
  <c r="E2091" i="1"/>
  <c r="D2091" i="1"/>
  <c r="C2091" i="1"/>
  <c r="L2090" i="1"/>
  <c r="K2090" i="1"/>
  <c r="I2090" i="1"/>
  <c r="H2090" i="1"/>
  <c r="F2090" i="1"/>
  <c r="E2090" i="1"/>
  <c r="D2090" i="1"/>
  <c r="C2090" i="1"/>
  <c r="L2089" i="1"/>
  <c r="K2089" i="1"/>
  <c r="I2089" i="1"/>
  <c r="H2089" i="1"/>
  <c r="F2089" i="1"/>
  <c r="E2089" i="1"/>
  <c r="D2089" i="1"/>
  <c r="C2089" i="1"/>
  <c r="L2088" i="1"/>
  <c r="K2088" i="1"/>
  <c r="I2088" i="1"/>
  <c r="H2088" i="1"/>
  <c r="F2088" i="1"/>
  <c r="E2088" i="1"/>
  <c r="D2088" i="1"/>
  <c r="C2088" i="1"/>
  <c r="L2087" i="1"/>
  <c r="K2087" i="1"/>
  <c r="I2087" i="1"/>
  <c r="H2087" i="1"/>
  <c r="F2087" i="1"/>
  <c r="E2087" i="1"/>
  <c r="D2087" i="1"/>
  <c r="C2087" i="1"/>
  <c r="L2086" i="1"/>
  <c r="K2086" i="1"/>
  <c r="I2086" i="1"/>
  <c r="H2086" i="1"/>
  <c r="F2086" i="1"/>
  <c r="E2086" i="1"/>
  <c r="D2086" i="1"/>
  <c r="C2086" i="1"/>
  <c r="L2085" i="1"/>
  <c r="K2085" i="1"/>
  <c r="I2085" i="1"/>
  <c r="H2085" i="1"/>
  <c r="F2085" i="1"/>
  <c r="E2085" i="1"/>
  <c r="D2085" i="1"/>
  <c r="C2085" i="1"/>
  <c r="L2084" i="1"/>
  <c r="K2084" i="1"/>
  <c r="I2084" i="1"/>
  <c r="H2084" i="1"/>
  <c r="F2084" i="1"/>
  <c r="E2084" i="1"/>
  <c r="D2084" i="1"/>
  <c r="C2084" i="1"/>
  <c r="L2083" i="1"/>
  <c r="K2083" i="1"/>
  <c r="I2083" i="1"/>
  <c r="H2083" i="1"/>
  <c r="F2083" i="1"/>
  <c r="E2083" i="1"/>
  <c r="D2083" i="1"/>
  <c r="C2083" i="1"/>
  <c r="L2082" i="1"/>
  <c r="K2082" i="1"/>
  <c r="I2082" i="1"/>
  <c r="H2082" i="1"/>
  <c r="F2082" i="1"/>
  <c r="E2082" i="1"/>
  <c r="D2082" i="1"/>
  <c r="C2082" i="1"/>
  <c r="L2081" i="1"/>
  <c r="K2081" i="1"/>
  <c r="I2081" i="1"/>
  <c r="H2081" i="1"/>
  <c r="F2081" i="1"/>
  <c r="E2081" i="1"/>
  <c r="D2081" i="1"/>
  <c r="C2081" i="1"/>
  <c r="L2080" i="1"/>
  <c r="K2080" i="1"/>
  <c r="I2080" i="1"/>
  <c r="H2080" i="1"/>
  <c r="F2080" i="1"/>
  <c r="E2080" i="1"/>
  <c r="D2080" i="1"/>
  <c r="C2080" i="1"/>
  <c r="L2079" i="1"/>
  <c r="K2079" i="1"/>
  <c r="I2079" i="1"/>
  <c r="H2079" i="1"/>
  <c r="F2079" i="1"/>
  <c r="E2079" i="1"/>
  <c r="D2079" i="1"/>
  <c r="C2079" i="1"/>
  <c r="L2078" i="1"/>
  <c r="K2078" i="1"/>
  <c r="I2078" i="1"/>
  <c r="H2078" i="1"/>
  <c r="F2078" i="1"/>
  <c r="E2078" i="1"/>
  <c r="D2078" i="1"/>
  <c r="C2078" i="1"/>
  <c r="L2077" i="1"/>
  <c r="K2077" i="1"/>
  <c r="I2077" i="1"/>
  <c r="H2077" i="1"/>
  <c r="F2077" i="1"/>
  <c r="E2077" i="1"/>
  <c r="D2077" i="1"/>
  <c r="C2077" i="1"/>
  <c r="L2076" i="1"/>
  <c r="K2076" i="1"/>
  <c r="I2076" i="1"/>
  <c r="H2076" i="1"/>
  <c r="F2076" i="1"/>
  <c r="E2076" i="1"/>
  <c r="D2076" i="1"/>
  <c r="C2076" i="1"/>
  <c r="L2075" i="1"/>
  <c r="K2075" i="1"/>
  <c r="I2075" i="1"/>
  <c r="H2075" i="1"/>
  <c r="F2075" i="1"/>
  <c r="E2075" i="1"/>
  <c r="D2075" i="1"/>
  <c r="C2075" i="1"/>
  <c r="L2074" i="1"/>
  <c r="K2074" i="1"/>
  <c r="I2074" i="1"/>
  <c r="H2074" i="1"/>
  <c r="F2074" i="1"/>
  <c r="E2074" i="1"/>
  <c r="D2074" i="1"/>
  <c r="C2074" i="1"/>
  <c r="L2073" i="1"/>
  <c r="K2073" i="1"/>
  <c r="I2073" i="1"/>
  <c r="H2073" i="1"/>
  <c r="F2073" i="1"/>
  <c r="E2073" i="1"/>
  <c r="D2073" i="1"/>
  <c r="C2073" i="1"/>
  <c r="L2072" i="1"/>
  <c r="K2072" i="1"/>
  <c r="I2072" i="1"/>
  <c r="H2072" i="1"/>
  <c r="F2072" i="1"/>
  <c r="E2072" i="1"/>
  <c r="D2072" i="1"/>
  <c r="C2072" i="1"/>
  <c r="L2071" i="1"/>
  <c r="K2071" i="1"/>
  <c r="I2071" i="1"/>
  <c r="H2071" i="1"/>
  <c r="F2071" i="1"/>
  <c r="E2071" i="1"/>
  <c r="D2071" i="1"/>
  <c r="C2071" i="1"/>
  <c r="L2070" i="1"/>
  <c r="K2070" i="1"/>
  <c r="I2070" i="1"/>
  <c r="H2070" i="1"/>
  <c r="F2070" i="1"/>
  <c r="E2070" i="1"/>
  <c r="D2070" i="1"/>
  <c r="C2070" i="1"/>
  <c r="L2069" i="1"/>
  <c r="K2069" i="1"/>
  <c r="I2069" i="1"/>
  <c r="H2069" i="1"/>
  <c r="F2069" i="1"/>
  <c r="E2069" i="1"/>
  <c r="D2069" i="1"/>
  <c r="C2069" i="1"/>
  <c r="L2068" i="1"/>
  <c r="K2068" i="1"/>
  <c r="I2068" i="1"/>
  <c r="H2068" i="1"/>
  <c r="F2068" i="1"/>
  <c r="E2068" i="1"/>
  <c r="D2068" i="1"/>
  <c r="C2068" i="1"/>
  <c r="L2067" i="1"/>
  <c r="K2067" i="1"/>
  <c r="I2067" i="1"/>
  <c r="H2067" i="1"/>
  <c r="F2067" i="1"/>
  <c r="E2067" i="1"/>
  <c r="D2067" i="1"/>
  <c r="C2067" i="1"/>
  <c r="L2066" i="1"/>
  <c r="K2066" i="1"/>
  <c r="I2066" i="1"/>
  <c r="H2066" i="1"/>
  <c r="F2066" i="1"/>
  <c r="E2066" i="1"/>
  <c r="D2066" i="1"/>
  <c r="C2066" i="1"/>
  <c r="L2065" i="1"/>
  <c r="K2065" i="1"/>
  <c r="I2065" i="1"/>
  <c r="H2065" i="1"/>
  <c r="F2065" i="1"/>
  <c r="E2065" i="1"/>
  <c r="D2065" i="1"/>
  <c r="C2065" i="1"/>
  <c r="L2064" i="1"/>
  <c r="K2064" i="1"/>
  <c r="I2064" i="1"/>
  <c r="H2064" i="1"/>
  <c r="F2064" i="1"/>
  <c r="E2064" i="1"/>
  <c r="D2064" i="1"/>
  <c r="C2064" i="1"/>
  <c r="L2063" i="1"/>
  <c r="K2063" i="1"/>
  <c r="I2063" i="1"/>
  <c r="H2063" i="1"/>
  <c r="F2063" i="1"/>
  <c r="E2063" i="1"/>
  <c r="D2063" i="1"/>
  <c r="C2063" i="1"/>
  <c r="L2062" i="1"/>
  <c r="K2062" i="1"/>
  <c r="I2062" i="1"/>
  <c r="H2062" i="1"/>
  <c r="F2062" i="1"/>
  <c r="E2062" i="1"/>
  <c r="D2062" i="1"/>
  <c r="C2062" i="1"/>
  <c r="L2061" i="1"/>
  <c r="K2061" i="1"/>
  <c r="I2061" i="1"/>
  <c r="H2061" i="1"/>
  <c r="F2061" i="1"/>
  <c r="E2061" i="1"/>
  <c r="D2061" i="1"/>
  <c r="C2061" i="1"/>
  <c r="L2060" i="1"/>
  <c r="K2060" i="1"/>
  <c r="I2060" i="1"/>
  <c r="H2060" i="1"/>
  <c r="F2060" i="1"/>
  <c r="E2060" i="1"/>
  <c r="D2060" i="1"/>
  <c r="C2060" i="1"/>
  <c r="L2059" i="1"/>
  <c r="K2059" i="1"/>
  <c r="I2059" i="1"/>
  <c r="H2059" i="1"/>
  <c r="F2059" i="1"/>
  <c r="E2059" i="1"/>
  <c r="D2059" i="1"/>
  <c r="C2059" i="1"/>
  <c r="L2058" i="1"/>
  <c r="K2058" i="1"/>
  <c r="I2058" i="1"/>
  <c r="H2058" i="1"/>
  <c r="F2058" i="1"/>
  <c r="E2058" i="1"/>
  <c r="D2058" i="1"/>
  <c r="C2058" i="1"/>
  <c r="L2057" i="1"/>
  <c r="K2057" i="1"/>
  <c r="I2057" i="1"/>
  <c r="H2057" i="1"/>
  <c r="F2057" i="1"/>
  <c r="E2057" i="1"/>
  <c r="D2057" i="1"/>
  <c r="C2057" i="1"/>
  <c r="L2056" i="1"/>
  <c r="K2056" i="1"/>
  <c r="I2056" i="1"/>
  <c r="H2056" i="1"/>
  <c r="F2056" i="1"/>
  <c r="E2056" i="1"/>
  <c r="D2056" i="1"/>
  <c r="C2056" i="1"/>
  <c r="L2055" i="1"/>
  <c r="K2055" i="1"/>
  <c r="I2055" i="1"/>
  <c r="H2055" i="1"/>
  <c r="F2055" i="1"/>
  <c r="E2055" i="1"/>
  <c r="D2055" i="1"/>
  <c r="C2055" i="1"/>
  <c r="L2054" i="1"/>
  <c r="K2054" i="1"/>
  <c r="I2054" i="1"/>
  <c r="H2054" i="1"/>
  <c r="F2054" i="1"/>
  <c r="E2054" i="1"/>
  <c r="D2054" i="1"/>
  <c r="C2054" i="1"/>
  <c r="L2053" i="1"/>
  <c r="K2053" i="1"/>
  <c r="I2053" i="1"/>
  <c r="H2053" i="1"/>
  <c r="F2053" i="1"/>
  <c r="E2053" i="1"/>
  <c r="D2053" i="1"/>
  <c r="C2053" i="1"/>
  <c r="L2052" i="1"/>
  <c r="K2052" i="1"/>
  <c r="I2052" i="1"/>
  <c r="H2052" i="1"/>
  <c r="F2052" i="1"/>
  <c r="E2052" i="1"/>
  <c r="D2052" i="1"/>
  <c r="C2052" i="1"/>
  <c r="L2051" i="1"/>
  <c r="K2051" i="1"/>
  <c r="I2051" i="1"/>
  <c r="H2051" i="1"/>
  <c r="F2051" i="1"/>
  <c r="E2051" i="1"/>
  <c r="D2051" i="1"/>
  <c r="C2051" i="1"/>
  <c r="L2050" i="1"/>
  <c r="K2050" i="1"/>
  <c r="I2050" i="1"/>
  <c r="H2050" i="1"/>
  <c r="F2050" i="1"/>
  <c r="E2050" i="1"/>
  <c r="D2050" i="1"/>
  <c r="C2050" i="1"/>
  <c r="L2049" i="1"/>
  <c r="K2049" i="1"/>
  <c r="I2049" i="1"/>
  <c r="H2049" i="1"/>
  <c r="F2049" i="1"/>
  <c r="E2049" i="1"/>
  <c r="D2049" i="1"/>
  <c r="C2049" i="1"/>
  <c r="L2048" i="1"/>
  <c r="K2048" i="1"/>
  <c r="I2048" i="1"/>
  <c r="H2048" i="1"/>
  <c r="F2048" i="1"/>
  <c r="E2048" i="1"/>
  <c r="D2048" i="1"/>
  <c r="C2048" i="1"/>
  <c r="L2047" i="1"/>
  <c r="K2047" i="1"/>
  <c r="I2047" i="1"/>
  <c r="H2047" i="1"/>
  <c r="F2047" i="1"/>
  <c r="E2047" i="1"/>
  <c r="D2047" i="1"/>
  <c r="C2047" i="1"/>
  <c r="L2046" i="1"/>
  <c r="K2046" i="1"/>
  <c r="I2046" i="1"/>
  <c r="H2046" i="1"/>
  <c r="F2046" i="1"/>
  <c r="E2046" i="1"/>
  <c r="D2046" i="1"/>
  <c r="C2046" i="1"/>
  <c r="L2045" i="1"/>
  <c r="K2045" i="1"/>
  <c r="I2045" i="1"/>
  <c r="H2045" i="1"/>
  <c r="F2045" i="1"/>
  <c r="E2045" i="1"/>
  <c r="D2045" i="1"/>
  <c r="C2045" i="1"/>
  <c r="L2044" i="1"/>
  <c r="K2044" i="1"/>
  <c r="I2044" i="1"/>
  <c r="H2044" i="1"/>
  <c r="F2044" i="1"/>
  <c r="E2044" i="1"/>
  <c r="D2044" i="1"/>
  <c r="C2044" i="1"/>
  <c r="L2043" i="1"/>
  <c r="K2043" i="1"/>
  <c r="I2043" i="1"/>
  <c r="H2043" i="1"/>
  <c r="F2043" i="1"/>
  <c r="E2043" i="1"/>
  <c r="D2043" i="1"/>
  <c r="C2043" i="1"/>
  <c r="L2042" i="1"/>
  <c r="K2042" i="1"/>
  <c r="I2042" i="1"/>
  <c r="H2042" i="1"/>
  <c r="F2042" i="1"/>
  <c r="E2042" i="1"/>
  <c r="D2042" i="1"/>
  <c r="C2042" i="1"/>
  <c r="L2041" i="1"/>
  <c r="K2041" i="1"/>
  <c r="I2041" i="1"/>
  <c r="H2041" i="1"/>
  <c r="F2041" i="1"/>
  <c r="E2041" i="1"/>
  <c r="D2041" i="1"/>
  <c r="C2041" i="1"/>
  <c r="L2040" i="1"/>
  <c r="K2040" i="1"/>
  <c r="I2040" i="1"/>
  <c r="H2040" i="1"/>
  <c r="F2040" i="1"/>
  <c r="E2040" i="1"/>
  <c r="D2040" i="1"/>
  <c r="C2040" i="1"/>
  <c r="L2039" i="1"/>
  <c r="K2039" i="1"/>
  <c r="I2039" i="1"/>
  <c r="H2039" i="1"/>
  <c r="F2039" i="1"/>
  <c r="E2039" i="1"/>
  <c r="D2039" i="1"/>
  <c r="C2039" i="1"/>
  <c r="L2038" i="1"/>
  <c r="K2038" i="1"/>
  <c r="I2038" i="1"/>
  <c r="H2038" i="1"/>
  <c r="F2038" i="1"/>
  <c r="E2038" i="1"/>
  <c r="D2038" i="1"/>
  <c r="C2038" i="1"/>
  <c r="L2037" i="1"/>
  <c r="K2037" i="1"/>
  <c r="I2037" i="1"/>
  <c r="H2037" i="1"/>
  <c r="F2037" i="1"/>
  <c r="E2037" i="1"/>
  <c r="D2037" i="1"/>
  <c r="C2037" i="1"/>
  <c r="L2036" i="1"/>
  <c r="K2036" i="1"/>
  <c r="I2036" i="1"/>
  <c r="H2036" i="1"/>
  <c r="F2036" i="1"/>
  <c r="E2036" i="1"/>
  <c r="D2036" i="1"/>
  <c r="C2036" i="1"/>
  <c r="L2035" i="1"/>
  <c r="K2035" i="1"/>
  <c r="I2035" i="1"/>
  <c r="H2035" i="1"/>
  <c r="F2035" i="1"/>
  <c r="E2035" i="1"/>
  <c r="D2035" i="1"/>
  <c r="C2035" i="1"/>
  <c r="L2034" i="1"/>
  <c r="K2034" i="1"/>
  <c r="I2034" i="1"/>
  <c r="H2034" i="1"/>
  <c r="F2034" i="1"/>
  <c r="E2034" i="1"/>
  <c r="D2034" i="1"/>
  <c r="C2034" i="1"/>
  <c r="L2033" i="1"/>
  <c r="K2033" i="1"/>
  <c r="I2033" i="1"/>
  <c r="H2033" i="1"/>
  <c r="F2033" i="1"/>
  <c r="E2033" i="1"/>
  <c r="D2033" i="1"/>
  <c r="C2033" i="1"/>
  <c r="L2032" i="1"/>
  <c r="K2032" i="1"/>
  <c r="I2032" i="1"/>
  <c r="H2032" i="1"/>
  <c r="F2032" i="1"/>
  <c r="E2032" i="1"/>
  <c r="D2032" i="1"/>
  <c r="C2032" i="1"/>
  <c r="L2031" i="1"/>
  <c r="K2031" i="1"/>
  <c r="I2031" i="1"/>
  <c r="H2031" i="1"/>
  <c r="F2031" i="1"/>
  <c r="E2031" i="1"/>
  <c r="D2031" i="1"/>
  <c r="C2031" i="1"/>
  <c r="L2030" i="1"/>
  <c r="K2030" i="1"/>
  <c r="I2030" i="1"/>
  <c r="H2030" i="1"/>
  <c r="F2030" i="1"/>
  <c r="E2030" i="1"/>
  <c r="D2030" i="1"/>
  <c r="C2030" i="1"/>
  <c r="L2029" i="1"/>
  <c r="K2029" i="1"/>
  <c r="I2029" i="1"/>
  <c r="H2029" i="1"/>
  <c r="F2029" i="1"/>
  <c r="E2029" i="1"/>
  <c r="D2029" i="1"/>
  <c r="C2029" i="1"/>
  <c r="L2028" i="1"/>
  <c r="K2028" i="1"/>
  <c r="I2028" i="1"/>
  <c r="H2028" i="1"/>
  <c r="F2028" i="1"/>
  <c r="E2028" i="1"/>
  <c r="D2028" i="1"/>
  <c r="C2028" i="1"/>
  <c r="L2027" i="1"/>
  <c r="K2027" i="1"/>
  <c r="I2027" i="1"/>
  <c r="H2027" i="1"/>
  <c r="F2027" i="1"/>
  <c r="E2027" i="1"/>
  <c r="D2027" i="1"/>
  <c r="C2027" i="1"/>
  <c r="L2026" i="1"/>
  <c r="K2026" i="1"/>
  <c r="I2026" i="1"/>
  <c r="H2026" i="1"/>
  <c r="F2026" i="1"/>
  <c r="E2026" i="1"/>
  <c r="D2026" i="1"/>
  <c r="C2026" i="1"/>
  <c r="L2025" i="1"/>
  <c r="K2025" i="1"/>
  <c r="I2025" i="1"/>
  <c r="H2025" i="1"/>
  <c r="F2025" i="1"/>
  <c r="E2025" i="1"/>
  <c r="D2025" i="1"/>
  <c r="C2025" i="1"/>
  <c r="L2024" i="1"/>
  <c r="K2024" i="1"/>
  <c r="I2024" i="1"/>
  <c r="H2024" i="1"/>
  <c r="F2024" i="1"/>
  <c r="E2024" i="1"/>
  <c r="D2024" i="1"/>
  <c r="C2024" i="1"/>
  <c r="L2023" i="1"/>
  <c r="K2023" i="1"/>
  <c r="I2023" i="1"/>
  <c r="H2023" i="1"/>
  <c r="F2023" i="1"/>
  <c r="E2023" i="1"/>
  <c r="D2023" i="1"/>
  <c r="C2023" i="1"/>
  <c r="L2022" i="1"/>
  <c r="K2022" i="1"/>
  <c r="I2022" i="1"/>
  <c r="H2022" i="1"/>
  <c r="F2022" i="1"/>
  <c r="E2022" i="1"/>
  <c r="D2022" i="1"/>
  <c r="C2022" i="1"/>
  <c r="L2021" i="1"/>
  <c r="K2021" i="1"/>
  <c r="I2021" i="1"/>
  <c r="H2021" i="1"/>
  <c r="F2021" i="1"/>
  <c r="E2021" i="1"/>
  <c r="D2021" i="1"/>
  <c r="C2021" i="1"/>
  <c r="L2020" i="1"/>
  <c r="K2020" i="1"/>
  <c r="I2020" i="1"/>
  <c r="H2020" i="1"/>
  <c r="F2020" i="1"/>
  <c r="E2020" i="1"/>
  <c r="D2020" i="1"/>
  <c r="C2020" i="1"/>
  <c r="L2019" i="1"/>
  <c r="K2019" i="1"/>
  <c r="I2019" i="1"/>
  <c r="H2019" i="1"/>
  <c r="F2019" i="1"/>
  <c r="E2019" i="1"/>
  <c r="D2019" i="1"/>
  <c r="C2019" i="1"/>
  <c r="L2018" i="1"/>
  <c r="K2018" i="1"/>
  <c r="I2018" i="1"/>
  <c r="H2018" i="1"/>
  <c r="F2018" i="1"/>
  <c r="E2018" i="1"/>
  <c r="D2018" i="1"/>
  <c r="C2018" i="1"/>
  <c r="L2017" i="1"/>
  <c r="K2017" i="1"/>
  <c r="I2017" i="1"/>
  <c r="H2017" i="1"/>
  <c r="F2017" i="1"/>
  <c r="E2017" i="1"/>
  <c r="D2017" i="1"/>
  <c r="C2017" i="1"/>
  <c r="L2016" i="1"/>
  <c r="K2016" i="1"/>
  <c r="I2016" i="1"/>
  <c r="H2016" i="1"/>
  <c r="F2016" i="1"/>
  <c r="E2016" i="1"/>
  <c r="D2016" i="1"/>
  <c r="C2016" i="1"/>
  <c r="L2015" i="1"/>
  <c r="K2015" i="1"/>
  <c r="I2015" i="1"/>
  <c r="H2015" i="1"/>
  <c r="F2015" i="1"/>
  <c r="E2015" i="1"/>
  <c r="D2015" i="1"/>
  <c r="C2015" i="1"/>
  <c r="L2014" i="1"/>
  <c r="K2014" i="1"/>
  <c r="I2014" i="1"/>
  <c r="H2014" i="1"/>
  <c r="F2014" i="1"/>
  <c r="E2014" i="1"/>
  <c r="D2014" i="1"/>
  <c r="C2014" i="1"/>
  <c r="L2013" i="1"/>
  <c r="K2013" i="1"/>
  <c r="I2013" i="1"/>
  <c r="H2013" i="1"/>
  <c r="F2013" i="1"/>
  <c r="E2013" i="1"/>
  <c r="D2013" i="1"/>
  <c r="C2013" i="1"/>
  <c r="L2012" i="1"/>
  <c r="K2012" i="1"/>
  <c r="I2012" i="1"/>
  <c r="H2012" i="1"/>
  <c r="F2012" i="1"/>
  <c r="E2012" i="1"/>
  <c r="D2012" i="1"/>
  <c r="C2012" i="1"/>
  <c r="L2011" i="1"/>
  <c r="K2011" i="1"/>
  <c r="I2011" i="1"/>
  <c r="H2011" i="1"/>
  <c r="F2011" i="1"/>
  <c r="E2011" i="1"/>
  <c r="D2011" i="1"/>
  <c r="C2011" i="1"/>
  <c r="L2010" i="1"/>
  <c r="K2010" i="1"/>
  <c r="I2010" i="1"/>
  <c r="H2010" i="1"/>
  <c r="F2010" i="1"/>
  <c r="E2010" i="1"/>
  <c r="D2010" i="1"/>
  <c r="C2010" i="1"/>
  <c r="L2009" i="1"/>
  <c r="K2009" i="1"/>
  <c r="I2009" i="1"/>
  <c r="H2009" i="1"/>
  <c r="F2009" i="1"/>
  <c r="E2009" i="1"/>
  <c r="D2009" i="1"/>
  <c r="C2009" i="1"/>
  <c r="L2008" i="1"/>
  <c r="K2008" i="1"/>
  <c r="I2008" i="1"/>
  <c r="H2008" i="1"/>
  <c r="F2008" i="1"/>
  <c r="E2008" i="1"/>
  <c r="D2008" i="1"/>
  <c r="C2008" i="1"/>
  <c r="L2007" i="1"/>
  <c r="K2007" i="1"/>
  <c r="I2007" i="1"/>
  <c r="H2007" i="1"/>
  <c r="F2007" i="1"/>
  <c r="E2007" i="1"/>
  <c r="D2007" i="1"/>
  <c r="C2007" i="1"/>
  <c r="L2006" i="1"/>
  <c r="K2006" i="1"/>
  <c r="I2006" i="1"/>
  <c r="H2006" i="1"/>
  <c r="F2006" i="1"/>
  <c r="E2006" i="1"/>
  <c r="D2006" i="1"/>
  <c r="C2006" i="1"/>
  <c r="L2005" i="1"/>
  <c r="K2005" i="1"/>
  <c r="I2005" i="1"/>
  <c r="H2005" i="1"/>
  <c r="F2005" i="1"/>
  <c r="E2005" i="1"/>
  <c r="D2005" i="1"/>
  <c r="C2005" i="1"/>
  <c r="L2004" i="1"/>
  <c r="K2004" i="1"/>
  <c r="I2004" i="1"/>
  <c r="H2004" i="1"/>
  <c r="F2004" i="1"/>
  <c r="E2004" i="1"/>
  <c r="D2004" i="1"/>
  <c r="C2004" i="1"/>
  <c r="L2003" i="1"/>
  <c r="K2003" i="1"/>
  <c r="I2003" i="1"/>
  <c r="H2003" i="1"/>
  <c r="F2003" i="1"/>
  <c r="E2003" i="1"/>
  <c r="D2003" i="1"/>
  <c r="C2003" i="1"/>
  <c r="L2002" i="1"/>
  <c r="K2002" i="1"/>
  <c r="I2002" i="1"/>
  <c r="H2002" i="1"/>
  <c r="F2002" i="1"/>
  <c r="E2002" i="1"/>
  <c r="D2002" i="1"/>
  <c r="C2002" i="1"/>
  <c r="L2001" i="1"/>
  <c r="K2001" i="1"/>
  <c r="I2001" i="1"/>
  <c r="H2001" i="1"/>
  <c r="F2001" i="1"/>
  <c r="E2001" i="1"/>
  <c r="D2001" i="1"/>
  <c r="C2001" i="1"/>
  <c r="L2000" i="1"/>
  <c r="K2000" i="1"/>
  <c r="I2000" i="1"/>
  <c r="H2000" i="1"/>
  <c r="F2000" i="1"/>
  <c r="E2000" i="1"/>
  <c r="D2000" i="1"/>
  <c r="C2000" i="1"/>
  <c r="L1999" i="1"/>
  <c r="K1999" i="1"/>
  <c r="I1999" i="1"/>
  <c r="H1999" i="1"/>
  <c r="F1999" i="1"/>
  <c r="E1999" i="1"/>
  <c r="D1999" i="1"/>
  <c r="C1999" i="1"/>
  <c r="L1998" i="1"/>
  <c r="K1998" i="1"/>
  <c r="I1998" i="1"/>
  <c r="H1998" i="1"/>
  <c r="F1998" i="1"/>
  <c r="E1998" i="1"/>
  <c r="D1998" i="1"/>
  <c r="C1998" i="1"/>
  <c r="L1997" i="1"/>
  <c r="K1997" i="1"/>
  <c r="I1997" i="1"/>
  <c r="H1997" i="1"/>
  <c r="F1997" i="1"/>
  <c r="E1997" i="1"/>
  <c r="D1997" i="1"/>
  <c r="C1997" i="1"/>
  <c r="L1996" i="1"/>
  <c r="K1996" i="1"/>
  <c r="I1996" i="1"/>
  <c r="H1996" i="1"/>
  <c r="F1996" i="1"/>
  <c r="E1996" i="1"/>
  <c r="D1996" i="1"/>
  <c r="C1996" i="1"/>
  <c r="L1995" i="1"/>
  <c r="K1995" i="1"/>
  <c r="I1995" i="1"/>
  <c r="H1995" i="1"/>
  <c r="F1995" i="1"/>
  <c r="E1995" i="1"/>
  <c r="D1995" i="1"/>
  <c r="C1995" i="1"/>
  <c r="L1994" i="1"/>
  <c r="K1994" i="1"/>
  <c r="I1994" i="1"/>
  <c r="H1994" i="1"/>
  <c r="F1994" i="1"/>
  <c r="E1994" i="1"/>
  <c r="D1994" i="1"/>
  <c r="C1994" i="1"/>
  <c r="L1993" i="1"/>
  <c r="K1993" i="1"/>
  <c r="I1993" i="1"/>
  <c r="H1993" i="1"/>
  <c r="F1993" i="1"/>
  <c r="E1993" i="1"/>
  <c r="D1993" i="1"/>
  <c r="C1993" i="1"/>
  <c r="L1992" i="1"/>
  <c r="K1992" i="1"/>
  <c r="I1992" i="1"/>
  <c r="H1992" i="1"/>
  <c r="F1992" i="1"/>
  <c r="E1992" i="1"/>
  <c r="D1992" i="1"/>
  <c r="C1992" i="1"/>
  <c r="L1991" i="1"/>
  <c r="K1991" i="1"/>
  <c r="I1991" i="1"/>
  <c r="H1991" i="1"/>
  <c r="F1991" i="1"/>
  <c r="E1991" i="1"/>
  <c r="D1991" i="1"/>
  <c r="C1991" i="1"/>
  <c r="L1990" i="1"/>
  <c r="K1990" i="1"/>
  <c r="I1990" i="1"/>
  <c r="H1990" i="1"/>
  <c r="F1990" i="1"/>
  <c r="E1990" i="1"/>
  <c r="D1990" i="1"/>
  <c r="C1990" i="1"/>
  <c r="L1989" i="1"/>
  <c r="K1989" i="1"/>
  <c r="I1989" i="1"/>
  <c r="H1989" i="1"/>
  <c r="F1989" i="1"/>
  <c r="E1989" i="1"/>
  <c r="D1989" i="1"/>
  <c r="C1989" i="1"/>
  <c r="L1988" i="1"/>
  <c r="K1988" i="1"/>
  <c r="I1988" i="1"/>
  <c r="H1988" i="1"/>
  <c r="F1988" i="1"/>
  <c r="E1988" i="1"/>
  <c r="D1988" i="1"/>
  <c r="C1988" i="1"/>
  <c r="L1987" i="1"/>
  <c r="K1987" i="1"/>
  <c r="I1987" i="1"/>
  <c r="H1987" i="1"/>
  <c r="F1987" i="1"/>
  <c r="E1987" i="1"/>
  <c r="D1987" i="1"/>
  <c r="C1987" i="1"/>
  <c r="L1986" i="1"/>
  <c r="K1986" i="1"/>
  <c r="I1986" i="1"/>
  <c r="H1986" i="1"/>
  <c r="F1986" i="1"/>
  <c r="E1986" i="1"/>
  <c r="D1986" i="1"/>
  <c r="C1986" i="1"/>
  <c r="L1985" i="1"/>
  <c r="K1985" i="1"/>
  <c r="I1985" i="1"/>
  <c r="H1985" i="1"/>
  <c r="F1985" i="1"/>
  <c r="E1985" i="1"/>
  <c r="D1985" i="1"/>
  <c r="C1985" i="1"/>
  <c r="L1984" i="1"/>
  <c r="K1984" i="1"/>
  <c r="I1984" i="1"/>
  <c r="H1984" i="1"/>
  <c r="F1984" i="1"/>
  <c r="E1984" i="1"/>
  <c r="D1984" i="1"/>
  <c r="C1984" i="1"/>
  <c r="L1983" i="1"/>
  <c r="K1983" i="1"/>
  <c r="I1983" i="1"/>
  <c r="H1983" i="1"/>
  <c r="F1983" i="1"/>
  <c r="E1983" i="1"/>
  <c r="D1983" i="1"/>
  <c r="C1983" i="1"/>
  <c r="L1982" i="1"/>
  <c r="K1982" i="1"/>
  <c r="I1982" i="1"/>
  <c r="H1982" i="1"/>
  <c r="F1982" i="1"/>
  <c r="E1982" i="1"/>
  <c r="D1982" i="1"/>
  <c r="C1982" i="1"/>
  <c r="L1981" i="1"/>
  <c r="K1981" i="1"/>
  <c r="I1981" i="1"/>
  <c r="H1981" i="1"/>
  <c r="F1981" i="1"/>
  <c r="E1981" i="1"/>
  <c r="D1981" i="1"/>
  <c r="C1981" i="1"/>
  <c r="L1980" i="1"/>
  <c r="K1980" i="1"/>
  <c r="I1980" i="1"/>
  <c r="H1980" i="1"/>
  <c r="F1980" i="1"/>
  <c r="E1980" i="1"/>
  <c r="D1980" i="1"/>
  <c r="C1980" i="1"/>
  <c r="L1979" i="1"/>
  <c r="K1979" i="1"/>
  <c r="I1979" i="1"/>
  <c r="H1979" i="1"/>
  <c r="F1979" i="1"/>
  <c r="E1979" i="1"/>
  <c r="D1979" i="1"/>
  <c r="C1979" i="1"/>
  <c r="L1978" i="1"/>
  <c r="K1978" i="1"/>
  <c r="I1978" i="1"/>
  <c r="H1978" i="1"/>
  <c r="F1978" i="1"/>
  <c r="E1978" i="1"/>
  <c r="D1978" i="1"/>
  <c r="C1978" i="1"/>
  <c r="L1977" i="1"/>
  <c r="K1977" i="1"/>
  <c r="I1977" i="1"/>
  <c r="H1977" i="1"/>
  <c r="F1977" i="1"/>
  <c r="E1977" i="1"/>
  <c r="D1977" i="1"/>
  <c r="C1977" i="1"/>
  <c r="L1976" i="1"/>
  <c r="K1976" i="1"/>
  <c r="I1976" i="1"/>
  <c r="H1976" i="1"/>
  <c r="F1976" i="1"/>
  <c r="E1976" i="1"/>
  <c r="D1976" i="1"/>
  <c r="C1976" i="1"/>
  <c r="L1975" i="1"/>
  <c r="K1975" i="1"/>
  <c r="I1975" i="1"/>
  <c r="H1975" i="1"/>
  <c r="F1975" i="1"/>
  <c r="E1975" i="1"/>
  <c r="D1975" i="1"/>
  <c r="C1975" i="1"/>
  <c r="L1974" i="1"/>
  <c r="K1974" i="1"/>
  <c r="I1974" i="1"/>
  <c r="H1974" i="1"/>
  <c r="F1974" i="1"/>
  <c r="E1974" i="1"/>
  <c r="D1974" i="1"/>
  <c r="C1974" i="1"/>
  <c r="L1973" i="1"/>
  <c r="K1973" i="1"/>
  <c r="I1973" i="1"/>
  <c r="H1973" i="1"/>
  <c r="F1973" i="1"/>
  <c r="E1973" i="1"/>
  <c r="D1973" i="1"/>
  <c r="C1973" i="1"/>
  <c r="L1972" i="1"/>
  <c r="K1972" i="1"/>
  <c r="I1972" i="1"/>
  <c r="H1972" i="1"/>
  <c r="F1972" i="1"/>
  <c r="E1972" i="1"/>
  <c r="D1972" i="1"/>
  <c r="C1972" i="1"/>
  <c r="L1971" i="1"/>
  <c r="K1971" i="1"/>
  <c r="I1971" i="1"/>
  <c r="H1971" i="1"/>
  <c r="F1971" i="1"/>
  <c r="E1971" i="1"/>
  <c r="D1971" i="1"/>
  <c r="C1971" i="1"/>
  <c r="L1970" i="1"/>
  <c r="K1970" i="1"/>
  <c r="I1970" i="1"/>
  <c r="H1970" i="1"/>
  <c r="F1970" i="1"/>
  <c r="E1970" i="1"/>
  <c r="D1970" i="1"/>
  <c r="C1970" i="1"/>
  <c r="L1969" i="1"/>
  <c r="K1969" i="1"/>
  <c r="I1969" i="1"/>
  <c r="H1969" i="1"/>
  <c r="F1969" i="1"/>
  <c r="E1969" i="1"/>
  <c r="D1969" i="1"/>
  <c r="C1969" i="1"/>
  <c r="L1968" i="1"/>
  <c r="K1968" i="1"/>
  <c r="I1968" i="1"/>
  <c r="H1968" i="1"/>
  <c r="F1968" i="1"/>
  <c r="E1968" i="1"/>
  <c r="D1968" i="1"/>
  <c r="C1968" i="1"/>
  <c r="L1967" i="1"/>
  <c r="K1967" i="1"/>
  <c r="I1967" i="1"/>
  <c r="H1967" i="1"/>
  <c r="F1967" i="1"/>
  <c r="E1967" i="1"/>
  <c r="D1967" i="1"/>
  <c r="C1967" i="1"/>
  <c r="L1966" i="1"/>
  <c r="K1966" i="1"/>
  <c r="I1966" i="1"/>
  <c r="H1966" i="1"/>
  <c r="F1966" i="1"/>
  <c r="E1966" i="1"/>
  <c r="D1966" i="1"/>
  <c r="C1966" i="1"/>
  <c r="L1965" i="1"/>
  <c r="K1965" i="1"/>
  <c r="I1965" i="1"/>
  <c r="H1965" i="1"/>
  <c r="F1965" i="1"/>
  <c r="E1965" i="1"/>
  <c r="D1965" i="1"/>
  <c r="C1965" i="1"/>
  <c r="L1964" i="1"/>
  <c r="K1964" i="1"/>
  <c r="I1964" i="1"/>
  <c r="H1964" i="1"/>
  <c r="F1964" i="1"/>
  <c r="E1964" i="1"/>
  <c r="D1964" i="1"/>
  <c r="C1964" i="1"/>
  <c r="L1963" i="1"/>
  <c r="K1963" i="1"/>
  <c r="I1963" i="1"/>
  <c r="H1963" i="1"/>
  <c r="F1963" i="1"/>
  <c r="E1963" i="1"/>
  <c r="D1963" i="1"/>
  <c r="C1963" i="1"/>
  <c r="L1962" i="1"/>
  <c r="K1962" i="1"/>
  <c r="I1962" i="1"/>
  <c r="H1962" i="1"/>
  <c r="F1962" i="1"/>
  <c r="E1962" i="1"/>
  <c r="D1962" i="1"/>
  <c r="C1962" i="1"/>
  <c r="L1961" i="1"/>
  <c r="K1961" i="1"/>
  <c r="I1961" i="1"/>
  <c r="H1961" i="1"/>
  <c r="F1961" i="1"/>
  <c r="E1961" i="1"/>
  <c r="D1961" i="1"/>
  <c r="C1961" i="1"/>
  <c r="L1960" i="1"/>
  <c r="K1960" i="1"/>
  <c r="I1960" i="1"/>
  <c r="H1960" i="1"/>
  <c r="F1960" i="1"/>
  <c r="E1960" i="1"/>
  <c r="D1960" i="1"/>
  <c r="C1960" i="1"/>
  <c r="L1959" i="1"/>
  <c r="K1959" i="1"/>
  <c r="I1959" i="1"/>
  <c r="H1959" i="1"/>
  <c r="F1959" i="1"/>
  <c r="E1959" i="1"/>
  <c r="D1959" i="1"/>
  <c r="C1959" i="1"/>
  <c r="L1958" i="1"/>
  <c r="K1958" i="1"/>
  <c r="I1958" i="1"/>
  <c r="H1958" i="1"/>
  <c r="F1958" i="1"/>
  <c r="E1958" i="1"/>
  <c r="D1958" i="1"/>
  <c r="C1958" i="1"/>
  <c r="L1957" i="1"/>
  <c r="K1957" i="1"/>
  <c r="I1957" i="1"/>
  <c r="H1957" i="1"/>
  <c r="F1957" i="1"/>
  <c r="E1957" i="1"/>
  <c r="D1957" i="1"/>
  <c r="C1957" i="1"/>
  <c r="L1956" i="1"/>
  <c r="K1956" i="1"/>
  <c r="I1956" i="1"/>
  <c r="H1956" i="1"/>
  <c r="F1956" i="1"/>
  <c r="E1956" i="1"/>
  <c r="D1956" i="1"/>
  <c r="C1956" i="1"/>
  <c r="L1955" i="1"/>
  <c r="K1955" i="1"/>
  <c r="I1955" i="1"/>
  <c r="H1955" i="1"/>
  <c r="F1955" i="1"/>
  <c r="E1955" i="1"/>
  <c r="D1955" i="1"/>
  <c r="C1955" i="1"/>
  <c r="L1954" i="1"/>
  <c r="K1954" i="1"/>
  <c r="I1954" i="1"/>
  <c r="H1954" i="1"/>
  <c r="F1954" i="1"/>
  <c r="E1954" i="1"/>
  <c r="D1954" i="1"/>
  <c r="C1954" i="1"/>
  <c r="L1953" i="1"/>
  <c r="K1953" i="1"/>
  <c r="I1953" i="1"/>
  <c r="H1953" i="1"/>
  <c r="F1953" i="1"/>
  <c r="E1953" i="1"/>
  <c r="D1953" i="1"/>
  <c r="C1953" i="1"/>
  <c r="L1952" i="1"/>
  <c r="K1952" i="1"/>
  <c r="I1952" i="1"/>
  <c r="H1952" i="1"/>
  <c r="F1952" i="1"/>
  <c r="E1952" i="1"/>
  <c r="D1952" i="1"/>
  <c r="C1952" i="1"/>
  <c r="L1951" i="1"/>
  <c r="K1951" i="1"/>
  <c r="I1951" i="1"/>
  <c r="H1951" i="1"/>
  <c r="F1951" i="1"/>
  <c r="E1951" i="1"/>
  <c r="D1951" i="1"/>
  <c r="C1951" i="1"/>
  <c r="L1950" i="1"/>
  <c r="K1950" i="1"/>
  <c r="I1950" i="1"/>
  <c r="H1950" i="1"/>
  <c r="F1950" i="1"/>
  <c r="E1950" i="1"/>
  <c r="D1950" i="1"/>
  <c r="C1950" i="1"/>
  <c r="L1949" i="1"/>
  <c r="K1949" i="1"/>
  <c r="I1949" i="1"/>
  <c r="H1949" i="1"/>
  <c r="F1949" i="1"/>
  <c r="E1949" i="1"/>
  <c r="D1949" i="1"/>
  <c r="C1949" i="1"/>
  <c r="L1948" i="1"/>
  <c r="K1948" i="1"/>
  <c r="I1948" i="1"/>
  <c r="H1948" i="1"/>
  <c r="F1948" i="1"/>
  <c r="E1948" i="1"/>
  <c r="D1948" i="1"/>
  <c r="C1948" i="1"/>
  <c r="L1947" i="1"/>
  <c r="K1947" i="1"/>
  <c r="I1947" i="1"/>
  <c r="H1947" i="1"/>
  <c r="F1947" i="1"/>
  <c r="E1947" i="1"/>
  <c r="D1947" i="1"/>
  <c r="C1947" i="1"/>
  <c r="L1946" i="1"/>
  <c r="K1946" i="1"/>
  <c r="I1946" i="1"/>
  <c r="H1946" i="1"/>
  <c r="F1946" i="1"/>
  <c r="E1946" i="1"/>
  <c r="D1946" i="1"/>
  <c r="C1946" i="1"/>
  <c r="L1945" i="1"/>
  <c r="K1945" i="1"/>
  <c r="I1945" i="1"/>
  <c r="H1945" i="1"/>
  <c r="F1945" i="1"/>
  <c r="E1945" i="1"/>
  <c r="D1945" i="1"/>
  <c r="C1945" i="1"/>
  <c r="L1944" i="1"/>
  <c r="K1944" i="1"/>
  <c r="I1944" i="1"/>
  <c r="H1944" i="1"/>
  <c r="F1944" i="1"/>
  <c r="E1944" i="1"/>
  <c r="D1944" i="1"/>
  <c r="C1944" i="1"/>
  <c r="L1943" i="1"/>
  <c r="K1943" i="1"/>
  <c r="I1943" i="1"/>
  <c r="H1943" i="1"/>
  <c r="F1943" i="1"/>
  <c r="E1943" i="1"/>
  <c r="D1943" i="1"/>
  <c r="C1943" i="1"/>
  <c r="L1942" i="1"/>
  <c r="K1942" i="1"/>
  <c r="I1942" i="1"/>
  <c r="H1942" i="1"/>
  <c r="F1942" i="1"/>
  <c r="E1942" i="1"/>
  <c r="D1942" i="1"/>
  <c r="C1942" i="1"/>
  <c r="L1941" i="1"/>
  <c r="K1941" i="1"/>
  <c r="I1941" i="1"/>
  <c r="H1941" i="1"/>
  <c r="F1941" i="1"/>
  <c r="E1941" i="1"/>
  <c r="D1941" i="1"/>
  <c r="C1941" i="1"/>
  <c r="L1940" i="1"/>
  <c r="K1940" i="1"/>
  <c r="I1940" i="1"/>
  <c r="H1940" i="1"/>
  <c r="F1940" i="1"/>
  <c r="E1940" i="1"/>
  <c r="D1940" i="1"/>
  <c r="C1940" i="1"/>
  <c r="L1939" i="1"/>
  <c r="K1939" i="1"/>
  <c r="I1939" i="1"/>
  <c r="H1939" i="1"/>
  <c r="F1939" i="1"/>
  <c r="E1939" i="1"/>
  <c r="D1939" i="1"/>
  <c r="C1939" i="1"/>
  <c r="L1938" i="1"/>
  <c r="K1938" i="1"/>
  <c r="I1938" i="1"/>
  <c r="H1938" i="1"/>
  <c r="F1938" i="1"/>
  <c r="E1938" i="1"/>
  <c r="D1938" i="1"/>
  <c r="C1938" i="1"/>
  <c r="L1937" i="1"/>
  <c r="K1937" i="1"/>
  <c r="I1937" i="1"/>
  <c r="H1937" i="1"/>
  <c r="F1937" i="1"/>
  <c r="E1937" i="1"/>
  <c r="D1937" i="1"/>
  <c r="C1937" i="1"/>
  <c r="L1936" i="1"/>
  <c r="K1936" i="1"/>
  <c r="I1936" i="1"/>
  <c r="H1936" i="1"/>
  <c r="F1936" i="1"/>
  <c r="E1936" i="1"/>
  <c r="D1936" i="1"/>
  <c r="C1936" i="1"/>
  <c r="L1935" i="1"/>
  <c r="K1935" i="1"/>
  <c r="I1935" i="1"/>
  <c r="H1935" i="1"/>
  <c r="F1935" i="1"/>
  <c r="E1935" i="1"/>
  <c r="D1935" i="1"/>
  <c r="C1935" i="1"/>
  <c r="L1934" i="1"/>
  <c r="K1934" i="1"/>
  <c r="I1934" i="1"/>
  <c r="H1934" i="1"/>
  <c r="F1934" i="1"/>
  <c r="E1934" i="1"/>
  <c r="D1934" i="1"/>
  <c r="C1934" i="1"/>
  <c r="L1933" i="1"/>
  <c r="K1933" i="1"/>
  <c r="I1933" i="1"/>
  <c r="H1933" i="1"/>
  <c r="F1933" i="1"/>
  <c r="E1933" i="1"/>
  <c r="D1933" i="1"/>
  <c r="C1933" i="1"/>
  <c r="L1932" i="1"/>
  <c r="K1932" i="1"/>
  <c r="I1932" i="1"/>
  <c r="H1932" i="1"/>
  <c r="F1932" i="1"/>
  <c r="E1932" i="1"/>
  <c r="D1932" i="1"/>
  <c r="C1932" i="1"/>
  <c r="L1931" i="1"/>
  <c r="K1931" i="1"/>
  <c r="I1931" i="1"/>
  <c r="H1931" i="1"/>
  <c r="F1931" i="1"/>
  <c r="E1931" i="1"/>
  <c r="D1931" i="1"/>
  <c r="C1931" i="1"/>
  <c r="L1930" i="1"/>
  <c r="K1930" i="1"/>
  <c r="I1930" i="1"/>
  <c r="H1930" i="1"/>
  <c r="F1930" i="1"/>
  <c r="E1930" i="1"/>
  <c r="D1930" i="1"/>
  <c r="C1930" i="1"/>
  <c r="L1929" i="1"/>
  <c r="K1929" i="1"/>
  <c r="I1929" i="1"/>
  <c r="H1929" i="1"/>
  <c r="F1929" i="1"/>
  <c r="E1929" i="1"/>
  <c r="D1929" i="1"/>
  <c r="C1929" i="1"/>
  <c r="L1928" i="1"/>
  <c r="K1928" i="1"/>
  <c r="I1928" i="1"/>
  <c r="H1928" i="1"/>
  <c r="F1928" i="1"/>
  <c r="E1928" i="1"/>
  <c r="D1928" i="1"/>
  <c r="C1928" i="1"/>
  <c r="L1927" i="1"/>
  <c r="K1927" i="1"/>
  <c r="I1927" i="1"/>
  <c r="H1927" i="1"/>
  <c r="F1927" i="1"/>
  <c r="E1927" i="1"/>
  <c r="D1927" i="1"/>
  <c r="C1927" i="1"/>
  <c r="L1926" i="1"/>
  <c r="K1926" i="1"/>
  <c r="I1926" i="1"/>
  <c r="H1926" i="1"/>
  <c r="F1926" i="1"/>
  <c r="E1926" i="1"/>
  <c r="D1926" i="1"/>
  <c r="C1926" i="1"/>
  <c r="L1925" i="1"/>
  <c r="K1925" i="1"/>
  <c r="I1925" i="1"/>
  <c r="H1925" i="1"/>
  <c r="F1925" i="1"/>
  <c r="E1925" i="1"/>
  <c r="D1925" i="1"/>
  <c r="C1925" i="1"/>
  <c r="L1924" i="1"/>
  <c r="K1924" i="1"/>
  <c r="I1924" i="1"/>
  <c r="H1924" i="1"/>
  <c r="F1924" i="1"/>
  <c r="E1924" i="1"/>
  <c r="D1924" i="1"/>
  <c r="C1924" i="1"/>
  <c r="L1923" i="1"/>
  <c r="K1923" i="1"/>
  <c r="I1923" i="1"/>
  <c r="H1923" i="1"/>
  <c r="F1923" i="1"/>
  <c r="E1923" i="1"/>
  <c r="D1923" i="1"/>
  <c r="C1923" i="1"/>
  <c r="L1922" i="1"/>
  <c r="K1922" i="1"/>
  <c r="I1922" i="1"/>
  <c r="H1922" i="1"/>
  <c r="F1922" i="1"/>
  <c r="E1922" i="1"/>
  <c r="D1922" i="1"/>
  <c r="C1922" i="1"/>
  <c r="L1921" i="1"/>
  <c r="K1921" i="1"/>
  <c r="I1921" i="1"/>
  <c r="H1921" i="1"/>
  <c r="F1921" i="1"/>
  <c r="E1921" i="1"/>
  <c r="D1921" i="1"/>
  <c r="C1921" i="1"/>
  <c r="L1920" i="1"/>
  <c r="K1920" i="1"/>
  <c r="I1920" i="1"/>
  <c r="H1920" i="1"/>
  <c r="F1920" i="1"/>
  <c r="E1920" i="1"/>
  <c r="D1920" i="1"/>
  <c r="C1920" i="1"/>
  <c r="L1919" i="1"/>
  <c r="K1919" i="1"/>
  <c r="I1919" i="1"/>
  <c r="H1919" i="1"/>
  <c r="F1919" i="1"/>
  <c r="E1919" i="1"/>
  <c r="D1919" i="1"/>
  <c r="C1919" i="1"/>
  <c r="L1918" i="1"/>
  <c r="K1918" i="1"/>
  <c r="I1918" i="1"/>
  <c r="H1918" i="1"/>
  <c r="F1918" i="1"/>
  <c r="E1918" i="1"/>
  <c r="D1918" i="1"/>
  <c r="C1918" i="1"/>
  <c r="L1917" i="1"/>
  <c r="K1917" i="1"/>
  <c r="I1917" i="1"/>
  <c r="H1917" i="1"/>
  <c r="F1917" i="1"/>
  <c r="E1917" i="1"/>
  <c r="D1917" i="1"/>
  <c r="C1917" i="1"/>
  <c r="L1916" i="1"/>
  <c r="K1916" i="1"/>
  <c r="I1916" i="1"/>
  <c r="H1916" i="1"/>
  <c r="F1916" i="1"/>
  <c r="E1916" i="1"/>
  <c r="D1916" i="1"/>
  <c r="C1916" i="1"/>
  <c r="L1915" i="1"/>
  <c r="K1915" i="1"/>
  <c r="I1915" i="1"/>
  <c r="H1915" i="1"/>
  <c r="F1915" i="1"/>
  <c r="E1915" i="1"/>
  <c r="D1915" i="1"/>
  <c r="C1915" i="1"/>
  <c r="L1914" i="1"/>
  <c r="K1914" i="1"/>
  <c r="I1914" i="1"/>
  <c r="H1914" i="1"/>
  <c r="F1914" i="1"/>
  <c r="E1914" i="1"/>
  <c r="D1914" i="1"/>
  <c r="C1914" i="1"/>
  <c r="L1913" i="1"/>
  <c r="K1913" i="1"/>
  <c r="I1913" i="1"/>
  <c r="H1913" i="1"/>
  <c r="F1913" i="1"/>
  <c r="E1913" i="1"/>
  <c r="D1913" i="1"/>
  <c r="C1913" i="1"/>
  <c r="L1912" i="1"/>
  <c r="K1912" i="1"/>
  <c r="I1912" i="1"/>
  <c r="H1912" i="1"/>
  <c r="F1912" i="1"/>
  <c r="E1912" i="1"/>
  <c r="D1912" i="1"/>
  <c r="C1912" i="1"/>
  <c r="L1911" i="1"/>
  <c r="K1911" i="1"/>
  <c r="I1911" i="1"/>
  <c r="H1911" i="1"/>
  <c r="F1911" i="1"/>
  <c r="E1911" i="1"/>
  <c r="D1911" i="1"/>
  <c r="C1911" i="1"/>
  <c r="L1910" i="1"/>
  <c r="K1910" i="1"/>
  <c r="I1910" i="1"/>
  <c r="H1910" i="1"/>
  <c r="F1910" i="1"/>
  <c r="E1910" i="1"/>
  <c r="D1910" i="1"/>
  <c r="C1910" i="1"/>
  <c r="L1909" i="1"/>
  <c r="K1909" i="1"/>
  <c r="I1909" i="1"/>
  <c r="H1909" i="1"/>
  <c r="F1909" i="1"/>
  <c r="E1909" i="1"/>
  <c r="D1909" i="1"/>
  <c r="C1909" i="1"/>
  <c r="L1908" i="1"/>
  <c r="K1908" i="1"/>
  <c r="I1908" i="1"/>
  <c r="H1908" i="1"/>
  <c r="F1908" i="1"/>
  <c r="E1908" i="1"/>
  <c r="D1908" i="1"/>
  <c r="C1908" i="1"/>
  <c r="L1907" i="1"/>
  <c r="K1907" i="1"/>
  <c r="I1907" i="1"/>
  <c r="H1907" i="1"/>
  <c r="F1907" i="1"/>
  <c r="E1907" i="1"/>
  <c r="D1907" i="1"/>
  <c r="C1907" i="1"/>
  <c r="L1906" i="1"/>
  <c r="K1906" i="1"/>
  <c r="I1906" i="1"/>
  <c r="H1906" i="1"/>
  <c r="F1906" i="1"/>
  <c r="E1906" i="1"/>
  <c r="D1906" i="1"/>
  <c r="C1906" i="1"/>
  <c r="L1905" i="1"/>
  <c r="K1905" i="1"/>
  <c r="I1905" i="1"/>
  <c r="H1905" i="1"/>
  <c r="F1905" i="1"/>
  <c r="E1905" i="1"/>
  <c r="D1905" i="1"/>
  <c r="C1905" i="1"/>
  <c r="L1904" i="1"/>
  <c r="K1904" i="1"/>
  <c r="I1904" i="1"/>
  <c r="H1904" i="1"/>
  <c r="F1904" i="1"/>
  <c r="E1904" i="1"/>
  <c r="D1904" i="1"/>
  <c r="C1904" i="1"/>
  <c r="L1903" i="1"/>
  <c r="K1903" i="1"/>
  <c r="I1903" i="1"/>
  <c r="H1903" i="1"/>
  <c r="F1903" i="1"/>
  <c r="E1903" i="1"/>
  <c r="D1903" i="1"/>
  <c r="C1903" i="1"/>
  <c r="L1902" i="1"/>
  <c r="K1902" i="1"/>
  <c r="I1902" i="1"/>
  <c r="H1902" i="1"/>
  <c r="F1902" i="1"/>
  <c r="E1902" i="1"/>
  <c r="D1902" i="1"/>
  <c r="C1902" i="1"/>
  <c r="L1901" i="1"/>
  <c r="K1901" i="1"/>
  <c r="I1901" i="1"/>
  <c r="H1901" i="1"/>
  <c r="F1901" i="1"/>
  <c r="E1901" i="1"/>
  <c r="D1901" i="1"/>
  <c r="C1901" i="1"/>
  <c r="L1900" i="1"/>
  <c r="K1900" i="1"/>
  <c r="I1900" i="1"/>
  <c r="H1900" i="1"/>
  <c r="F1900" i="1"/>
  <c r="E1900" i="1"/>
  <c r="D1900" i="1"/>
  <c r="C1900" i="1"/>
  <c r="L1899" i="1"/>
  <c r="K1899" i="1"/>
  <c r="I1899" i="1"/>
  <c r="H1899" i="1"/>
  <c r="F1899" i="1"/>
  <c r="E1899" i="1"/>
  <c r="D1899" i="1"/>
  <c r="C1899" i="1"/>
  <c r="L1898" i="1"/>
  <c r="K1898" i="1"/>
  <c r="I1898" i="1"/>
  <c r="H1898" i="1"/>
  <c r="F1898" i="1"/>
  <c r="E1898" i="1"/>
  <c r="D1898" i="1"/>
  <c r="C1898" i="1"/>
  <c r="L1897" i="1"/>
  <c r="K1897" i="1"/>
  <c r="I1897" i="1"/>
  <c r="H1897" i="1"/>
  <c r="F1897" i="1"/>
  <c r="E1897" i="1"/>
  <c r="D1897" i="1"/>
  <c r="C1897" i="1"/>
  <c r="L1896" i="1"/>
  <c r="K1896" i="1"/>
  <c r="I1896" i="1"/>
  <c r="H1896" i="1"/>
  <c r="F1896" i="1"/>
  <c r="E1896" i="1"/>
  <c r="D1896" i="1"/>
  <c r="C1896" i="1"/>
  <c r="L1895" i="1"/>
  <c r="K1895" i="1"/>
  <c r="I1895" i="1"/>
  <c r="H1895" i="1"/>
  <c r="F1895" i="1"/>
  <c r="E1895" i="1"/>
  <c r="D1895" i="1"/>
  <c r="C1895" i="1"/>
  <c r="L1894" i="1"/>
  <c r="K1894" i="1"/>
  <c r="I1894" i="1"/>
  <c r="H1894" i="1"/>
  <c r="F1894" i="1"/>
  <c r="E1894" i="1"/>
  <c r="D1894" i="1"/>
  <c r="C1894" i="1"/>
  <c r="L1893" i="1"/>
  <c r="K1893" i="1"/>
  <c r="I1893" i="1"/>
  <c r="H1893" i="1"/>
  <c r="F1893" i="1"/>
  <c r="E1893" i="1"/>
  <c r="D1893" i="1"/>
  <c r="C1893" i="1"/>
  <c r="L1892" i="1"/>
  <c r="K1892" i="1"/>
  <c r="I1892" i="1"/>
  <c r="H1892" i="1"/>
  <c r="F1892" i="1"/>
  <c r="E1892" i="1"/>
  <c r="D1892" i="1"/>
  <c r="C1892" i="1"/>
  <c r="L1891" i="1"/>
  <c r="K1891" i="1"/>
  <c r="I1891" i="1"/>
  <c r="H1891" i="1"/>
  <c r="F1891" i="1"/>
  <c r="E1891" i="1"/>
  <c r="D1891" i="1"/>
  <c r="C1891" i="1"/>
  <c r="L1890" i="1"/>
  <c r="K1890" i="1"/>
  <c r="I1890" i="1"/>
  <c r="H1890" i="1"/>
  <c r="F1890" i="1"/>
  <c r="E1890" i="1"/>
  <c r="D1890" i="1"/>
  <c r="C1890" i="1"/>
  <c r="L1889" i="1"/>
  <c r="K1889" i="1"/>
  <c r="I1889" i="1"/>
  <c r="H1889" i="1"/>
  <c r="F1889" i="1"/>
  <c r="E1889" i="1"/>
  <c r="D1889" i="1"/>
  <c r="C1889" i="1"/>
  <c r="L1888" i="1"/>
  <c r="K1888" i="1"/>
  <c r="I1888" i="1"/>
  <c r="H1888" i="1"/>
  <c r="F1888" i="1"/>
  <c r="E1888" i="1"/>
  <c r="D1888" i="1"/>
  <c r="C1888" i="1"/>
  <c r="L1887" i="1"/>
  <c r="K1887" i="1"/>
  <c r="I1887" i="1"/>
  <c r="H1887" i="1"/>
  <c r="F1887" i="1"/>
  <c r="E1887" i="1"/>
  <c r="D1887" i="1"/>
  <c r="C1887" i="1"/>
  <c r="L1886" i="1"/>
  <c r="K1886" i="1"/>
  <c r="I1886" i="1"/>
  <c r="H1886" i="1"/>
  <c r="F1886" i="1"/>
  <c r="E1886" i="1"/>
  <c r="D1886" i="1"/>
  <c r="C1886" i="1"/>
  <c r="L1885" i="1"/>
  <c r="K1885" i="1"/>
  <c r="I1885" i="1"/>
  <c r="H1885" i="1"/>
  <c r="F1885" i="1"/>
  <c r="E1885" i="1"/>
  <c r="D1885" i="1"/>
  <c r="C1885" i="1"/>
  <c r="L1884" i="1"/>
  <c r="K1884" i="1"/>
  <c r="I1884" i="1"/>
  <c r="H1884" i="1"/>
  <c r="F1884" i="1"/>
  <c r="E1884" i="1"/>
  <c r="D1884" i="1"/>
  <c r="C1884" i="1"/>
  <c r="L1883" i="1"/>
  <c r="K1883" i="1"/>
  <c r="I1883" i="1"/>
  <c r="H1883" i="1"/>
  <c r="F1883" i="1"/>
  <c r="E1883" i="1"/>
  <c r="D1883" i="1"/>
  <c r="C1883" i="1"/>
  <c r="L1882" i="1"/>
  <c r="K1882" i="1"/>
  <c r="I1882" i="1"/>
  <c r="H1882" i="1"/>
  <c r="F1882" i="1"/>
  <c r="E1882" i="1"/>
  <c r="D1882" i="1"/>
  <c r="C1882" i="1"/>
  <c r="L1881" i="1"/>
  <c r="K1881" i="1"/>
  <c r="I1881" i="1"/>
  <c r="H1881" i="1"/>
  <c r="F1881" i="1"/>
  <c r="E1881" i="1"/>
  <c r="D1881" i="1"/>
  <c r="C1881" i="1"/>
  <c r="L1880" i="1"/>
  <c r="K1880" i="1"/>
  <c r="I1880" i="1"/>
  <c r="H1880" i="1"/>
  <c r="F1880" i="1"/>
  <c r="E1880" i="1"/>
  <c r="D1880" i="1"/>
  <c r="C1880" i="1"/>
  <c r="L1879" i="1"/>
  <c r="K1879" i="1"/>
  <c r="I1879" i="1"/>
  <c r="H1879" i="1"/>
  <c r="F1879" i="1"/>
  <c r="E1879" i="1"/>
  <c r="D1879" i="1"/>
  <c r="C1879" i="1"/>
  <c r="L1878" i="1"/>
  <c r="K1878" i="1"/>
  <c r="I1878" i="1"/>
  <c r="H1878" i="1"/>
  <c r="F1878" i="1"/>
  <c r="E1878" i="1"/>
  <c r="D1878" i="1"/>
  <c r="C1878" i="1"/>
  <c r="L1877" i="1"/>
  <c r="K1877" i="1"/>
  <c r="I1877" i="1"/>
  <c r="H1877" i="1"/>
  <c r="F1877" i="1"/>
  <c r="E1877" i="1"/>
  <c r="D1877" i="1"/>
  <c r="C1877" i="1"/>
  <c r="L1876" i="1"/>
  <c r="K1876" i="1"/>
  <c r="I1876" i="1"/>
  <c r="H1876" i="1"/>
  <c r="F1876" i="1"/>
  <c r="E1876" i="1"/>
  <c r="D1876" i="1"/>
  <c r="C1876" i="1"/>
  <c r="L1875" i="1"/>
  <c r="K1875" i="1"/>
  <c r="I1875" i="1"/>
  <c r="H1875" i="1"/>
  <c r="F1875" i="1"/>
  <c r="E1875" i="1"/>
  <c r="D1875" i="1"/>
  <c r="C1875" i="1"/>
  <c r="L1874" i="1"/>
  <c r="K1874" i="1"/>
  <c r="I1874" i="1"/>
  <c r="H1874" i="1"/>
  <c r="F1874" i="1"/>
  <c r="E1874" i="1"/>
  <c r="D1874" i="1"/>
  <c r="C1874" i="1"/>
  <c r="L1873" i="1"/>
  <c r="K1873" i="1"/>
  <c r="I1873" i="1"/>
  <c r="H1873" i="1"/>
  <c r="F1873" i="1"/>
  <c r="E1873" i="1"/>
  <c r="D1873" i="1"/>
  <c r="C1873" i="1"/>
  <c r="L1872" i="1"/>
  <c r="K1872" i="1"/>
  <c r="I1872" i="1"/>
  <c r="H1872" i="1"/>
  <c r="F1872" i="1"/>
  <c r="E1872" i="1"/>
  <c r="D1872" i="1"/>
  <c r="C1872" i="1"/>
  <c r="L1871" i="1"/>
  <c r="K1871" i="1"/>
  <c r="I1871" i="1"/>
  <c r="H1871" i="1"/>
  <c r="F1871" i="1"/>
  <c r="E1871" i="1"/>
  <c r="D1871" i="1"/>
  <c r="C1871" i="1"/>
  <c r="L1870" i="1"/>
  <c r="K1870" i="1"/>
  <c r="I1870" i="1"/>
  <c r="H1870" i="1"/>
  <c r="F1870" i="1"/>
  <c r="E1870" i="1"/>
  <c r="D1870" i="1"/>
  <c r="C1870" i="1"/>
  <c r="L1869" i="1"/>
  <c r="K1869" i="1"/>
  <c r="I1869" i="1"/>
  <c r="H1869" i="1"/>
  <c r="F1869" i="1"/>
  <c r="E1869" i="1"/>
  <c r="D1869" i="1"/>
  <c r="C1869" i="1"/>
  <c r="L1868" i="1"/>
  <c r="K1868" i="1"/>
  <c r="I1868" i="1"/>
  <c r="H1868" i="1"/>
  <c r="F1868" i="1"/>
  <c r="E1868" i="1"/>
  <c r="D1868" i="1"/>
  <c r="C1868" i="1"/>
  <c r="L1867" i="1"/>
  <c r="K1867" i="1"/>
  <c r="I1867" i="1"/>
  <c r="H1867" i="1"/>
  <c r="F1867" i="1"/>
  <c r="E1867" i="1"/>
  <c r="D1867" i="1"/>
  <c r="C1867" i="1"/>
  <c r="L1866" i="1"/>
  <c r="K1866" i="1"/>
  <c r="I1866" i="1"/>
  <c r="H1866" i="1"/>
  <c r="F1866" i="1"/>
  <c r="E1866" i="1"/>
  <c r="D1866" i="1"/>
  <c r="C1866" i="1"/>
  <c r="L1865" i="1"/>
  <c r="K1865" i="1"/>
  <c r="I1865" i="1"/>
  <c r="H1865" i="1"/>
  <c r="F1865" i="1"/>
  <c r="E1865" i="1"/>
  <c r="D1865" i="1"/>
  <c r="C1865" i="1"/>
  <c r="L1864" i="1"/>
  <c r="K1864" i="1"/>
  <c r="I1864" i="1"/>
  <c r="H1864" i="1"/>
  <c r="F1864" i="1"/>
  <c r="E1864" i="1"/>
  <c r="D1864" i="1"/>
  <c r="C1864" i="1"/>
  <c r="L1863" i="1"/>
  <c r="K1863" i="1"/>
  <c r="I1863" i="1"/>
  <c r="H1863" i="1"/>
  <c r="F1863" i="1"/>
  <c r="E1863" i="1"/>
  <c r="D1863" i="1"/>
  <c r="C1863" i="1"/>
  <c r="L1862" i="1"/>
  <c r="K1862" i="1"/>
  <c r="I1862" i="1"/>
  <c r="H1862" i="1"/>
  <c r="F1862" i="1"/>
  <c r="E1862" i="1"/>
  <c r="D1862" i="1"/>
  <c r="C1862" i="1"/>
  <c r="L1861" i="1"/>
  <c r="K1861" i="1"/>
  <c r="I1861" i="1"/>
  <c r="H1861" i="1"/>
  <c r="F1861" i="1"/>
  <c r="E1861" i="1"/>
  <c r="D1861" i="1"/>
  <c r="C1861" i="1"/>
  <c r="L1860" i="1"/>
  <c r="K1860" i="1"/>
  <c r="I1860" i="1"/>
  <c r="H1860" i="1"/>
  <c r="F1860" i="1"/>
  <c r="E1860" i="1"/>
  <c r="D1860" i="1"/>
  <c r="C1860" i="1"/>
  <c r="L1859" i="1"/>
  <c r="K1859" i="1"/>
  <c r="I1859" i="1"/>
  <c r="H1859" i="1"/>
  <c r="F1859" i="1"/>
  <c r="E1859" i="1"/>
  <c r="D1859" i="1"/>
  <c r="C1859" i="1"/>
  <c r="L1858" i="1"/>
  <c r="K1858" i="1"/>
  <c r="I1858" i="1"/>
  <c r="H1858" i="1"/>
  <c r="F1858" i="1"/>
  <c r="E1858" i="1"/>
  <c r="D1858" i="1"/>
  <c r="C1858" i="1"/>
  <c r="L1857" i="1"/>
  <c r="K1857" i="1"/>
  <c r="I1857" i="1"/>
  <c r="H1857" i="1"/>
  <c r="F1857" i="1"/>
  <c r="E1857" i="1"/>
  <c r="D1857" i="1"/>
  <c r="C1857" i="1"/>
  <c r="L1856" i="1"/>
  <c r="K1856" i="1"/>
  <c r="I1856" i="1"/>
  <c r="H1856" i="1"/>
  <c r="F1856" i="1"/>
  <c r="E1856" i="1"/>
  <c r="D1856" i="1"/>
  <c r="C1856" i="1"/>
  <c r="L1855" i="1"/>
  <c r="K1855" i="1"/>
  <c r="I1855" i="1"/>
  <c r="H1855" i="1"/>
  <c r="F1855" i="1"/>
  <c r="E1855" i="1"/>
  <c r="D1855" i="1"/>
  <c r="C1855" i="1"/>
  <c r="L1854" i="1"/>
  <c r="K1854" i="1"/>
  <c r="I1854" i="1"/>
  <c r="H1854" i="1"/>
  <c r="F1854" i="1"/>
  <c r="E1854" i="1"/>
  <c r="D1854" i="1"/>
  <c r="C1854" i="1"/>
  <c r="L1853" i="1"/>
  <c r="K1853" i="1"/>
  <c r="I1853" i="1"/>
  <c r="H1853" i="1"/>
  <c r="F1853" i="1"/>
  <c r="E1853" i="1"/>
  <c r="D1853" i="1"/>
  <c r="C1853" i="1"/>
  <c r="L1852" i="1"/>
  <c r="K1852" i="1"/>
  <c r="I1852" i="1"/>
  <c r="H1852" i="1"/>
  <c r="F1852" i="1"/>
  <c r="E1852" i="1"/>
  <c r="D1852" i="1"/>
  <c r="C1852" i="1"/>
  <c r="L1851" i="1"/>
  <c r="K1851" i="1"/>
  <c r="I1851" i="1"/>
  <c r="H1851" i="1"/>
  <c r="F1851" i="1"/>
  <c r="E1851" i="1"/>
  <c r="D1851" i="1"/>
  <c r="C1851" i="1"/>
  <c r="L1850" i="1"/>
  <c r="K1850" i="1"/>
  <c r="I1850" i="1"/>
  <c r="H1850" i="1"/>
  <c r="F1850" i="1"/>
  <c r="E1850" i="1"/>
  <c r="D1850" i="1"/>
  <c r="C1850" i="1"/>
  <c r="L1849" i="1"/>
  <c r="K1849" i="1"/>
  <c r="I1849" i="1"/>
  <c r="H1849" i="1"/>
  <c r="F1849" i="1"/>
  <c r="E1849" i="1"/>
  <c r="D1849" i="1"/>
  <c r="C1849" i="1"/>
  <c r="L1848" i="1"/>
  <c r="K1848" i="1"/>
  <c r="I1848" i="1"/>
  <c r="H1848" i="1"/>
  <c r="F1848" i="1"/>
  <c r="E1848" i="1"/>
  <c r="D1848" i="1"/>
  <c r="C1848" i="1"/>
  <c r="L1847" i="1"/>
  <c r="K1847" i="1"/>
  <c r="I1847" i="1"/>
  <c r="H1847" i="1"/>
  <c r="F1847" i="1"/>
  <c r="E1847" i="1"/>
  <c r="D1847" i="1"/>
  <c r="C1847" i="1"/>
  <c r="L1846" i="1"/>
  <c r="K1846" i="1"/>
  <c r="I1846" i="1"/>
  <c r="H1846" i="1"/>
  <c r="F1846" i="1"/>
  <c r="E1846" i="1"/>
  <c r="D1846" i="1"/>
  <c r="C1846" i="1"/>
  <c r="L1845" i="1"/>
  <c r="K1845" i="1"/>
  <c r="I1845" i="1"/>
  <c r="H1845" i="1"/>
  <c r="F1845" i="1"/>
  <c r="E1845" i="1"/>
  <c r="D1845" i="1"/>
  <c r="C1845" i="1"/>
  <c r="L1844" i="1"/>
  <c r="K1844" i="1"/>
  <c r="I1844" i="1"/>
  <c r="H1844" i="1"/>
  <c r="F1844" i="1"/>
  <c r="E1844" i="1"/>
  <c r="D1844" i="1"/>
  <c r="C1844" i="1"/>
  <c r="L1843" i="1"/>
  <c r="K1843" i="1"/>
  <c r="I1843" i="1"/>
  <c r="H1843" i="1"/>
  <c r="F1843" i="1"/>
  <c r="E1843" i="1"/>
  <c r="D1843" i="1"/>
  <c r="C1843" i="1"/>
  <c r="L1842" i="1"/>
  <c r="K1842" i="1"/>
  <c r="I1842" i="1"/>
  <c r="H1842" i="1"/>
  <c r="F1842" i="1"/>
  <c r="E1842" i="1"/>
  <c r="D1842" i="1"/>
  <c r="C1842" i="1"/>
  <c r="L1841" i="1"/>
  <c r="K1841" i="1"/>
  <c r="I1841" i="1"/>
  <c r="H1841" i="1"/>
  <c r="F1841" i="1"/>
  <c r="E1841" i="1"/>
  <c r="D1841" i="1"/>
  <c r="C1841" i="1"/>
  <c r="L1840" i="1"/>
  <c r="K1840" i="1"/>
  <c r="I1840" i="1"/>
  <c r="H1840" i="1"/>
  <c r="F1840" i="1"/>
  <c r="E1840" i="1"/>
  <c r="D1840" i="1"/>
  <c r="C1840" i="1"/>
  <c r="L1839" i="1"/>
  <c r="K1839" i="1"/>
  <c r="I1839" i="1"/>
  <c r="H1839" i="1"/>
  <c r="F1839" i="1"/>
  <c r="E1839" i="1"/>
  <c r="D1839" i="1"/>
  <c r="C1839" i="1"/>
  <c r="L1838" i="1"/>
  <c r="K1838" i="1"/>
  <c r="I1838" i="1"/>
  <c r="H1838" i="1"/>
  <c r="F1838" i="1"/>
  <c r="E1838" i="1"/>
  <c r="D1838" i="1"/>
  <c r="C1838" i="1"/>
  <c r="L1837" i="1"/>
  <c r="K1837" i="1"/>
  <c r="I1837" i="1"/>
  <c r="H1837" i="1"/>
  <c r="F1837" i="1"/>
  <c r="E1837" i="1"/>
  <c r="D1837" i="1"/>
  <c r="C1837" i="1"/>
  <c r="L1836" i="1"/>
  <c r="K1836" i="1"/>
  <c r="I1836" i="1"/>
  <c r="H1836" i="1"/>
  <c r="F1836" i="1"/>
  <c r="E1836" i="1"/>
  <c r="D1836" i="1"/>
  <c r="C1836" i="1"/>
  <c r="L1835" i="1"/>
  <c r="K1835" i="1"/>
  <c r="I1835" i="1"/>
  <c r="H1835" i="1"/>
  <c r="F1835" i="1"/>
  <c r="E1835" i="1"/>
  <c r="D1835" i="1"/>
  <c r="C1835" i="1"/>
  <c r="L1834" i="1"/>
  <c r="K1834" i="1"/>
  <c r="I1834" i="1"/>
  <c r="H1834" i="1"/>
  <c r="F1834" i="1"/>
  <c r="E1834" i="1"/>
  <c r="D1834" i="1"/>
  <c r="C1834" i="1"/>
  <c r="L1833" i="1"/>
  <c r="K1833" i="1"/>
  <c r="I1833" i="1"/>
  <c r="H1833" i="1"/>
  <c r="F1833" i="1"/>
  <c r="E1833" i="1"/>
  <c r="D1833" i="1"/>
  <c r="C1833" i="1"/>
  <c r="L1832" i="1"/>
  <c r="K1832" i="1"/>
  <c r="I1832" i="1"/>
  <c r="H1832" i="1"/>
  <c r="F1832" i="1"/>
  <c r="E1832" i="1"/>
  <c r="D1832" i="1"/>
  <c r="C1832" i="1"/>
  <c r="L1831" i="1"/>
  <c r="K1831" i="1"/>
  <c r="I1831" i="1"/>
  <c r="H1831" i="1"/>
  <c r="F1831" i="1"/>
  <c r="E1831" i="1"/>
  <c r="D1831" i="1"/>
  <c r="C1831" i="1"/>
  <c r="L1830" i="1"/>
  <c r="K1830" i="1"/>
  <c r="I1830" i="1"/>
  <c r="H1830" i="1"/>
  <c r="F1830" i="1"/>
  <c r="E1830" i="1"/>
  <c r="D1830" i="1"/>
  <c r="C1830" i="1"/>
  <c r="L1829" i="1"/>
  <c r="K1829" i="1"/>
  <c r="I1829" i="1"/>
  <c r="H1829" i="1"/>
  <c r="F1829" i="1"/>
  <c r="E1829" i="1"/>
  <c r="D1829" i="1"/>
  <c r="C1829" i="1"/>
  <c r="L1828" i="1"/>
  <c r="K1828" i="1"/>
  <c r="I1828" i="1"/>
  <c r="H1828" i="1"/>
  <c r="F1828" i="1"/>
  <c r="E1828" i="1"/>
  <c r="D1828" i="1"/>
  <c r="C1828" i="1"/>
  <c r="L1827" i="1"/>
  <c r="K1827" i="1"/>
  <c r="I1827" i="1"/>
  <c r="H1827" i="1"/>
  <c r="F1827" i="1"/>
  <c r="E1827" i="1"/>
  <c r="D1827" i="1"/>
  <c r="C1827" i="1"/>
  <c r="L1826" i="1"/>
  <c r="K1826" i="1"/>
  <c r="I1826" i="1"/>
  <c r="H1826" i="1"/>
  <c r="F1826" i="1"/>
  <c r="E1826" i="1"/>
  <c r="D1826" i="1"/>
  <c r="C1826" i="1"/>
  <c r="L1825" i="1"/>
  <c r="K1825" i="1"/>
  <c r="I1825" i="1"/>
  <c r="H1825" i="1"/>
  <c r="F1825" i="1"/>
  <c r="E1825" i="1"/>
  <c r="D1825" i="1"/>
  <c r="C1825" i="1"/>
  <c r="L1824" i="1"/>
  <c r="K1824" i="1"/>
  <c r="I1824" i="1"/>
  <c r="H1824" i="1"/>
  <c r="F1824" i="1"/>
  <c r="E1824" i="1"/>
  <c r="D1824" i="1"/>
  <c r="C1824" i="1"/>
  <c r="L1823" i="1"/>
  <c r="K1823" i="1"/>
  <c r="I1823" i="1"/>
  <c r="H1823" i="1"/>
  <c r="F1823" i="1"/>
  <c r="E1823" i="1"/>
  <c r="D1823" i="1"/>
  <c r="C1823" i="1"/>
  <c r="L1822" i="1"/>
  <c r="K1822" i="1"/>
  <c r="I1822" i="1"/>
  <c r="H1822" i="1"/>
  <c r="F1822" i="1"/>
  <c r="E1822" i="1"/>
  <c r="D1822" i="1"/>
  <c r="C1822" i="1"/>
  <c r="L1821" i="1"/>
  <c r="K1821" i="1"/>
  <c r="I1821" i="1"/>
  <c r="H1821" i="1"/>
  <c r="F1821" i="1"/>
  <c r="E1821" i="1"/>
  <c r="D1821" i="1"/>
  <c r="C1821" i="1"/>
  <c r="L1820" i="1"/>
  <c r="K1820" i="1"/>
  <c r="I1820" i="1"/>
  <c r="H1820" i="1"/>
  <c r="F1820" i="1"/>
  <c r="E1820" i="1"/>
  <c r="D1820" i="1"/>
  <c r="C1820" i="1"/>
  <c r="L1819" i="1"/>
  <c r="K1819" i="1"/>
  <c r="I1819" i="1"/>
  <c r="H1819" i="1"/>
  <c r="F1819" i="1"/>
  <c r="E1819" i="1"/>
  <c r="D1819" i="1"/>
  <c r="C1819" i="1"/>
  <c r="L1818" i="1"/>
  <c r="K1818" i="1"/>
  <c r="I1818" i="1"/>
  <c r="H1818" i="1"/>
  <c r="F1818" i="1"/>
  <c r="E1818" i="1"/>
  <c r="D1818" i="1"/>
  <c r="C1818" i="1"/>
  <c r="L1817" i="1"/>
  <c r="K1817" i="1"/>
  <c r="I1817" i="1"/>
  <c r="H1817" i="1"/>
  <c r="F1817" i="1"/>
  <c r="E1817" i="1"/>
  <c r="D1817" i="1"/>
  <c r="C1817" i="1"/>
  <c r="L1816" i="1"/>
  <c r="K1816" i="1"/>
  <c r="I1816" i="1"/>
  <c r="H1816" i="1"/>
  <c r="F1816" i="1"/>
  <c r="E1816" i="1"/>
  <c r="D1816" i="1"/>
  <c r="C1816" i="1"/>
  <c r="L1815" i="1"/>
  <c r="K1815" i="1"/>
  <c r="I1815" i="1"/>
  <c r="H1815" i="1"/>
  <c r="F1815" i="1"/>
  <c r="E1815" i="1"/>
  <c r="D1815" i="1"/>
  <c r="C1815" i="1"/>
  <c r="L1814" i="1"/>
  <c r="K1814" i="1"/>
  <c r="I1814" i="1"/>
  <c r="H1814" i="1"/>
  <c r="F1814" i="1"/>
  <c r="E1814" i="1"/>
  <c r="D1814" i="1"/>
  <c r="C1814" i="1"/>
  <c r="L1813" i="1"/>
  <c r="K1813" i="1"/>
  <c r="I1813" i="1"/>
  <c r="H1813" i="1"/>
  <c r="F1813" i="1"/>
  <c r="E1813" i="1"/>
  <c r="D1813" i="1"/>
  <c r="C1813" i="1"/>
  <c r="L1812" i="1"/>
  <c r="K1812" i="1"/>
  <c r="I1812" i="1"/>
  <c r="H1812" i="1"/>
  <c r="F1812" i="1"/>
  <c r="E1812" i="1"/>
  <c r="D1812" i="1"/>
  <c r="C1812" i="1"/>
  <c r="L1811" i="1"/>
  <c r="K1811" i="1"/>
  <c r="I1811" i="1"/>
  <c r="H1811" i="1"/>
  <c r="F1811" i="1"/>
  <c r="E1811" i="1"/>
  <c r="D1811" i="1"/>
  <c r="C1811" i="1"/>
  <c r="L1810" i="1"/>
  <c r="K1810" i="1"/>
  <c r="I1810" i="1"/>
  <c r="H1810" i="1"/>
  <c r="F1810" i="1"/>
  <c r="E1810" i="1"/>
  <c r="D1810" i="1"/>
  <c r="C1810" i="1"/>
  <c r="L1809" i="1"/>
  <c r="K1809" i="1"/>
  <c r="I1809" i="1"/>
  <c r="H1809" i="1"/>
  <c r="F1809" i="1"/>
  <c r="E1809" i="1"/>
  <c r="D1809" i="1"/>
  <c r="C1809" i="1"/>
  <c r="L1808" i="1"/>
  <c r="K1808" i="1"/>
  <c r="I1808" i="1"/>
  <c r="H1808" i="1"/>
  <c r="F1808" i="1"/>
  <c r="E1808" i="1"/>
  <c r="D1808" i="1"/>
  <c r="C1808" i="1"/>
  <c r="L1807" i="1"/>
  <c r="K1807" i="1"/>
  <c r="I1807" i="1"/>
  <c r="H1807" i="1"/>
  <c r="F1807" i="1"/>
  <c r="E1807" i="1"/>
  <c r="D1807" i="1"/>
  <c r="C1807" i="1"/>
  <c r="L1806" i="1"/>
  <c r="K1806" i="1"/>
  <c r="I1806" i="1"/>
  <c r="H1806" i="1"/>
  <c r="F1806" i="1"/>
  <c r="E1806" i="1"/>
  <c r="D1806" i="1"/>
  <c r="C1806" i="1"/>
  <c r="L1805" i="1"/>
  <c r="K1805" i="1"/>
  <c r="I1805" i="1"/>
  <c r="H1805" i="1"/>
  <c r="F1805" i="1"/>
  <c r="E1805" i="1"/>
  <c r="D1805" i="1"/>
  <c r="C1805" i="1"/>
  <c r="L1804" i="1"/>
  <c r="K1804" i="1"/>
  <c r="I1804" i="1"/>
  <c r="H1804" i="1"/>
  <c r="F1804" i="1"/>
  <c r="E1804" i="1"/>
  <c r="D1804" i="1"/>
  <c r="C1804" i="1"/>
  <c r="L1803" i="1"/>
  <c r="K1803" i="1"/>
  <c r="I1803" i="1"/>
  <c r="H1803" i="1"/>
  <c r="F1803" i="1"/>
  <c r="E1803" i="1"/>
  <c r="D1803" i="1"/>
  <c r="C1803" i="1"/>
  <c r="L1802" i="1"/>
  <c r="K1802" i="1"/>
  <c r="I1802" i="1"/>
  <c r="H1802" i="1"/>
  <c r="F1802" i="1"/>
  <c r="E1802" i="1"/>
  <c r="D1802" i="1"/>
  <c r="C1802" i="1"/>
  <c r="L1801" i="1"/>
  <c r="K1801" i="1"/>
  <c r="I1801" i="1"/>
  <c r="H1801" i="1"/>
  <c r="F1801" i="1"/>
  <c r="E1801" i="1"/>
  <c r="D1801" i="1"/>
  <c r="C1801" i="1"/>
  <c r="L1800" i="1"/>
  <c r="K1800" i="1"/>
  <c r="I1800" i="1"/>
  <c r="H1800" i="1"/>
  <c r="F1800" i="1"/>
  <c r="E1800" i="1"/>
  <c r="D1800" i="1"/>
  <c r="C1800" i="1"/>
  <c r="L1799" i="1"/>
  <c r="K1799" i="1"/>
  <c r="I1799" i="1"/>
  <c r="H1799" i="1"/>
  <c r="F1799" i="1"/>
  <c r="E1799" i="1"/>
  <c r="D1799" i="1"/>
  <c r="C1799" i="1"/>
  <c r="L1798" i="1"/>
  <c r="K1798" i="1"/>
  <c r="I1798" i="1"/>
  <c r="H1798" i="1"/>
  <c r="F1798" i="1"/>
  <c r="E1798" i="1"/>
  <c r="D1798" i="1"/>
  <c r="C1798" i="1"/>
  <c r="L1797" i="1"/>
  <c r="K1797" i="1"/>
  <c r="I1797" i="1"/>
  <c r="H1797" i="1"/>
  <c r="F1797" i="1"/>
  <c r="E1797" i="1"/>
  <c r="D1797" i="1"/>
  <c r="C1797" i="1"/>
  <c r="L1796" i="1"/>
  <c r="K1796" i="1"/>
  <c r="I1796" i="1"/>
  <c r="H1796" i="1"/>
  <c r="F1796" i="1"/>
  <c r="E1796" i="1"/>
  <c r="D1796" i="1"/>
  <c r="C1796" i="1"/>
  <c r="L1795" i="1"/>
  <c r="K1795" i="1"/>
  <c r="I1795" i="1"/>
  <c r="H1795" i="1"/>
  <c r="F1795" i="1"/>
  <c r="E1795" i="1"/>
  <c r="D1795" i="1"/>
  <c r="C1795" i="1"/>
  <c r="L1794" i="1"/>
  <c r="K1794" i="1"/>
  <c r="I1794" i="1"/>
  <c r="H1794" i="1"/>
  <c r="F1794" i="1"/>
  <c r="E1794" i="1"/>
  <c r="D1794" i="1"/>
  <c r="C1794" i="1"/>
  <c r="L1793" i="1"/>
  <c r="K1793" i="1"/>
  <c r="I1793" i="1"/>
  <c r="H1793" i="1"/>
  <c r="F1793" i="1"/>
  <c r="E1793" i="1"/>
  <c r="D1793" i="1"/>
  <c r="C1793" i="1"/>
  <c r="L1792" i="1"/>
  <c r="K1792" i="1"/>
  <c r="I1792" i="1"/>
  <c r="H1792" i="1"/>
  <c r="F1792" i="1"/>
  <c r="E1792" i="1"/>
  <c r="D1792" i="1"/>
  <c r="C1792" i="1"/>
  <c r="L1791" i="1"/>
  <c r="K1791" i="1"/>
  <c r="I1791" i="1"/>
  <c r="H1791" i="1"/>
  <c r="F1791" i="1"/>
  <c r="E1791" i="1"/>
  <c r="D1791" i="1"/>
  <c r="C1791" i="1"/>
  <c r="L1790" i="1"/>
  <c r="K1790" i="1"/>
  <c r="I1790" i="1"/>
  <c r="H1790" i="1"/>
  <c r="F1790" i="1"/>
  <c r="E1790" i="1"/>
  <c r="D1790" i="1"/>
  <c r="C1790" i="1"/>
  <c r="L1789" i="1"/>
  <c r="K1789" i="1"/>
  <c r="I1789" i="1"/>
  <c r="H1789" i="1"/>
  <c r="F1789" i="1"/>
  <c r="E1789" i="1"/>
  <c r="D1789" i="1"/>
  <c r="C1789" i="1"/>
  <c r="L1788" i="1"/>
  <c r="K1788" i="1"/>
  <c r="I1788" i="1"/>
  <c r="H1788" i="1"/>
  <c r="F1788" i="1"/>
  <c r="E1788" i="1"/>
  <c r="D1788" i="1"/>
  <c r="C1788" i="1"/>
  <c r="L1787" i="1"/>
  <c r="K1787" i="1"/>
  <c r="I1787" i="1"/>
  <c r="H1787" i="1"/>
  <c r="F1787" i="1"/>
  <c r="E1787" i="1"/>
  <c r="D1787" i="1"/>
  <c r="C1787" i="1"/>
  <c r="L1786" i="1"/>
  <c r="K1786" i="1"/>
  <c r="I1786" i="1"/>
  <c r="H1786" i="1"/>
  <c r="F1786" i="1"/>
  <c r="E1786" i="1"/>
  <c r="D1786" i="1"/>
  <c r="C1786" i="1"/>
  <c r="L1785" i="1"/>
  <c r="K1785" i="1"/>
  <c r="I1785" i="1"/>
  <c r="H1785" i="1"/>
  <c r="F1785" i="1"/>
  <c r="E1785" i="1"/>
  <c r="D1785" i="1"/>
  <c r="C1785" i="1"/>
  <c r="L1784" i="1"/>
  <c r="K1784" i="1"/>
  <c r="I1784" i="1"/>
  <c r="H1784" i="1"/>
  <c r="F1784" i="1"/>
  <c r="E1784" i="1"/>
  <c r="D1784" i="1"/>
  <c r="C1784" i="1"/>
  <c r="L1783" i="1"/>
  <c r="K1783" i="1"/>
  <c r="I1783" i="1"/>
  <c r="H1783" i="1"/>
  <c r="F1783" i="1"/>
  <c r="E1783" i="1"/>
  <c r="D1783" i="1"/>
  <c r="C1783" i="1"/>
  <c r="L1782" i="1"/>
  <c r="K1782" i="1"/>
  <c r="I1782" i="1"/>
  <c r="H1782" i="1"/>
  <c r="F1782" i="1"/>
  <c r="E1782" i="1"/>
  <c r="D1782" i="1"/>
  <c r="C1782" i="1"/>
  <c r="L1781" i="1"/>
  <c r="K1781" i="1"/>
  <c r="I1781" i="1"/>
  <c r="H1781" i="1"/>
  <c r="F1781" i="1"/>
  <c r="E1781" i="1"/>
  <c r="D1781" i="1"/>
  <c r="C1781" i="1"/>
  <c r="L1780" i="1"/>
  <c r="K1780" i="1"/>
  <c r="I1780" i="1"/>
  <c r="H1780" i="1"/>
  <c r="F1780" i="1"/>
  <c r="E1780" i="1"/>
  <c r="D1780" i="1"/>
  <c r="C1780" i="1"/>
  <c r="L1779" i="1"/>
  <c r="K1779" i="1"/>
  <c r="I1779" i="1"/>
  <c r="H1779" i="1"/>
  <c r="F1779" i="1"/>
  <c r="E1779" i="1"/>
  <c r="D1779" i="1"/>
  <c r="C1779" i="1"/>
  <c r="L1778" i="1"/>
  <c r="K1778" i="1"/>
  <c r="I1778" i="1"/>
  <c r="H1778" i="1"/>
  <c r="F1778" i="1"/>
  <c r="E1778" i="1"/>
  <c r="D1778" i="1"/>
  <c r="C1778" i="1"/>
  <c r="L1777" i="1"/>
  <c r="K1777" i="1"/>
  <c r="I1777" i="1"/>
  <c r="H1777" i="1"/>
  <c r="F1777" i="1"/>
  <c r="E1777" i="1"/>
  <c r="D1777" i="1"/>
  <c r="C1777" i="1"/>
  <c r="L1776" i="1"/>
  <c r="K1776" i="1"/>
  <c r="I1776" i="1"/>
  <c r="H1776" i="1"/>
  <c r="F1776" i="1"/>
  <c r="E1776" i="1"/>
  <c r="D1776" i="1"/>
  <c r="C1776" i="1"/>
  <c r="L1775" i="1"/>
  <c r="K1775" i="1"/>
  <c r="I1775" i="1"/>
  <c r="H1775" i="1"/>
  <c r="F1775" i="1"/>
  <c r="E1775" i="1"/>
  <c r="D1775" i="1"/>
  <c r="C1775" i="1"/>
  <c r="L1774" i="1"/>
  <c r="K1774" i="1"/>
  <c r="I1774" i="1"/>
  <c r="H1774" i="1"/>
  <c r="F1774" i="1"/>
  <c r="E1774" i="1"/>
  <c r="D1774" i="1"/>
  <c r="C1774" i="1"/>
  <c r="L1773" i="1"/>
  <c r="K1773" i="1"/>
  <c r="I1773" i="1"/>
  <c r="H1773" i="1"/>
  <c r="F1773" i="1"/>
  <c r="E1773" i="1"/>
  <c r="D1773" i="1"/>
  <c r="C1773" i="1"/>
  <c r="L1772" i="1"/>
  <c r="K1772" i="1"/>
  <c r="I1772" i="1"/>
  <c r="H1772" i="1"/>
  <c r="F1772" i="1"/>
  <c r="E1772" i="1"/>
  <c r="D1772" i="1"/>
  <c r="C1772" i="1"/>
  <c r="L1771" i="1"/>
  <c r="K1771" i="1"/>
  <c r="I1771" i="1"/>
  <c r="H1771" i="1"/>
  <c r="F1771" i="1"/>
  <c r="E1771" i="1"/>
  <c r="D1771" i="1"/>
  <c r="C1771" i="1"/>
  <c r="L1770" i="1"/>
  <c r="K1770" i="1"/>
  <c r="I1770" i="1"/>
  <c r="H1770" i="1"/>
  <c r="F1770" i="1"/>
  <c r="E1770" i="1"/>
  <c r="D1770" i="1"/>
  <c r="C1770" i="1"/>
  <c r="L1769" i="1"/>
  <c r="K1769" i="1"/>
  <c r="I1769" i="1"/>
  <c r="H1769" i="1"/>
  <c r="F1769" i="1"/>
  <c r="E1769" i="1"/>
  <c r="D1769" i="1"/>
  <c r="C1769" i="1"/>
  <c r="L1768" i="1"/>
  <c r="K1768" i="1"/>
  <c r="I1768" i="1"/>
  <c r="H1768" i="1"/>
  <c r="F1768" i="1"/>
  <c r="E1768" i="1"/>
  <c r="D1768" i="1"/>
  <c r="C1768" i="1"/>
  <c r="L1767" i="1"/>
  <c r="K1767" i="1"/>
  <c r="I1767" i="1"/>
  <c r="H1767" i="1"/>
  <c r="F1767" i="1"/>
  <c r="E1767" i="1"/>
  <c r="D1767" i="1"/>
  <c r="C1767" i="1"/>
  <c r="L1766" i="1"/>
  <c r="K1766" i="1"/>
  <c r="I1766" i="1"/>
  <c r="H1766" i="1"/>
  <c r="F1766" i="1"/>
  <c r="E1766" i="1"/>
  <c r="D1766" i="1"/>
  <c r="C1766" i="1"/>
  <c r="L1765" i="1"/>
  <c r="K1765" i="1"/>
  <c r="I1765" i="1"/>
  <c r="H1765" i="1"/>
  <c r="F1765" i="1"/>
  <c r="E1765" i="1"/>
  <c r="D1765" i="1"/>
  <c r="C1765" i="1"/>
  <c r="L1764" i="1"/>
  <c r="K1764" i="1"/>
  <c r="I1764" i="1"/>
  <c r="H1764" i="1"/>
  <c r="F1764" i="1"/>
  <c r="E1764" i="1"/>
  <c r="D1764" i="1"/>
  <c r="C1764" i="1"/>
  <c r="L1763" i="1"/>
  <c r="K1763" i="1"/>
  <c r="I1763" i="1"/>
  <c r="H1763" i="1"/>
  <c r="F1763" i="1"/>
  <c r="E1763" i="1"/>
  <c r="D1763" i="1"/>
  <c r="C1763" i="1"/>
  <c r="L1762" i="1"/>
  <c r="K1762" i="1"/>
  <c r="I1762" i="1"/>
  <c r="H1762" i="1"/>
  <c r="F1762" i="1"/>
  <c r="E1762" i="1"/>
  <c r="D1762" i="1"/>
  <c r="C1762" i="1"/>
  <c r="L1761" i="1"/>
  <c r="K1761" i="1"/>
  <c r="I1761" i="1"/>
  <c r="H1761" i="1"/>
  <c r="F1761" i="1"/>
  <c r="E1761" i="1"/>
  <c r="D1761" i="1"/>
  <c r="C1761" i="1"/>
  <c r="L1760" i="1"/>
  <c r="K1760" i="1"/>
  <c r="I1760" i="1"/>
  <c r="H1760" i="1"/>
  <c r="F1760" i="1"/>
  <c r="E1760" i="1"/>
  <c r="D1760" i="1"/>
  <c r="C1760" i="1"/>
  <c r="L1759" i="1"/>
  <c r="K1759" i="1"/>
  <c r="I1759" i="1"/>
  <c r="H1759" i="1"/>
  <c r="F1759" i="1"/>
  <c r="E1759" i="1"/>
  <c r="D1759" i="1"/>
  <c r="C1759" i="1"/>
  <c r="L1758" i="1"/>
  <c r="K1758" i="1"/>
  <c r="I1758" i="1"/>
  <c r="H1758" i="1"/>
  <c r="F1758" i="1"/>
  <c r="E1758" i="1"/>
  <c r="D1758" i="1"/>
  <c r="C1758" i="1"/>
  <c r="L1757" i="1"/>
  <c r="K1757" i="1"/>
  <c r="I1757" i="1"/>
  <c r="H1757" i="1"/>
  <c r="F1757" i="1"/>
  <c r="E1757" i="1"/>
  <c r="D1757" i="1"/>
  <c r="C1757" i="1"/>
  <c r="L1756" i="1"/>
  <c r="K1756" i="1"/>
  <c r="I1756" i="1"/>
  <c r="H1756" i="1"/>
  <c r="F1756" i="1"/>
  <c r="E1756" i="1"/>
  <c r="D1756" i="1"/>
  <c r="C1756" i="1"/>
  <c r="L1755" i="1"/>
  <c r="K1755" i="1"/>
  <c r="I1755" i="1"/>
  <c r="H1755" i="1"/>
  <c r="F1755" i="1"/>
  <c r="E1755" i="1"/>
  <c r="D1755" i="1"/>
  <c r="C1755" i="1"/>
  <c r="L1754" i="1"/>
  <c r="K1754" i="1"/>
  <c r="I1754" i="1"/>
  <c r="H1754" i="1"/>
  <c r="F1754" i="1"/>
  <c r="E1754" i="1"/>
  <c r="D1754" i="1"/>
  <c r="C1754" i="1"/>
  <c r="L1753" i="1"/>
  <c r="K1753" i="1"/>
  <c r="I1753" i="1"/>
  <c r="H1753" i="1"/>
  <c r="F1753" i="1"/>
  <c r="E1753" i="1"/>
  <c r="D1753" i="1"/>
  <c r="C1753" i="1"/>
  <c r="L1752" i="1"/>
  <c r="K1752" i="1"/>
  <c r="I1752" i="1"/>
  <c r="H1752" i="1"/>
  <c r="F1752" i="1"/>
  <c r="E1752" i="1"/>
  <c r="D1752" i="1"/>
  <c r="C1752" i="1"/>
  <c r="L1751" i="1"/>
  <c r="K1751" i="1"/>
  <c r="I1751" i="1"/>
  <c r="H1751" i="1"/>
  <c r="F1751" i="1"/>
  <c r="E1751" i="1"/>
  <c r="D1751" i="1"/>
  <c r="C1751" i="1"/>
  <c r="L1750" i="1"/>
  <c r="K1750" i="1"/>
  <c r="I1750" i="1"/>
  <c r="H1750" i="1"/>
  <c r="F1750" i="1"/>
  <c r="E1750" i="1"/>
  <c r="D1750" i="1"/>
  <c r="C1750" i="1"/>
  <c r="L1749" i="1"/>
  <c r="K1749" i="1"/>
  <c r="I1749" i="1"/>
  <c r="H1749" i="1"/>
  <c r="F1749" i="1"/>
  <c r="E1749" i="1"/>
  <c r="D1749" i="1"/>
  <c r="C1749" i="1"/>
  <c r="L1748" i="1"/>
  <c r="K1748" i="1"/>
  <c r="I1748" i="1"/>
  <c r="H1748" i="1"/>
  <c r="F1748" i="1"/>
  <c r="E1748" i="1"/>
  <c r="D1748" i="1"/>
  <c r="C1748" i="1"/>
  <c r="L1747" i="1"/>
  <c r="K1747" i="1"/>
  <c r="I1747" i="1"/>
  <c r="H1747" i="1"/>
  <c r="F1747" i="1"/>
  <c r="E1747" i="1"/>
  <c r="D1747" i="1"/>
  <c r="C1747" i="1"/>
  <c r="L1746" i="1"/>
  <c r="K1746" i="1"/>
  <c r="I1746" i="1"/>
  <c r="H1746" i="1"/>
  <c r="F1746" i="1"/>
  <c r="E1746" i="1"/>
  <c r="D1746" i="1"/>
  <c r="C1746" i="1"/>
  <c r="L1745" i="1"/>
  <c r="K1745" i="1"/>
  <c r="I1745" i="1"/>
  <c r="H1745" i="1"/>
  <c r="F1745" i="1"/>
  <c r="E1745" i="1"/>
  <c r="D1745" i="1"/>
  <c r="C1745" i="1"/>
  <c r="L1744" i="1"/>
  <c r="K1744" i="1"/>
  <c r="I1744" i="1"/>
  <c r="H1744" i="1"/>
  <c r="F1744" i="1"/>
  <c r="E1744" i="1"/>
  <c r="D1744" i="1"/>
  <c r="C1744" i="1"/>
  <c r="L1743" i="1"/>
  <c r="K1743" i="1"/>
  <c r="I1743" i="1"/>
  <c r="H1743" i="1"/>
  <c r="F1743" i="1"/>
  <c r="E1743" i="1"/>
  <c r="D1743" i="1"/>
  <c r="C1743" i="1"/>
  <c r="L1742" i="1"/>
  <c r="K1742" i="1"/>
  <c r="I1742" i="1"/>
  <c r="H1742" i="1"/>
  <c r="F1742" i="1"/>
  <c r="E1742" i="1"/>
  <c r="D1742" i="1"/>
  <c r="C1742" i="1"/>
  <c r="L1741" i="1"/>
  <c r="K1741" i="1"/>
  <c r="I1741" i="1"/>
  <c r="H1741" i="1"/>
  <c r="F1741" i="1"/>
  <c r="E1741" i="1"/>
  <c r="D1741" i="1"/>
  <c r="C1741" i="1"/>
  <c r="L1740" i="1"/>
  <c r="K1740" i="1"/>
  <c r="I1740" i="1"/>
  <c r="H1740" i="1"/>
  <c r="F1740" i="1"/>
  <c r="E1740" i="1"/>
  <c r="D1740" i="1"/>
  <c r="C1740" i="1"/>
  <c r="L1739" i="1"/>
  <c r="K1739" i="1"/>
  <c r="I1739" i="1"/>
  <c r="H1739" i="1"/>
  <c r="F1739" i="1"/>
  <c r="E1739" i="1"/>
  <c r="D1739" i="1"/>
  <c r="C1739" i="1"/>
  <c r="L1738" i="1"/>
  <c r="K1738" i="1"/>
  <c r="I1738" i="1"/>
  <c r="H1738" i="1"/>
  <c r="F1738" i="1"/>
  <c r="E1738" i="1"/>
  <c r="D1738" i="1"/>
  <c r="C1738" i="1"/>
  <c r="L1737" i="1"/>
  <c r="K1737" i="1"/>
  <c r="I1737" i="1"/>
  <c r="H1737" i="1"/>
  <c r="F1737" i="1"/>
  <c r="E1737" i="1"/>
  <c r="D1737" i="1"/>
  <c r="C1737" i="1"/>
  <c r="L1736" i="1"/>
  <c r="K1736" i="1"/>
  <c r="I1736" i="1"/>
  <c r="H1736" i="1"/>
  <c r="F1736" i="1"/>
  <c r="E1736" i="1"/>
  <c r="D1736" i="1"/>
  <c r="C1736" i="1"/>
  <c r="L1735" i="1"/>
  <c r="K1735" i="1"/>
  <c r="I1735" i="1"/>
  <c r="H1735" i="1"/>
  <c r="F1735" i="1"/>
  <c r="E1735" i="1"/>
  <c r="D1735" i="1"/>
  <c r="C1735" i="1"/>
  <c r="L1734" i="1"/>
  <c r="K1734" i="1"/>
  <c r="I1734" i="1"/>
  <c r="H1734" i="1"/>
  <c r="F1734" i="1"/>
  <c r="E1734" i="1"/>
  <c r="D1734" i="1"/>
  <c r="C1734" i="1"/>
  <c r="L1733" i="1"/>
  <c r="K1733" i="1"/>
  <c r="I1733" i="1"/>
  <c r="H1733" i="1"/>
  <c r="F1733" i="1"/>
  <c r="E1733" i="1"/>
  <c r="D1733" i="1"/>
  <c r="C1733" i="1"/>
  <c r="L1732" i="1"/>
  <c r="K1732" i="1"/>
  <c r="I1732" i="1"/>
  <c r="H1732" i="1"/>
  <c r="F1732" i="1"/>
  <c r="E1732" i="1"/>
  <c r="D1732" i="1"/>
  <c r="C1732" i="1"/>
  <c r="L1731" i="1"/>
  <c r="K1731" i="1"/>
  <c r="I1731" i="1"/>
  <c r="H1731" i="1"/>
  <c r="F1731" i="1"/>
  <c r="E1731" i="1"/>
  <c r="D1731" i="1"/>
  <c r="C1731" i="1"/>
  <c r="L1730" i="1"/>
  <c r="K1730" i="1"/>
  <c r="I1730" i="1"/>
  <c r="H1730" i="1"/>
  <c r="F1730" i="1"/>
  <c r="E1730" i="1"/>
  <c r="D1730" i="1"/>
  <c r="C1730" i="1"/>
  <c r="L1729" i="1"/>
  <c r="K1729" i="1"/>
  <c r="I1729" i="1"/>
  <c r="H1729" i="1"/>
  <c r="F1729" i="1"/>
  <c r="E1729" i="1"/>
  <c r="D1729" i="1"/>
  <c r="C1729" i="1"/>
  <c r="L1728" i="1"/>
  <c r="K1728" i="1"/>
  <c r="I1728" i="1"/>
  <c r="H1728" i="1"/>
  <c r="F1728" i="1"/>
  <c r="E1728" i="1"/>
  <c r="D1728" i="1"/>
  <c r="C1728" i="1"/>
  <c r="L1727" i="1"/>
  <c r="K1727" i="1"/>
  <c r="I1727" i="1"/>
  <c r="H1727" i="1"/>
  <c r="F1727" i="1"/>
  <c r="E1727" i="1"/>
  <c r="D1727" i="1"/>
  <c r="C1727" i="1"/>
  <c r="L1726" i="1"/>
  <c r="K1726" i="1"/>
  <c r="I1726" i="1"/>
  <c r="H1726" i="1"/>
  <c r="F1726" i="1"/>
  <c r="E1726" i="1"/>
  <c r="D1726" i="1"/>
  <c r="C1726" i="1"/>
  <c r="L1725" i="1"/>
  <c r="K1725" i="1"/>
  <c r="I1725" i="1"/>
  <c r="H1725" i="1"/>
  <c r="F1725" i="1"/>
  <c r="E1725" i="1"/>
  <c r="D1725" i="1"/>
  <c r="C1725" i="1"/>
  <c r="L1724" i="1"/>
  <c r="K1724" i="1"/>
  <c r="I1724" i="1"/>
  <c r="H1724" i="1"/>
  <c r="F1724" i="1"/>
  <c r="E1724" i="1"/>
  <c r="D1724" i="1"/>
  <c r="C1724" i="1"/>
  <c r="L1723" i="1"/>
  <c r="K1723" i="1"/>
  <c r="I1723" i="1"/>
  <c r="H1723" i="1"/>
  <c r="F1723" i="1"/>
  <c r="E1723" i="1"/>
  <c r="D1723" i="1"/>
  <c r="C1723" i="1"/>
  <c r="L1722" i="1"/>
  <c r="K1722" i="1"/>
  <c r="I1722" i="1"/>
  <c r="H1722" i="1"/>
  <c r="F1722" i="1"/>
  <c r="E1722" i="1"/>
  <c r="D1722" i="1"/>
  <c r="C1722" i="1"/>
  <c r="L1721" i="1"/>
  <c r="K1721" i="1"/>
  <c r="I1721" i="1"/>
  <c r="H1721" i="1"/>
  <c r="F1721" i="1"/>
  <c r="E1721" i="1"/>
  <c r="D1721" i="1"/>
  <c r="C1721" i="1"/>
  <c r="L1720" i="1"/>
  <c r="K1720" i="1"/>
  <c r="I1720" i="1"/>
  <c r="H1720" i="1"/>
  <c r="F1720" i="1"/>
  <c r="E1720" i="1"/>
  <c r="D1720" i="1"/>
  <c r="C1720" i="1"/>
  <c r="L1719" i="1"/>
  <c r="K1719" i="1"/>
  <c r="I1719" i="1"/>
  <c r="H1719" i="1"/>
  <c r="F1719" i="1"/>
  <c r="E1719" i="1"/>
  <c r="D1719" i="1"/>
  <c r="C1719" i="1"/>
  <c r="L1718" i="1"/>
  <c r="K1718" i="1"/>
  <c r="I1718" i="1"/>
  <c r="H1718" i="1"/>
  <c r="F1718" i="1"/>
  <c r="E1718" i="1"/>
  <c r="D1718" i="1"/>
  <c r="C1718" i="1"/>
  <c r="L1717" i="1"/>
  <c r="K1717" i="1"/>
  <c r="I1717" i="1"/>
  <c r="H1717" i="1"/>
  <c r="F1717" i="1"/>
  <c r="E1717" i="1"/>
  <c r="D1717" i="1"/>
  <c r="C1717" i="1"/>
  <c r="L1716" i="1"/>
  <c r="K1716" i="1"/>
  <c r="I1716" i="1"/>
  <c r="H1716" i="1"/>
  <c r="F1716" i="1"/>
  <c r="E1716" i="1"/>
  <c r="D1716" i="1"/>
  <c r="C1716" i="1"/>
  <c r="L1715" i="1"/>
  <c r="K1715" i="1"/>
  <c r="I1715" i="1"/>
  <c r="H1715" i="1"/>
  <c r="F1715" i="1"/>
  <c r="E1715" i="1"/>
  <c r="D1715" i="1"/>
  <c r="C1715" i="1"/>
  <c r="L1714" i="1"/>
  <c r="K1714" i="1"/>
  <c r="I1714" i="1"/>
  <c r="H1714" i="1"/>
  <c r="F1714" i="1"/>
  <c r="E1714" i="1"/>
  <c r="D1714" i="1"/>
  <c r="C1714" i="1"/>
  <c r="L1713" i="1"/>
  <c r="K1713" i="1"/>
  <c r="I1713" i="1"/>
  <c r="H1713" i="1"/>
  <c r="F1713" i="1"/>
  <c r="E1713" i="1"/>
  <c r="D1713" i="1"/>
  <c r="C1713" i="1"/>
  <c r="L1712" i="1"/>
  <c r="K1712" i="1"/>
  <c r="I1712" i="1"/>
  <c r="H1712" i="1"/>
  <c r="F1712" i="1"/>
  <c r="E1712" i="1"/>
  <c r="D1712" i="1"/>
  <c r="C1712" i="1"/>
  <c r="L1711" i="1"/>
  <c r="K1711" i="1"/>
  <c r="I1711" i="1"/>
  <c r="H1711" i="1"/>
  <c r="F1711" i="1"/>
  <c r="E1711" i="1"/>
  <c r="D1711" i="1"/>
  <c r="C1711" i="1"/>
  <c r="L1710" i="1"/>
  <c r="K1710" i="1"/>
  <c r="I1710" i="1"/>
  <c r="H1710" i="1"/>
  <c r="F1710" i="1"/>
  <c r="E1710" i="1"/>
  <c r="D1710" i="1"/>
  <c r="C1710" i="1"/>
  <c r="L1709" i="1"/>
  <c r="K1709" i="1"/>
  <c r="I1709" i="1"/>
  <c r="H1709" i="1"/>
  <c r="F1709" i="1"/>
  <c r="E1709" i="1"/>
  <c r="D1709" i="1"/>
  <c r="C1709" i="1"/>
  <c r="L1708" i="1"/>
  <c r="K1708" i="1"/>
  <c r="I1708" i="1"/>
  <c r="H1708" i="1"/>
  <c r="F1708" i="1"/>
  <c r="E1708" i="1"/>
  <c r="D1708" i="1"/>
  <c r="C1708" i="1"/>
  <c r="L1707" i="1"/>
  <c r="K1707" i="1"/>
  <c r="I1707" i="1"/>
  <c r="H1707" i="1"/>
  <c r="F1707" i="1"/>
  <c r="E1707" i="1"/>
  <c r="D1707" i="1"/>
  <c r="C1707" i="1"/>
  <c r="L1706" i="1"/>
  <c r="K1706" i="1"/>
  <c r="I1706" i="1"/>
  <c r="H1706" i="1"/>
  <c r="F1706" i="1"/>
  <c r="E1706" i="1"/>
  <c r="D1706" i="1"/>
  <c r="C1706" i="1"/>
  <c r="L1705" i="1"/>
  <c r="K1705" i="1"/>
  <c r="I1705" i="1"/>
  <c r="H1705" i="1"/>
  <c r="F1705" i="1"/>
  <c r="E1705" i="1"/>
  <c r="D1705" i="1"/>
  <c r="C1705" i="1"/>
  <c r="L1704" i="1"/>
  <c r="K1704" i="1"/>
  <c r="I1704" i="1"/>
  <c r="H1704" i="1"/>
  <c r="F1704" i="1"/>
  <c r="E1704" i="1"/>
  <c r="D1704" i="1"/>
  <c r="C1704" i="1"/>
  <c r="L1703" i="1"/>
  <c r="K1703" i="1"/>
  <c r="I1703" i="1"/>
  <c r="H1703" i="1"/>
  <c r="F1703" i="1"/>
  <c r="E1703" i="1"/>
  <c r="D1703" i="1"/>
  <c r="C1703" i="1"/>
  <c r="L1702" i="1"/>
  <c r="K1702" i="1"/>
  <c r="I1702" i="1"/>
  <c r="H1702" i="1"/>
  <c r="F1702" i="1"/>
  <c r="E1702" i="1"/>
  <c r="D1702" i="1"/>
  <c r="C1702" i="1"/>
  <c r="L1701" i="1"/>
  <c r="K1701" i="1"/>
  <c r="I1701" i="1"/>
  <c r="H1701" i="1"/>
  <c r="F1701" i="1"/>
  <c r="E1701" i="1"/>
  <c r="D1701" i="1"/>
  <c r="C1701" i="1"/>
  <c r="L1700" i="1"/>
  <c r="K1700" i="1"/>
  <c r="I1700" i="1"/>
  <c r="H1700" i="1"/>
  <c r="F1700" i="1"/>
  <c r="E1700" i="1"/>
  <c r="D1700" i="1"/>
  <c r="C1700" i="1"/>
  <c r="L1699" i="1"/>
  <c r="K1699" i="1"/>
  <c r="I1699" i="1"/>
  <c r="H1699" i="1"/>
  <c r="F1699" i="1"/>
  <c r="E1699" i="1"/>
  <c r="D1699" i="1"/>
  <c r="C1699" i="1"/>
  <c r="L1698" i="1"/>
  <c r="K1698" i="1"/>
  <c r="I1698" i="1"/>
  <c r="H1698" i="1"/>
  <c r="F1698" i="1"/>
  <c r="E1698" i="1"/>
  <c r="D1698" i="1"/>
  <c r="C1698" i="1"/>
  <c r="L1697" i="1"/>
  <c r="K1697" i="1"/>
  <c r="I1697" i="1"/>
  <c r="H1697" i="1"/>
  <c r="F1697" i="1"/>
  <c r="E1697" i="1"/>
  <c r="D1697" i="1"/>
  <c r="C1697" i="1"/>
  <c r="L1696" i="1"/>
  <c r="K1696" i="1"/>
  <c r="I1696" i="1"/>
  <c r="H1696" i="1"/>
  <c r="F1696" i="1"/>
  <c r="E1696" i="1"/>
  <c r="D1696" i="1"/>
  <c r="C1696" i="1"/>
  <c r="L1695" i="1"/>
  <c r="K1695" i="1"/>
  <c r="I1695" i="1"/>
  <c r="H1695" i="1"/>
  <c r="F1695" i="1"/>
  <c r="E1695" i="1"/>
  <c r="D1695" i="1"/>
  <c r="C1695" i="1"/>
  <c r="L1694" i="1"/>
  <c r="K1694" i="1"/>
  <c r="I1694" i="1"/>
  <c r="H1694" i="1"/>
  <c r="F1694" i="1"/>
  <c r="E1694" i="1"/>
  <c r="D1694" i="1"/>
  <c r="C1694" i="1"/>
  <c r="L1693" i="1"/>
  <c r="K1693" i="1"/>
  <c r="I1693" i="1"/>
  <c r="H1693" i="1"/>
  <c r="F1693" i="1"/>
  <c r="E1693" i="1"/>
  <c r="D1693" i="1"/>
  <c r="C1693" i="1"/>
  <c r="L1692" i="1"/>
  <c r="K1692" i="1"/>
  <c r="I1692" i="1"/>
  <c r="H1692" i="1"/>
  <c r="F1692" i="1"/>
  <c r="E1692" i="1"/>
  <c r="D1692" i="1"/>
  <c r="C1692" i="1"/>
  <c r="L1691" i="1"/>
  <c r="K1691" i="1"/>
  <c r="I1691" i="1"/>
  <c r="H1691" i="1"/>
  <c r="F1691" i="1"/>
  <c r="E1691" i="1"/>
  <c r="D1691" i="1"/>
  <c r="C1691" i="1"/>
  <c r="L1690" i="1"/>
  <c r="K1690" i="1"/>
  <c r="I1690" i="1"/>
  <c r="H1690" i="1"/>
  <c r="F1690" i="1"/>
  <c r="E1690" i="1"/>
  <c r="D1690" i="1"/>
  <c r="C1690" i="1"/>
  <c r="L1689" i="1"/>
  <c r="K1689" i="1"/>
  <c r="I1689" i="1"/>
  <c r="H1689" i="1"/>
  <c r="F1689" i="1"/>
  <c r="E1689" i="1"/>
  <c r="D1689" i="1"/>
  <c r="C1689" i="1"/>
  <c r="L1688" i="1"/>
  <c r="K1688" i="1"/>
  <c r="I1688" i="1"/>
  <c r="H1688" i="1"/>
  <c r="F1688" i="1"/>
  <c r="E1688" i="1"/>
  <c r="D1688" i="1"/>
  <c r="C1688" i="1"/>
  <c r="L1687" i="1"/>
  <c r="K1687" i="1"/>
  <c r="I1687" i="1"/>
  <c r="H1687" i="1"/>
  <c r="F1687" i="1"/>
  <c r="E1687" i="1"/>
  <c r="D1687" i="1"/>
  <c r="C1687" i="1"/>
  <c r="L1686" i="1"/>
  <c r="K1686" i="1"/>
  <c r="I1686" i="1"/>
  <c r="H1686" i="1"/>
  <c r="F1686" i="1"/>
  <c r="E1686" i="1"/>
  <c r="D1686" i="1"/>
  <c r="C1686" i="1"/>
  <c r="L1685" i="1"/>
  <c r="K1685" i="1"/>
  <c r="I1685" i="1"/>
  <c r="H1685" i="1"/>
  <c r="F1685" i="1"/>
  <c r="E1685" i="1"/>
  <c r="D1685" i="1"/>
  <c r="C1685" i="1"/>
  <c r="L1684" i="1"/>
  <c r="K1684" i="1"/>
  <c r="I1684" i="1"/>
  <c r="H1684" i="1"/>
  <c r="F1684" i="1"/>
  <c r="E1684" i="1"/>
  <c r="D1684" i="1"/>
  <c r="C1684" i="1"/>
  <c r="L1683" i="1"/>
  <c r="K1683" i="1"/>
  <c r="I1683" i="1"/>
  <c r="H1683" i="1"/>
  <c r="F1683" i="1"/>
  <c r="E1683" i="1"/>
  <c r="D1683" i="1"/>
  <c r="C1683" i="1"/>
  <c r="L1682" i="1"/>
  <c r="K1682" i="1"/>
  <c r="I1682" i="1"/>
  <c r="H1682" i="1"/>
  <c r="F1682" i="1"/>
  <c r="E1682" i="1"/>
  <c r="D1682" i="1"/>
  <c r="C1682" i="1"/>
  <c r="L1681" i="1"/>
  <c r="K1681" i="1"/>
  <c r="I1681" i="1"/>
  <c r="H1681" i="1"/>
  <c r="F1681" i="1"/>
  <c r="E1681" i="1"/>
  <c r="D1681" i="1"/>
  <c r="C1681" i="1"/>
  <c r="L1680" i="1"/>
  <c r="K1680" i="1"/>
  <c r="I1680" i="1"/>
  <c r="H1680" i="1"/>
  <c r="F1680" i="1"/>
  <c r="E1680" i="1"/>
  <c r="D1680" i="1"/>
  <c r="C1680" i="1"/>
  <c r="L1679" i="1"/>
  <c r="K1679" i="1"/>
  <c r="I1679" i="1"/>
  <c r="H1679" i="1"/>
  <c r="F1679" i="1"/>
  <c r="E1679" i="1"/>
  <c r="D1679" i="1"/>
  <c r="C1679" i="1"/>
  <c r="L1678" i="1"/>
  <c r="K1678" i="1"/>
  <c r="I1678" i="1"/>
  <c r="H1678" i="1"/>
  <c r="F1678" i="1"/>
  <c r="E1678" i="1"/>
  <c r="D1678" i="1"/>
  <c r="C1678" i="1"/>
  <c r="L1677" i="1"/>
  <c r="K1677" i="1"/>
  <c r="I1677" i="1"/>
  <c r="H1677" i="1"/>
  <c r="F1677" i="1"/>
  <c r="E1677" i="1"/>
  <c r="D1677" i="1"/>
  <c r="C1677" i="1"/>
  <c r="L1676" i="1"/>
  <c r="K1676" i="1"/>
  <c r="I1676" i="1"/>
  <c r="H1676" i="1"/>
  <c r="F1676" i="1"/>
  <c r="E1676" i="1"/>
  <c r="D1676" i="1"/>
  <c r="C1676" i="1"/>
  <c r="L1675" i="1"/>
  <c r="K1675" i="1"/>
  <c r="I1675" i="1"/>
  <c r="H1675" i="1"/>
  <c r="F1675" i="1"/>
  <c r="E1675" i="1"/>
  <c r="D1675" i="1"/>
  <c r="C1675" i="1"/>
  <c r="L1674" i="1"/>
  <c r="K1674" i="1"/>
  <c r="I1674" i="1"/>
  <c r="H1674" i="1"/>
  <c r="F1674" i="1"/>
  <c r="E1674" i="1"/>
  <c r="D1674" i="1"/>
  <c r="C1674" i="1"/>
  <c r="L1673" i="1"/>
  <c r="K1673" i="1"/>
  <c r="I1673" i="1"/>
  <c r="H1673" i="1"/>
  <c r="F1673" i="1"/>
  <c r="E1673" i="1"/>
  <c r="D1673" i="1"/>
  <c r="C1673" i="1"/>
  <c r="L1672" i="1"/>
  <c r="K1672" i="1"/>
  <c r="I1672" i="1"/>
  <c r="H1672" i="1"/>
  <c r="F1672" i="1"/>
  <c r="E1672" i="1"/>
  <c r="D1672" i="1"/>
  <c r="C1672" i="1"/>
  <c r="L1671" i="1"/>
  <c r="K1671" i="1"/>
  <c r="I1671" i="1"/>
  <c r="H1671" i="1"/>
  <c r="F1671" i="1"/>
  <c r="E1671" i="1"/>
  <c r="D1671" i="1"/>
  <c r="C1671" i="1"/>
  <c r="L1670" i="1"/>
  <c r="K1670" i="1"/>
  <c r="I1670" i="1"/>
  <c r="H1670" i="1"/>
  <c r="F1670" i="1"/>
  <c r="E1670" i="1"/>
  <c r="D1670" i="1"/>
  <c r="C1670" i="1"/>
  <c r="L1669" i="1"/>
  <c r="K1669" i="1"/>
  <c r="I1669" i="1"/>
  <c r="H1669" i="1"/>
  <c r="F1669" i="1"/>
  <c r="E1669" i="1"/>
  <c r="D1669" i="1"/>
  <c r="C1669" i="1"/>
  <c r="L1668" i="1"/>
  <c r="K1668" i="1"/>
  <c r="I1668" i="1"/>
  <c r="H1668" i="1"/>
  <c r="F1668" i="1"/>
  <c r="E1668" i="1"/>
  <c r="D1668" i="1"/>
  <c r="C1668" i="1"/>
  <c r="L1667" i="1"/>
  <c r="K1667" i="1"/>
  <c r="I1667" i="1"/>
  <c r="H1667" i="1"/>
  <c r="F1667" i="1"/>
  <c r="E1667" i="1"/>
  <c r="D1667" i="1"/>
  <c r="C1667" i="1"/>
  <c r="L1666" i="1"/>
  <c r="K1666" i="1"/>
  <c r="I1666" i="1"/>
  <c r="H1666" i="1"/>
  <c r="F1666" i="1"/>
  <c r="E1666" i="1"/>
  <c r="D1666" i="1"/>
  <c r="C1666" i="1"/>
  <c r="L1665" i="1"/>
  <c r="K1665" i="1"/>
  <c r="I1665" i="1"/>
  <c r="H1665" i="1"/>
  <c r="F1665" i="1"/>
  <c r="E1665" i="1"/>
  <c r="D1665" i="1"/>
  <c r="C1665" i="1"/>
  <c r="L1664" i="1"/>
  <c r="K1664" i="1"/>
  <c r="I1664" i="1"/>
  <c r="H1664" i="1"/>
  <c r="F1664" i="1"/>
  <c r="E1664" i="1"/>
  <c r="D1664" i="1"/>
  <c r="C1664" i="1"/>
  <c r="L1663" i="1"/>
  <c r="K1663" i="1"/>
  <c r="I1663" i="1"/>
  <c r="H1663" i="1"/>
  <c r="F1663" i="1"/>
  <c r="E1663" i="1"/>
  <c r="D1663" i="1"/>
  <c r="C1663" i="1"/>
  <c r="L1662" i="1"/>
  <c r="K1662" i="1"/>
  <c r="I1662" i="1"/>
  <c r="H1662" i="1"/>
  <c r="F1662" i="1"/>
  <c r="E1662" i="1"/>
  <c r="D1662" i="1"/>
  <c r="C1662" i="1"/>
  <c r="L1661" i="1"/>
  <c r="K1661" i="1"/>
  <c r="I1661" i="1"/>
  <c r="H1661" i="1"/>
  <c r="F1661" i="1"/>
  <c r="E1661" i="1"/>
  <c r="D1661" i="1"/>
  <c r="C1661" i="1"/>
  <c r="L1660" i="1"/>
  <c r="K1660" i="1"/>
  <c r="I1660" i="1"/>
  <c r="H1660" i="1"/>
  <c r="F1660" i="1"/>
  <c r="E1660" i="1"/>
  <c r="D1660" i="1"/>
  <c r="C1660" i="1"/>
  <c r="L1659" i="1"/>
  <c r="K1659" i="1"/>
  <c r="I1659" i="1"/>
  <c r="H1659" i="1"/>
  <c r="F1659" i="1"/>
  <c r="E1659" i="1"/>
  <c r="D1659" i="1"/>
  <c r="C1659" i="1"/>
  <c r="L1658" i="1"/>
  <c r="K1658" i="1"/>
  <c r="I1658" i="1"/>
  <c r="H1658" i="1"/>
  <c r="F1658" i="1"/>
  <c r="E1658" i="1"/>
  <c r="D1658" i="1"/>
  <c r="C1658" i="1"/>
  <c r="L1657" i="1"/>
  <c r="K1657" i="1"/>
  <c r="I1657" i="1"/>
  <c r="H1657" i="1"/>
  <c r="F1657" i="1"/>
  <c r="E1657" i="1"/>
  <c r="D1657" i="1"/>
  <c r="C1657" i="1"/>
  <c r="L1656" i="1"/>
  <c r="K1656" i="1"/>
  <c r="I1656" i="1"/>
  <c r="H1656" i="1"/>
  <c r="F1656" i="1"/>
  <c r="E1656" i="1"/>
  <c r="D1656" i="1"/>
  <c r="C1656" i="1"/>
  <c r="L1655" i="1"/>
  <c r="K1655" i="1"/>
  <c r="I1655" i="1"/>
  <c r="H1655" i="1"/>
  <c r="F1655" i="1"/>
  <c r="E1655" i="1"/>
  <c r="D1655" i="1"/>
  <c r="C1655" i="1"/>
  <c r="L1654" i="1"/>
  <c r="K1654" i="1"/>
  <c r="I1654" i="1"/>
  <c r="H1654" i="1"/>
  <c r="F1654" i="1"/>
  <c r="E1654" i="1"/>
  <c r="D1654" i="1"/>
  <c r="C1654" i="1"/>
  <c r="L1653" i="1"/>
  <c r="K1653" i="1"/>
  <c r="I1653" i="1"/>
  <c r="H1653" i="1"/>
  <c r="F1653" i="1"/>
  <c r="E1653" i="1"/>
  <c r="D1653" i="1"/>
  <c r="C1653" i="1"/>
  <c r="L1652" i="1"/>
  <c r="K1652" i="1"/>
  <c r="I1652" i="1"/>
  <c r="H1652" i="1"/>
  <c r="F1652" i="1"/>
  <c r="E1652" i="1"/>
  <c r="D1652" i="1"/>
  <c r="C1652" i="1"/>
  <c r="L1651" i="1"/>
  <c r="K1651" i="1"/>
  <c r="I1651" i="1"/>
  <c r="H1651" i="1"/>
  <c r="F1651" i="1"/>
  <c r="E1651" i="1"/>
  <c r="D1651" i="1"/>
  <c r="C1651" i="1"/>
  <c r="L1650" i="1"/>
  <c r="K1650" i="1"/>
  <c r="I1650" i="1"/>
  <c r="H1650" i="1"/>
  <c r="F1650" i="1"/>
  <c r="E1650" i="1"/>
  <c r="D1650" i="1"/>
  <c r="C1650" i="1"/>
  <c r="L1649" i="1"/>
  <c r="K1649" i="1"/>
  <c r="I1649" i="1"/>
  <c r="H1649" i="1"/>
  <c r="F1649" i="1"/>
  <c r="E1649" i="1"/>
  <c r="D1649" i="1"/>
  <c r="C1649" i="1"/>
  <c r="L1648" i="1"/>
  <c r="K1648" i="1"/>
  <c r="I1648" i="1"/>
  <c r="H1648" i="1"/>
  <c r="F1648" i="1"/>
  <c r="E1648" i="1"/>
  <c r="D1648" i="1"/>
  <c r="C1648" i="1"/>
  <c r="L1647" i="1"/>
  <c r="K1647" i="1"/>
  <c r="I1647" i="1"/>
  <c r="H1647" i="1"/>
  <c r="F1647" i="1"/>
  <c r="E1647" i="1"/>
  <c r="D1647" i="1"/>
  <c r="C1647" i="1"/>
  <c r="L1646" i="1"/>
  <c r="K1646" i="1"/>
  <c r="I1646" i="1"/>
  <c r="H1646" i="1"/>
  <c r="F1646" i="1"/>
  <c r="E1646" i="1"/>
  <c r="D1646" i="1"/>
  <c r="C1646" i="1"/>
  <c r="L1645" i="1"/>
  <c r="K1645" i="1"/>
  <c r="I1645" i="1"/>
  <c r="H1645" i="1"/>
  <c r="F1645" i="1"/>
  <c r="E1645" i="1"/>
  <c r="D1645" i="1"/>
  <c r="C1645" i="1"/>
  <c r="L1644" i="1"/>
  <c r="K1644" i="1"/>
  <c r="I1644" i="1"/>
  <c r="H1644" i="1"/>
  <c r="F1644" i="1"/>
  <c r="E1644" i="1"/>
  <c r="D1644" i="1"/>
  <c r="C1644" i="1"/>
  <c r="L1643" i="1"/>
  <c r="K1643" i="1"/>
  <c r="I1643" i="1"/>
  <c r="H1643" i="1"/>
  <c r="F1643" i="1"/>
  <c r="E1643" i="1"/>
  <c r="D1643" i="1"/>
  <c r="C1643" i="1"/>
  <c r="L1642" i="1"/>
  <c r="K1642" i="1"/>
  <c r="I1642" i="1"/>
  <c r="H1642" i="1"/>
  <c r="F1642" i="1"/>
  <c r="E1642" i="1"/>
  <c r="D1642" i="1"/>
  <c r="C1642" i="1"/>
  <c r="L1641" i="1"/>
  <c r="K1641" i="1"/>
  <c r="I1641" i="1"/>
  <c r="H1641" i="1"/>
  <c r="F1641" i="1"/>
  <c r="E1641" i="1"/>
  <c r="D1641" i="1"/>
  <c r="C1641" i="1"/>
  <c r="L1640" i="1"/>
  <c r="K1640" i="1"/>
  <c r="I1640" i="1"/>
  <c r="H1640" i="1"/>
  <c r="F1640" i="1"/>
  <c r="E1640" i="1"/>
  <c r="D1640" i="1"/>
  <c r="C1640" i="1"/>
  <c r="L1639" i="1"/>
  <c r="K1639" i="1"/>
  <c r="I1639" i="1"/>
  <c r="H1639" i="1"/>
  <c r="F1639" i="1"/>
  <c r="E1639" i="1"/>
  <c r="D1639" i="1"/>
  <c r="C1639" i="1"/>
  <c r="L1638" i="1"/>
  <c r="K1638" i="1"/>
  <c r="I1638" i="1"/>
  <c r="H1638" i="1"/>
  <c r="F1638" i="1"/>
  <c r="E1638" i="1"/>
  <c r="D1638" i="1"/>
  <c r="C1638" i="1"/>
  <c r="L1637" i="1"/>
  <c r="K1637" i="1"/>
  <c r="I1637" i="1"/>
  <c r="H1637" i="1"/>
  <c r="F1637" i="1"/>
  <c r="E1637" i="1"/>
  <c r="D1637" i="1"/>
  <c r="C1637" i="1"/>
  <c r="L1636" i="1"/>
  <c r="K1636" i="1"/>
  <c r="I1636" i="1"/>
  <c r="H1636" i="1"/>
  <c r="F1636" i="1"/>
  <c r="E1636" i="1"/>
  <c r="D1636" i="1"/>
  <c r="C1636" i="1"/>
  <c r="L1635" i="1"/>
  <c r="K1635" i="1"/>
  <c r="I1635" i="1"/>
  <c r="H1635" i="1"/>
  <c r="F1635" i="1"/>
  <c r="E1635" i="1"/>
  <c r="D1635" i="1"/>
  <c r="C1635" i="1"/>
  <c r="L1634" i="1"/>
  <c r="K1634" i="1"/>
  <c r="I1634" i="1"/>
  <c r="H1634" i="1"/>
  <c r="F1634" i="1"/>
  <c r="E1634" i="1"/>
  <c r="D1634" i="1"/>
  <c r="C1634" i="1"/>
  <c r="L1633" i="1"/>
  <c r="K1633" i="1"/>
  <c r="I1633" i="1"/>
  <c r="H1633" i="1"/>
  <c r="F1633" i="1"/>
  <c r="E1633" i="1"/>
  <c r="D1633" i="1"/>
  <c r="C1633" i="1"/>
  <c r="L1632" i="1"/>
  <c r="K1632" i="1"/>
  <c r="I1632" i="1"/>
  <c r="H1632" i="1"/>
  <c r="F1632" i="1"/>
  <c r="E1632" i="1"/>
  <c r="D1632" i="1"/>
  <c r="C1632" i="1"/>
  <c r="L1631" i="1"/>
  <c r="K1631" i="1"/>
  <c r="I1631" i="1"/>
  <c r="H1631" i="1"/>
  <c r="F1631" i="1"/>
  <c r="E1631" i="1"/>
  <c r="D1631" i="1"/>
  <c r="C1631" i="1"/>
  <c r="L1630" i="1"/>
  <c r="K1630" i="1"/>
  <c r="I1630" i="1"/>
  <c r="H1630" i="1"/>
  <c r="F1630" i="1"/>
  <c r="E1630" i="1"/>
  <c r="D1630" i="1"/>
  <c r="C1630" i="1"/>
  <c r="L1629" i="1"/>
  <c r="K1629" i="1"/>
  <c r="I1629" i="1"/>
  <c r="H1629" i="1"/>
  <c r="F1629" i="1"/>
  <c r="E1629" i="1"/>
  <c r="D1629" i="1"/>
  <c r="C1629" i="1"/>
  <c r="L1628" i="1"/>
  <c r="K1628" i="1"/>
  <c r="I1628" i="1"/>
  <c r="H1628" i="1"/>
  <c r="F1628" i="1"/>
  <c r="E1628" i="1"/>
  <c r="D1628" i="1"/>
  <c r="C1628" i="1"/>
  <c r="L1627" i="1"/>
  <c r="K1627" i="1"/>
  <c r="I1627" i="1"/>
  <c r="H1627" i="1"/>
  <c r="F1627" i="1"/>
  <c r="E1627" i="1"/>
  <c r="D1627" i="1"/>
  <c r="C1627" i="1"/>
  <c r="L1626" i="1"/>
  <c r="K1626" i="1"/>
  <c r="I1626" i="1"/>
  <c r="H1626" i="1"/>
  <c r="F1626" i="1"/>
  <c r="E1626" i="1"/>
  <c r="D1626" i="1"/>
  <c r="C1626" i="1"/>
  <c r="L1625" i="1"/>
  <c r="K1625" i="1"/>
  <c r="I1625" i="1"/>
  <c r="H1625" i="1"/>
  <c r="F1625" i="1"/>
  <c r="E1625" i="1"/>
  <c r="D1625" i="1"/>
  <c r="C1625" i="1"/>
  <c r="L1624" i="1"/>
  <c r="K1624" i="1"/>
  <c r="I1624" i="1"/>
  <c r="H1624" i="1"/>
  <c r="F1624" i="1"/>
  <c r="E1624" i="1"/>
  <c r="D1624" i="1"/>
  <c r="C1624" i="1"/>
  <c r="L1623" i="1"/>
  <c r="K1623" i="1"/>
  <c r="I1623" i="1"/>
  <c r="H1623" i="1"/>
  <c r="F1623" i="1"/>
  <c r="E1623" i="1"/>
  <c r="D1623" i="1"/>
  <c r="C1623" i="1"/>
  <c r="L1622" i="1"/>
  <c r="K1622" i="1"/>
  <c r="I1622" i="1"/>
  <c r="H1622" i="1"/>
  <c r="F1622" i="1"/>
  <c r="E1622" i="1"/>
  <c r="D1622" i="1"/>
  <c r="C1622" i="1"/>
  <c r="L1621" i="1"/>
  <c r="K1621" i="1"/>
  <c r="I1621" i="1"/>
  <c r="H1621" i="1"/>
  <c r="F1621" i="1"/>
  <c r="E1621" i="1"/>
  <c r="D1621" i="1"/>
  <c r="C1621" i="1"/>
  <c r="L1620" i="1"/>
  <c r="K1620" i="1"/>
  <c r="I1620" i="1"/>
  <c r="H1620" i="1"/>
  <c r="F1620" i="1"/>
  <c r="E1620" i="1"/>
  <c r="D1620" i="1"/>
  <c r="C1620" i="1"/>
  <c r="L1619" i="1"/>
  <c r="K1619" i="1"/>
  <c r="I1619" i="1"/>
  <c r="H1619" i="1"/>
  <c r="F1619" i="1"/>
  <c r="E1619" i="1"/>
  <c r="D1619" i="1"/>
  <c r="C1619" i="1"/>
  <c r="L1618" i="1"/>
  <c r="K1618" i="1"/>
  <c r="I1618" i="1"/>
  <c r="H1618" i="1"/>
  <c r="F1618" i="1"/>
  <c r="E1618" i="1"/>
  <c r="D1618" i="1"/>
  <c r="C1618" i="1"/>
  <c r="L1617" i="1"/>
  <c r="K1617" i="1"/>
  <c r="I1617" i="1"/>
  <c r="H1617" i="1"/>
  <c r="F1617" i="1"/>
  <c r="E1617" i="1"/>
  <c r="D1617" i="1"/>
  <c r="C1617" i="1"/>
  <c r="L1616" i="1"/>
  <c r="K1616" i="1"/>
  <c r="I1616" i="1"/>
  <c r="H1616" i="1"/>
  <c r="F1616" i="1"/>
  <c r="E1616" i="1"/>
  <c r="D1616" i="1"/>
  <c r="C1616" i="1"/>
  <c r="L1615" i="1"/>
  <c r="K1615" i="1"/>
  <c r="I1615" i="1"/>
  <c r="H1615" i="1"/>
  <c r="F1615" i="1"/>
  <c r="E1615" i="1"/>
  <c r="D1615" i="1"/>
  <c r="C1615" i="1"/>
  <c r="L1614" i="1"/>
  <c r="K1614" i="1"/>
  <c r="I1614" i="1"/>
  <c r="H1614" i="1"/>
  <c r="F1614" i="1"/>
  <c r="E1614" i="1"/>
  <c r="D1614" i="1"/>
  <c r="C1614" i="1"/>
  <c r="L1613" i="1"/>
  <c r="K1613" i="1"/>
  <c r="I1613" i="1"/>
  <c r="H1613" i="1"/>
  <c r="F1613" i="1"/>
  <c r="E1613" i="1"/>
  <c r="D1613" i="1"/>
  <c r="C1613" i="1"/>
  <c r="L1612" i="1"/>
  <c r="K1612" i="1"/>
  <c r="I1612" i="1"/>
  <c r="H1612" i="1"/>
  <c r="F1612" i="1"/>
  <c r="E1612" i="1"/>
  <c r="D1612" i="1"/>
  <c r="C1612" i="1"/>
  <c r="L1611" i="1"/>
  <c r="K1611" i="1"/>
  <c r="I1611" i="1"/>
  <c r="H1611" i="1"/>
  <c r="F1611" i="1"/>
  <c r="E1611" i="1"/>
  <c r="D1611" i="1"/>
  <c r="C1611" i="1"/>
  <c r="L1610" i="1"/>
  <c r="K1610" i="1"/>
  <c r="I1610" i="1"/>
  <c r="H1610" i="1"/>
  <c r="F1610" i="1"/>
  <c r="E1610" i="1"/>
  <c r="D1610" i="1"/>
  <c r="C1610" i="1"/>
  <c r="L1609" i="1"/>
  <c r="K1609" i="1"/>
  <c r="I1609" i="1"/>
  <c r="H1609" i="1"/>
  <c r="F1609" i="1"/>
  <c r="E1609" i="1"/>
  <c r="D1609" i="1"/>
  <c r="C1609" i="1"/>
  <c r="L1608" i="1"/>
  <c r="K1608" i="1"/>
  <c r="I1608" i="1"/>
  <c r="H1608" i="1"/>
  <c r="F1608" i="1"/>
  <c r="E1608" i="1"/>
  <c r="D1608" i="1"/>
  <c r="C1608" i="1"/>
  <c r="L1607" i="1"/>
  <c r="K1607" i="1"/>
  <c r="I1607" i="1"/>
  <c r="H1607" i="1"/>
  <c r="F1607" i="1"/>
  <c r="E1607" i="1"/>
  <c r="D1607" i="1"/>
  <c r="C1607" i="1"/>
  <c r="L1606" i="1"/>
  <c r="K1606" i="1"/>
  <c r="I1606" i="1"/>
  <c r="H1606" i="1"/>
  <c r="F1606" i="1"/>
  <c r="E1606" i="1"/>
  <c r="D1606" i="1"/>
  <c r="C1606" i="1"/>
  <c r="L1605" i="1"/>
  <c r="K1605" i="1"/>
  <c r="I1605" i="1"/>
  <c r="H1605" i="1"/>
  <c r="F1605" i="1"/>
  <c r="E1605" i="1"/>
  <c r="D1605" i="1"/>
  <c r="C1605" i="1"/>
  <c r="L1604" i="1"/>
  <c r="K1604" i="1"/>
  <c r="I1604" i="1"/>
  <c r="H1604" i="1"/>
  <c r="F1604" i="1"/>
  <c r="E1604" i="1"/>
  <c r="D1604" i="1"/>
  <c r="C1604" i="1"/>
  <c r="L1603" i="1"/>
  <c r="K1603" i="1"/>
  <c r="I1603" i="1"/>
  <c r="H1603" i="1"/>
  <c r="F1603" i="1"/>
  <c r="E1603" i="1"/>
  <c r="D1603" i="1"/>
  <c r="C1603" i="1"/>
  <c r="L1602" i="1"/>
  <c r="K1602" i="1"/>
  <c r="I1602" i="1"/>
  <c r="H1602" i="1"/>
  <c r="F1602" i="1"/>
  <c r="E1602" i="1"/>
  <c r="D1602" i="1"/>
  <c r="C1602" i="1"/>
  <c r="L1601" i="1"/>
  <c r="K1601" i="1"/>
  <c r="I1601" i="1"/>
  <c r="H1601" i="1"/>
  <c r="F1601" i="1"/>
  <c r="E1601" i="1"/>
  <c r="D1601" i="1"/>
  <c r="C1601" i="1"/>
  <c r="L1600" i="1"/>
  <c r="K1600" i="1"/>
  <c r="I1600" i="1"/>
  <c r="H1600" i="1"/>
  <c r="F1600" i="1"/>
  <c r="E1600" i="1"/>
  <c r="D1600" i="1"/>
  <c r="C1600" i="1"/>
  <c r="L1599" i="1"/>
  <c r="K1599" i="1"/>
  <c r="I1599" i="1"/>
  <c r="H1599" i="1"/>
  <c r="F1599" i="1"/>
  <c r="E1599" i="1"/>
  <c r="D1599" i="1"/>
  <c r="C1599" i="1"/>
  <c r="L1598" i="1"/>
  <c r="K1598" i="1"/>
  <c r="I1598" i="1"/>
  <c r="H1598" i="1"/>
  <c r="F1598" i="1"/>
  <c r="E1598" i="1"/>
  <c r="D1598" i="1"/>
  <c r="C1598" i="1"/>
  <c r="L1597" i="1"/>
  <c r="K1597" i="1"/>
  <c r="I1597" i="1"/>
  <c r="H1597" i="1"/>
  <c r="F1597" i="1"/>
  <c r="E1597" i="1"/>
  <c r="D1597" i="1"/>
  <c r="C1597" i="1"/>
  <c r="L1596" i="1"/>
  <c r="K1596" i="1"/>
  <c r="I1596" i="1"/>
  <c r="H1596" i="1"/>
  <c r="F1596" i="1"/>
  <c r="E1596" i="1"/>
  <c r="D1596" i="1"/>
  <c r="C1596" i="1"/>
  <c r="L1595" i="1"/>
  <c r="K1595" i="1"/>
  <c r="I1595" i="1"/>
  <c r="H1595" i="1"/>
  <c r="F1595" i="1"/>
  <c r="E1595" i="1"/>
  <c r="D1595" i="1"/>
  <c r="C1595" i="1"/>
  <c r="L1594" i="1"/>
  <c r="K1594" i="1"/>
  <c r="I1594" i="1"/>
  <c r="H1594" i="1"/>
  <c r="F1594" i="1"/>
  <c r="E1594" i="1"/>
  <c r="D1594" i="1"/>
  <c r="C1594" i="1"/>
  <c r="L1593" i="1"/>
  <c r="K1593" i="1"/>
  <c r="I1593" i="1"/>
  <c r="H1593" i="1"/>
  <c r="F1593" i="1"/>
  <c r="E1593" i="1"/>
  <c r="D1593" i="1"/>
  <c r="C1593" i="1"/>
  <c r="L1592" i="1"/>
  <c r="K1592" i="1"/>
  <c r="I1592" i="1"/>
  <c r="H1592" i="1"/>
  <c r="F1592" i="1"/>
  <c r="E1592" i="1"/>
  <c r="D1592" i="1"/>
  <c r="C1592" i="1"/>
  <c r="L1591" i="1"/>
  <c r="K1591" i="1"/>
  <c r="I1591" i="1"/>
  <c r="H1591" i="1"/>
  <c r="F1591" i="1"/>
  <c r="E1591" i="1"/>
  <c r="D1591" i="1"/>
  <c r="C1591" i="1"/>
  <c r="L1590" i="1"/>
  <c r="K1590" i="1"/>
  <c r="I1590" i="1"/>
  <c r="H1590" i="1"/>
  <c r="F1590" i="1"/>
  <c r="E1590" i="1"/>
  <c r="D1590" i="1"/>
  <c r="C1590" i="1"/>
  <c r="L1589" i="1"/>
  <c r="K1589" i="1"/>
  <c r="I1589" i="1"/>
  <c r="H1589" i="1"/>
  <c r="F1589" i="1"/>
  <c r="E1589" i="1"/>
  <c r="D1589" i="1"/>
  <c r="C1589" i="1"/>
  <c r="L1588" i="1"/>
  <c r="K1588" i="1"/>
  <c r="I1588" i="1"/>
  <c r="H1588" i="1"/>
  <c r="F1588" i="1"/>
  <c r="E1588" i="1"/>
  <c r="D1588" i="1"/>
  <c r="C1588" i="1"/>
  <c r="L1587" i="1"/>
  <c r="K1587" i="1"/>
  <c r="I1587" i="1"/>
  <c r="H1587" i="1"/>
  <c r="F1587" i="1"/>
  <c r="E1587" i="1"/>
  <c r="D1587" i="1"/>
  <c r="C1587" i="1"/>
  <c r="L1586" i="1"/>
  <c r="K1586" i="1"/>
  <c r="I1586" i="1"/>
  <c r="H1586" i="1"/>
  <c r="F1586" i="1"/>
  <c r="E1586" i="1"/>
  <c r="D1586" i="1"/>
  <c r="C1586" i="1"/>
  <c r="L1585" i="1"/>
  <c r="K1585" i="1"/>
  <c r="I1585" i="1"/>
  <c r="H1585" i="1"/>
  <c r="F1585" i="1"/>
  <c r="E1585" i="1"/>
  <c r="D1585" i="1"/>
  <c r="C1585" i="1"/>
  <c r="L1584" i="1"/>
  <c r="K1584" i="1"/>
  <c r="I1584" i="1"/>
  <c r="H1584" i="1"/>
  <c r="F1584" i="1"/>
  <c r="E1584" i="1"/>
  <c r="D1584" i="1"/>
  <c r="C1584" i="1"/>
  <c r="L1583" i="1"/>
  <c r="K1583" i="1"/>
  <c r="I1583" i="1"/>
  <c r="H1583" i="1"/>
  <c r="F1583" i="1"/>
  <c r="E1583" i="1"/>
  <c r="D1583" i="1"/>
  <c r="C1583" i="1"/>
  <c r="L1582" i="1"/>
  <c r="K1582" i="1"/>
  <c r="I1582" i="1"/>
  <c r="H1582" i="1"/>
  <c r="F1582" i="1"/>
  <c r="E1582" i="1"/>
  <c r="D1582" i="1"/>
  <c r="C1582" i="1"/>
  <c r="L1581" i="1"/>
  <c r="K1581" i="1"/>
  <c r="I1581" i="1"/>
  <c r="H1581" i="1"/>
  <c r="F1581" i="1"/>
  <c r="E1581" i="1"/>
  <c r="D1581" i="1"/>
  <c r="C1581" i="1"/>
  <c r="L1580" i="1"/>
  <c r="K1580" i="1"/>
  <c r="I1580" i="1"/>
  <c r="H1580" i="1"/>
  <c r="F1580" i="1"/>
  <c r="E1580" i="1"/>
  <c r="D1580" i="1"/>
  <c r="C1580" i="1"/>
  <c r="L1579" i="1"/>
  <c r="K1579" i="1"/>
  <c r="I1579" i="1"/>
  <c r="H1579" i="1"/>
  <c r="F1579" i="1"/>
  <c r="E1579" i="1"/>
  <c r="D1579" i="1"/>
  <c r="C1579" i="1"/>
  <c r="L1578" i="1"/>
  <c r="K1578" i="1"/>
  <c r="I1578" i="1"/>
  <c r="H1578" i="1"/>
  <c r="F1578" i="1"/>
  <c r="E1578" i="1"/>
  <c r="D1578" i="1"/>
  <c r="C1578" i="1"/>
  <c r="L1577" i="1"/>
  <c r="K1577" i="1"/>
  <c r="I1577" i="1"/>
  <c r="H1577" i="1"/>
  <c r="F1577" i="1"/>
  <c r="E1577" i="1"/>
  <c r="D1577" i="1"/>
  <c r="C1577" i="1"/>
  <c r="L1576" i="1"/>
  <c r="K1576" i="1"/>
  <c r="I1576" i="1"/>
  <c r="H1576" i="1"/>
  <c r="F1576" i="1"/>
  <c r="E1576" i="1"/>
  <c r="D1576" i="1"/>
  <c r="C1576" i="1"/>
  <c r="L1575" i="1"/>
  <c r="K1575" i="1"/>
  <c r="I1575" i="1"/>
  <c r="H1575" i="1"/>
  <c r="F1575" i="1"/>
  <c r="E1575" i="1"/>
  <c r="D1575" i="1"/>
  <c r="C1575" i="1"/>
  <c r="L1574" i="1"/>
  <c r="K1574" i="1"/>
  <c r="I1574" i="1"/>
  <c r="H1574" i="1"/>
  <c r="F1574" i="1"/>
  <c r="E1574" i="1"/>
  <c r="D1574" i="1"/>
  <c r="C1574" i="1"/>
  <c r="L1573" i="1"/>
  <c r="K1573" i="1"/>
  <c r="I1573" i="1"/>
  <c r="H1573" i="1"/>
  <c r="F1573" i="1"/>
  <c r="E1573" i="1"/>
  <c r="D1573" i="1"/>
  <c r="C1573" i="1"/>
  <c r="L1572" i="1"/>
  <c r="K1572" i="1"/>
  <c r="I1572" i="1"/>
  <c r="H1572" i="1"/>
  <c r="F1572" i="1"/>
  <c r="E1572" i="1"/>
  <c r="D1572" i="1"/>
  <c r="C1572" i="1"/>
  <c r="L1571" i="1"/>
  <c r="K1571" i="1"/>
  <c r="I1571" i="1"/>
  <c r="H1571" i="1"/>
  <c r="F1571" i="1"/>
  <c r="E1571" i="1"/>
  <c r="D1571" i="1"/>
  <c r="C1571" i="1"/>
  <c r="L1570" i="1"/>
  <c r="K1570" i="1"/>
  <c r="I1570" i="1"/>
  <c r="H1570" i="1"/>
  <c r="F1570" i="1"/>
  <c r="E1570" i="1"/>
  <c r="D1570" i="1"/>
  <c r="C1570" i="1"/>
  <c r="L1569" i="1"/>
  <c r="K1569" i="1"/>
  <c r="I1569" i="1"/>
  <c r="H1569" i="1"/>
  <c r="F1569" i="1"/>
  <c r="E1569" i="1"/>
  <c r="D1569" i="1"/>
  <c r="C1569" i="1"/>
  <c r="L1568" i="1"/>
  <c r="K1568" i="1"/>
  <c r="I1568" i="1"/>
  <c r="H1568" i="1"/>
  <c r="F1568" i="1"/>
  <c r="E1568" i="1"/>
  <c r="D1568" i="1"/>
  <c r="C1568" i="1"/>
  <c r="L1567" i="1"/>
  <c r="K1567" i="1"/>
  <c r="I1567" i="1"/>
  <c r="H1567" i="1"/>
  <c r="F1567" i="1"/>
  <c r="E1567" i="1"/>
  <c r="D1567" i="1"/>
  <c r="C1567" i="1"/>
  <c r="L1566" i="1"/>
  <c r="K1566" i="1"/>
  <c r="I1566" i="1"/>
  <c r="H1566" i="1"/>
  <c r="F1566" i="1"/>
  <c r="E1566" i="1"/>
  <c r="D1566" i="1"/>
  <c r="C1566" i="1"/>
  <c r="L1565" i="1"/>
  <c r="K1565" i="1"/>
  <c r="I1565" i="1"/>
  <c r="H1565" i="1"/>
  <c r="F1565" i="1"/>
  <c r="E1565" i="1"/>
  <c r="D1565" i="1"/>
  <c r="C1565" i="1"/>
  <c r="L1564" i="1"/>
  <c r="K1564" i="1"/>
  <c r="I1564" i="1"/>
  <c r="H1564" i="1"/>
  <c r="F1564" i="1"/>
  <c r="E1564" i="1"/>
  <c r="D1564" i="1"/>
  <c r="C1564" i="1"/>
  <c r="L1563" i="1"/>
  <c r="K1563" i="1"/>
  <c r="I1563" i="1"/>
  <c r="H1563" i="1"/>
  <c r="F1563" i="1"/>
  <c r="E1563" i="1"/>
  <c r="D1563" i="1"/>
  <c r="C1563" i="1"/>
  <c r="L1562" i="1"/>
  <c r="K1562" i="1"/>
  <c r="I1562" i="1"/>
  <c r="H1562" i="1"/>
  <c r="F1562" i="1"/>
  <c r="E1562" i="1"/>
  <c r="D1562" i="1"/>
  <c r="C1562" i="1"/>
  <c r="L1561" i="1"/>
  <c r="K1561" i="1"/>
  <c r="I1561" i="1"/>
  <c r="H1561" i="1"/>
  <c r="F1561" i="1"/>
  <c r="E1561" i="1"/>
  <c r="D1561" i="1"/>
  <c r="C1561" i="1"/>
  <c r="L1560" i="1"/>
  <c r="K1560" i="1"/>
  <c r="I1560" i="1"/>
  <c r="H1560" i="1"/>
  <c r="F1560" i="1"/>
  <c r="E1560" i="1"/>
  <c r="D1560" i="1"/>
  <c r="C1560" i="1"/>
  <c r="L1559" i="1"/>
  <c r="K1559" i="1"/>
  <c r="I1559" i="1"/>
  <c r="H1559" i="1"/>
  <c r="F1559" i="1"/>
  <c r="E1559" i="1"/>
  <c r="D1559" i="1"/>
  <c r="C1559" i="1"/>
  <c r="L1558" i="1"/>
  <c r="K1558" i="1"/>
  <c r="I1558" i="1"/>
  <c r="H1558" i="1"/>
  <c r="F1558" i="1"/>
  <c r="E1558" i="1"/>
  <c r="D1558" i="1"/>
  <c r="C1558" i="1"/>
  <c r="L1557" i="1"/>
  <c r="K1557" i="1"/>
  <c r="I1557" i="1"/>
  <c r="H1557" i="1"/>
  <c r="F1557" i="1"/>
  <c r="E1557" i="1"/>
  <c r="D1557" i="1"/>
  <c r="C1557" i="1"/>
  <c r="L1556" i="1"/>
  <c r="K1556" i="1"/>
  <c r="I1556" i="1"/>
  <c r="H1556" i="1"/>
  <c r="F1556" i="1"/>
  <c r="E1556" i="1"/>
  <c r="D1556" i="1"/>
  <c r="C1556" i="1"/>
  <c r="L1555" i="1"/>
  <c r="K1555" i="1"/>
  <c r="I1555" i="1"/>
  <c r="H1555" i="1"/>
  <c r="F1555" i="1"/>
  <c r="E1555" i="1"/>
  <c r="D1555" i="1"/>
  <c r="C1555" i="1"/>
  <c r="L1554" i="1"/>
  <c r="K1554" i="1"/>
  <c r="I1554" i="1"/>
  <c r="H1554" i="1"/>
  <c r="F1554" i="1"/>
  <c r="E1554" i="1"/>
  <c r="D1554" i="1"/>
  <c r="C1554" i="1"/>
  <c r="L1553" i="1"/>
  <c r="K1553" i="1"/>
  <c r="I1553" i="1"/>
  <c r="H1553" i="1"/>
  <c r="F1553" i="1"/>
  <c r="E1553" i="1"/>
  <c r="D1553" i="1"/>
  <c r="C1553" i="1"/>
  <c r="L1552" i="1"/>
  <c r="K1552" i="1"/>
  <c r="I1552" i="1"/>
  <c r="H1552" i="1"/>
  <c r="F1552" i="1"/>
  <c r="E1552" i="1"/>
  <c r="D1552" i="1"/>
  <c r="C1552" i="1"/>
  <c r="L1551" i="1"/>
  <c r="K1551" i="1"/>
  <c r="I1551" i="1"/>
  <c r="H1551" i="1"/>
  <c r="F1551" i="1"/>
  <c r="E1551" i="1"/>
  <c r="D1551" i="1"/>
  <c r="C1551" i="1"/>
  <c r="L1550" i="1"/>
  <c r="K1550" i="1"/>
  <c r="I1550" i="1"/>
  <c r="H1550" i="1"/>
  <c r="F1550" i="1"/>
  <c r="E1550" i="1"/>
  <c r="D1550" i="1"/>
  <c r="C1550" i="1"/>
  <c r="L1549" i="1"/>
  <c r="K1549" i="1"/>
  <c r="I1549" i="1"/>
  <c r="H1549" i="1"/>
  <c r="F1549" i="1"/>
  <c r="E1549" i="1"/>
  <c r="D1549" i="1"/>
  <c r="C1549" i="1"/>
  <c r="L1548" i="1"/>
  <c r="K1548" i="1"/>
  <c r="I1548" i="1"/>
  <c r="H1548" i="1"/>
  <c r="F1548" i="1"/>
  <c r="E1548" i="1"/>
  <c r="D1548" i="1"/>
  <c r="C1548" i="1"/>
  <c r="L1547" i="1"/>
  <c r="K1547" i="1"/>
  <c r="I1547" i="1"/>
  <c r="H1547" i="1"/>
  <c r="F1547" i="1"/>
  <c r="E1547" i="1"/>
  <c r="D1547" i="1"/>
  <c r="C1547" i="1"/>
  <c r="L1546" i="1"/>
  <c r="K1546" i="1"/>
  <c r="I1546" i="1"/>
  <c r="H1546" i="1"/>
  <c r="F1546" i="1"/>
  <c r="E1546" i="1"/>
  <c r="D1546" i="1"/>
  <c r="C1546" i="1"/>
  <c r="L1545" i="1"/>
  <c r="K1545" i="1"/>
  <c r="I1545" i="1"/>
  <c r="H1545" i="1"/>
  <c r="F1545" i="1"/>
  <c r="E1545" i="1"/>
  <c r="D1545" i="1"/>
  <c r="C1545" i="1"/>
  <c r="L1544" i="1"/>
  <c r="K1544" i="1"/>
  <c r="I1544" i="1"/>
  <c r="H1544" i="1"/>
  <c r="F1544" i="1"/>
  <c r="E1544" i="1"/>
  <c r="D1544" i="1"/>
  <c r="C1544" i="1"/>
  <c r="L1543" i="1"/>
  <c r="K1543" i="1"/>
  <c r="I1543" i="1"/>
  <c r="H1543" i="1"/>
  <c r="F1543" i="1"/>
  <c r="E1543" i="1"/>
  <c r="D1543" i="1"/>
  <c r="C1543" i="1"/>
  <c r="L1542" i="1"/>
  <c r="K1542" i="1"/>
  <c r="I1542" i="1"/>
  <c r="H1542" i="1"/>
  <c r="F1542" i="1"/>
  <c r="E1542" i="1"/>
  <c r="D1542" i="1"/>
  <c r="C1542" i="1"/>
  <c r="L1541" i="1"/>
  <c r="K1541" i="1"/>
  <c r="I1541" i="1"/>
  <c r="H1541" i="1"/>
  <c r="F1541" i="1"/>
  <c r="E1541" i="1"/>
  <c r="D1541" i="1"/>
  <c r="C1541" i="1"/>
  <c r="L1540" i="1"/>
  <c r="K1540" i="1"/>
  <c r="I1540" i="1"/>
  <c r="H1540" i="1"/>
  <c r="F1540" i="1"/>
  <c r="E1540" i="1"/>
  <c r="D1540" i="1"/>
  <c r="C1540" i="1"/>
  <c r="L1539" i="1"/>
  <c r="K1539" i="1"/>
  <c r="I1539" i="1"/>
  <c r="H1539" i="1"/>
  <c r="F1539" i="1"/>
  <c r="E1539" i="1"/>
  <c r="D1539" i="1"/>
  <c r="C1539" i="1"/>
  <c r="L1538" i="1"/>
  <c r="K1538" i="1"/>
  <c r="I1538" i="1"/>
  <c r="H1538" i="1"/>
  <c r="F1538" i="1"/>
  <c r="E1538" i="1"/>
  <c r="D1538" i="1"/>
  <c r="C1538" i="1"/>
  <c r="L1537" i="1"/>
  <c r="K1537" i="1"/>
  <c r="I1537" i="1"/>
  <c r="H1537" i="1"/>
  <c r="F1537" i="1"/>
  <c r="E1537" i="1"/>
  <c r="D1537" i="1"/>
  <c r="C1537" i="1"/>
  <c r="L1536" i="1"/>
  <c r="K1536" i="1"/>
  <c r="I1536" i="1"/>
  <c r="H1536" i="1"/>
  <c r="F1536" i="1"/>
  <c r="E1536" i="1"/>
  <c r="D1536" i="1"/>
  <c r="C1536" i="1"/>
  <c r="L1535" i="1"/>
  <c r="K1535" i="1"/>
  <c r="I1535" i="1"/>
  <c r="H1535" i="1"/>
  <c r="F1535" i="1"/>
  <c r="E1535" i="1"/>
  <c r="D1535" i="1"/>
  <c r="C1535" i="1"/>
  <c r="L1534" i="1"/>
  <c r="K1534" i="1"/>
  <c r="I1534" i="1"/>
  <c r="H1534" i="1"/>
  <c r="F1534" i="1"/>
  <c r="E1534" i="1"/>
  <c r="D1534" i="1"/>
  <c r="C1534" i="1"/>
  <c r="L1533" i="1"/>
  <c r="K1533" i="1"/>
  <c r="I1533" i="1"/>
  <c r="H1533" i="1"/>
  <c r="F1533" i="1"/>
  <c r="E1533" i="1"/>
  <c r="D1533" i="1"/>
  <c r="C1533" i="1"/>
  <c r="L1532" i="1"/>
  <c r="K1532" i="1"/>
  <c r="I1532" i="1"/>
  <c r="H1532" i="1"/>
  <c r="F1532" i="1"/>
  <c r="E1532" i="1"/>
  <c r="D1532" i="1"/>
  <c r="C1532" i="1"/>
  <c r="L1531" i="1"/>
  <c r="K1531" i="1"/>
  <c r="I1531" i="1"/>
  <c r="H1531" i="1"/>
  <c r="F1531" i="1"/>
  <c r="E1531" i="1"/>
  <c r="D1531" i="1"/>
  <c r="C1531" i="1"/>
  <c r="L1530" i="1"/>
  <c r="K1530" i="1"/>
  <c r="I1530" i="1"/>
  <c r="H1530" i="1"/>
  <c r="F1530" i="1"/>
  <c r="E1530" i="1"/>
  <c r="D1530" i="1"/>
  <c r="C1530" i="1"/>
  <c r="L1529" i="1"/>
  <c r="K1529" i="1"/>
  <c r="I1529" i="1"/>
  <c r="H1529" i="1"/>
  <c r="F1529" i="1"/>
  <c r="E1529" i="1"/>
  <c r="D1529" i="1"/>
  <c r="C1529" i="1"/>
  <c r="L1528" i="1"/>
  <c r="K1528" i="1"/>
  <c r="I1528" i="1"/>
  <c r="H1528" i="1"/>
  <c r="F1528" i="1"/>
  <c r="E1528" i="1"/>
  <c r="D1528" i="1"/>
  <c r="C1528" i="1"/>
  <c r="L1527" i="1"/>
  <c r="K1527" i="1"/>
  <c r="I1527" i="1"/>
  <c r="H1527" i="1"/>
  <c r="F1527" i="1"/>
  <c r="E1527" i="1"/>
  <c r="D1527" i="1"/>
  <c r="C1527" i="1"/>
  <c r="L1526" i="1"/>
  <c r="K1526" i="1"/>
  <c r="I1526" i="1"/>
  <c r="H1526" i="1"/>
  <c r="F1526" i="1"/>
  <c r="E1526" i="1"/>
  <c r="D1526" i="1"/>
  <c r="C1526" i="1"/>
  <c r="L1525" i="1"/>
  <c r="K1525" i="1"/>
  <c r="I1525" i="1"/>
  <c r="H1525" i="1"/>
  <c r="F1525" i="1"/>
  <c r="E1525" i="1"/>
  <c r="D1525" i="1"/>
  <c r="C1525" i="1"/>
  <c r="L1524" i="1"/>
  <c r="K1524" i="1"/>
  <c r="I1524" i="1"/>
  <c r="H1524" i="1"/>
  <c r="F1524" i="1"/>
  <c r="E1524" i="1"/>
  <c r="D1524" i="1"/>
  <c r="C1524" i="1"/>
  <c r="L1523" i="1"/>
  <c r="K1523" i="1"/>
  <c r="I1523" i="1"/>
  <c r="H1523" i="1"/>
  <c r="F1523" i="1"/>
  <c r="E1523" i="1"/>
  <c r="D1523" i="1"/>
  <c r="C1523" i="1"/>
  <c r="L1522" i="1"/>
  <c r="K1522" i="1"/>
  <c r="I1522" i="1"/>
  <c r="H1522" i="1"/>
  <c r="F1522" i="1"/>
  <c r="E1522" i="1"/>
  <c r="D1522" i="1"/>
  <c r="C1522" i="1"/>
  <c r="L1521" i="1"/>
  <c r="K1521" i="1"/>
  <c r="I1521" i="1"/>
  <c r="H1521" i="1"/>
  <c r="F1521" i="1"/>
  <c r="E1521" i="1"/>
  <c r="D1521" i="1"/>
  <c r="C1521" i="1"/>
  <c r="L1520" i="1"/>
  <c r="K1520" i="1"/>
  <c r="I1520" i="1"/>
  <c r="H1520" i="1"/>
  <c r="F1520" i="1"/>
  <c r="E1520" i="1"/>
  <c r="D1520" i="1"/>
  <c r="C1520" i="1"/>
  <c r="L1519" i="1"/>
  <c r="K1519" i="1"/>
  <c r="I1519" i="1"/>
  <c r="H1519" i="1"/>
  <c r="F1519" i="1"/>
  <c r="E1519" i="1"/>
  <c r="D1519" i="1"/>
  <c r="C1519" i="1"/>
  <c r="L1518" i="1"/>
  <c r="K1518" i="1"/>
  <c r="I1518" i="1"/>
  <c r="H1518" i="1"/>
  <c r="F1518" i="1"/>
  <c r="E1518" i="1"/>
  <c r="D1518" i="1"/>
  <c r="C1518" i="1"/>
  <c r="L1517" i="1"/>
  <c r="K1517" i="1"/>
  <c r="I1517" i="1"/>
  <c r="H1517" i="1"/>
  <c r="F1517" i="1"/>
  <c r="E1517" i="1"/>
  <c r="D1517" i="1"/>
  <c r="C1517" i="1"/>
  <c r="L1516" i="1"/>
  <c r="K1516" i="1"/>
  <c r="I1516" i="1"/>
  <c r="H1516" i="1"/>
  <c r="F1516" i="1"/>
  <c r="E1516" i="1"/>
  <c r="D1516" i="1"/>
  <c r="C1516" i="1"/>
  <c r="L1515" i="1"/>
  <c r="K1515" i="1"/>
  <c r="I1515" i="1"/>
  <c r="H1515" i="1"/>
  <c r="F1515" i="1"/>
  <c r="E1515" i="1"/>
  <c r="D1515" i="1"/>
  <c r="C1515" i="1"/>
  <c r="L1514" i="1"/>
  <c r="K1514" i="1"/>
  <c r="I1514" i="1"/>
  <c r="H1514" i="1"/>
  <c r="F1514" i="1"/>
  <c r="E1514" i="1"/>
  <c r="D1514" i="1"/>
  <c r="C1514" i="1"/>
  <c r="L1513" i="1"/>
  <c r="K1513" i="1"/>
  <c r="I1513" i="1"/>
  <c r="H1513" i="1"/>
  <c r="F1513" i="1"/>
  <c r="E1513" i="1"/>
  <c r="D1513" i="1"/>
  <c r="C1513" i="1"/>
  <c r="L1512" i="1"/>
  <c r="K1512" i="1"/>
  <c r="I1512" i="1"/>
  <c r="H1512" i="1"/>
  <c r="F1512" i="1"/>
  <c r="E1512" i="1"/>
  <c r="D1512" i="1"/>
  <c r="C1512" i="1"/>
  <c r="L1511" i="1"/>
  <c r="K1511" i="1"/>
  <c r="I1511" i="1"/>
  <c r="H1511" i="1"/>
  <c r="F1511" i="1"/>
  <c r="E1511" i="1"/>
  <c r="D1511" i="1"/>
  <c r="C1511" i="1"/>
  <c r="L1510" i="1"/>
  <c r="K1510" i="1"/>
  <c r="I1510" i="1"/>
  <c r="H1510" i="1"/>
  <c r="F1510" i="1"/>
  <c r="E1510" i="1"/>
  <c r="D1510" i="1"/>
  <c r="C1510" i="1"/>
  <c r="L1509" i="1"/>
  <c r="K1509" i="1"/>
  <c r="I1509" i="1"/>
  <c r="H1509" i="1"/>
  <c r="F1509" i="1"/>
  <c r="E1509" i="1"/>
  <c r="D1509" i="1"/>
  <c r="C1509" i="1"/>
  <c r="L1508" i="1"/>
  <c r="K1508" i="1"/>
  <c r="I1508" i="1"/>
  <c r="H1508" i="1"/>
  <c r="F1508" i="1"/>
  <c r="E1508" i="1"/>
  <c r="D1508" i="1"/>
  <c r="C1508" i="1"/>
  <c r="L1507" i="1"/>
  <c r="K1507" i="1"/>
  <c r="I1507" i="1"/>
  <c r="H1507" i="1"/>
  <c r="F1507" i="1"/>
  <c r="E1507" i="1"/>
  <c r="D1507" i="1"/>
  <c r="C1507" i="1"/>
  <c r="L1506" i="1"/>
  <c r="K1506" i="1"/>
  <c r="I1506" i="1"/>
  <c r="H1506" i="1"/>
  <c r="F1506" i="1"/>
  <c r="E1506" i="1"/>
  <c r="D1506" i="1"/>
  <c r="C1506" i="1"/>
  <c r="L1505" i="1"/>
  <c r="K1505" i="1"/>
  <c r="I1505" i="1"/>
  <c r="H1505" i="1"/>
  <c r="F1505" i="1"/>
  <c r="E1505" i="1"/>
  <c r="D1505" i="1"/>
  <c r="C1505" i="1"/>
  <c r="L1504" i="1"/>
  <c r="K1504" i="1"/>
  <c r="I1504" i="1"/>
  <c r="H1504" i="1"/>
  <c r="F1504" i="1"/>
  <c r="E1504" i="1"/>
  <c r="D1504" i="1"/>
  <c r="C1504" i="1"/>
  <c r="L1503" i="1"/>
  <c r="K1503" i="1"/>
  <c r="I1503" i="1"/>
  <c r="H1503" i="1"/>
  <c r="F1503" i="1"/>
  <c r="E1503" i="1"/>
  <c r="D1503" i="1"/>
  <c r="C1503" i="1"/>
  <c r="L1502" i="1"/>
  <c r="K1502" i="1"/>
  <c r="I1502" i="1"/>
  <c r="H1502" i="1"/>
  <c r="F1502" i="1"/>
  <c r="E1502" i="1"/>
  <c r="D1502" i="1"/>
  <c r="C1502" i="1"/>
  <c r="L1501" i="1"/>
  <c r="K1501" i="1"/>
  <c r="I1501" i="1"/>
  <c r="H1501" i="1"/>
  <c r="F1501" i="1"/>
  <c r="E1501" i="1"/>
  <c r="D1501" i="1"/>
  <c r="C1501" i="1"/>
  <c r="L1500" i="1"/>
  <c r="K1500" i="1"/>
  <c r="I1500" i="1"/>
  <c r="H1500" i="1"/>
  <c r="F1500" i="1"/>
  <c r="E1500" i="1"/>
  <c r="D1500" i="1"/>
  <c r="C1500" i="1"/>
  <c r="L1499" i="1"/>
  <c r="K1499" i="1"/>
  <c r="I1499" i="1"/>
  <c r="H1499" i="1"/>
  <c r="F1499" i="1"/>
  <c r="E1499" i="1"/>
  <c r="D1499" i="1"/>
  <c r="C1499" i="1"/>
  <c r="L1498" i="1"/>
  <c r="K1498" i="1"/>
  <c r="I1498" i="1"/>
  <c r="H1498" i="1"/>
  <c r="F1498" i="1"/>
  <c r="E1498" i="1"/>
  <c r="D1498" i="1"/>
  <c r="C1498" i="1"/>
  <c r="L1497" i="1"/>
  <c r="K1497" i="1"/>
  <c r="I1497" i="1"/>
  <c r="H1497" i="1"/>
  <c r="F1497" i="1"/>
  <c r="E1497" i="1"/>
  <c r="D1497" i="1"/>
  <c r="C1497" i="1"/>
  <c r="L1496" i="1"/>
  <c r="K1496" i="1"/>
  <c r="I1496" i="1"/>
  <c r="H1496" i="1"/>
  <c r="F1496" i="1"/>
  <c r="E1496" i="1"/>
  <c r="D1496" i="1"/>
  <c r="C1496" i="1"/>
  <c r="L1495" i="1"/>
  <c r="K1495" i="1"/>
  <c r="I1495" i="1"/>
  <c r="H1495" i="1"/>
  <c r="F1495" i="1"/>
  <c r="E1495" i="1"/>
  <c r="D1495" i="1"/>
  <c r="C1495" i="1"/>
  <c r="L1494" i="1"/>
  <c r="K1494" i="1"/>
  <c r="I1494" i="1"/>
  <c r="H1494" i="1"/>
  <c r="F1494" i="1"/>
  <c r="E1494" i="1"/>
  <c r="D1494" i="1"/>
  <c r="C1494" i="1"/>
  <c r="L1493" i="1"/>
  <c r="K1493" i="1"/>
  <c r="I1493" i="1"/>
  <c r="H1493" i="1"/>
  <c r="F1493" i="1"/>
  <c r="E1493" i="1"/>
  <c r="D1493" i="1"/>
  <c r="C1493" i="1"/>
  <c r="L1492" i="1"/>
  <c r="K1492" i="1"/>
  <c r="I1492" i="1"/>
  <c r="H1492" i="1"/>
  <c r="F1492" i="1"/>
  <c r="E1492" i="1"/>
  <c r="D1492" i="1"/>
  <c r="C1492" i="1"/>
  <c r="L1491" i="1"/>
  <c r="K1491" i="1"/>
  <c r="I1491" i="1"/>
  <c r="H1491" i="1"/>
  <c r="F1491" i="1"/>
  <c r="E1491" i="1"/>
  <c r="D1491" i="1"/>
  <c r="C1491" i="1"/>
  <c r="L1490" i="1"/>
  <c r="K1490" i="1"/>
  <c r="I1490" i="1"/>
  <c r="H1490" i="1"/>
  <c r="F1490" i="1"/>
  <c r="E1490" i="1"/>
  <c r="D1490" i="1"/>
  <c r="C1490" i="1"/>
  <c r="L1489" i="1"/>
  <c r="K1489" i="1"/>
  <c r="I1489" i="1"/>
  <c r="H1489" i="1"/>
  <c r="F1489" i="1"/>
  <c r="E1489" i="1"/>
  <c r="D1489" i="1"/>
  <c r="C1489" i="1"/>
  <c r="L1488" i="1"/>
  <c r="K1488" i="1"/>
  <c r="I1488" i="1"/>
  <c r="H1488" i="1"/>
  <c r="F1488" i="1"/>
  <c r="E1488" i="1"/>
  <c r="D1488" i="1"/>
  <c r="C1488" i="1"/>
  <c r="L1487" i="1"/>
  <c r="K1487" i="1"/>
  <c r="I1487" i="1"/>
  <c r="H1487" i="1"/>
  <c r="F1487" i="1"/>
  <c r="E1487" i="1"/>
  <c r="D1487" i="1"/>
  <c r="C1487" i="1"/>
  <c r="L1486" i="1"/>
  <c r="K1486" i="1"/>
  <c r="I1486" i="1"/>
  <c r="H1486" i="1"/>
  <c r="F1486" i="1"/>
  <c r="E1486" i="1"/>
  <c r="D1486" i="1"/>
  <c r="C1486" i="1"/>
  <c r="L1485" i="1"/>
  <c r="K1485" i="1"/>
  <c r="I1485" i="1"/>
  <c r="H1485" i="1"/>
  <c r="F1485" i="1"/>
  <c r="E1485" i="1"/>
  <c r="D1485" i="1"/>
  <c r="C1485" i="1"/>
  <c r="L1484" i="1"/>
  <c r="K1484" i="1"/>
  <c r="I1484" i="1"/>
  <c r="H1484" i="1"/>
  <c r="F1484" i="1"/>
  <c r="E1484" i="1"/>
  <c r="D1484" i="1"/>
  <c r="C1484" i="1"/>
  <c r="L1483" i="1"/>
  <c r="K1483" i="1"/>
  <c r="I1483" i="1"/>
  <c r="H1483" i="1"/>
  <c r="F1483" i="1"/>
  <c r="E1483" i="1"/>
  <c r="D1483" i="1"/>
  <c r="C1483" i="1"/>
  <c r="L1482" i="1"/>
  <c r="K1482" i="1"/>
  <c r="I1482" i="1"/>
  <c r="H1482" i="1"/>
  <c r="F1482" i="1"/>
  <c r="E1482" i="1"/>
  <c r="D1482" i="1"/>
  <c r="C1482" i="1"/>
  <c r="L1481" i="1"/>
  <c r="K1481" i="1"/>
  <c r="I1481" i="1"/>
  <c r="H1481" i="1"/>
  <c r="F1481" i="1"/>
  <c r="E1481" i="1"/>
  <c r="D1481" i="1"/>
  <c r="C1481" i="1"/>
  <c r="L1480" i="1"/>
  <c r="K1480" i="1"/>
  <c r="I1480" i="1"/>
  <c r="H1480" i="1"/>
  <c r="F1480" i="1"/>
  <c r="E1480" i="1"/>
  <c r="D1480" i="1"/>
  <c r="C1480" i="1"/>
  <c r="L1479" i="1"/>
  <c r="K1479" i="1"/>
  <c r="I1479" i="1"/>
  <c r="H1479" i="1"/>
  <c r="F1479" i="1"/>
  <c r="E1479" i="1"/>
  <c r="D1479" i="1"/>
  <c r="C1479" i="1"/>
  <c r="L1478" i="1"/>
  <c r="K1478" i="1"/>
  <c r="I1478" i="1"/>
  <c r="H1478" i="1"/>
  <c r="F1478" i="1"/>
  <c r="E1478" i="1"/>
  <c r="D1478" i="1"/>
  <c r="C1478" i="1"/>
  <c r="L1477" i="1"/>
  <c r="K1477" i="1"/>
  <c r="I1477" i="1"/>
  <c r="H1477" i="1"/>
  <c r="F1477" i="1"/>
  <c r="E1477" i="1"/>
  <c r="D1477" i="1"/>
  <c r="C1477" i="1"/>
  <c r="L1476" i="1"/>
  <c r="K1476" i="1"/>
  <c r="I1476" i="1"/>
  <c r="H1476" i="1"/>
  <c r="F1476" i="1"/>
  <c r="E1476" i="1"/>
  <c r="D1476" i="1"/>
  <c r="C1476" i="1"/>
  <c r="L1475" i="1"/>
  <c r="K1475" i="1"/>
  <c r="I1475" i="1"/>
  <c r="H1475" i="1"/>
  <c r="F1475" i="1"/>
  <c r="E1475" i="1"/>
  <c r="D1475" i="1"/>
  <c r="C1475" i="1"/>
  <c r="L1474" i="1"/>
  <c r="K1474" i="1"/>
  <c r="I1474" i="1"/>
  <c r="H1474" i="1"/>
  <c r="F1474" i="1"/>
  <c r="E1474" i="1"/>
  <c r="D1474" i="1"/>
  <c r="C1474" i="1"/>
  <c r="L1473" i="1"/>
  <c r="K1473" i="1"/>
  <c r="I1473" i="1"/>
  <c r="H1473" i="1"/>
  <c r="F1473" i="1"/>
  <c r="E1473" i="1"/>
  <c r="D1473" i="1"/>
  <c r="C1473" i="1"/>
  <c r="L1472" i="1"/>
  <c r="K1472" i="1"/>
  <c r="I1472" i="1"/>
  <c r="H1472" i="1"/>
  <c r="F1472" i="1"/>
  <c r="E1472" i="1"/>
  <c r="D1472" i="1"/>
  <c r="C1472" i="1"/>
  <c r="L1471" i="1"/>
  <c r="K1471" i="1"/>
  <c r="I1471" i="1"/>
  <c r="H1471" i="1"/>
  <c r="F1471" i="1"/>
  <c r="E1471" i="1"/>
  <c r="D1471" i="1"/>
  <c r="C1471" i="1"/>
  <c r="L1470" i="1"/>
  <c r="K1470" i="1"/>
  <c r="I1470" i="1"/>
  <c r="H1470" i="1"/>
  <c r="F1470" i="1"/>
  <c r="E1470" i="1"/>
  <c r="D1470" i="1"/>
  <c r="C1470" i="1"/>
  <c r="L1469" i="1"/>
  <c r="K1469" i="1"/>
  <c r="I1469" i="1"/>
  <c r="H1469" i="1"/>
  <c r="F1469" i="1"/>
  <c r="E1469" i="1"/>
  <c r="D1469" i="1"/>
  <c r="C1469" i="1"/>
  <c r="L1468" i="1"/>
  <c r="K1468" i="1"/>
  <c r="I1468" i="1"/>
  <c r="H1468" i="1"/>
  <c r="F1468" i="1"/>
  <c r="E1468" i="1"/>
  <c r="D1468" i="1"/>
  <c r="C1468" i="1"/>
  <c r="L1467" i="1"/>
  <c r="K1467" i="1"/>
  <c r="I1467" i="1"/>
  <c r="H1467" i="1"/>
  <c r="F1467" i="1"/>
  <c r="E1467" i="1"/>
  <c r="D1467" i="1"/>
  <c r="C1467" i="1"/>
  <c r="L1466" i="1"/>
  <c r="K1466" i="1"/>
  <c r="I1466" i="1"/>
  <c r="H1466" i="1"/>
  <c r="F1466" i="1"/>
  <c r="E1466" i="1"/>
  <c r="D1466" i="1"/>
  <c r="C1466" i="1"/>
  <c r="L1465" i="1"/>
  <c r="K1465" i="1"/>
  <c r="I1465" i="1"/>
  <c r="H1465" i="1"/>
  <c r="F1465" i="1"/>
  <c r="E1465" i="1"/>
  <c r="D1465" i="1"/>
  <c r="C1465" i="1"/>
  <c r="L1464" i="1"/>
  <c r="K1464" i="1"/>
  <c r="I1464" i="1"/>
  <c r="H1464" i="1"/>
  <c r="F1464" i="1"/>
  <c r="E1464" i="1"/>
  <c r="D1464" i="1"/>
  <c r="C1464" i="1"/>
  <c r="L1463" i="1"/>
  <c r="K1463" i="1"/>
  <c r="I1463" i="1"/>
  <c r="H1463" i="1"/>
  <c r="F1463" i="1"/>
  <c r="E1463" i="1"/>
  <c r="D1463" i="1"/>
  <c r="C1463" i="1"/>
  <c r="L1462" i="1"/>
  <c r="K1462" i="1"/>
  <c r="I1462" i="1"/>
  <c r="H1462" i="1"/>
  <c r="F1462" i="1"/>
  <c r="E1462" i="1"/>
  <c r="D1462" i="1"/>
  <c r="C1462" i="1"/>
  <c r="L1461" i="1"/>
  <c r="K1461" i="1"/>
  <c r="I1461" i="1"/>
  <c r="H1461" i="1"/>
  <c r="F1461" i="1"/>
  <c r="E1461" i="1"/>
  <c r="D1461" i="1"/>
  <c r="C1461" i="1"/>
  <c r="L1460" i="1"/>
  <c r="K1460" i="1"/>
  <c r="I1460" i="1"/>
  <c r="H1460" i="1"/>
  <c r="F1460" i="1"/>
  <c r="E1460" i="1"/>
  <c r="D1460" i="1"/>
  <c r="C1460" i="1"/>
  <c r="L1459" i="1"/>
  <c r="K1459" i="1"/>
  <c r="I1459" i="1"/>
  <c r="H1459" i="1"/>
  <c r="F1459" i="1"/>
  <c r="E1459" i="1"/>
  <c r="D1459" i="1"/>
  <c r="C1459" i="1"/>
  <c r="L1458" i="1"/>
  <c r="K1458" i="1"/>
  <c r="I1458" i="1"/>
  <c r="H1458" i="1"/>
  <c r="F1458" i="1"/>
  <c r="E1458" i="1"/>
  <c r="D1458" i="1"/>
  <c r="C1458" i="1"/>
  <c r="L1457" i="1"/>
  <c r="K1457" i="1"/>
  <c r="I1457" i="1"/>
  <c r="H1457" i="1"/>
  <c r="F1457" i="1"/>
  <c r="E1457" i="1"/>
  <c r="D1457" i="1"/>
  <c r="C1457" i="1"/>
  <c r="L1456" i="1"/>
  <c r="K1456" i="1"/>
  <c r="I1456" i="1"/>
  <c r="H1456" i="1"/>
  <c r="F1456" i="1"/>
  <c r="E1456" i="1"/>
  <c r="D1456" i="1"/>
  <c r="C1456" i="1"/>
  <c r="L1455" i="1"/>
  <c r="K1455" i="1"/>
  <c r="I1455" i="1"/>
  <c r="H1455" i="1"/>
  <c r="F1455" i="1"/>
  <c r="E1455" i="1"/>
  <c r="D1455" i="1"/>
  <c r="C1455" i="1"/>
  <c r="L1454" i="1"/>
  <c r="K1454" i="1"/>
  <c r="I1454" i="1"/>
  <c r="H1454" i="1"/>
  <c r="F1454" i="1"/>
  <c r="E1454" i="1"/>
  <c r="D1454" i="1"/>
  <c r="C1454" i="1"/>
  <c r="L1453" i="1"/>
  <c r="K1453" i="1"/>
  <c r="I1453" i="1"/>
  <c r="H1453" i="1"/>
  <c r="F1453" i="1"/>
  <c r="E1453" i="1"/>
  <c r="D1453" i="1"/>
  <c r="C1453" i="1"/>
  <c r="L1452" i="1"/>
  <c r="K1452" i="1"/>
  <c r="I1452" i="1"/>
  <c r="H1452" i="1"/>
  <c r="F1452" i="1"/>
  <c r="E1452" i="1"/>
  <c r="D1452" i="1"/>
  <c r="C1452" i="1"/>
  <c r="L1451" i="1"/>
  <c r="K1451" i="1"/>
  <c r="I1451" i="1"/>
  <c r="H1451" i="1"/>
  <c r="F1451" i="1"/>
  <c r="E1451" i="1"/>
  <c r="D1451" i="1"/>
  <c r="C1451" i="1"/>
  <c r="L1450" i="1"/>
  <c r="K1450" i="1"/>
  <c r="I1450" i="1"/>
  <c r="H1450" i="1"/>
  <c r="F1450" i="1"/>
  <c r="E1450" i="1"/>
  <c r="D1450" i="1"/>
  <c r="C1450" i="1"/>
  <c r="L1449" i="1"/>
  <c r="K1449" i="1"/>
  <c r="I1449" i="1"/>
  <c r="H1449" i="1"/>
  <c r="F1449" i="1"/>
  <c r="E1449" i="1"/>
  <c r="D1449" i="1"/>
  <c r="C1449" i="1"/>
  <c r="L1448" i="1"/>
  <c r="K1448" i="1"/>
  <c r="I1448" i="1"/>
  <c r="H1448" i="1"/>
  <c r="F1448" i="1"/>
  <c r="E1448" i="1"/>
  <c r="D1448" i="1"/>
  <c r="C1448" i="1"/>
  <c r="L1447" i="1"/>
  <c r="K1447" i="1"/>
  <c r="I1447" i="1"/>
  <c r="H1447" i="1"/>
  <c r="F1447" i="1"/>
  <c r="E1447" i="1"/>
  <c r="D1447" i="1"/>
  <c r="C1447" i="1"/>
  <c r="L1446" i="1"/>
  <c r="K1446" i="1"/>
  <c r="I1446" i="1"/>
  <c r="H1446" i="1"/>
  <c r="F1446" i="1"/>
  <c r="E1446" i="1"/>
  <c r="D1446" i="1"/>
  <c r="C1446" i="1"/>
  <c r="L1445" i="1"/>
  <c r="K1445" i="1"/>
  <c r="I1445" i="1"/>
  <c r="H1445" i="1"/>
  <c r="F1445" i="1"/>
  <c r="E1445" i="1"/>
  <c r="D1445" i="1"/>
  <c r="C1445" i="1"/>
  <c r="L1444" i="1"/>
  <c r="K1444" i="1"/>
  <c r="I1444" i="1"/>
  <c r="H1444" i="1"/>
  <c r="F1444" i="1"/>
  <c r="E1444" i="1"/>
  <c r="D1444" i="1"/>
  <c r="C1444" i="1"/>
  <c r="L1443" i="1"/>
  <c r="K1443" i="1"/>
  <c r="I1443" i="1"/>
  <c r="H1443" i="1"/>
  <c r="F1443" i="1"/>
  <c r="E1443" i="1"/>
  <c r="D1443" i="1"/>
  <c r="C1443" i="1"/>
  <c r="L1442" i="1"/>
  <c r="K1442" i="1"/>
  <c r="I1442" i="1"/>
  <c r="H1442" i="1"/>
  <c r="F1442" i="1"/>
  <c r="E1442" i="1"/>
  <c r="D1442" i="1"/>
  <c r="C1442" i="1"/>
  <c r="L1441" i="1"/>
  <c r="K1441" i="1"/>
  <c r="I1441" i="1"/>
  <c r="H1441" i="1"/>
  <c r="F1441" i="1"/>
  <c r="E1441" i="1"/>
  <c r="D1441" i="1"/>
  <c r="C1441" i="1"/>
  <c r="L1440" i="1"/>
  <c r="K1440" i="1"/>
  <c r="I1440" i="1"/>
  <c r="H1440" i="1"/>
  <c r="F1440" i="1"/>
  <c r="E1440" i="1"/>
  <c r="D1440" i="1"/>
  <c r="C1440" i="1"/>
  <c r="L1439" i="1"/>
  <c r="K1439" i="1"/>
  <c r="I1439" i="1"/>
  <c r="H1439" i="1"/>
  <c r="F1439" i="1"/>
  <c r="E1439" i="1"/>
  <c r="D1439" i="1"/>
  <c r="C1439" i="1"/>
  <c r="L1438" i="1"/>
  <c r="K1438" i="1"/>
  <c r="I1438" i="1"/>
  <c r="H1438" i="1"/>
  <c r="F1438" i="1"/>
  <c r="E1438" i="1"/>
  <c r="D1438" i="1"/>
  <c r="C1438" i="1"/>
  <c r="L1437" i="1"/>
  <c r="K1437" i="1"/>
  <c r="I1437" i="1"/>
  <c r="H1437" i="1"/>
  <c r="F1437" i="1"/>
  <c r="E1437" i="1"/>
  <c r="D1437" i="1"/>
  <c r="C1437" i="1"/>
  <c r="L1436" i="1"/>
  <c r="K1436" i="1"/>
  <c r="I1436" i="1"/>
  <c r="H1436" i="1"/>
  <c r="F1436" i="1"/>
  <c r="E1436" i="1"/>
  <c r="D1436" i="1"/>
  <c r="C1436" i="1"/>
  <c r="L1435" i="1"/>
  <c r="K1435" i="1"/>
  <c r="I1435" i="1"/>
  <c r="H1435" i="1"/>
  <c r="F1435" i="1"/>
  <c r="E1435" i="1"/>
  <c r="D1435" i="1"/>
  <c r="C1435" i="1"/>
  <c r="L1434" i="1"/>
  <c r="K1434" i="1"/>
  <c r="I1434" i="1"/>
  <c r="H1434" i="1"/>
  <c r="F1434" i="1"/>
  <c r="E1434" i="1"/>
  <c r="D1434" i="1"/>
  <c r="C1434" i="1"/>
  <c r="L1433" i="1"/>
  <c r="K1433" i="1"/>
  <c r="I1433" i="1"/>
  <c r="H1433" i="1"/>
  <c r="F1433" i="1"/>
  <c r="E1433" i="1"/>
  <c r="D1433" i="1"/>
  <c r="C1433" i="1"/>
  <c r="L1432" i="1"/>
  <c r="K1432" i="1"/>
  <c r="I1432" i="1"/>
  <c r="H1432" i="1"/>
  <c r="F1432" i="1"/>
  <c r="E1432" i="1"/>
  <c r="D1432" i="1"/>
  <c r="C1432" i="1"/>
  <c r="L1431" i="1"/>
  <c r="K1431" i="1"/>
  <c r="I1431" i="1"/>
  <c r="H1431" i="1"/>
  <c r="F1431" i="1"/>
  <c r="E1431" i="1"/>
  <c r="D1431" i="1"/>
  <c r="C1431" i="1"/>
  <c r="L1430" i="1"/>
  <c r="K1430" i="1"/>
  <c r="I1430" i="1"/>
  <c r="H1430" i="1"/>
  <c r="F1430" i="1"/>
  <c r="E1430" i="1"/>
  <c r="D1430" i="1"/>
  <c r="C1430" i="1"/>
  <c r="L1429" i="1"/>
  <c r="K1429" i="1"/>
  <c r="I1429" i="1"/>
  <c r="H1429" i="1"/>
  <c r="F1429" i="1"/>
  <c r="E1429" i="1"/>
  <c r="D1429" i="1"/>
  <c r="C1429" i="1"/>
  <c r="L1428" i="1"/>
  <c r="K1428" i="1"/>
  <c r="I1428" i="1"/>
  <c r="H1428" i="1"/>
  <c r="F1428" i="1"/>
  <c r="E1428" i="1"/>
  <c r="D1428" i="1"/>
  <c r="C1428" i="1"/>
  <c r="L1427" i="1"/>
  <c r="K1427" i="1"/>
  <c r="I1427" i="1"/>
  <c r="H1427" i="1"/>
  <c r="F1427" i="1"/>
  <c r="E1427" i="1"/>
  <c r="D1427" i="1"/>
  <c r="C1427" i="1"/>
  <c r="L1426" i="1"/>
  <c r="K1426" i="1"/>
  <c r="I1426" i="1"/>
  <c r="H1426" i="1"/>
  <c r="F1426" i="1"/>
  <c r="E1426" i="1"/>
  <c r="D1426" i="1"/>
  <c r="C1426" i="1"/>
  <c r="L1425" i="1"/>
  <c r="K1425" i="1"/>
  <c r="I1425" i="1"/>
  <c r="H1425" i="1"/>
  <c r="F1425" i="1"/>
  <c r="E1425" i="1"/>
  <c r="D1425" i="1"/>
  <c r="C1425" i="1"/>
  <c r="L1424" i="1"/>
  <c r="K1424" i="1"/>
  <c r="I1424" i="1"/>
  <c r="H1424" i="1"/>
  <c r="F1424" i="1"/>
  <c r="E1424" i="1"/>
  <c r="D1424" i="1"/>
  <c r="C1424" i="1"/>
  <c r="L1423" i="1"/>
  <c r="K1423" i="1"/>
  <c r="I1423" i="1"/>
  <c r="H1423" i="1"/>
  <c r="F1423" i="1"/>
  <c r="E1423" i="1"/>
  <c r="D1423" i="1"/>
  <c r="C1423" i="1"/>
  <c r="L1422" i="1"/>
  <c r="K1422" i="1"/>
  <c r="I1422" i="1"/>
  <c r="H1422" i="1"/>
  <c r="F1422" i="1"/>
  <c r="E1422" i="1"/>
  <c r="D1422" i="1"/>
  <c r="C1422" i="1"/>
  <c r="L1421" i="1"/>
  <c r="K1421" i="1"/>
  <c r="I1421" i="1"/>
  <c r="H1421" i="1"/>
  <c r="F1421" i="1"/>
  <c r="E1421" i="1"/>
  <c r="D1421" i="1"/>
  <c r="C1421" i="1"/>
  <c r="L1420" i="1"/>
  <c r="K1420" i="1"/>
  <c r="I1420" i="1"/>
  <c r="H1420" i="1"/>
  <c r="F1420" i="1"/>
  <c r="E1420" i="1"/>
  <c r="D1420" i="1"/>
  <c r="C1420" i="1"/>
  <c r="L1419" i="1"/>
  <c r="K1419" i="1"/>
  <c r="I1419" i="1"/>
  <c r="H1419" i="1"/>
  <c r="F1419" i="1"/>
  <c r="E1419" i="1"/>
  <c r="D1419" i="1"/>
  <c r="C1419" i="1"/>
  <c r="L1418" i="1"/>
  <c r="K1418" i="1"/>
  <c r="I1418" i="1"/>
  <c r="H1418" i="1"/>
  <c r="F1418" i="1"/>
  <c r="E1418" i="1"/>
  <c r="D1418" i="1"/>
  <c r="C1418" i="1"/>
  <c r="L1417" i="1"/>
  <c r="K1417" i="1"/>
  <c r="I1417" i="1"/>
  <c r="H1417" i="1"/>
  <c r="F1417" i="1"/>
  <c r="E1417" i="1"/>
  <c r="D1417" i="1"/>
  <c r="C1417" i="1"/>
  <c r="L1416" i="1"/>
  <c r="K1416" i="1"/>
  <c r="I1416" i="1"/>
  <c r="H1416" i="1"/>
  <c r="F1416" i="1"/>
  <c r="E1416" i="1"/>
  <c r="D1416" i="1"/>
  <c r="C1416" i="1"/>
  <c r="L1415" i="1"/>
  <c r="K1415" i="1"/>
  <c r="I1415" i="1"/>
  <c r="H1415" i="1"/>
  <c r="F1415" i="1"/>
  <c r="E1415" i="1"/>
  <c r="D1415" i="1"/>
  <c r="C1415" i="1"/>
  <c r="L1414" i="1"/>
  <c r="K1414" i="1"/>
  <c r="I1414" i="1"/>
  <c r="H1414" i="1"/>
  <c r="F1414" i="1"/>
  <c r="E1414" i="1"/>
  <c r="D1414" i="1"/>
  <c r="C1414" i="1"/>
  <c r="L1413" i="1"/>
  <c r="K1413" i="1"/>
  <c r="I1413" i="1"/>
  <c r="H1413" i="1"/>
  <c r="F1413" i="1"/>
  <c r="E1413" i="1"/>
  <c r="D1413" i="1"/>
  <c r="C1413" i="1"/>
  <c r="L1412" i="1"/>
  <c r="K1412" i="1"/>
  <c r="I1412" i="1"/>
  <c r="H1412" i="1"/>
  <c r="F1412" i="1"/>
  <c r="E1412" i="1"/>
  <c r="D1412" i="1"/>
  <c r="C1412" i="1"/>
  <c r="L1411" i="1"/>
  <c r="K1411" i="1"/>
  <c r="I1411" i="1"/>
  <c r="H1411" i="1"/>
  <c r="F1411" i="1"/>
  <c r="E1411" i="1"/>
  <c r="D1411" i="1"/>
  <c r="C1411" i="1"/>
  <c r="L1410" i="1"/>
  <c r="K1410" i="1"/>
  <c r="I1410" i="1"/>
  <c r="H1410" i="1"/>
  <c r="F1410" i="1"/>
  <c r="E1410" i="1"/>
  <c r="D1410" i="1"/>
  <c r="C1410" i="1"/>
  <c r="L1409" i="1"/>
  <c r="K1409" i="1"/>
  <c r="I1409" i="1"/>
  <c r="H1409" i="1"/>
  <c r="F1409" i="1"/>
  <c r="E1409" i="1"/>
  <c r="D1409" i="1"/>
  <c r="C1409" i="1"/>
  <c r="L1408" i="1"/>
  <c r="K1408" i="1"/>
  <c r="I1408" i="1"/>
  <c r="H1408" i="1"/>
  <c r="F1408" i="1"/>
  <c r="E1408" i="1"/>
  <c r="D1408" i="1"/>
  <c r="C1408" i="1"/>
  <c r="L1407" i="1"/>
  <c r="K1407" i="1"/>
  <c r="I1407" i="1"/>
  <c r="H1407" i="1"/>
  <c r="F1407" i="1"/>
  <c r="E1407" i="1"/>
  <c r="D1407" i="1"/>
  <c r="C1407" i="1"/>
  <c r="L1406" i="1"/>
  <c r="K1406" i="1"/>
  <c r="I1406" i="1"/>
  <c r="H1406" i="1"/>
  <c r="F1406" i="1"/>
  <c r="E1406" i="1"/>
  <c r="D1406" i="1"/>
  <c r="C1406" i="1"/>
  <c r="L1405" i="1"/>
  <c r="K1405" i="1"/>
  <c r="I1405" i="1"/>
  <c r="H1405" i="1"/>
  <c r="F1405" i="1"/>
  <c r="E1405" i="1"/>
  <c r="D1405" i="1"/>
  <c r="C1405" i="1"/>
  <c r="L1404" i="1"/>
  <c r="K1404" i="1"/>
  <c r="I1404" i="1"/>
  <c r="H1404" i="1"/>
  <c r="F1404" i="1"/>
  <c r="E1404" i="1"/>
  <c r="D1404" i="1"/>
  <c r="C1404" i="1"/>
  <c r="L1403" i="1"/>
  <c r="K1403" i="1"/>
  <c r="I1403" i="1"/>
  <c r="H1403" i="1"/>
  <c r="F1403" i="1"/>
  <c r="E1403" i="1"/>
  <c r="D1403" i="1"/>
  <c r="C1403" i="1"/>
  <c r="L1402" i="1"/>
  <c r="K1402" i="1"/>
  <c r="I1402" i="1"/>
  <c r="H1402" i="1"/>
  <c r="F1402" i="1"/>
  <c r="E1402" i="1"/>
  <c r="D1402" i="1"/>
  <c r="C1402" i="1"/>
  <c r="L1401" i="1"/>
  <c r="K1401" i="1"/>
  <c r="I1401" i="1"/>
  <c r="H1401" i="1"/>
  <c r="F1401" i="1"/>
  <c r="E1401" i="1"/>
  <c r="D1401" i="1"/>
  <c r="C1401" i="1"/>
  <c r="L1400" i="1"/>
  <c r="K1400" i="1"/>
  <c r="I1400" i="1"/>
  <c r="H1400" i="1"/>
  <c r="F1400" i="1"/>
  <c r="E1400" i="1"/>
  <c r="D1400" i="1"/>
  <c r="C1400" i="1"/>
  <c r="L1399" i="1"/>
  <c r="K1399" i="1"/>
  <c r="I1399" i="1"/>
  <c r="H1399" i="1"/>
  <c r="F1399" i="1"/>
  <c r="E1399" i="1"/>
  <c r="D1399" i="1"/>
  <c r="C1399" i="1"/>
  <c r="L1398" i="1"/>
  <c r="K1398" i="1"/>
  <c r="I1398" i="1"/>
  <c r="H1398" i="1"/>
  <c r="F1398" i="1"/>
  <c r="E1398" i="1"/>
  <c r="D1398" i="1"/>
  <c r="C1398" i="1"/>
  <c r="L1397" i="1"/>
  <c r="K1397" i="1"/>
  <c r="I1397" i="1"/>
  <c r="H1397" i="1"/>
  <c r="F1397" i="1"/>
  <c r="E1397" i="1"/>
  <c r="D1397" i="1"/>
  <c r="C1397" i="1"/>
  <c r="L1396" i="1"/>
  <c r="K1396" i="1"/>
  <c r="I1396" i="1"/>
  <c r="H1396" i="1"/>
  <c r="F1396" i="1"/>
  <c r="E1396" i="1"/>
  <c r="D1396" i="1"/>
  <c r="C1396" i="1"/>
  <c r="L1395" i="1"/>
  <c r="K1395" i="1"/>
  <c r="I1395" i="1"/>
  <c r="H1395" i="1"/>
  <c r="F1395" i="1"/>
  <c r="E1395" i="1"/>
  <c r="D1395" i="1"/>
  <c r="C1395" i="1"/>
  <c r="L1394" i="1"/>
  <c r="K1394" i="1"/>
  <c r="I1394" i="1"/>
  <c r="H1394" i="1"/>
  <c r="F1394" i="1"/>
  <c r="E1394" i="1"/>
  <c r="D1394" i="1"/>
  <c r="C1394" i="1"/>
  <c r="L1393" i="1"/>
  <c r="K1393" i="1"/>
  <c r="I1393" i="1"/>
  <c r="H1393" i="1"/>
  <c r="F1393" i="1"/>
  <c r="E1393" i="1"/>
  <c r="D1393" i="1"/>
  <c r="C1393" i="1"/>
  <c r="L1392" i="1"/>
  <c r="K1392" i="1"/>
  <c r="I1392" i="1"/>
  <c r="H1392" i="1"/>
  <c r="F1392" i="1"/>
  <c r="E1392" i="1"/>
  <c r="D1392" i="1"/>
  <c r="C1392" i="1"/>
  <c r="L1391" i="1"/>
  <c r="K1391" i="1"/>
  <c r="I1391" i="1"/>
  <c r="H1391" i="1"/>
  <c r="F1391" i="1"/>
  <c r="E1391" i="1"/>
  <c r="D1391" i="1"/>
  <c r="C1391" i="1"/>
  <c r="L1390" i="1"/>
  <c r="K1390" i="1"/>
  <c r="I1390" i="1"/>
  <c r="H1390" i="1"/>
  <c r="F1390" i="1"/>
  <c r="E1390" i="1"/>
  <c r="D1390" i="1"/>
  <c r="C1390" i="1"/>
  <c r="L1389" i="1"/>
  <c r="K1389" i="1"/>
  <c r="I1389" i="1"/>
  <c r="H1389" i="1"/>
  <c r="F1389" i="1"/>
  <c r="E1389" i="1"/>
  <c r="D1389" i="1"/>
  <c r="C1389" i="1"/>
  <c r="L1388" i="1"/>
  <c r="K1388" i="1"/>
  <c r="I1388" i="1"/>
  <c r="H1388" i="1"/>
  <c r="F1388" i="1"/>
  <c r="E1388" i="1"/>
  <c r="D1388" i="1"/>
  <c r="C1388" i="1"/>
  <c r="L1387" i="1"/>
  <c r="K1387" i="1"/>
  <c r="I1387" i="1"/>
  <c r="H1387" i="1"/>
  <c r="F1387" i="1"/>
  <c r="E1387" i="1"/>
  <c r="D1387" i="1"/>
  <c r="C1387" i="1"/>
  <c r="L1386" i="1"/>
  <c r="K1386" i="1"/>
  <c r="I1386" i="1"/>
  <c r="H1386" i="1"/>
  <c r="F1386" i="1"/>
  <c r="E1386" i="1"/>
  <c r="D1386" i="1"/>
  <c r="C1386" i="1"/>
  <c r="L1385" i="1"/>
  <c r="K1385" i="1"/>
  <c r="I1385" i="1"/>
  <c r="H1385" i="1"/>
  <c r="F1385" i="1"/>
  <c r="E1385" i="1"/>
  <c r="D1385" i="1"/>
  <c r="C1385" i="1"/>
  <c r="L1384" i="1"/>
  <c r="K1384" i="1"/>
  <c r="I1384" i="1"/>
  <c r="H1384" i="1"/>
  <c r="F1384" i="1"/>
  <c r="E1384" i="1"/>
  <c r="D1384" i="1"/>
  <c r="C1384" i="1"/>
  <c r="L1383" i="1"/>
  <c r="K1383" i="1"/>
  <c r="I1383" i="1"/>
  <c r="H1383" i="1"/>
  <c r="F1383" i="1"/>
  <c r="E1383" i="1"/>
  <c r="D1383" i="1"/>
  <c r="C1383" i="1"/>
  <c r="L1382" i="1"/>
  <c r="K1382" i="1"/>
  <c r="I1382" i="1"/>
  <c r="H1382" i="1"/>
  <c r="F1382" i="1"/>
  <c r="E1382" i="1"/>
  <c r="D1382" i="1"/>
  <c r="C1382" i="1"/>
  <c r="L1381" i="1"/>
  <c r="K1381" i="1"/>
  <c r="I1381" i="1"/>
  <c r="H1381" i="1"/>
  <c r="F1381" i="1"/>
  <c r="E1381" i="1"/>
  <c r="D1381" i="1"/>
  <c r="C1381" i="1"/>
  <c r="L1380" i="1"/>
  <c r="K1380" i="1"/>
  <c r="I1380" i="1"/>
  <c r="H1380" i="1"/>
  <c r="F1380" i="1"/>
  <c r="E1380" i="1"/>
  <c r="D1380" i="1"/>
  <c r="C1380" i="1"/>
  <c r="L1379" i="1"/>
  <c r="K1379" i="1"/>
  <c r="I1379" i="1"/>
  <c r="H1379" i="1"/>
  <c r="F1379" i="1"/>
  <c r="E1379" i="1"/>
  <c r="D1379" i="1"/>
  <c r="C1379" i="1"/>
  <c r="L1378" i="1"/>
  <c r="K1378" i="1"/>
  <c r="I1378" i="1"/>
  <c r="H1378" i="1"/>
  <c r="F1378" i="1"/>
  <c r="E1378" i="1"/>
  <c r="D1378" i="1"/>
  <c r="C1378" i="1"/>
  <c r="L1377" i="1"/>
  <c r="K1377" i="1"/>
  <c r="I1377" i="1"/>
  <c r="H1377" i="1"/>
  <c r="F1377" i="1"/>
  <c r="E1377" i="1"/>
  <c r="D1377" i="1"/>
  <c r="C1377" i="1"/>
  <c r="L1376" i="1"/>
  <c r="K1376" i="1"/>
  <c r="I1376" i="1"/>
  <c r="H1376" i="1"/>
  <c r="F1376" i="1"/>
  <c r="E1376" i="1"/>
  <c r="D1376" i="1"/>
  <c r="C1376" i="1"/>
  <c r="L1375" i="1"/>
  <c r="K1375" i="1"/>
  <c r="I1375" i="1"/>
  <c r="H1375" i="1"/>
  <c r="F1375" i="1"/>
  <c r="E1375" i="1"/>
  <c r="D1375" i="1"/>
  <c r="C1375" i="1"/>
  <c r="L1374" i="1"/>
  <c r="K1374" i="1"/>
  <c r="I1374" i="1"/>
  <c r="H1374" i="1"/>
  <c r="F1374" i="1"/>
  <c r="E1374" i="1"/>
  <c r="D1374" i="1"/>
  <c r="C1374" i="1"/>
  <c r="L1373" i="1"/>
  <c r="K1373" i="1"/>
  <c r="I1373" i="1"/>
  <c r="H1373" i="1"/>
  <c r="F1373" i="1"/>
  <c r="E1373" i="1"/>
  <c r="D1373" i="1"/>
  <c r="C1373" i="1"/>
  <c r="L1372" i="1"/>
  <c r="K1372" i="1"/>
  <c r="I1372" i="1"/>
  <c r="H1372" i="1"/>
  <c r="F1372" i="1"/>
  <c r="E1372" i="1"/>
  <c r="D1372" i="1"/>
  <c r="C1372" i="1"/>
  <c r="L1371" i="1"/>
  <c r="K1371" i="1"/>
  <c r="I1371" i="1"/>
  <c r="H1371" i="1"/>
  <c r="F1371" i="1"/>
  <c r="E1371" i="1"/>
  <c r="D1371" i="1"/>
  <c r="C1371" i="1"/>
  <c r="L1370" i="1"/>
  <c r="K1370" i="1"/>
  <c r="I1370" i="1"/>
  <c r="H1370" i="1"/>
  <c r="F1370" i="1"/>
  <c r="E1370" i="1"/>
  <c r="D1370" i="1"/>
  <c r="C1370" i="1"/>
  <c r="L1369" i="1"/>
  <c r="K1369" i="1"/>
  <c r="I1369" i="1"/>
  <c r="H1369" i="1"/>
  <c r="F1369" i="1"/>
  <c r="E1369" i="1"/>
  <c r="D1369" i="1"/>
  <c r="C1369" i="1"/>
  <c r="L1368" i="1"/>
  <c r="K1368" i="1"/>
  <c r="I1368" i="1"/>
  <c r="H1368" i="1"/>
  <c r="F1368" i="1"/>
  <c r="E1368" i="1"/>
  <c r="D1368" i="1"/>
  <c r="C1368" i="1"/>
  <c r="L1367" i="1"/>
  <c r="K1367" i="1"/>
  <c r="I1367" i="1"/>
  <c r="H1367" i="1"/>
  <c r="F1367" i="1"/>
  <c r="E1367" i="1"/>
  <c r="D1367" i="1"/>
  <c r="C1367" i="1"/>
  <c r="L1366" i="1"/>
  <c r="K1366" i="1"/>
  <c r="I1366" i="1"/>
  <c r="H1366" i="1"/>
  <c r="F1366" i="1"/>
  <c r="E1366" i="1"/>
  <c r="D1366" i="1"/>
  <c r="C1366" i="1"/>
  <c r="L1365" i="1"/>
  <c r="K1365" i="1"/>
  <c r="I1365" i="1"/>
  <c r="H1365" i="1"/>
  <c r="F1365" i="1"/>
  <c r="E1365" i="1"/>
  <c r="D1365" i="1"/>
  <c r="C1365" i="1"/>
  <c r="L1364" i="1"/>
  <c r="K1364" i="1"/>
  <c r="I1364" i="1"/>
  <c r="H1364" i="1"/>
  <c r="F1364" i="1"/>
  <c r="E1364" i="1"/>
  <c r="D1364" i="1"/>
  <c r="C1364" i="1"/>
  <c r="L1363" i="1"/>
  <c r="K1363" i="1"/>
  <c r="I1363" i="1"/>
  <c r="H1363" i="1"/>
  <c r="F1363" i="1"/>
  <c r="E1363" i="1"/>
  <c r="D1363" i="1"/>
  <c r="C1363" i="1"/>
  <c r="L1362" i="1"/>
  <c r="K1362" i="1"/>
  <c r="I1362" i="1"/>
  <c r="H1362" i="1"/>
  <c r="F1362" i="1"/>
  <c r="E1362" i="1"/>
  <c r="D1362" i="1"/>
  <c r="C1362" i="1"/>
  <c r="L1361" i="1"/>
  <c r="K1361" i="1"/>
  <c r="I1361" i="1"/>
  <c r="H1361" i="1"/>
  <c r="F1361" i="1"/>
  <c r="E1361" i="1"/>
  <c r="D1361" i="1"/>
  <c r="C1361" i="1"/>
  <c r="L1360" i="1"/>
  <c r="K1360" i="1"/>
  <c r="I1360" i="1"/>
  <c r="H1360" i="1"/>
  <c r="F1360" i="1"/>
  <c r="E1360" i="1"/>
  <c r="D1360" i="1"/>
  <c r="C1360" i="1"/>
  <c r="L1359" i="1"/>
  <c r="K1359" i="1"/>
  <c r="I1359" i="1"/>
  <c r="H1359" i="1"/>
  <c r="F1359" i="1"/>
  <c r="E1359" i="1"/>
  <c r="D1359" i="1"/>
  <c r="C1359" i="1"/>
  <c r="L1358" i="1"/>
  <c r="K1358" i="1"/>
  <c r="I1358" i="1"/>
  <c r="H1358" i="1"/>
  <c r="F1358" i="1"/>
  <c r="E1358" i="1"/>
  <c r="D1358" i="1"/>
  <c r="C1358" i="1"/>
  <c r="L1357" i="1"/>
  <c r="K1357" i="1"/>
  <c r="I1357" i="1"/>
  <c r="H1357" i="1"/>
  <c r="F1357" i="1"/>
  <c r="E1357" i="1"/>
  <c r="D1357" i="1"/>
  <c r="C1357" i="1"/>
  <c r="L1356" i="1"/>
  <c r="K1356" i="1"/>
  <c r="I1356" i="1"/>
  <c r="H1356" i="1"/>
  <c r="F1356" i="1"/>
  <c r="E1356" i="1"/>
  <c r="D1356" i="1"/>
  <c r="C1356" i="1"/>
  <c r="L1355" i="1"/>
  <c r="K1355" i="1"/>
  <c r="I1355" i="1"/>
  <c r="H1355" i="1"/>
  <c r="F1355" i="1"/>
  <c r="E1355" i="1"/>
  <c r="D1355" i="1"/>
  <c r="C1355" i="1"/>
  <c r="L1354" i="1"/>
  <c r="K1354" i="1"/>
  <c r="I1354" i="1"/>
  <c r="H1354" i="1"/>
  <c r="F1354" i="1"/>
  <c r="E1354" i="1"/>
  <c r="D1354" i="1"/>
  <c r="C1354" i="1"/>
  <c r="L1353" i="1"/>
  <c r="K1353" i="1"/>
  <c r="I1353" i="1"/>
  <c r="H1353" i="1"/>
  <c r="F1353" i="1"/>
  <c r="E1353" i="1"/>
  <c r="D1353" i="1"/>
  <c r="C1353" i="1"/>
  <c r="L1352" i="1"/>
  <c r="K1352" i="1"/>
  <c r="I1352" i="1"/>
  <c r="H1352" i="1"/>
  <c r="F1352" i="1"/>
  <c r="E1352" i="1"/>
  <c r="D1352" i="1"/>
  <c r="C1352" i="1"/>
  <c r="L1351" i="1"/>
  <c r="K1351" i="1"/>
  <c r="I1351" i="1"/>
  <c r="H1351" i="1"/>
  <c r="F1351" i="1"/>
  <c r="E1351" i="1"/>
  <c r="D1351" i="1"/>
  <c r="C1351" i="1"/>
  <c r="L1350" i="1"/>
  <c r="K1350" i="1"/>
  <c r="I1350" i="1"/>
  <c r="H1350" i="1"/>
  <c r="F1350" i="1"/>
  <c r="E1350" i="1"/>
  <c r="D1350" i="1"/>
  <c r="C1350" i="1"/>
  <c r="L1349" i="1"/>
  <c r="K1349" i="1"/>
  <c r="I1349" i="1"/>
  <c r="H1349" i="1"/>
  <c r="F1349" i="1"/>
  <c r="E1349" i="1"/>
  <c r="D1349" i="1"/>
  <c r="C1349" i="1"/>
  <c r="L1348" i="1"/>
  <c r="K1348" i="1"/>
  <c r="I1348" i="1"/>
  <c r="H1348" i="1"/>
  <c r="F1348" i="1"/>
  <c r="E1348" i="1"/>
  <c r="D1348" i="1"/>
  <c r="C1348" i="1"/>
  <c r="L1347" i="1"/>
  <c r="K1347" i="1"/>
  <c r="I1347" i="1"/>
  <c r="H1347" i="1"/>
  <c r="F1347" i="1"/>
  <c r="E1347" i="1"/>
  <c r="D1347" i="1"/>
  <c r="C1347" i="1"/>
  <c r="L1346" i="1"/>
  <c r="K1346" i="1"/>
  <c r="I1346" i="1"/>
  <c r="H1346" i="1"/>
  <c r="F1346" i="1"/>
  <c r="E1346" i="1"/>
  <c r="D1346" i="1"/>
  <c r="C1346" i="1"/>
  <c r="L1345" i="1"/>
  <c r="K1345" i="1"/>
  <c r="I1345" i="1"/>
  <c r="H1345" i="1"/>
  <c r="F1345" i="1"/>
  <c r="E1345" i="1"/>
  <c r="D1345" i="1"/>
  <c r="C1345" i="1"/>
  <c r="L1344" i="1"/>
  <c r="K1344" i="1"/>
  <c r="I1344" i="1"/>
  <c r="H1344" i="1"/>
  <c r="F1344" i="1"/>
  <c r="E1344" i="1"/>
  <c r="D1344" i="1"/>
  <c r="C1344" i="1"/>
  <c r="L1343" i="1"/>
  <c r="K1343" i="1"/>
  <c r="I1343" i="1"/>
  <c r="H1343" i="1"/>
  <c r="F1343" i="1"/>
  <c r="E1343" i="1"/>
  <c r="D1343" i="1"/>
  <c r="C1343" i="1"/>
  <c r="L1342" i="1"/>
  <c r="K1342" i="1"/>
  <c r="I1342" i="1"/>
  <c r="H1342" i="1"/>
  <c r="F1342" i="1"/>
  <c r="E1342" i="1"/>
  <c r="D1342" i="1"/>
  <c r="C1342" i="1"/>
  <c r="L1341" i="1"/>
  <c r="K1341" i="1"/>
  <c r="I1341" i="1"/>
  <c r="H1341" i="1"/>
  <c r="F1341" i="1"/>
  <c r="E1341" i="1"/>
  <c r="D1341" i="1"/>
  <c r="C1341" i="1"/>
  <c r="L1340" i="1"/>
  <c r="K1340" i="1"/>
  <c r="I1340" i="1"/>
  <c r="H1340" i="1"/>
  <c r="F1340" i="1"/>
  <c r="E1340" i="1"/>
  <c r="D1340" i="1"/>
  <c r="C1340" i="1"/>
  <c r="L1339" i="1"/>
  <c r="K1339" i="1"/>
  <c r="I1339" i="1"/>
  <c r="H1339" i="1"/>
  <c r="F1339" i="1"/>
  <c r="E1339" i="1"/>
  <c r="D1339" i="1"/>
  <c r="C1339" i="1"/>
  <c r="L1338" i="1"/>
  <c r="K1338" i="1"/>
  <c r="I1338" i="1"/>
  <c r="H1338" i="1"/>
  <c r="F1338" i="1"/>
  <c r="E1338" i="1"/>
  <c r="D1338" i="1"/>
  <c r="C1338" i="1"/>
  <c r="L1337" i="1"/>
  <c r="K1337" i="1"/>
  <c r="I1337" i="1"/>
  <c r="H1337" i="1"/>
  <c r="F1337" i="1"/>
  <c r="E1337" i="1"/>
  <c r="D1337" i="1"/>
  <c r="C1337" i="1"/>
  <c r="L1336" i="1"/>
  <c r="K1336" i="1"/>
  <c r="I1336" i="1"/>
  <c r="H1336" i="1"/>
  <c r="F1336" i="1"/>
  <c r="E1336" i="1"/>
  <c r="D1336" i="1"/>
  <c r="C1336" i="1"/>
  <c r="L1335" i="1"/>
  <c r="K1335" i="1"/>
  <c r="I1335" i="1"/>
  <c r="H1335" i="1"/>
  <c r="F1335" i="1"/>
  <c r="E1335" i="1"/>
  <c r="D1335" i="1"/>
  <c r="C1335" i="1"/>
  <c r="L1334" i="1"/>
  <c r="K1334" i="1"/>
  <c r="I1334" i="1"/>
  <c r="H1334" i="1"/>
  <c r="F1334" i="1"/>
  <c r="E1334" i="1"/>
  <c r="D1334" i="1"/>
  <c r="C1334" i="1"/>
  <c r="L1333" i="1"/>
  <c r="K1333" i="1"/>
  <c r="I1333" i="1"/>
  <c r="H1333" i="1"/>
  <c r="F1333" i="1"/>
  <c r="E1333" i="1"/>
  <c r="D1333" i="1"/>
  <c r="C1333" i="1"/>
  <c r="L1332" i="1"/>
  <c r="K1332" i="1"/>
  <c r="I1332" i="1"/>
  <c r="H1332" i="1"/>
  <c r="F1332" i="1"/>
  <c r="E1332" i="1"/>
  <c r="D1332" i="1"/>
  <c r="C1332" i="1"/>
  <c r="L1331" i="1"/>
  <c r="K1331" i="1"/>
  <c r="I1331" i="1"/>
  <c r="H1331" i="1"/>
  <c r="F1331" i="1"/>
  <c r="E1331" i="1"/>
  <c r="D1331" i="1"/>
  <c r="C1331" i="1"/>
  <c r="L1330" i="1"/>
  <c r="K1330" i="1"/>
  <c r="I1330" i="1"/>
  <c r="H1330" i="1"/>
  <c r="F1330" i="1"/>
  <c r="E1330" i="1"/>
  <c r="D1330" i="1"/>
  <c r="C1330" i="1"/>
  <c r="L1329" i="1"/>
  <c r="K1329" i="1"/>
  <c r="I1329" i="1"/>
  <c r="H1329" i="1"/>
  <c r="F1329" i="1"/>
  <c r="E1329" i="1"/>
  <c r="D1329" i="1"/>
  <c r="C1329" i="1"/>
  <c r="L1328" i="1"/>
  <c r="K1328" i="1"/>
  <c r="I1328" i="1"/>
  <c r="H1328" i="1"/>
  <c r="F1328" i="1"/>
  <c r="E1328" i="1"/>
  <c r="D1328" i="1"/>
  <c r="C1328" i="1"/>
  <c r="L1327" i="1"/>
  <c r="K1327" i="1"/>
  <c r="I1327" i="1"/>
  <c r="H1327" i="1"/>
  <c r="F1327" i="1"/>
  <c r="E1327" i="1"/>
  <c r="D1327" i="1"/>
  <c r="C1327" i="1"/>
  <c r="L1326" i="1"/>
  <c r="K1326" i="1"/>
  <c r="I1326" i="1"/>
  <c r="H1326" i="1"/>
  <c r="F1326" i="1"/>
  <c r="E1326" i="1"/>
  <c r="D1326" i="1"/>
  <c r="C1326" i="1"/>
  <c r="L1325" i="1"/>
  <c r="K1325" i="1"/>
  <c r="I1325" i="1"/>
  <c r="H1325" i="1"/>
  <c r="F1325" i="1"/>
  <c r="E1325" i="1"/>
  <c r="D1325" i="1"/>
  <c r="C1325" i="1"/>
  <c r="L1324" i="1"/>
  <c r="K1324" i="1"/>
  <c r="I1324" i="1"/>
  <c r="H1324" i="1"/>
  <c r="F1324" i="1"/>
  <c r="E1324" i="1"/>
  <c r="D1324" i="1"/>
  <c r="C1324" i="1"/>
  <c r="L1323" i="1"/>
  <c r="K1323" i="1"/>
  <c r="I1323" i="1"/>
  <c r="H1323" i="1"/>
  <c r="F1323" i="1"/>
  <c r="E1323" i="1"/>
  <c r="D1323" i="1"/>
  <c r="C1323" i="1"/>
  <c r="L1322" i="1"/>
  <c r="K1322" i="1"/>
  <c r="I1322" i="1"/>
  <c r="H1322" i="1"/>
  <c r="F1322" i="1"/>
  <c r="E1322" i="1"/>
  <c r="D1322" i="1"/>
  <c r="C1322" i="1"/>
  <c r="L1321" i="1"/>
  <c r="K1321" i="1"/>
  <c r="I1321" i="1"/>
  <c r="H1321" i="1"/>
  <c r="F1321" i="1"/>
  <c r="E1321" i="1"/>
  <c r="D1321" i="1"/>
  <c r="C1321" i="1"/>
  <c r="L1320" i="1"/>
  <c r="K1320" i="1"/>
  <c r="I1320" i="1"/>
  <c r="H1320" i="1"/>
  <c r="F1320" i="1"/>
  <c r="E1320" i="1"/>
  <c r="D1320" i="1"/>
  <c r="C1320" i="1"/>
  <c r="L1319" i="1"/>
  <c r="K1319" i="1"/>
  <c r="I1319" i="1"/>
  <c r="H1319" i="1"/>
  <c r="F1319" i="1"/>
  <c r="E1319" i="1"/>
  <c r="D1319" i="1"/>
  <c r="C1319" i="1"/>
  <c r="L1318" i="1"/>
  <c r="K1318" i="1"/>
  <c r="I1318" i="1"/>
  <c r="H1318" i="1"/>
  <c r="F1318" i="1"/>
  <c r="E1318" i="1"/>
  <c r="D1318" i="1"/>
  <c r="C1318" i="1"/>
  <c r="L1317" i="1"/>
  <c r="K1317" i="1"/>
  <c r="I1317" i="1"/>
  <c r="H1317" i="1"/>
  <c r="F1317" i="1"/>
  <c r="E1317" i="1"/>
  <c r="D1317" i="1"/>
  <c r="C1317" i="1"/>
  <c r="L1316" i="1"/>
  <c r="K1316" i="1"/>
  <c r="I1316" i="1"/>
  <c r="H1316" i="1"/>
  <c r="F1316" i="1"/>
  <c r="E1316" i="1"/>
  <c r="D1316" i="1"/>
  <c r="C1316" i="1"/>
  <c r="L1315" i="1"/>
  <c r="K1315" i="1"/>
  <c r="I1315" i="1"/>
  <c r="H1315" i="1"/>
  <c r="F1315" i="1"/>
  <c r="E1315" i="1"/>
  <c r="D1315" i="1"/>
  <c r="C1315" i="1"/>
  <c r="L1314" i="1"/>
  <c r="K1314" i="1"/>
  <c r="I1314" i="1"/>
  <c r="H1314" i="1"/>
  <c r="F1314" i="1"/>
  <c r="E1314" i="1"/>
  <c r="D1314" i="1"/>
  <c r="C1314" i="1"/>
  <c r="L1313" i="1"/>
  <c r="K1313" i="1"/>
  <c r="I1313" i="1"/>
  <c r="H1313" i="1"/>
  <c r="F1313" i="1"/>
  <c r="E1313" i="1"/>
  <c r="D1313" i="1"/>
  <c r="C1313" i="1"/>
  <c r="L1312" i="1"/>
  <c r="K1312" i="1"/>
  <c r="I1312" i="1"/>
  <c r="H1312" i="1"/>
  <c r="F1312" i="1"/>
  <c r="E1312" i="1"/>
  <c r="D1312" i="1"/>
  <c r="C1312" i="1"/>
  <c r="L1311" i="1"/>
  <c r="K1311" i="1"/>
  <c r="I1311" i="1"/>
  <c r="H1311" i="1"/>
  <c r="F1311" i="1"/>
  <c r="E1311" i="1"/>
  <c r="D1311" i="1"/>
  <c r="C1311" i="1"/>
  <c r="L1310" i="1"/>
  <c r="K1310" i="1"/>
  <c r="I1310" i="1"/>
  <c r="H1310" i="1"/>
  <c r="F1310" i="1"/>
  <c r="E1310" i="1"/>
  <c r="D1310" i="1"/>
  <c r="C1310" i="1"/>
  <c r="L1309" i="1"/>
  <c r="K1309" i="1"/>
  <c r="I1309" i="1"/>
  <c r="H1309" i="1"/>
  <c r="F1309" i="1"/>
  <c r="E1309" i="1"/>
  <c r="D1309" i="1"/>
  <c r="C1309" i="1"/>
  <c r="L1308" i="1"/>
  <c r="K1308" i="1"/>
  <c r="I1308" i="1"/>
  <c r="H1308" i="1"/>
  <c r="F1308" i="1"/>
  <c r="E1308" i="1"/>
  <c r="D1308" i="1"/>
  <c r="C1308" i="1"/>
  <c r="L1307" i="1"/>
  <c r="K1307" i="1"/>
  <c r="I1307" i="1"/>
  <c r="H1307" i="1"/>
  <c r="F1307" i="1"/>
  <c r="E1307" i="1"/>
  <c r="D1307" i="1"/>
  <c r="C1307" i="1"/>
  <c r="L1306" i="1"/>
  <c r="K1306" i="1"/>
  <c r="I1306" i="1"/>
  <c r="H1306" i="1"/>
  <c r="F1306" i="1"/>
  <c r="E1306" i="1"/>
  <c r="D1306" i="1"/>
  <c r="C1306" i="1"/>
  <c r="L1305" i="1"/>
  <c r="K1305" i="1"/>
  <c r="I1305" i="1"/>
  <c r="H1305" i="1"/>
  <c r="F1305" i="1"/>
  <c r="E1305" i="1"/>
  <c r="D1305" i="1"/>
  <c r="C1305" i="1"/>
  <c r="L1304" i="1"/>
  <c r="K1304" i="1"/>
  <c r="I1304" i="1"/>
  <c r="H1304" i="1"/>
  <c r="F1304" i="1"/>
  <c r="E1304" i="1"/>
  <c r="D1304" i="1"/>
  <c r="C1304" i="1"/>
  <c r="L1303" i="1"/>
  <c r="K1303" i="1"/>
  <c r="I1303" i="1"/>
  <c r="H1303" i="1"/>
  <c r="F1303" i="1"/>
  <c r="E1303" i="1"/>
  <c r="D1303" i="1"/>
  <c r="C1303" i="1"/>
  <c r="L1302" i="1"/>
  <c r="K1302" i="1"/>
  <c r="I1302" i="1"/>
  <c r="H1302" i="1"/>
  <c r="F1302" i="1"/>
  <c r="E1302" i="1"/>
  <c r="D1302" i="1"/>
  <c r="C1302" i="1"/>
  <c r="L1301" i="1"/>
  <c r="K1301" i="1"/>
  <c r="I1301" i="1"/>
  <c r="H1301" i="1"/>
  <c r="F1301" i="1"/>
  <c r="E1301" i="1"/>
  <c r="D1301" i="1"/>
  <c r="C1301" i="1"/>
  <c r="L1300" i="1"/>
  <c r="K1300" i="1"/>
  <c r="I1300" i="1"/>
  <c r="H1300" i="1"/>
  <c r="F1300" i="1"/>
  <c r="E1300" i="1"/>
  <c r="D1300" i="1"/>
  <c r="C1300" i="1"/>
  <c r="L1299" i="1"/>
  <c r="K1299" i="1"/>
  <c r="I1299" i="1"/>
  <c r="H1299" i="1"/>
  <c r="F1299" i="1"/>
  <c r="E1299" i="1"/>
  <c r="D1299" i="1"/>
  <c r="C1299" i="1"/>
  <c r="L1298" i="1"/>
  <c r="K1298" i="1"/>
  <c r="I1298" i="1"/>
  <c r="H1298" i="1"/>
  <c r="F1298" i="1"/>
  <c r="E1298" i="1"/>
  <c r="D1298" i="1"/>
  <c r="C1298" i="1"/>
  <c r="L1297" i="1"/>
  <c r="K1297" i="1"/>
  <c r="I1297" i="1"/>
  <c r="H1297" i="1"/>
  <c r="F1297" i="1"/>
  <c r="E1297" i="1"/>
  <c r="D1297" i="1"/>
  <c r="C1297" i="1"/>
  <c r="L1296" i="1"/>
  <c r="K1296" i="1"/>
  <c r="I1296" i="1"/>
  <c r="H1296" i="1"/>
  <c r="F1296" i="1"/>
  <c r="E1296" i="1"/>
  <c r="D1296" i="1"/>
  <c r="C1296" i="1"/>
  <c r="L1295" i="1"/>
  <c r="K1295" i="1"/>
  <c r="I1295" i="1"/>
  <c r="H1295" i="1"/>
  <c r="F1295" i="1"/>
  <c r="E1295" i="1"/>
  <c r="D1295" i="1"/>
  <c r="C1295" i="1"/>
  <c r="L1294" i="1"/>
  <c r="K1294" i="1"/>
  <c r="I1294" i="1"/>
  <c r="H1294" i="1"/>
  <c r="F1294" i="1"/>
  <c r="E1294" i="1"/>
  <c r="D1294" i="1"/>
  <c r="C1294" i="1"/>
  <c r="L1293" i="1"/>
  <c r="K1293" i="1"/>
  <c r="I1293" i="1"/>
  <c r="H1293" i="1"/>
  <c r="F1293" i="1"/>
  <c r="E1293" i="1"/>
  <c r="D1293" i="1"/>
  <c r="C1293" i="1"/>
  <c r="L1292" i="1"/>
  <c r="K1292" i="1"/>
  <c r="I1292" i="1"/>
  <c r="H1292" i="1"/>
  <c r="F1292" i="1"/>
  <c r="E1292" i="1"/>
  <c r="D1292" i="1"/>
  <c r="C1292" i="1"/>
  <c r="L1291" i="1"/>
  <c r="K1291" i="1"/>
  <c r="I1291" i="1"/>
  <c r="H1291" i="1"/>
  <c r="F1291" i="1"/>
  <c r="E1291" i="1"/>
  <c r="D1291" i="1"/>
  <c r="C1291" i="1"/>
  <c r="L1290" i="1"/>
  <c r="K1290" i="1"/>
  <c r="I1290" i="1"/>
  <c r="H1290" i="1"/>
  <c r="F1290" i="1"/>
  <c r="E1290" i="1"/>
  <c r="D1290" i="1"/>
  <c r="C1290" i="1"/>
  <c r="L1289" i="1"/>
  <c r="K1289" i="1"/>
  <c r="I1289" i="1"/>
  <c r="H1289" i="1"/>
  <c r="F1289" i="1"/>
  <c r="E1289" i="1"/>
  <c r="D1289" i="1"/>
  <c r="C1289" i="1"/>
  <c r="L1288" i="1"/>
  <c r="K1288" i="1"/>
  <c r="I1288" i="1"/>
  <c r="H1288" i="1"/>
  <c r="F1288" i="1"/>
  <c r="E1288" i="1"/>
  <c r="D1288" i="1"/>
  <c r="C1288" i="1"/>
  <c r="L1287" i="1"/>
  <c r="K1287" i="1"/>
  <c r="I1287" i="1"/>
  <c r="H1287" i="1"/>
  <c r="F1287" i="1"/>
  <c r="E1287" i="1"/>
  <c r="D1287" i="1"/>
  <c r="C1287" i="1"/>
  <c r="L1286" i="1"/>
  <c r="K1286" i="1"/>
  <c r="I1286" i="1"/>
  <c r="H1286" i="1"/>
  <c r="F1286" i="1"/>
  <c r="E1286" i="1"/>
  <c r="D1286" i="1"/>
  <c r="C1286" i="1"/>
  <c r="L1285" i="1"/>
  <c r="K1285" i="1"/>
  <c r="I1285" i="1"/>
  <c r="H1285" i="1"/>
  <c r="F1285" i="1"/>
  <c r="E1285" i="1"/>
  <c r="D1285" i="1"/>
  <c r="C1285" i="1"/>
  <c r="L1284" i="1"/>
  <c r="K1284" i="1"/>
  <c r="I1284" i="1"/>
  <c r="H1284" i="1"/>
  <c r="F1284" i="1"/>
  <c r="E1284" i="1"/>
  <c r="D1284" i="1"/>
  <c r="C1284" i="1"/>
  <c r="L1283" i="1"/>
  <c r="K1283" i="1"/>
  <c r="I1283" i="1"/>
  <c r="H1283" i="1"/>
  <c r="F1283" i="1"/>
  <c r="E1283" i="1"/>
  <c r="D1283" i="1"/>
  <c r="C1283" i="1"/>
  <c r="L1282" i="1"/>
  <c r="K1282" i="1"/>
  <c r="I1282" i="1"/>
  <c r="H1282" i="1"/>
  <c r="F1282" i="1"/>
  <c r="E1282" i="1"/>
  <c r="D1282" i="1"/>
  <c r="C1282" i="1"/>
  <c r="L1281" i="1"/>
  <c r="K1281" i="1"/>
  <c r="I1281" i="1"/>
  <c r="H1281" i="1"/>
  <c r="F1281" i="1"/>
  <c r="E1281" i="1"/>
  <c r="D1281" i="1"/>
  <c r="C1281" i="1"/>
  <c r="L1280" i="1"/>
  <c r="K1280" i="1"/>
  <c r="I1280" i="1"/>
  <c r="H1280" i="1"/>
  <c r="F1280" i="1"/>
  <c r="E1280" i="1"/>
  <c r="D1280" i="1"/>
  <c r="C1280" i="1"/>
  <c r="L1279" i="1"/>
  <c r="K1279" i="1"/>
  <c r="I1279" i="1"/>
  <c r="H1279" i="1"/>
  <c r="F1279" i="1"/>
  <c r="E1279" i="1"/>
  <c r="D1279" i="1"/>
  <c r="C1279" i="1"/>
  <c r="L1278" i="1"/>
  <c r="K1278" i="1"/>
  <c r="I1278" i="1"/>
  <c r="H1278" i="1"/>
  <c r="F1278" i="1"/>
  <c r="E1278" i="1"/>
  <c r="D1278" i="1"/>
  <c r="C1278" i="1"/>
  <c r="L1277" i="1"/>
  <c r="K1277" i="1"/>
  <c r="I1277" i="1"/>
  <c r="H1277" i="1"/>
  <c r="F1277" i="1"/>
  <c r="E1277" i="1"/>
  <c r="D1277" i="1"/>
  <c r="C1277" i="1"/>
  <c r="L1276" i="1"/>
  <c r="K1276" i="1"/>
  <c r="I1276" i="1"/>
  <c r="H1276" i="1"/>
  <c r="F1276" i="1"/>
  <c r="E1276" i="1"/>
  <c r="D1276" i="1"/>
  <c r="C1276" i="1"/>
  <c r="L1275" i="1"/>
  <c r="K1275" i="1"/>
  <c r="I1275" i="1"/>
  <c r="H1275" i="1"/>
  <c r="F1275" i="1"/>
  <c r="E1275" i="1"/>
  <c r="D1275" i="1"/>
  <c r="C1275" i="1"/>
  <c r="L1274" i="1"/>
  <c r="K1274" i="1"/>
  <c r="I1274" i="1"/>
  <c r="H1274" i="1"/>
  <c r="F1274" i="1"/>
  <c r="E1274" i="1"/>
  <c r="D1274" i="1"/>
  <c r="C1274" i="1"/>
  <c r="L1273" i="1"/>
  <c r="K1273" i="1"/>
  <c r="I1273" i="1"/>
  <c r="H1273" i="1"/>
  <c r="F1273" i="1"/>
  <c r="E1273" i="1"/>
  <c r="D1273" i="1"/>
  <c r="C1273" i="1"/>
  <c r="L1272" i="1"/>
  <c r="K1272" i="1"/>
  <c r="I1272" i="1"/>
  <c r="H1272" i="1"/>
  <c r="F1272" i="1"/>
  <c r="E1272" i="1"/>
  <c r="D1272" i="1"/>
  <c r="C1272" i="1"/>
  <c r="L1271" i="1"/>
  <c r="K1271" i="1"/>
  <c r="I1271" i="1"/>
  <c r="H1271" i="1"/>
  <c r="F1271" i="1"/>
  <c r="E1271" i="1"/>
  <c r="D1271" i="1"/>
  <c r="C1271" i="1"/>
  <c r="L1270" i="1"/>
  <c r="K1270" i="1"/>
  <c r="I1270" i="1"/>
  <c r="H1270" i="1"/>
  <c r="F1270" i="1"/>
  <c r="E1270" i="1"/>
  <c r="D1270" i="1"/>
  <c r="C1270" i="1"/>
  <c r="L1269" i="1"/>
  <c r="K1269" i="1"/>
  <c r="I1269" i="1"/>
  <c r="H1269" i="1"/>
  <c r="F1269" i="1"/>
  <c r="E1269" i="1"/>
  <c r="D1269" i="1"/>
  <c r="C1269" i="1"/>
  <c r="L1268" i="1"/>
  <c r="K1268" i="1"/>
  <c r="I1268" i="1"/>
  <c r="H1268" i="1"/>
  <c r="F1268" i="1"/>
  <c r="E1268" i="1"/>
  <c r="D1268" i="1"/>
  <c r="C1268" i="1"/>
  <c r="L1267" i="1"/>
  <c r="K1267" i="1"/>
  <c r="I1267" i="1"/>
  <c r="H1267" i="1"/>
  <c r="F1267" i="1"/>
  <c r="E1267" i="1"/>
  <c r="D1267" i="1"/>
  <c r="C1267" i="1"/>
  <c r="L1266" i="1"/>
  <c r="K1266" i="1"/>
  <c r="I1266" i="1"/>
  <c r="H1266" i="1"/>
  <c r="F1266" i="1"/>
  <c r="E1266" i="1"/>
  <c r="D1266" i="1"/>
  <c r="C1266" i="1"/>
  <c r="L1265" i="1"/>
  <c r="K1265" i="1"/>
  <c r="I1265" i="1"/>
  <c r="H1265" i="1"/>
  <c r="F1265" i="1"/>
  <c r="E1265" i="1"/>
  <c r="D1265" i="1"/>
  <c r="C1265" i="1"/>
  <c r="L1264" i="1"/>
  <c r="K1264" i="1"/>
  <c r="I1264" i="1"/>
  <c r="H1264" i="1"/>
  <c r="F1264" i="1"/>
  <c r="E1264" i="1"/>
  <c r="D1264" i="1"/>
  <c r="C1264" i="1"/>
  <c r="L1263" i="1"/>
  <c r="K1263" i="1"/>
  <c r="I1263" i="1"/>
  <c r="H1263" i="1"/>
  <c r="F1263" i="1"/>
  <c r="E1263" i="1"/>
  <c r="D1263" i="1"/>
  <c r="C1263" i="1"/>
  <c r="L1262" i="1"/>
  <c r="K1262" i="1"/>
  <c r="I1262" i="1"/>
  <c r="H1262" i="1"/>
  <c r="F1262" i="1"/>
  <c r="E1262" i="1"/>
  <c r="D1262" i="1"/>
  <c r="C1262" i="1"/>
  <c r="L1261" i="1"/>
  <c r="K1261" i="1"/>
  <c r="I1261" i="1"/>
  <c r="H1261" i="1"/>
  <c r="F1261" i="1"/>
  <c r="E1261" i="1"/>
  <c r="D1261" i="1"/>
  <c r="C1261" i="1"/>
  <c r="L1260" i="1"/>
  <c r="K1260" i="1"/>
  <c r="I1260" i="1"/>
  <c r="H1260" i="1"/>
  <c r="F1260" i="1"/>
  <c r="E1260" i="1"/>
  <c r="D1260" i="1"/>
  <c r="C1260" i="1"/>
  <c r="L1259" i="1"/>
  <c r="K1259" i="1"/>
  <c r="I1259" i="1"/>
  <c r="H1259" i="1"/>
  <c r="F1259" i="1"/>
  <c r="E1259" i="1"/>
  <c r="D1259" i="1"/>
  <c r="C1259" i="1"/>
  <c r="L1258" i="1"/>
  <c r="K1258" i="1"/>
  <c r="I1258" i="1"/>
  <c r="H1258" i="1"/>
  <c r="F1258" i="1"/>
  <c r="E1258" i="1"/>
  <c r="D1258" i="1"/>
  <c r="C1258" i="1"/>
  <c r="L1257" i="1"/>
  <c r="K1257" i="1"/>
  <c r="I1257" i="1"/>
  <c r="H1257" i="1"/>
  <c r="F1257" i="1"/>
  <c r="E1257" i="1"/>
  <c r="D1257" i="1"/>
  <c r="C1257" i="1"/>
  <c r="L1256" i="1"/>
  <c r="K1256" i="1"/>
  <c r="I1256" i="1"/>
  <c r="H1256" i="1"/>
  <c r="F1256" i="1"/>
  <c r="E1256" i="1"/>
  <c r="D1256" i="1"/>
  <c r="C1256" i="1"/>
  <c r="L1255" i="1"/>
  <c r="K1255" i="1"/>
  <c r="I1255" i="1"/>
  <c r="H1255" i="1"/>
  <c r="F1255" i="1"/>
  <c r="E1255" i="1"/>
  <c r="D1255" i="1"/>
  <c r="C1255" i="1"/>
  <c r="L1254" i="1"/>
  <c r="K1254" i="1"/>
  <c r="I1254" i="1"/>
  <c r="H1254" i="1"/>
  <c r="F1254" i="1"/>
  <c r="E1254" i="1"/>
  <c r="D1254" i="1"/>
  <c r="C1254" i="1"/>
  <c r="L1253" i="1"/>
  <c r="K1253" i="1"/>
  <c r="I1253" i="1"/>
  <c r="H1253" i="1"/>
  <c r="F1253" i="1"/>
  <c r="E1253" i="1"/>
  <c r="D1253" i="1"/>
  <c r="C1253" i="1"/>
  <c r="L1252" i="1"/>
  <c r="K1252" i="1"/>
  <c r="I1252" i="1"/>
  <c r="H1252" i="1"/>
  <c r="F1252" i="1"/>
  <c r="E1252" i="1"/>
  <c r="D1252" i="1"/>
  <c r="C1252" i="1"/>
  <c r="L1251" i="1"/>
  <c r="K1251" i="1"/>
  <c r="I1251" i="1"/>
  <c r="H1251" i="1"/>
  <c r="F1251" i="1"/>
  <c r="E1251" i="1"/>
  <c r="D1251" i="1"/>
  <c r="C1251" i="1"/>
  <c r="L1250" i="1"/>
  <c r="K1250" i="1"/>
  <c r="I1250" i="1"/>
  <c r="H1250" i="1"/>
  <c r="F1250" i="1"/>
  <c r="E1250" i="1"/>
  <c r="D1250" i="1"/>
  <c r="C1250" i="1"/>
  <c r="L1249" i="1"/>
  <c r="K1249" i="1"/>
  <c r="I1249" i="1"/>
  <c r="H1249" i="1"/>
  <c r="F1249" i="1"/>
  <c r="E1249" i="1"/>
  <c r="D1249" i="1"/>
  <c r="C1249" i="1"/>
  <c r="L1248" i="1"/>
  <c r="K1248" i="1"/>
  <c r="I1248" i="1"/>
  <c r="H1248" i="1"/>
  <c r="F1248" i="1"/>
  <c r="E1248" i="1"/>
  <c r="D1248" i="1"/>
  <c r="C1248" i="1"/>
  <c r="L1247" i="1"/>
  <c r="K1247" i="1"/>
  <c r="I1247" i="1"/>
  <c r="H1247" i="1"/>
  <c r="F1247" i="1"/>
  <c r="E1247" i="1"/>
  <c r="D1247" i="1"/>
  <c r="C1247" i="1"/>
  <c r="L1246" i="1"/>
  <c r="K1246" i="1"/>
  <c r="I1246" i="1"/>
  <c r="H1246" i="1"/>
  <c r="F1246" i="1"/>
  <c r="E1246" i="1"/>
  <c r="D1246" i="1"/>
  <c r="C1246" i="1"/>
  <c r="L1245" i="1"/>
  <c r="K1245" i="1"/>
  <c r="I1245" i="1"/>
  <c r="H1245" i="1"/>
  <c r="F1245" i="1"/>
  <c r="E1245" i="1"/>
  <c r="D1245" i="1"/>
  <c r="C1245" i="1"/>
  <c r="L1244" i="1"/>
  <c r="H1244" i="1"/>
  <c r="I1244" i="1" s="1"/>
  <c r="K1244" i="1" s="1"/>
  <c r="F1244" i="1"/>
  <c r="E1244" i="1"/>
  <c r="D1244" i="1"/>
  <c r="C1244" i="1"/>
  <c r="L1243" i="1"/>
  <c r="H1243" i="1"/>
  <c r="I1243" i="1" s="1"/>
  <c r="K1243" i="1" s="1"/>
  <c r="F1243" i="1"/>
  <c r="E1243" i="1"/>
  <c r="D1243" i="1"/>
  <c r="C1243" i="1"/>
  <c r="L1242" i="1"/>
  <c r="H1242" i="1"/>
  <c r="I1242" i="1" s="1"/>
  <c r="F1242" i="1"/>
  <c r="E1242" i="1"/>
  <c r="D1242" i="1"/>
  <c r="C1242" i="1"/>
  <c r="L1241" i="1"/>
  <c r="H1241" i="1"/>
  <c r="I1241" i="1" s="1"/>
  <c r="F1241" i="1"/>
  <c r="E1241" i="1"/>
  <c r="D1241" i="1"/>
  <c r="C1241" i="1"/>
  <c r="L1240" i="1"/>
  <c r="H1240" i="1"/>
  <c r="I1240" i="1" s="1"/>
  <c r="F1240" i="1"/>
  <c r="E1240" i="1"/>
  <c r="D1240" i="1"/>
  <c r="C1240" i="1"/>
  <c r="L1239" i="1"/>
  <c r="H1239" i="1"/>
  <c r="I1239" i="1" s="1"/>
  <c r="F1239" i="1"/>
  <c r="E1239" i="1"/>
  <c r="D1239" i="1"/>
  <c r="C1239" i="1"/>
  <c r="L1238" i="1"/>
  <c r="H1238" i="1"/>
  <c r="I1238" i="1" s="1"/>
  <c r="F1238" i="1"/>
  <c r="E1238" i="1"/>
  <c r="D1238" i="1"/>
  <c r="C1238" i="1"/>
  <c r="L1237" i="1"/>
  <c r="H1237" i="1"/>
  <c r="I1237" i="1" s="1"/>
  <c r="F1237" i="1"/>
  <c r="E1237" i="1"/>
  <c r="D1237" i="1"/>
  <c r="C1237" i="1"/>
  <c r="L1236" i="1"/>
  <c r="H1236" i="1"/>
  <c r="I1236" i="1" s="1"/>
  <c r="F1236" i="1"/>
  <c r="E1236" i="1"/>
  <c r="D1236" i="1"/>
  <c r="C1236" i="1"/>
  <c r="L1235" i="1"/>
  <c r="H1235" i="1"/>
  <c r="I1235" i="1" s="1"/>
  <c r="F1235" i="1"/>
  <c r="E1235" i="1"/>
  <c r="D1235" i="1"/>
  <c r="C1235" i="1"/>
  <c r="L1234" i="1"/>
  <c r="H1234" i="1"/>
  <c r="I1234" i="1" s="1"/>
  <c r="F1234" i="1"/>
  <c r="E1234" i="1"/>
  <c r="D1234" i="1"/>
  <c r="C1234" i="1"/>
  <c r="L1233" i="1"/>
  <c r="H1233" i="1"/>
  <c r="I1233" i="1" s="1"/>
  <c r="F1233" i="1"/>
  <c r="E1233" i="1"/>
  <c r="D1233" i="1"/>
  <c r="C1233" i="1"/>
  <c r="L1232" i="1"/>
  <c r="H1232" i="1"/>
  <c r="I1232" i="1" s="1"/>
  <c r="F1232" i="1"/>
  <c r="E1232" i="1"/>
  <c r="D1232" i="1"/>
  <c r="C1232" i="1"/>
  <c r="L1231" i="1"/>
  <c r="H1231" i="1"/>
  <c r="I1231" i="1" s="1"/>
  <c r="F1231" i="1"/>
  <c r="E1231" i="1"/>
  <c r="D1231" i="1"/>
  <c r="C1231" i="1"/>
  <c r="L1230" i="1"/>
  <c r="H1230" i="1"/>
  <c r="I1230" i="1" s="1"/>
  <c r="F1230" i="1"/>
  <c r="E1230" i="1"/>
  <c r="D1230" i="1"/>
  <c r="C1230" i="1"/>
  <c r="L1229" i="1"/>
  <c r="H1229" i="1"/>
  <c r="I1229" i="1" s="1"/>
  <c r="F1229" i="1"/>
  <c r="E1229" i="1"/>
  <c r="D1229" i="1"/>
  <c r="C1229" i="1"/>
  <c r="L1228" i="1"/>
  <c r="H1228" i="1"/>
  <c r="I1228" i="1" s="1"/>
  <c r="F1228" i="1"/>
  <c r="E1228" i="1"/>
  <c r="D1228" i="1"/>
  <c r="C1228" i="1"/>
  <c r="L1227" i="1"/>
  <c r="H1227" i="1"/>
  <c r="I1227" i="1" s="1"/>
  <c r="F1227" i="1"/>
  <c r="E1227" i="1"/>
  <c r="D1227" i="1"/>
  <c r="C1227" i="1"/>
  <c r="L1226" i="1"/>
  <c r="H1226" i="1"/>
  <c r="I1226" i="1" s="1"/>
  <c r="F1226" i="1"/>
  <c r="E1226" i="1"/>
  <c r="D1226" i="1"/>
  <c r="C1226" i="1"/>
  <c r="L1225" i="1"/>
  <c r="H1225" i="1"/>
  <c r="I1225" i="1" s="1"/>
  <c r="F1225" i="1"/>
  <c r="E1225" i="1"/>
  <c r="D1225" i="1"/>
  <c r="C1225" i="1"/>
  <c r="L1224" i="1"/>
  <c r="H1224" i="1"/>
  <c r="I1224" i="1" s="1"/>
  <c r="F1224" i="1"/>
  <c r="E1224" i="1"/>
  <c r="D1224" i="1"/>
  <c r="C1224" i="1"/>
  <c r="L1223" i="1"/>
  <c r="H1223" i="1"/>
  <c r="I1223" i="1" s="1"/>
  <c r="F1223" i="1"/>
  <c r="E1223" i="1"/>
  <c r="D1223" i="1"/>
  <c r="C1223" i="1"/>
  <c r="L1222" i="1"/>
  <c r="H1222" i="1"/>
  <c r="I1222" i="1" s="1"/>
  <c r="F1222" i="1"/>
  <c r="E1222" i="1"/>
  <c r="D1222" i="1"/>
  <c r="C1222" i="1"/>
  <c r="L1221" i="1"/>
  <c r="H1221" i="1"/>
  <c r="I1221" i="1" s="1"/>
  <c r="F1221" i="1"/>
  <c r="E1221" i="1"/>
  <c r="D1221" i="1"/>
  <c r="C1221" i="1"/>
  <c r="L1220" i="1"/>
  <c r="H1220" i="1"/>
  <c r="I1220" i="1" s="1"/>
  <c r="F1220" i="1"/>
  <c r="E1220" i="1"/>
  <c r="D1220" i="1"/>
  <c r="C1220" i="1"/>
  <c r="L1219" i="1"/>
  <c r="H1219" i="1"/>
  <c r="I1219" i="1" s="1"/>
  <c r="F1219" i="1"/>
  <c r="E1219" i="1"/>
  <c r="D1219" i="1"/>
  <c r="C1219" i="1"/>
  <c r="L1218" i="1"/>
  <c r="H1218" i="1"/>
  <c r="I1218" i="1" s="1"/>
  <c r="F1218" i="1"/>
  <c r="E1218" i="1"/>
  <c r="D1218" i="1"/>
  <c r="C1218" i="1"/>
  <c r="L1217" i="1"/>
  <c r="I1217" i="1"/>
  <c r="H1217" i="1"/>
  <c r="F1217" i="1"/>
  <c r="E1217" i="1"/>
  <c r="D1217" i="1"/>
  <c r="C1217" i="1"/>
  <c r="L1216" i="1"/>
  <c r="H1216" i="1"/>
  <c r="I1216" i="1" s="1"/>
  <c r="F1216" i="1"/>
  <c r="E1216" i="1"/>
  <c r="D1216" i="1"/>
  <c r="C1216" i="1"/>
  <c r="L1215" i="1"/>
  <c r="H1215" i="1"/>
  <c r="I1215" i="1" s="1"/>
  <c r="F1215" i="1"/>
  <c r="E1215" i="1"/>
  <c r="D1215" i="1"/>
  <c r="C1215" i="1"/>
  <c r="L1214" i="1"/>
  <c r="H1214" i="1"/>
  <c r="I1214" i="1" s="1"/>
  <c r="F1214" i="1"/>
  <c r="E1214" i="1"/>
  <c r="D1214" i="1"/>
  <c r="C1214" i="1"/>
  <c r="L1213" i="1"/>
  <c r="H1213" i="1"/>
  <c r="I1213" i="1" s="1"/>
  <c r="F1213" i="1"/>
  <c r="E1213" i="1"/>
  <c r="D1213" i="1"/>
  <c r="C1213" i="1"/>
  <c r="L1212" i="1"/>
  <c r="I1212" i="1"/>
  <c r="H1212" i="1"/>
  <c r="F1212" i="1"/>
  <c r="E1212" i="1"/>
  <c r="D1212" i="1"/>
  <c r="C1212" i="1"/>
  <c r="L1211" i="1"/>
  <c r="H1211" i="1"/>
  <c r="I1211" i="1" s="1"/>
  <c r="F1211" i="1"/>
  <c r="E1211" i="1"/>
  <c r="D1211" i="1"/>
  <c r="C1211" i="1"/>
  <c r="L1210" i="1"/>
  <c r="H1210" i="1"/>
  <c r="I1210" i="1" s="1"/>
  <c r="F1210" i="1"/>
  <c r="E1210" i="1"/>
  <c r="D1210" i="1"/>
  <c r="C1210" i="1"/>
  <c r="L1209" i="1"/>
  <c r="I1209" i="1"/>
  <c r="H1209" i="1"/>
  <c r="F1209" i="1"/>
  <c r="E1209" i="1"/>
  <c r="D1209" i="1"/>
  <c r="C1209" i="1"/>
  <c r="L1208" i="1"/>
  <c r="H1208" i="1"/>
  <c r="I1208" i="1" s="1"/>
  <c r="F1208" i="1"/>
  <c r="E1208" i="1"/>
  <c r="D1208" i="1"/>
  <c r="C1208" i="1"/>
  <c r="L1207" i="1"/>
  <c r="H1207" i="1"/>
  <c r="I1207" i="1" s="1"/>
  <c r="F1207" i="1"/>
  <c r="E1207" i="1"/>
  <c r="D1207" i="1"/>
  <c r="C1207" i="1"/>
  <c r="L1206" i="1"/>
  <c r="H1206" i="1"/>
  <c r="I1206" i="1" s="1"/>
  <c r="F1206" i="1"/>
  <c r="E1206" i="1"/>
  <c r="D1206" i="1"/>
  <c r="C1206" i="1"/>
  <c r="L1205" i="1"/>
  <c r="H1205" i="1"/>
  <c r="I1205" i="1" s="1"/>
  <c r="F1205" i="1"/>
  <c r="E1205" i="1"/>
  <c r="D1205" i="1"/>
  <c r="C1205" i="1"/>
  <c r="L1204" i="1"/>
  <c r="H1204" i="1"/>
  <c r="I1204" i="1" s="1"/>
  <c r="F1204" i="1"/>
  <c r="E1204" i="1"/>
  <c r="D1204" i="1"/>
  <c r="C1204" i="1"/>
  <c r="L1203" i="1"/>
  <c r="H1203" i="1"/>
  <c r="I1203" i="1" s="1"/>
  <c r="F1203" i="1"/>
  <c r="E1203" i="1"/>
  <c r="D1203" i="1"/>
  <c r="C1203" i="1"/>
  <c r="L1202" i="1"/>
  <c r="H1202" i="1"/>
  <c r="I1202" i="1" s="1"/>
  <c r="F1202" i="1"/>
  <c r="E1202" i="1"/>
  <c r="D1202" i="1"/>
  <c r="C1202" i="1"/>
  <c r="L1201" i="1"/>
  <c r="H1201" i="1"/>
  <c r="I1201" i="1" s="1"/>
  <c r="G71" i="3" s="1"/>
  <c r="F1201" i="1"/>
  <c r="E1201" i="1"/>
  <c r="D1201" i="1"/>
  <c r="C1201" i="1"/>
  <c r="L1200" i="1"/>
  <c r="H1200" i="1"/>
  <c r="I1200" i="1" s="1"/>
  <c r="F1200" i="1"/>
  <c r="E1200" i="1"/>
  <c r="D1200" i="1"/>
  <c r="C1200" i="1"/>
  <c r="L1199" i="1"/>
  <c r="H1199" i="1"/>
  <c r="I1199" i="1" s="1"/>
  <c r="F1199" i="1"/>
  <c r="E1199" i="1"/>
  <c r="D1199" i="1"/>
  <c r="C1199" i="1"/>
  <c r="L1198" i="1"/>
  <c r="I1198" i="1"/>
  <c r="H1198" i="1"/>
  <c r="F1198" i="1"/>
  <c r="E1198" i="1"/>
  <c r="D1198" i="1"/>
  <c r="C1198" i="1"/>
  <c r="L1197" i="1"/>
  <c r="H1197" i="1"/>
  <c r="I1197" i="1" s="1"/>
  <c r="F1197" i="1"/>
  <c r="E1197" i="1"/>
  <c r="D1197" i="1"/>
  <c r="C1197" i="1"/>
  <c r="L1196" i="1"/>
  <c r="H1196" i="1"/>
  <c r="I1196" i="1" s="1"/>
  <c r="F1196" i="1"/>
  <c r="E1196" i="1"/>
  <c r="D1196" i="1"/>
  <c r="C1196" i="1"/>
  <c r="L1195" i="1"/>
  <c r="H1195" i="1"/>
  <c r="I1195" i="1" s="1"/>
  <c r="F1195" i="1"/>
  <c r="E1195" i="1"/>
  <c r="D1195" i="1"/>
  <c r="C1195" i="1"/>
  <c r="L1194" i="1"/>
  <c r="H1194" i="1"/>
  <c r="I1194" i="1" s="1"/>
  <c r="F1194" i="1"/>
  <c r="E1194" i="1"/>
  <c r="D1194" i="1"/>
  <c r="C1194" i="1"/>
  <c r="L1193" i="1"/>
  <c r="H1193" i="1"/>
  <c r="I1193" i="1" s="1"/>
  <c r="F1193" i="1"/>
  <c r="E1193" i="1"/>
  <c r="D1193" i="1"/>
  <c r="C1193" i="1"/>
  <c r="L1192" i="1"/>
  <c r="H1192" i="1"/>
  <c r="I1192" i="1" s="1"/>
  <c r="F1192" i="1"/>
  <c r="E1192" i="1"/>
  <c r="D1192" i="1"/>
  <c r="C1192" i="1"/>
  <c r="L1191" i="1"/>
  <c r="H1191" i="1"/>
  <c r="I1191" i="1" s="1"/>
  <c r="F1191" i="1"/>
  <c r="E1191" i="1"/>
  <c r="D1191" i="1"/>
  <c r="C1191" i="1"/>
  <c r="L1190" i="1"/>
  <c r="H1190" i="1"/>
  <c r="I1190" i="1" s="1"/>
  <c r="F1190" i="1"/>
  <c r="E1190" i="1"/>
  <c r="D1190" i="1"/>
  <c r="C1190" i="1"/>
  <c r="L1189" i="1"/>
  <c r="H1189" i="1"/>
  <c r="I1189" i="1" s="1"/>
  <c r="F1189" i="1"/>
  <c r="E1189" i="1"/>
  <c r="D1189" i="1"/>
  <c r="C1189" i="1"/>
  <c r="L1188" i="1"/>
  <c r="H1188" i="1"/>
  <c r="I1188" i="1" s="1"/>
  <c r="F1188" i="1"/>
  <c r="E1188" i="1"/>
  <c r="D1188" i="1"/>
  <c r="C1188" i="1"/>
  <c r="L1187" i="1"/>
  <c r="H1187" i="1"/>
  <c r="I1187" i="1" s="1"/>
  <c r="F1187" i="1"/>
  <c r="E1187" i="1"/>
  <c r="D1187" i="1"/>
  <c r="C1187" i="1"/>
  <c r="L1186" i="1"/>
  <c r="H1186" i="1"/>
  <c r="I1186" i="1" s="1"/>
  <c r="F1186" i="1"/>
  <c r="E1186" i="1"/>
  <c r="D1186" i="1"/>
  <c r="C1186" i="1"/>
  <c r="L1185" i="1"/>
  <c r="H1185" i="1"/>
  <c r="I1185" i="1" s="1"/>
  <c r="F1185" i="1"/>
  <c r="E1185" i="1"/>
  <c r="D1185" i="1"/>
  <c r="C1185" i="1"/>
  <c r="L1184" i="1"/>
  <c r="H1184" i="1"/>
  <c r="I1184" i="1" s="1"/>
  <c r="F1184" i="1"/>
  <c r="E1184" i="1"/>
  <c r="D1184" i="1"/>
  <c r="C1184" i="1"/>
  <c r="L1183" i="1"/>
  <c r="H1183" i="1"/>
  <c r="I1183" i="1" s="1"/>
  <c r="F1183" i="1"/>
  <c r="E1183" i="1"/>
  <c r="D1183" i="1"/>
  <c r="C1183" i="1"/>
  <c r="L1182" i="1"/>
  <c r="H1182" i="1"/>
  <c r="I1182" i="1" s="1"/>
  <c r="F1182" i="1"/>
  <c r="E1182" i="1"/>
  <c r="D1182" i="1"/>
  <c r="C1182" i="1"/>
  <c r="L1181" i="1"/>
  <c r="H1181" i="1"/>
  <c r="I1181" i="1" s="1"/>
  <c r="F1181" i="1"/>
  <c r="E1181" i="1"/>
  <c r="D1181" i="1"/>
  <c r="C1181" i="1"/>
  <c r="L1180" i="1"/>
  <c r="H1180" i="1"/>
  <c r="I1180" i="1" s="1"/>
  <c r="F1180" i="1"/>
  <c r="E1180" i="1"/>
  <c r="D1180" i="1"/>
  <c r="C1180" i="1"/>
  <c r="L1179" i="1"/>
  <c r="H1179" i="1"/>
  <c r="I1179" i="1" s="1"/>
  <c r="F1179" i="1"/>
  <c r="E1179" i="1"/>
  <c r="D1179" i="1"/>
  <c r="C1179" i="1"/>
  <c r="L1178" i="1"/>
  <c r="H1178" i="1"/>
  <c r="I1178" i="1" s="1"/>
  <c r="F1178" i="1"/>
  <c r="E1178" i="1"/>
  <c r="D1178" i="1"/>
  <c r="C1178" i="1"/>
  <c r="L1177" i="1"/>
  <c r="H1177" i="1"/>
  <c r="I1177" i="1" s="1"/>
  <c r="F1177" i="1"/>
  <c r="E1177" i="1"/>
  <c r="D1177" i="1"/>
  <c r="C1177" i="1"/>
  <c r="L1176" i="1"/>
  <c r="H1176" i="1"/>
  <c r="I1176" i="1" s="1"/>
  <c r="F1176" i="1"/>
  <c r="E1176" i="1"/>
  <c r="D1176" i="1"/>
  <c r="C1176" i="1"/>
  <c r="L1175" i="1"/>
  <c r="H1175" i="1"/>
  <c r="I1175" i="1" s="1"/>
  <c r="F1175" i="1"/>
  <c r="E1175" i="1"/>
  <c r="D1175" i="1"/>
  <c r="C1175" i="1"/>
  <c r="L1174" i="1"/>
  <c r="H1174" i="1"/>
  <c r="I1174" i="1" s="1"/>
  <c r="F1174" i="1"/>
  <c r="E1174" i="1"/>
  <c r="D1174" i="1"/>
  <c r="C1174" i="1"/>
  <c r="L1173" i="1"/>
  <c r="H1173" i="1"/>
  <c r="I1173" i="1" s="1"/>
  <c r="F1173" i="1"/>
  <c r="E1173" i="1"/>
  <c r="D1173" i="1"/>
  <c r="C1173" i="1"/>
  <c r="L1172" i="1"/>
  <c r="H1172" i="1"/>
  <c r="I1172" i="1" s="1"/>
  <c r="F1172" i="1"/>
  <c r="E1172" i="1"/>
  <c r="D1172" i="1"/>
  <c r="C1172" i="1"/>
  <c r="L1171" i="1"/>
  <c r="H1171" i="1"/>
  <c r="I1171" i="1" s="1"/>
  <c r="F1171" i="1"/>
  <c r="E1171" i="1"/>
  <c r="D1171" i="1"/>
  <c r="C1171" i="1"/>
  <c r="L1170" i="1"/>
  <c r="H1170" i="1"/>
  <c r="I1170" i="1" s="1"/>
  <c r="F1170" i="1"/>
  <c r="E1170" i="1"/>
  <c r="D1170" i="1"/>
  <c r="C1170" i="1"/>
  <c r="L1169" i="1"/>
  <c r="H1169" i="1"/>
  <c r="I1169" i="1" s="1"/>
  <c r="F1169" i="1"/>
  <c r="E1169" i="1"/>
  <c r="D1169" i="1"/>
  <c r="C1169" i="1"/>
  <c r="L1168" i="1"/>
  <c r="H1168" i="1"/>
  <c r="I1168" i="1" s="1"/>
  <c r="F1168" i="1"/>
  <c r="E1168" i="1"/>
  <c r="D1168" i="1"/>
  <c r="C1168" i="1"/>
  <c r="L1167" i="1"/>
  <c r="I1167" i="1"/>
  <c r="H1167" i="1"/>
  <c r="F1167" i="1"/>
  <c r="E1167" i="1"/>
  <c r="D1167" i="1"/>
  <c r="C1167" i="1"/>
  <c r="L1166" i="1"/>
  <c r="H1166" i="1"/>
  <c r="I1166" i="1" s="1"/>
  <c r="F1166" i="1"/>
  <c r="E1166" i="1"/>
  <c r="D1166" i="1"/>
  <c r="C1166" i="1"/>
  <c r="L1165" i="1"/>
  <c r="H1165" i="1"/>
  <c r="I1165" i="1" s="1"/>
  <c r="F1165" i="1"/>
  <c r="E1165" i="1"/>
  <c r="D1165" i="1"/>
  <c r="C1165" i="1"/>
  <c r="L1164" i="1"/>
  <c r="H1164" i="1"/>
  <c r="I1164" i="1" s="1"/>
  <c r="F1164" i="1"/>
  <c r="E1164" i="1"/>
  <c r="D1164" i="1"/>
  <c r="C1164" i="1"/>
  <c r="L1163" i="1"/>
  <c r="H1163" i="1"/>
  <c r="I1163" i="1" s="1"/>
  <c r="F1163" i="1"/>
  <c r="E1163" i="1"/>
  <c r="D1163" i="1"/>
  <c r="C1163" i="1"/>
  <c r="L1162" i="1"/>
  <c r="H1162" i="1"/>
  <c r="I1162" i="1" s="1"/>
  <c r="F1162" i="1"/>
  <c r="E1162" i="1"/>
  <c r="D1162" i="1"/>
  <c r="C1162" i="1"/>
  <c r="L1161" i="1"/>
  <c r="H1161" i="1"/>
  <c r="I1161" i="1" s="1"/>
  <c r="F1161" i="1"/>
  <c r="E1161" i="1"/>
  <c r="D1161" i="1"/>
  <c r="C1161" i="1"/>
  <c r="L1160" i="1"/>
  <c r="H1160" i="1"/>
  <c r="I1160" i="1" s="1"/>
  <c r="F1160" i="1"/>
  <c r="E1160" i="1"/>
  <c r="D1160" i="1"/>
  <c r="C1160" i="1"/>
  <c r="L1159" i="1"/>
  <c r="H1159" i="1"/>
  <c r="I1159" i="1" s="1"/>
  <c r="F1159" i="1"/>
  <c r="E1159" i="1"/>
  <c r="D1159" i="1"/>
  <c r="C1159" i="1"/>
  <c r="L1158" i="1"/>
  <c r="H1158" i="1"/>
  <c r="I1158" i="1" s="1"/>
  <c r="F1158" i="1"/>
  <c r="E1158" i="1"/>
  <c r="D1158" i="1"/>
  <c r="C1158" i="1"/>
  <c r="L1157" i="1"/>
  <c r="H1157" i="1"/>
  <c r="I1157" i="1" s="1"/>
  <c r="F1157" i="1"/>
  <c r="E1157" i="1"/>
  <c r="D1157" i="1"/>
  <c r="C1157" i="1"/>
  <c r="L1156" i="1"/>
  <c r="H1156" i="1"/>
  <c r="I1156" i="1" s="1"/>
  <c r="F1156" i="1"/>
  <c r="E1156" i="1"/>
  <c r="D1156" i="1"/>
  <c r="C1156" i="1"/>
  <c r="L1155" i="1"/>
  <c r="H1155" i="1"/>
  <c r="I1155" i="1" s="1"/>
  <c r="F1155" i="1"/>
  <c r="E1155" i="1"/>
  <c r="D1155" i="1"/>
  <c r="C1155" i="1"/>
  <c r="L1154" i="1"/>
  <c r="I1154" i="1"/>
  <c r="H1154" i="1"/>
  <c r="F1154" i="1"/>
  <c r="E1154" i="1"/>
  <c r="D1154" i="1"/>
  <c r="C1154" i="1"/>
  <c r="L1153" i="1"/>
  <c r="I1153" i="1"/>
  <c r="H1153" i="1"/>
  <c r="F1153" i="1"/>
  <c r="E1153" i="1"/>
  <c r="D1153" i="1"/>
  <c r="C1153" i="1"/>
  <c r="L1152" i="1"/>
  <c r="H1152" i="1"/>
  <c r="I1152" i="1" s="1"/>
  <c r="F1152" i="1"/>
  <c r="E1152" i="1"/>
  <c r="D1152" i="1"/>
  <c r="C1152" i="1"/>
  <c r="L1151" i="1"/>
  <c r="H1151" i="1"/>
  <c r="I1151" i="1" s="1"/>
  <c r="F1151" i="1"/>
  <c r="E1151" i="1"/>
  <c r="D1151" i="1"/>
  <c r="C1151" i="1"/>
  <c r="L1150" i="1"/>
  <c r="H1150" i="1"/>
  <c r="I1150" i="1" s="1"/>
  <c r="F1150" i="1"/>
  <c r="E1150" i="1"/>
  <c r="D1150" i="1"/>
  <c r="C1150" i="1"/>
  <c r="L1149" i="1"/>
  <c r="H1149" i="1"/>
  <c r="I1149" i="1" s="1"/>
  <c r="F1149" i="1"/>
  <c r="E1149" i="1"/>
  <c r="D1149" i="1"/>
  <c r="C1149" i="1"/>
  <c r="L1148" i="1"/>
  <c r="H1148" i="1"/>
  <c r="I1148" i="1" s="1"/>
  <c r="F1148" i="1"/>
  <c r="E1148" i="1"/>
  <c r="D1148" i="1"/>
  <c r="C1148" i="1"/>
  <c r="L1147" i="1"/>
  <c r="H1147" i="1"/>
  <c r="I1147" i="1" s="1"/>
  <c r="F1147" i="1"/>
  <c r="E1147" i="1"/>
  <c r="D1147" i="1"/>
  <c r="C1147" i="1"/>
  <c r="L1146" i="1"/>
  <c r="H1146" i="1"/>
  <c r="I1146" i="1" s="1"/>
  <c r="F1146" i="1"/>
  <c r="E1146" i="1"/>
  <c r="D1146" i="1"/>
  <c r="C1146" i="1"/>
  <c r="L1145" i="1"/>
  <c r="H1145" i="1"/>
  <c r="I1145" i="1" s="1"/>
  <c r="F1145" i="1"/>
  <c r="E1145" i="1"/>
  <c r="D1145" i="1"/>
  <c r="C1145" i="1"/>
  <c r="L1144" i="1"/>
  <c r="H1144" i="1"/>
  <c r="I1144" i="1" s="1"/>
  <c r="F1144" i="1"/>
  <c r="E1144" i="1"/>
  <c r="D1144" i="1"/>
  <c r="C1144" i="1"/>
  <c r="L1143" i="1"/>
  <c r="H1143" i="1"/>
  <c r="I1143" i="1" s="1"/>
  <c r="F1143" i="1"/>
  <c r="E1143" i="1"/>
  <c r="D1143" i="1"/>
  <c r="C1143" i="1"/>
  <c r="L1142" i="1"/>
  <c r="H1142" i="1"/>
  <c r="I1142" i="1" s="1"/>
  <c r="F1142" i="1"/>
  <c r="E1142" i="1"/>
  <c r="D1142" i="1"/>
  <c r="C1142" i="1"/>
  <c r="L1141" i="1"/>
  <c r="H1141" i="1"/>
  <c r="I1141" i="1" s="1"/>
  <c r="F1141" i="1"/>
  <c r="E1141" i="1"/>
  <c r="D1141" i="1"/>
  <c r="C1141" i="1"/>
  <c r="L1140" i="1"/>
  <c r="H1140" i="1"/>
  <c r="I1140" i="1" s="1"/>
  <c r="F1140" i="1"/>
  <c r="E1140" i="1"/>
  <c r="D1140" i="1"/>
  <c r="C1140" i="1"/>
  <c r="L1139" i="1"/>
  <c r="H1139" i="1"/>
  <c r="I1139" i="1" s="1"/>
  <c r="F1139" i="1"/>
  <c r="E1139" i="1"/>
  <c r="D1139" i="1"/>
  <c r="C1139" i="1"/>
  <c r="L1138" i="1"/>
  <c r="H1138" i="1"/>
  <c r="I1138" i="1" s="1"/>
  <c r="F1138" i="1"/>
  <c r="E1138" i="1"/>
  <c r="D1138" i="1"/>
  <c r="C1138" i="1"/>
  <c r="L1137" i="1"/>
  <c r="H1137" i="1"/>
  <c r="I1137" i="1" s="1"/>
  <c r="F1137" i="1"/>
  <c r="E1137" i="1"/>
  <c r="D1137" i="1"/>
  <c r="C1137" i="1"/>
  <c r="L1136" i="1"/>
  <c r="H1136" i="1"/>
  <c r="I1136" i="1" s="1"/>
  <c r="F1136" i="1"/>
  <c r="E1136" i="1"/>
  <c r="D1136" i="1"/>
  <c r="C1136" i="1"/>
  <c r="L1135" i="1"/>
  <c r="H1135" i="1"/>
  <c r="I1135" i="1" s="1"/>
  <c r="F1135" i="1"/>
  <c r="E1135" i="1"/>
  <c r="D1135" i="1"/>
  <c r="C1135" i="1"/>
  <c r="L1134" i="1"/>
  <c r="H1134" i="1"/>
  <c r="I1134" i="1" s="1"/>
  <c r="F1134" i="1"/>
  <c r="E1134" i="1"/>
  <c r="D1134" i="1"/>
  <c r="C1134" i="1"/>
  <c r="L1133" i="1"/>
  <c r="H1133" i="1"/>
  <c r="I1133" i="1" s="1"/>
  <c r="F1133" i="1"/>
  <c r="E1133" i="1"/>
  <c r="D1133" i="1"/>
  <c r="C1133" i="1"/>
  <c r="L1132" i="1"/>
  <c r="H1132" i="1"/>
  <c r="I1132" i="1" s="1"/>
  <c r="F1132" i="1"/>
  <c r="E1132" i="1"/>
  <c r="D1132" i="1"/>
  <c r="C1132" i="1"/>
  <c r="L1131" i="1"/>
  <c r="H1131" i="1"/>
  <c r="I1131" i="1" s="1"/>
  <c r="F1131" i="1"/>
  <c r="E1131" i="1"/>
  <c r="D1131" i="1"/>
  <c r="C1131" i="1"/>
  <c r="L1130" i="1"/>
  <c r="H1130" i="1"/>
  <c r="I1130" i="1" s="1"/>
  <c r="F1130" i="1"/>
  <c r="E1130" i="1"/>
  <c r="D1130" i="1"/>
  <c r="C1130" i="1"/>
  <c r="L1129" i="1"/>
  <c r="H1129" i="1"/>
  <c r="I1129" i="1" s="1"/>
  <c r="F1129" i="1"/>
  <c r="E1129" i="1"/>
  <c r="D1129" i="1"/>
  <c r="C1129" i="1"/>
  <c r="L1128" i="1"/>
  <c r="H1128" i="1"/>
  <c r="I1128" i="1" s="1"/>
  <c r="F1128" i="1"/>
  <c r="E1128" i="1"/>
  <c r="D1128" i="1"/>
  <c r="C1128" i="1"/>
  <c r="L1127" i="1"/>
  <c r="H1127" i="1"/>
  <c r="I1127" i="1" s="1"/>
  <c r="F1127" i="1"/>
  <c r="E1127" i="1"/>
  <c r="D1127" i="1"/>
  <c r="C1127" i="1"/>
  <c r="L1126" i="1"/>
  <c r="H1126" i="1"/>
  <c r="I1126" i="1" s="1"/>
  <c r="F1126" i="1"/>
  <c r="E1126" i="1"/>
  <c r="D1126" i="1"/>
  <c r="C1126" i="1"/>
  <c r="L1125" i="1"/>
  <c r="H1125" i="1"/>
  <c r="I1125" i="1" s="1"/>
  <c r="F1125" i="1"/>
  <c r="E1125" i="1"/>
  <c r="D1125" i="1"/>
  <c r="C1125" i="1"/>
  <c r="L1124" i="1"/>
  <c r="H1124" i="1"/>
  <c r="I1124" i="1" s="1"/>
  <c r="F1124" i="1"/>
  <c r="E1124" i="1"/>
  <c r="D1124" i="1"/>
  <c r="C1124" i="1"/>
  <c r="L1123" i="1"/>
  <c r="H1123" i="1"/>
  <c r="I1123" i="1" s="1"/>
  <c r="F1123" i="1"/>
  <c r="E1123" i="1"/>
  <c r="D1123" i="1"/>
  <c r="C1123" i="1"/>
  <c r="L1122" i="1"/>
  <c r="H1122" i="1"/>
  <c r="I1122" i="1" s="1"/>
  <c r="F1122" i="1"/>
  <c r="E1122" i="1"/>
  <c r="D1122" i="1"/>
  <c r="C1122" i="1"/>
  <c r="L1121" i="1"/>
  <c r="I1121" i="1"/>
  <c r="H1121" i="1"/>
  <c r="F1121" i="1"/>
  <c r="E1121" i="1"/>
  <c r="D1121" i="1"/>
  <c r="C1121" i="1"/>
  <c r="L1120" i="1"/>
  <c r="H1120" i="1"/>
  <c r="I1120" i="1" s="1"/>
  <c r="F1120" i="1"/>
  <c r="E1120" i="1"/>
  <c r="D1120" i="1"/>
  <c r="C1120" i="1"/>
  <c r="L1119" i="1"/>
  <c r="H1119" i="1"/>
  <c r="I1119" i="1" s="1"/>
  <c r="F1119" i="1"/>
  <c r="E1119" i="1"/>
  <c r="D1119" i="1"/>
  <c r="C1119" i="1"/>
  <c r="L1118" i="1"/>
  <c r="H1118" i="1"/>
  <c r="I1118" i="1" s="1"/>
  <c r="F1118" i="1"/>
  <c r="E1118" i="1"/>
  <c r="D1118" i="1"/>
  <c r="C1118" i="1"/>
  <c r="L1117" i="1"/>
  <c r="H1117" i="1"/>
  <c r="I1117" i="1" s="1"/>
  <c r="F1117" i="1"/>
  <c r="E1117" i="1"/>
  <c r="D1117" i="1"/>
  <c r="C1117" i="1"/>
  <c r="L1116" i="1"/>
  <c r="H1116" i="1"/>
  <c r="I1116" i="1" s="1"/>
  <c r="F1116" i="1"/>
  <c r="E1116" i="1"/>
  <c r="D1116" i="1"/>
  <c r="C1116" i="1"/>
  <c r="L1115" i="1"/>
  <c r="H1115" i="1"/>
  <c r="I1115" i="1" s="1"/>
  <c r="F1115" i="1"/>
  <c r="E1115" i="1"/>
  <c r="D1115" i="1"/>
  <c r="C1115" i="1"/>
  <c r="L1114" i="1"/>
  <c r="H1114" i="1"/>
  <c r="I1114" i="1" s="1"/>
  <c r="F1114" i="1"/>
  <c r="E1114" i="1"/>
  <c r="D1114" i="1"/>
  <c r="C1114" i="1"/>
  <c r="L1113" i="1"/>
  <c r="H1113" i="1"/>
  <c r="I1113" i="1" s="1"/>
  <c r="F1113" i="1"/>
  <c r="E1113" i="1"/>
  <c r="D1113" i="1"/>
  <c r="C1113" i="1"/>
  <c r="L1112" i="1"/>
  <c r="H1112" i="1"/>
  <c r="I1112" i="1" s="1"/>
  <c r="F1112" i="1"/>
  <c r="E1112" i="1"/>
  <c r="D1112" i="1"/>
  <c r="C1112" i="1"/>
  <c r="L1111" i="1"/>
  <c r="H1111" i="1"/>
  <c r="I1111" i="1" s="1"/>
  <c r="F1111" i="1"/>
  <c r="E1111" i="1"/>
  <c r="D1111" i="1"/>
  <c r="C1111" i="1"/>
  <c r="L1110" i="1"/>
  <c r="H1110" i="1"/>
  <c r="I1110" i="1" s="1"/>
  <c r="K1110" i="1" s="1"/>
  <c r="F1110" i="1"/>
  <c r="E1110" i="1"/>
  <c r="D1110" i="1"/>
  <c r="C1110" i="1"/>
  <c r="L1109" i="1"/>
  <c r="H1109" i="1"/>
  <c r="I1109" i="1" s="1"/>
  <c r="F1109" i="1"/>
  <c r="E1109" i="1"/>
  <c r="D1109" i="1"/>
  <c r="C1109" i="1"/>
  <c r="L1108" i="1"/>
  <c r="H1108" i="1"/>
  <c r="I1108" i="1" s="1"/>
  <c r="F1108" i="1"/>
  <c r="E1108" i="1"/>
  <c r="D1108" i="1"/>
  <c r="C1108" i="1"/>
  <c r="L1107" i="1"/>
  <c r="H1107" i="1"/>
  <c r="I1107" i="1" s="1"/>
  <c r="F1107" i="1"/>
  <c r="E1107" i="1"/>
  <c r="D1107" i="1"/>
  <c r="C1107" i="1"/>
  <c r="L1106" i="1"/>
  <c r="H1106" i="1"/>
  <c r="I1106" i="1" s="1"/>
  <c r="K1106" i="1" s="1"/>
  <c r="F1106" i="1"/>
  <c r="E1106" i="1"/>
  <c r="D1106" i="1"/>
  <c r="C1106" i="1"/>
  <c r="L1105" i="1"/>
  <c r="H1105" i="1"/>
  <c r="I1105" i="1" s="1"/>
  <c r="F1105" i="1"/>
  <c r="E1105" i="1"/>
  <c r="D1105" i="1"/>
  <c r="C1105" i="1"/>
  <c r="L1104" i="1"/>
  <c r="H1104" i="1"/>
  <c r="I1104" i="1" s="1"/>
  <c r="F1104" i="1"/>
  <c r="E1104" i="1"/>
  <c r="D1104" i="1"/>
  <c r="C1104" i="1"/>
  <c r="L1103" i="1"/>
  <c r="H1103" i="1"/>
  <c r="I1103" i="1" s="1"/>
  <c r="F1103" i="1"/>
  <c r="E1103" i="1"/>
  <c r="D1103" i="1"/>
  <c r="C1103" i="1"/>
  <c r="L1102" i="1"/>
  <c r="H1102" i="1"/>
  <c r="I1102" i="1" s="1"/>
  <c r="F1102" i="1"/>
  <c r="E1102" i="1"/>
  <c r="D1102" i="1"/>
  <c r="C1102" i="1"/>
  <c r="L1101" i="1"/>
  <c r="I1101" i="1"/>
  <c r="H1101" i="1"/>
  <c r="F1101" i="1"/>
  <c r="E1101" i="1"/>
  <c r="D1101" i="1"/>
  <c r="C1101" i="1"/>
  <c r="L1100" i="1"/>
  <c r="H1100" i="1"/>
  <c r="I1100" i="1" s="1"/>
  <c r="F1100" i="1"/>
  <c r="E1100" i="1"/>
  <c r="D1100" i="1"/>
  <c r="C1100" i="1"/>
  <c r="L1099" i="1"/>
  <c r="H1099" i="1"/>
  <c r="I1099" i="1" s="1"/>
  <c r="F1099" i="1"/>
  <c r="E1099" i="1"/>
  <c r="D1099" i="1"/>
  <c r="C1099" i="1"/>
  <c r="L1098" i="1"/>
  <c r="H1098" i="1"/>
  <c r="I1098" i="1" s="1"/>
  <c r="F1098" i="1"/>
  <c r="E1098" i="1"/>
  <c r="D1098" i="1"/>
  <c r="C1098" i="1"/>
  <c r="L1097" i="1"/>
  <c r="H1097" i="1"/>
  <c r="I1097" i="1" s="1"/>
  <c r="F1097" i="1"/>
  <c r="E1097" i="1"/>
  <c r="D1097" i="1"/>
  <c r="C1097" i="1"/>
  <c r="L1096" i="1"/>
  <c r="H1096" i="1"/>
  <c r="I1096" i="1" s="1"/>
  <c r="F1096" i="1"/>
  <c r="E1096" i="1"/>
  <c r="D1096" i="1"/>
  <c r="C1096" i="1"/>
  <c r="L1095" i="1"/>
  <c r="H1095" i="1"/>
  <c r="I1095" i="1" s="1"/>
  <c r="F1095" i="1"/>
  <c r="E1095" i="1"/>
  <c r="D1095" i="1"/>
  <c r="C1095" i="1"/>
  <c r="L1094" i="1"/>
  <c r="H1094" i="1"/>
  <c r="I1094" i="1" s="1"/>
  <c r="F1094" i="1"/>
  <c r="E1094" i="1"/>
  <c r="D1094" i="1"/>
  <c r="C1094" i="1"/>
  <c r="L1093" i="1"/>
  <c r="H1093" i="1"/>
  <c r="I1093" i="1" s="1"/>
  <c r="F1093" i="1"/>
  <c r="E1093" i="1"/>
  <c r="D1093" i="1"/>
  <c r="C1093" i="1"/>
  <c r="L1092" i="1"/>
  <c r="H1092" i="1"/>
  <c r="I1092" i="1" s="1"/>
  <c r="F1092" i="1"/>
  <c r="E1092" i="1"/>
  <c r="D1092" i="1"/>
  <c r="C1092" i="1"/>
  <c r="L1091" i="1"/>
  <c r="H1091" i="1"/>
  <c r="I1091" i="1" s="1"/>
  <c r="F1091" i="1"/>
  <c r="E1091" i="1"/>
  <c r="D1091" i="1"/>
  <c r="C1091" i="1"/>
  <c r="L1090" i="1"/>
  <c r="I1090" i="1"/>
  <c r="H1090" i="1"/>
  <c r="F1090" i="1"/>
  <c r="E1090" i="1"/>
  <c r="D1090" i="1"/>
  <c r="C1090" i="1"/>
  <c r="L1089" i="1"/>
  <c r="H1089" i="1"/>
  <c r="I1089" i="1" s="1"/>
  <c r="F1089" i="1"/>
  <c r="E1089" i="1"/>
  <c r="D1089" i="1"/>
  <c r="C1089" i="1"/>
  <c r="L1088" i="1"/>
  <c r="H1088" i="1"/>
  <c r="I1088" i="1" s="1"/>
  <c r="F1088" i="1"/>
  <c r="E1088" i="1"/>
  <c r="D1088" i="1"/>
  <c r="C1088" i="1"/>
  <c r="L1087" i="1"/>
  <c r="I1087" i="1"/>
  <c r="H1087" i="1"/>
  <c r="F1087" i="1"/>
  <c r="E1087" i="1"/>
  <c r="D1087" i="1"/>
  <c r="C1087" i="1"/>
  <c r="L1086" i="1"/>
  <c r="H1086" i="1"/>
  <c r="I1086" i="1" s="1"/>
  <c r="F1086" i="1"/>
  <c r="E1086" i="1"/>
  <c r="D1086" i="1"/>
  <c r="C1086" i="1"/>
  <c r="L1085" i="1"/>
  <c r="H1085" i="1"/>
  <c r="I1085" i="1" s="1"/>
  <c r="F1085" i="1"/>
  <c r="E1085" i="1"/>
  <c r="D1085" i="1"/>
  <c r="C1085" i="1"/>
  <c r="L1084" i="1"/>
  <c r="H1084" i="1"/>
  <c r="I1084" i="1" s="1"/>
  <c r="F1084" i="1"/>
  <c r="E1084" i="1"/>
  <c r="D1084" i="1"/>
  <c r="C1084" i="1"/>
  <c r="L1083" i="1"/>
  <c r="H1083" i="1"/>
  <c r="I1083" i="1" s="1"/>
  <c r="F1083" i="1"/>
  <c r="E1083" i="1"/>
  <c r="D1083" i="1"/>
  <c r="C1083" i="1"/>
  <c r="L1082" i="1"/>
  <c r="H1082" i="1"/>
  <c r="I1082" i="1" s="1"/>
  <c r="F1082" i="1"/>
  <c r="E1082" i="1"/>
  <c r="D1082" i="1"/>
  <c r="C1082" i="1"/>
  <c r="L1081" i="1"/>
  <c r="H1081" i="1"/>
  <c r="I1081" i="1" s="1"/>
  <c r="F1081" i="1"/>
  <c r="E1081" i="1"/>
  <c r="D1081" i="1"/>
  <c r="C1081" i="1"/>
  <c r="L1080" i="1"/>
  <c r="H1080" i="1"/>
  <c r="I1080" i="1" s="1"/>
  <c r="F1080" i="1"/>
  <c r="E1080" i="1"/>
  <c r="D1080" i="1"/>
  <c r="C1080" i="1"/>
  <c r="L1079" i="1"/>
  <c r="H1079" i="1"/>
  <c r="I1079" i="1" s="1"/>
  <c r="F1079" i="1"/>
  <c r="E1079" i="1"/>
  <c r="D1079" i="1"/>
  <c r="C1079" i="1"/>
  <c r="L1078" i="1"/>
  <c r="I1078" i="1"/>
  <c r="H1078" i="1"/>
  <c r="F1078" i="1"/>
  <c r="E1078" i="1"/>
  <c r="D1078" i="1"/>
  <c r="C1078" i="1"/>
  <c r="L1077" i="1"/>
  <c r="H1077" i="1"/>
  <c r="I1077" i="1" s="1"/>
  <c r="F1077" i="1"/>
  <c r="E1077" i="1"/>
  <c r="D1077" i="1"/>
  <c r="C1077" i="1"/>
  <c r="L1076" i="1"/>
  <c r="H1076" i="1"/>
  <c r="I1076" i="1" s="1"/>
  <c r="F1076" i="1"/>
  <c r="E1076" i="1"/>
  <c r="D1076" i="1"/>
  <c r="C1076" i="1"/>
  <c r="L1075" i="1"/>
  <c r="H1075" i="1"/>
  <c r="I1075" i="1" s="1"/>
  <c r="F1075" i="1"/>
  <c r="E1075" i="1"/>
  <c r="D1075" i="1"/>
  <c r="C1075" i="1"/>
  <c r="L1074" i="1"/>
  <c r="H1074" i="1"/>
  <c r="I1074" i="1" s="1"/>
  <c r="F1074" i="1"/>
  <c r="E1074" i="1"/>
  <c r="D1074" i="1"/>
  <c r="C1074" i="1"/>
  <c r="L1073" i="1"/>
  <c r="H1073" i="1"/>
  <c r="I1073" i="1" s="1"/>
  <c r="F1073" i="1"/>
  <c r="E1073" i="1"/>
  <c r="D1073" i="1"/>
  <c r="C1073" i="1"/>
  <c r="L1072" i="1"/>
  <c r="H1072" i="1"/>
  <c r="I1072" i="1" s="1"/>
  <c r="F1072" i="1"/>
  <c r="E1072" i="1"/>
  <c r="D1072" i="1"/>
  <c r="C1072" i="1"/>
  <c r="L1071" i="1"/>
  <c r="H1071" i="1"/>
  <c r="I1071" i="1" s="1"/>
  <c r="F1071" i="1"/>
  <c r="E1071" i="1"/>
  <c r="D1071" i="1"/>
  <c r="C1071" i="1"/>
  <c r="L1070" i="1"/>
  <c r="H1070" i="1"/>
  <c r="I1070" i="1" s="1"/>
  <c r="F1070" i="1"/>
  <c r="E1070" i="1"/>
  <c r="D1070" i="1"/>
  <c r="C1070" i="1"/>
  <c r="L1069" i="1"/>
  <c r="H1069" i="1"/>
  <c r="I1069" i="1" s="1"/>
  <c r="F1069" i="1"/>
  <c r="E1069" i="1"/>
  <c r="D1069" i="1"/>
  <c r="C1069" i="1"/>
  <c r="L1068" i="1"/>
  <c r="H1068" i="1"/>
  <c r="I1068" i="1" s="1"/>
  <c r="F1068" i="1"/>
  <c r="E1068" i="1"/>
  <c r="D1068" i="1"/>
  <c r="C1068" i="1"/>
  <c r="L1067" i="1"/>
  <c r="H1067" i="1"/>
  <c r="I1067" i="1" s="1"/>
  <c r="F1067" i="1"/>
  <c r="E1067" i="1"/>
  <c r="D1067" i="1"/>
  <c r="C1067" i="1"/>
  <c r="L1066" i="1"/>
  <c r="H1066" i="1"/>
  <c r="I1066" i="1" s="1"/>
  <c r="F1066" i="1"/>
  <c r="E1066" i="1"/>
  <c r="D1066" i="1"/>
  <c r="C1066" i="1"/>
  <c r="L1065" i="1"/>
  <c r="H1065" i="1"/>
  <c r="I1065" i="1" s="1"/>
  <c r="F1065" i="1"/>
  <c r="E1065" i="1"/>
  <c r="D1065" i="1"/>
  <c r="C1065" i="1"/>
  <c r="L1064" i="1"/>
  <c r="H1064" i="1"/>
  <c r="I1064" i="1" s="1"/>
  <c r="F1064" i="1"/>
  <c r="E1064" i="1"/>
  <c r="D1064" i="1"/>
  <c r="C1064" i="1"/>
  <c r="L1063" i="1"/>
  <c r="H1063" i="1"/>
  <c r="I1063" i="1" s="1"/>
  <c r="F1063" i="1"/>
  <c r="E1063" i="1"/>
  <c r="D1063" i="1"/>
  <c r="C1063" i="1"/>
  <c r="L1062" i="1"/>
  <c r="H1062" i="1"/>
  <c r="I1062" i="1" s="1"/>
  <c r="F1062" i="1"/>
  <c r="E1062" i="1"/>
  <c r="D1062" i="1"/>
  <c r="C1062" i="1"/>
  <c r="L1061" i="1"/>
  <c r="H1061" i="1"/>
  <c r="I1061" i="1" s="1"/>
  <c r="F1061" i="1"/>
  <c r="E1061" i="1"/>
  <c r="D1061" i="1"/>
  <c r="C1061" i="1"/>
  <c r="L1060" i="1"/>
  <c r="H1060" i="1"/>
  <c r="I1060" i="1" s="1"/>
  <c r="F1060" i="1"/>
  <c r="E1060" i="1"/>
  <c r="D1060" i="1"/>
  <c r="C1060" i="1"/>
  <c r="L1059" i="1"/>
  <c r="H1059" i="1"/>
  <c r="I1059" i="1" s="1"/>
  <c r="F1059" i="1"/>
  <c r="E1059" i="1"/>
  <c r="D1059" i="1"/>
  <c r="C1059" i="1"/>
  <c r="L1058" i="1"/>
  <c r="H1058" i="1"/>
  <c r="I1058" i="1" s="1"/>
  <c r="F1058" i="1"/>
  <c r="E1058" i="1"/>
  <c r="D1058" i="1"/>
  <c r="C1058" i="1"/>
  <c r="L1057" i="1"/>
  <c r="H1057" i="1"/>
  <c r="I1057" i="1" s="1"/>
  <c r="F1057" i="1"/>
  <c r="E1057" i="1"/>
  <c r="D1057" i="1"/>
  <c r="C1057" i="1"/>
  <c r="L1056" i="1"/>
  <c r="H1056" i="1"/>
  <c r="I1056" i="1" s="1"/>
  <c r="F1056" i="1"/>
  <c r="E1056" i="1"/>
  <c r="D1056" i="1"/>
  <c r="C1056" i="1"/>
  <c r="L1055" i="1"/>
  <c r="H1055" i="1"/>
  <c r="I1055" i="1" s="1"/>
  <c r="F1055" i="1"/>
  <c r="E1055" i="1"/>
  <c r="D1055" i="1"/>
  <c r="C1055" i="1"/>
  <c r="L1054" i="1"/>
  <c r="I1054" i="1"/>
  <c r="H1054" i="1"/>
  <c r="F1054" i="1"/>
  <c r="E1054" i="1"/>
  <c r="D1054" i="1"/>
  <c r="C1054" i="1"/>
  <c r="L1053" i="1"/>
  <c r="H1053" i="1"/>
  <c r="I1053" i="1" s="1"/>
  <c r="F1053" i="1"/>
  <c r="E1053" i="1"/>
  <c r="D1053" i="1"/>
  <c r="C1053" i="1"/>
  <c r="L1052" i="1"/>
  <c r="H1052" i="1"/>
  <c r="I1052" i="1" s="1"/>
  <c r="F1052" i="1"/>
  <c r="E1052" i="1"/>
  <c r="D1052" i="1"/>
  <c r="C1052" i="1"/>
  <c r="L1051" i="1"/>
  <c r="H1051" i="1"/>
  <c r="I1051" i="1" s="1"/>
  <c r="F1051" i="1"/>
  <c r="E1051" i="1"/>
  <c r="D1051" i="1"/>
  <c r="C1051" i="1"/>
  <c r="L1050" i="1"/>
  <c r="H1050" i="1"/>
  <c r="I1050" i="1" s="1"/>
  <c r="F1050" i="1"/>
  <c r="E1050" i="1"/>
  <c r="D1050" i="1"/>
  <c r="C1050" i="1"/>
  <c r="L1049" i="1"/>
  <c r="H1049" i="1"/>
  <c r="I1049" i="1" s="1"/>
  <c r="F1049" i="1"/>
  <c r="E1049" i="1"/>
  <c r="D1049" i="1"/>
  <c r="C1049" i="1"/>
  <c r="L1048" i="1"/>
  <c r="H1048" i="1"/>
  <c r="I1048" i="1" s="1"/>
  <c r="F1048" i="1"/>
  <c r="E1048" i="1"/>
  <c r="D1048" i="1"/>
  <c r="C1048" i="1"/>
  <c r="L1047" i="1"/>
  <c r="H1047" i="1"/>
  <c r="I1047" i="1" s="1"/>
  <c r="F1047" i="1"/>
  <c r="E1047" i="1"/>
  <c r="D1047" i="1"/>
  <c r="C1047" i="1"/>
  <c r="L1046" i="1"/>
  <c r="I1046" i="1"/>
  <c r="H1046" i="1"/>
  <c r="F1046" i="1"/>
  <c r="E1046" i="1"/>
  <c r="D1046" i="1"/>
  <c r="C1046" i="1"/>
  <c r="L1045" i="1"/>
  <c r="H1045" i="1"/>
  <c r="I1045" i="1" s="1"/>
  <c r="F1045" i="1"/>
  <c r="E1045" i="1"/>
  <c r="D1045" i="1"/>
  <c r="C1045" i="1"/>
  <c r="L1044" i="1"/>
  <c r="H1044" i="1"/>
  <c r="I1044" i="1" s="1"/>
  <c r="F1044" i="1"/>
  <c r="E1044" i="1"/>
  <c r="D1044" i="1"/>
  <c r="C1044" i="1"/>
  <c r="L1043" i="1"/>
  <c r="I1043" i="1"/>
  <c r="H1043" i="1"/>
  <c r="F1043" i="1"/>
  <c r="E1043" i="1"/>
  <c r="D1043" i="1"/>
  <c r="C1043" i="1"/>
  <c r="L1042" i="1"/>
  <c r="H1042" i="1"/>
  <c r="I1042" i="1" s="1"/>
  <c r="F1042" i="1"/>
  <c r="E1042" i="1"/>
  <c r="D1042" i="1"/>
  <c r="C1042" i="1"/>
  <c r="L1041" i="1"/>
  <c r="H1041" i="1"/>
  <c r="I1041" i="1" s="1"/>
  <c r="F1041" i="1"/>
  <c r="E1041" i="1"/>
  <c r="D1041" i="1"/>
  <c r="C1041" i="1"/>
  <c r="L1040" i="1"/>
  <c r="I1040" i="1"/>
  <c r="H1040" i="1"/>
  <c r="F1040" i="1"/>
  <c r="E1040" i="1"/>
  <c r="D1040" i="1"/>
  <c r="C1040" i="1"/>
  <c r="L1039" i="1"/>
  <c r="H1039" i="1"/>
  <c r="I1039" i="1" s="1"/>
  <c r="F1039" i="1"/>
  <c r="E1039" i="1"/>
  <c r="D1039" i="1"/>
  <c r="C1039" i="1"/>
  <c r="L1038" i="1"/>
  <c r="H1038" i="1"/>
  <c r="I1038" i="1" s="1"/>
  <c r="F1038" i="1"/>
  <c r="E1038" i="1"/>
  <c r="D1038" i="1"/>
  <c r="C1038" i="1"/>
  <c r="L1037" i="1"/>
  <c r="H1037" i="1"/>
  <c r="I1037" i="1" s="1"/>
  <c r="F1037" i="1"/>
  <c r="E1037" i="1"/>
  <c r="D1037" i="1"/>
  <c r="C1037" i="1"/>
  <c r="L1036" i="1"/>
  <c r="H1036" i="1"/>
  <c r="I1036" i="1" s="1"/>
  <c r="F1036" i="1"/>
  <c r="E1036" i="1"/>
  <c r="D1036" i="1"/>
  <c r="C1036" i="1"/>
  <c r="L1035" i="1"/>
  <c r="H1035" i="1"/>
  <c r="I1035" i="1" s="1"/>
  <c r="F1035" i="1"/>
  <c r="E1035" i="1"/>
  <c r="D1035" i="1"/>
  <c r="C1035" i="1"/>
  <c r="L1034" i="1"/>
  <c r="H1034" i="1"/>
  <c r="I1034" i="1" s="1"/>
  <c r="F1034" i="1"/>
  <c r="E1034" i="1"/>
  <c r="D1034" i="1"/>
  <c r="C1034" i="1"/>
  <c r="L1033" i="1"/>
  <c r="H1033" i="1"/>
  <c r="I1033" i="1" s="1"/>
  <c r="F1033" i="1"/>
  <c r="E1033" i="1"/>
  <c r="D1033" i="1"/>
  <c r="C1033" i="1"/>
  <c r="L1032" i="1"/>
  <c r="H1032" i="1"/>
  <c r="I1032" i="1" s="1"/>
  <c r="F1032" i="1"/>
  <c r="E1032" i="1"/>
  <c r="D1032" i="1"/>
  <c r="C1032" i="1"/>
  <c r="L1031" i="1"/>
  <c r="H1031" i="1"/>
  <c r="I1031" i="1" s="1"/>
  <c r="F1031" i="1"/>
  <c r="E1031" i="1"/>
  <c r="D1031" i="1"/>
  <c r="C1031" i="1"/>
  <c r="L1030" i="1"/>
  <c r="H1030" i="1"/>
  <c r="I1030" i="1" s="1"/>
  <c r="F1030" i="1"/>
  <c r="E1030" i="1"/>
  <c r="D1030" i="1"/>
  <c r="C1030" i="1"/>
  <c r="L1029" i="1"/>
  <c r="H1029" i="1"/>
  <c r="I1029" i="1" s="1"/>
  <c r="F1029" i="1"/>
  <c r="E1029" i="1"/>
  <c r="D1029" i="1"/>
  <c r="C1029" i="1"/>
  <c r="L1028" i="1"/>
  <c r="H1028" i="1"/>
  <c r="I1028" i="1" s="1"/>
  <c r="F1028" i="1"/>
  <c r="E1028" i="1"/>
  <c r="D1028" i="1"/>
  <c r="C1028" i="1"/>
  <c r="L1027" i="1"/>
  <c r="H1027" i="1"/>
  <c r="I1027" i="1" s="1"/>
  <c r="F1027" i="1"/>
  <c r="E1027" i="1"/>
  <c r="D1027" i="1"/>
  <c r="C1027" i="1"/>
  <c r="L1026" i="1"/>
  <c r="H1026" i="1"/>
  <c r="I1026" i="1" s="1"/>
  <c r="F1026" i="1"/>
  <c r="E1026" i="1"/>
  <c r="D1026" i="1"/>
  <c r="C1026" i="1"/>
  <c r="L1025" i="1"/>
  <c r="H1025" i="1"/>
  <c r="I1025" i="1" s="1"/>
  <c r="F1025" i="1"/>
  <c r="E1025" i="1"/>
  <c r="D1025" i="1"/>
  <c r="C1025" i="1"/>
  <c r="L1024" i="1"/>
  <c r="I1024" i="1"/>
  <c r="H1024" i="1"/>
  <c r="F1024" i="1"/>
  <c r="E1024" i="1"/>
  <c r="D1024" i="1"/>
  <c r="C1024" i="1"/>
  <c r="L1023" i="1"/>
  <c r="H1023" i="1"/>
  <c r="I1023" i="1" s="1"/>
  <c r="F1023" i="1"/>
  <c r="E1023" i="1"/>
  <c r="D1023" i="1"/>
  <c r="C1023" i="1"/>
  <c r="L1022" i="1"/>
  <c r="H1022" i="1"/>
  <c r="I1022" i="1" s="1"/>
  <c r="F1022" i="1"/>
  <c r="E1022" i="1"/>
  <c r="D1022" i="1"/>
  <c r="C1022" i="1"/>
  <c r="L1021" i="1"/>
  <c r="H1021" i="1"/>
  <c r="I1021" i="1" s="1"/>
  <c r="F1021" i="1"/>
  <c r="E1021" i="1"/>
  <c r="D1021" i="1"/>
  <c r="C1021" i="1"/>
  <c r="L1020" i="1"/>
  <c r="H1020" i="1"/>
  <c r="I1020" i="1" s="1"/>
  <c r="F1020" i="1"/>
  <c r="E1020" i="1"/>
  <c r="D1020" i="1"/>
  <c r="C1020" i="1"/>
  <c r="L1019" i="1"/>
  <c r="H1019" i="1"/>
  <c r="I1019" i="1" s="1"/>
  <c r="F1019" i="1"/>
  <c r="E1019" i="1"/>
  <c r="D1019" i="1"/>
  <c r="C1019" i="1"/>
  <c r="L1018" i="1"/>
  <c r="I1018" i="1"/>
  <c r="H1018" i="1"/>
  <c r="F1018" i="1"/>
  <c r="E1018" i="1"/>
  <c r="D1018" i="1"/>
  <c r="C1018" i="1"/>
  <c r="L1017" i="1"/>
  <c r="H1017" i="1"/>
  <c r="I1017" i="1" s="1"/>
  <c r="F1017" i="1"/>
  <c r="E1017" i="1"/>
  <c r="D1017" i="1"/>
  <c r="C1017" i="1"/>
  <c r="L1016" i="1"/>
  <c r="H1016" i="1"/>
  <c r="I1016" i="1" s="1"/>
  <c r="F1016" i="1"/>
  <c r="E1016" i="1"/>
  <c r="D1016" i="1"/>
  <c r="C1016" i="1"/>
  <c r="L1015" i="1"/>
  <c r="H1015" i="1"/>
  <c r="I1015" i="1" s="1"/>
  <c r="F1015" i="1"/>
  <c r="E1015" i="1"/>
  <c r="D1015" i="1"/>
  <c r="C1015" i="1"/>
  <c r="L1014" i="1"/>
  <c r="H1014" i="1"/>
  <c r="I1014" i="1" s="1"/>
  <c r="F1014" i="1"/>
  <c r="E1014" i="1"/>
  <c r="D1014" i="1"/>
  <c r="C1014" i="1"/>
  <c r="L1013" i="1"/>
  <c r="I1013" i="1"/>
  <c r="H1013" i="1"/>
  <c r="F1013" i="1"/>
  <c r="E1013" i="1"/>
  <c r="D1013" i="1"/>
  <c r="C1013" i="1"/>
  <c r="L1012" i="1"/>
  <c r="H1012" i="1"/>
  <c r="I1012" i="1" s="1"/>
  <c r="F1012" i="1"/>
  <c r="E1012" i="1"/>
  <c r="D1012" i="1"/>
  <c r="C1012" i="1"/>
  <c r="L1011" i="1"/>
  <c r="H1011" i="1"/>
  <c r="I1011" i="1" s="1"/>
  <c r="F1011" i="1"/>
  <c r="E1011" i="1"/>
  <c r="D1011" i="1"/>
  <c r="C1011" i="1"/>
  <c r="L1010" i="1"/>
  <c r="I1010" i="1"/>
  <c r="H1010" i="1"/>
  <c r="F1010" i="1"/>
  <c r="E1010" i="1"/>
  <c r="D1010" i="1"/>
  <c r="C1010" i="1"/>
  <c r="L1009" i="1"/>
  <c r="H1009" i="1"/>
  <c r="I1009" i="1" s="1"/>
  <c r="F1009" i="1"/>
  <c r="E1009" i="1"/>
  <c r="D1009" i="1"/>
  <c r="C1009" i="1"/>
  <c r="L1008" i="1"/>
  <c r="H1008" i="1"/>
  <c r="I1008" i="1" s="1"/>
  <c r="F1008" i="1"/>
  <c r="E1008" i="1"/>
  <c r="D1008" i="1"/>
  <c r="C1008" i="1"/>
  <c r="L1007" i="1"/>
  <c r="H1007" i="1"/>
  <c r="I1007" i="1" s="1"/>
  <c r="F1007" i="1"/>
  <c r="E1007" i="1"/>
  <c r="D1007" i="1"/>
  <c r="C1007" i="1"/>
  <c r="L1006" i="1"/>
  <c r="H1006" i="1"/>
  <c r="I1006" i="1" s="1"/>
  <c r="F1006" i="1"/>
  <c r="E1006" i="1"/>
  <c r="D1006" i="1"/>
  <c r="C1006" i="1"/>
  <c r="L1005" i="1"/>
  <c r="H1005" i="1"/>
  <c r="I1005" i="1" s="1"/>
  <c r="F1005" i="1"/>
  <c r="E1005" i="1"/>
  <c r="D1005" i="1"/>
  <c r="C1005" i="1"/>
  <c r="L1004" i="1"/>
  <c r="H1004" i="1"/>
  <c r="I1004" i="1" s="1"/>
  <c r="F1004" i="1"/>
  <c r="E1004" i="1"/>
  <c r="D1004" i="1"/>
  <c r="C1004" i="1"/>
  <c r="L1003" i="1"/>
  <c r="H1003" i="1"/>
  <c r="I1003" i="1" s="1"/>
  <c r="F1003" i="1"/>
  <c r="E1003" i="1"/>
  <c r="D1003" i="1"/>
  <c r="C1003" i="1"/>
  <c r="L1002" i="1"/>
  <c r="I1002" i="1"/>
  <c r="H1002" i="1"/>
  <c r="F1002" i="1"/>
  <c r="E1002" i="1"/>
  <c r="D1002" i="1"/>
  <c r="C1002" i="1"/>
  <c r="L1001" i="1"/>
  <c r="H1001" i="1"/>
  <c r="I1001" i="1" s="1"/>
  <c r="F1001" i="1"/>
  <c r="E1001" i="1"/>
  <c r="D1001" i="1"/>
  <c r="C1001" i="1"/>
  <c r="L1000" i="1"/>
  <c r="H1000" i="1"/>
  <c r="I1000" i="1" s="1"/>
  <c r="F1000" i="1"/>
  <c r="E1000" i="1"/>
  <c r="D1000" i="1"/>
  <c r="C1000" i="1"/>
  <c r="L999" i="1"/>
  <c r="H999" i="1"/>
  <c r="I999" i="1" s="1"/>
  <c r="F999" i="1"/>
  <c r="E999" i="1"/>
  <c r="D999" i="1"/>
  <c r="C999" i="1"/>
  <c r="L998" i="1"/>
  <c r="H998" i="1"/>
  <c r="I998" i="1" s="1"/>
  <c r="F998" i="1"/>
  <c r="E998" i="1"/>
  <c r="D998" i="1"/>
  <c r="C998" i="1"/>
  <c r="L997" i="1"/>
  <c r="H997" i="1"/>
  <c r="I997" i="1" s="1"/>
  <c r="F997" i="1"/>
  <c r="E997" i="1"/>
  <c r="D997" i="1"/>
  <c r="C997" i="1"/>
  <c r="L996" i="1"/>
  <c r="H996" i="1"/>
  <c r="I996" i="1" s="1"/>
  <c r="F996" i="1"/>
  <c r="E996" i="1"/>
  <c r="D996" i="1"/>
  <c r="C996" i="1"/>
  <c r="L995" i="1"/>
  <c r="H995" i="1"/>
  <c r="I995" i="1" s="1"/>
  <c r="F995" i="1"/>
  <c r="E995" i="1"/>
  <c r="D995" i="1"/>
  <c r="C995" i="1"/>
  <c r="L994" i="1"/>
  <c r="H994" i="1"/>
  <c r="I994" i="1" s="1"/>
  <c r="F994" i="1"/>
  <c r="E994" i="1"/>
  <c r="D994" i="1"/>
  <c r="C994" i="1"/>
  <c r="L993" i="1"/>
  <c r="H993" i="1"/>
  <c r="I993" i="1" s="1"/>
  <c r="F993" i="1"/>
  <c r="E993" i="1"/>
  <c r="D993" i="1"/>
  <c r="C993" i="1"/>
  <c r="L992" i="1"/>
  <c r="H992" i="1"/>
  <c r="I992" i="1" s="1"/>
  <c r="F992" i="1"/>
  <c r="E992" i="1"/>
  <c r="D992" i="1"/>
  <c r="C992" i="1"/>
  <c r="L991" i="1"/>
  <c r="H991" i="1"/>
  <c r="I991" i="1" s="1"/>
  <c r="F991" i="1"/>
  <c r="E991" i="1"/>
  <c r="D991" i="1"/>
  <c r="C991" i="1"/>
  <c r="L990" i="1"/>
  <c r="H990" i="1"/>
  <c r="I990" i="1" s="1"/>
  <c r="F990" i="1"/>
  <c r="E990" i="1"/>
  <c r="D990" i="1"/>
  <c r="C990" i="1"/>
  <c r="L989" i="1"/>
  <c r="H989" i="1"/>
  <c r="I989" i="1" s="1"/>
  <c r="F989" i="1"/>
  <c r="E989" i="1"/>
  <c r="D989" i="1"/>
  <c r="C989" i="1"/>
  <c r="L988" i="1"/>
  <c r="I988" i="1"/>
  <c r="H988" i="1"/>
  <c r="F988" i="1"/>
  <c r="E988" i="1"/>
  <c r="D988" i="1"/>
  <c r="C988" i="1"/>
  <c r="L987" i="1"/>
  <c r="H987" i="1"/>
  <c r="I987" i="1" s="1"/>
  <c r="F987" i="1"/>
  <c r="E987" i="1"/>
  <c r="D987" i="1"/>
  <c r="C987" i="1"/>
  <c r="L986" i="1"/>
  <c r="H986" i="1"/>
  <c r="I986" i="1" s="1"/>
  <c r="F986" i="1"/>
  <c r="E986" i="1"/>
  <c r="D986" i="1"/>
  <c r="C986" i="1"/>
  <c r="L985" i="1"/>
  <c r="H985" i="1"/>
  <c r="I985" i="1" s="1"/>
  <c r="F985" i="1"/>
  <c r="E985" i="1"/>
  <c r="D985" i="1"/>
  <c r="C985" i="1"/>
  <c r="L984" i="1"/>
  <c r="H984" i="1"/>
  <c r="I984" i="1" s="1"/>
  <c r="F984" i="1"/>
  <c r="E984" i="1"/>
  <c r="D984" i="1"/>
  <c r="C984" i="1"/>
  <c r="L983" i="1"/>
  <c r="H983" i="1"/>
  <c r="I983" i="1" s="1"/>
  <c r="F983" i="1"/>
  <c r="E983" i="1"/>
  <c r="D983" i="1"/>
  <c r="C983" i="1"/>
  <c r="L982" i="1"/>
  <c r="H982" i="1"/>
  <c r="I982" i="1" s="1"/>
  <c r="F982" i="1"/>
  <c r="E982" i="1"/>
  <c r="D982" i="1"/>
  <c r="C982" i="1"/>
  <c r="L981" i="1"/>
  <c r="H981" i="1"/>
  <c r="I981" i="1" s="1"/>
  <c r="F981" i="1"/>
  <c r="E981" i="1"/>
  <c r="D981" i="1"/>
  <c r="C981" i="1"/>
  <c r="L980" i="1"/>
  <c r="H980" i="1"/>
  <c r="I980" i="1" s="1"/>
  <c r="F980" i="1"/>
  <c r="E980" i="1"/>
  <c r="D980" i="1"/>
  <c r="C980" i="1"/>
  <c r="L979" i="1"/>
  <c r="H979" i="1"/>
  <c r="I979" i="1" s="1"/>
  <c r="F979" i="1"/>
  <c r="E979" i="1"/>
  <c r="D979" i="1"/>
  <c r="C979" i="1"/>
  <c r="L978" i="1"/>
  <c r="H978" i="1"/>
  <c r="I978" i="1" s="1"/>
  <c r="F978" i="1"/>
  <c r="E978" i="1"/>
  <c r="D978" i="1"/>
  <c r="C978" i="1"/>
  <c r="L977" i="1"/>
  <c r="H977" i="1"/>
  <c r="I977" i="1" s="1"/>
  <c r="F977" i="1"/>
  <c r="E977" i="1"/>
  <c r="D977" i="1"/>
  <c r="C977" i="1"/>
  <c r="L976" i="1"/>
  <c r="H976" i="1"/>
  <c r="I976" i="1" s="1"/>
  <c r="F976" i="1"/>
  <c r="E976" i="1"/>
  <c r="D976" i="1"/>
  <c r="C976" i="1"/>
  <c r="L975" i="1"/>
  <c r="H975" i="1"/>
  <c r="I975" i="1" s="1"/>
  <c r="F975" i="1"/>
  <c r="E975" i="1"/>
  <c r="D975" i="1"/>
  <c r="C975" i="1"/>
  <c r="L974" i="1"/>
  <c r="H974" i="1"/>
  <c r="I974" i="1" s="1"/>
  <c r="F974" i="1"/>
  <c r="E974" i="1"/>
  <c r="D974" i="1"/>
  <c r="C974" i="1"/>
  <c r="L973" i="1"/>
  <c r="H973" i="1"/>
  <c r="I973" i="1" s="1"/>
  <c r="F973" i="1"/>
  <c r="E973" i="1"/>
  <c r="D973" i="1"/>
  <c r="C973" i="1"/>
  <c r="L972" i="1"/>
  <c r="H972" i="1"/>
  <c r="I972" i="1" s="1"/>
  <c r="F972" i="1"/>
  <c r="E972" i="1"/>
  <c r="D972" i="1"/>
  <c r="C972" i="1"/>
  <c r="L971" i="1"/>
  <c r="H971" i="1"/>
  <c r="I971" i="1" s="1"/>
  <c r="F971" i="1"/>
  <c r="E971" i="1"/>
  <c r="D971" i="1"/>
  <c r="C971" i="1"/>
  <c r="L970" i="1"/>
  <c r="H970" i="1"/>
  <c r="I970" i="1" s="1"/>
  <c r="F970" i="1"/>
  <c r="E970" i="1"/>
  <c r="D970" i="1"/>
  <c r="C970" i="1"/>
  <c r="L969" i="1"/>
  <c r="H969" i="1"/>
  <c r="I969" i="1" s="1"/>
  <c r="F969" i="1"/>
  <c r="E969" i="1"/>
  <c r="D969" i="1"/>
  <c r="C969" i="1"/>
  <c r="L968" i="1"/>
  <c r="H968" i="1"/>
  <c r="I968" i="1" s="1"/>
  <c r="F968" i="1"/>
  <c r="E968" i="1"/>
  <c r="D968" i="1"/>
  <c r="C968" i="1"/>
  <c r="L967" i="1"/>
  <c r="H967" i="1"/>
  <c r="I967" i="1" s="1"/>
  <c r="F967" i="1"/>
  <c r="E967" i="1"/>
  <c r="D967" i="1"/>
  <c r="C967" i="1"/>
  <c r="L966" i="1"/>
  <c r="H966" i="1"/>
  <c r="I966" i="1" s="1"/>
  <c r="F966" i="1"/>
  <c r="E966" i="1"/>
  <c r="D966" i="1"/>
  <c r="C966" i="1"/>
  <c r="L965" i="1"/>
  <c r="H965" i="1"/>
  <c r="I965" i="1" s="1"/>
  <c r="F965" i="1"/>
  <c r="E965" i="1"/>
  <c r="D965" i="1"/>
  <c r="C965" i="1"/>
  <c r="L964" i="1"/>
  <c r="H964" i="1"/>
  <c r="I964" i="1" s="1"/>
  <c r="F964" i="1"/>
  <c r="E964" i="1"/>
  <c r="D964" i="1"/>
  <c r="C964" i="1"/>
  <c r="L963" i="1"/>
  <c r="I963" i="1"/>
  <c r="H963" i="1"/>
  <c r="F963" i="1"/>
  <c r="E963" i="1"/>
  <c r="D963" i="1"/>
  <c r="C963" i="1"/>
  <c r="L962" i="1"/>
  <c r="H962" i="1"/>
  <c r="I962" i="1" s="1"/>
  <c r="F962" i="1"/>
  <c r="E962" i="1"/>
  <c r="D962" i="1"/>
  <c r="C962" i="1"/>
  <c r="L961" i="1"/>
  <c r="H961" i="1"/>
  <c r="I961" i="1" s="1"/>
  <c r="F961" i="1"/>
  <c r="E961" i="1"/>
  <c r="D961" i="1"/>
  <c r="C961" i="1"/>
  <c r="L960" i="1"/>
  <c r="H960" i="1"/>
  <c r="I960" i="1" s="1"/>
  <c r="F960" i="1"/>
  <c r="E960" i="1"/>
  <c r="D960" i="1"/>
  <c r="C960" i="1"/>
  <c r="L959" i="1"/>
  <c r="H959" i="1"/>
  <c r="I959" i="1" s="1"/>
  <c r="F959" i="1"/>
  <c r="E959" i="1"/>
  <c r="D959" i="1"/>
  <c r="C959" i="1"/>
  <c r="L958" i="1"/>
  <c r="H958" i="1"/>
  <c r="I958" i="1" s="1"/>
  <c r="F958" i="1"/>
  <c r="E958" i="1"/>
  <c r="D958" i="1"/>
  <c r="C958" i="1"/>
  <c r="L957" i="1"/>
  <c r="I957" i="1"/>
  <c r="H957" i="1"/>
  <c r="F957" i="1"/>
  <c r="E957" i="1"/>
  <c r="D957" i="1"/>
  <c r="C957" i="1"/>
  <c r="L956" i="1"/>
  <c r="I956" i="1"/>
  <c r="H956" i="1"/>
  <c r="F956" i="1"/>
  <c r="E956" i="1"/>
  <c r="D956" i="1"/>
  <c r="C956" i="1"/>
  <c r="L955" i="1"/>
  <c r="I955" i="1"/>
  <c r="H955" i="1"/>
  <c r="F955" i="1"/>
  <c r="E955" i="1"/>
  <c r="D955" i="1"/>
  <c r="C955" i="1"/>
  <c r="L954" i="1"/>
  <c r="H954" i="1"/>
  <c r="I954" i="1" s="1"/>
  <c r="F954" i="1"/>
  <c r="E954" i="1"/>
  <c r="D954" i="1"/>
  <c r="C954" i="1"/>
  <c r="L953" i="1"/>
  <c r="H953" i="1"/>
  <c r="I953" i="1" s="1"/>
  <c r="F953" i="1"/>
  <c r="E953" i="1"/>
  <c r="D953" i="1"/>
  <c r="C953" i="1"/>
  <c r="L952" i="1"/>
  <c r="I952" i="1"/>
  <c r="H952" i="1"/>
  <c r="F952" i="1"/>
  <c r="E952" i="1"/>
  <c r="D952" i="1"/>
  <c r="C952" i="1"/>
  <c r="L951" i="1"/>
  <c r="H951" i="1"/>
  <c r="I951" i="1" s="1"/>
  <c r="F951" i="1"/>
  <c r="E951" i="1"/>
  <c r="D951" i="1"/>
  <c r="C951" i="1"/>
  <c r="L950" i="1"/>
  <c r="H950" i="1"/>
  <c r="I950" i="1" s="1"/>
  <c r="F950" i="1"/>
  <c r="E950" i="1"/>
  <c r="D950" i="1"/>
  <c r="C950" i="1"/>
  <c r="L949" i="1"/>
  <c r="H949" i="1"/>
  <c r="I949" i="1" s="1"/>
  <c r="F949" i="1"/>
  <c r="E949" i="1"/>
  <c r="D949" i="1"/>
  <c r="C949" i="1"/>
  <c r="L948" i="1"/>
  <c r="H948" i="1"/>
  <c r="I948" i="1" s="1"/>
  <c r="F948" i="1"/>
  <c r="E948" i="1"/>
  <c r="D948" i="1"/>
  <c r="C948" i="1"/>
  <c r="L947" i="1"/>
  <c r="H947" i="1"/>
  <c r="I947" i="1" s="1"/>
  <c r="F947" i="1"/>
  <c r="E947" i="1"/>
  <c r="D947" i="1"/>
  <c r="C947" i="1"/>
  <c r="L946" i="1"/>
  <c r="H946" i="1"/>
  <c r="I946" i="1" s="1"/>
  <c r="F946" i="1"/>
  <c r="E946" i="1"/>
  <c r="D946" i="1"/>
  <c r="C946" i="1"/>
  <c r="L945" i="1"/>
  <c r="I945" i="1"/>
  <c r="H945" i="1"/>
  <c r="F945" i="1"/>
  <c r="E945" i="1"/>
  <c r="D945" i="1"/>
  <c r="C945" i="1"/>
  <c r="L944" i="1"/>
  <c r="H944" i="1"/>
  <c r="I944" i="1" s="1"/>
  <c r="F944" i="1"/>
  <c r="E944" i="1"/>
  <c r="D944" i="1"/>
  <c r="C944" i="1"/>
  <c r="L943" i="1"/>
  <c r="H943" i="1"/>
  <c r="I943" i="1" s="1"/>
  <c r="F943" i="1"/>
  <c r="E943" i="1"/>
  <c r="D943" i="1"/>
  <c r="C943" i="1"/>
  <c r="L942" i="1"/>
  <c r="H942" i="1"/>
  <c r="I942" i="1" s="1"/>
  <c r="F942" i="1"/>
  <c r="E942" i="1"/>
  <c r="D942" i="1"/>
  <c r="C942" i="1"/>
  <c r="L941" i="1"/>
  <c r="H941" i="1"/>
  <c r="I941" i="1" s="1"/>
  <c r="F941" i="1"/>
  <c r="E941" i="1"/>
  <c r="D941" i="1"/>
  <c r="C941" i="1"/>
  <c r="L940" i="1"/>
  <c r="H940" i="1"/>
  <c r="I940" i="1" s="1"/>
  <c r="F940" i="1"/>
  <c r="E940" i="1"/>
  <c r="D940" i="1"/>
  <c r="C940" i="1"/>
  <c r="L939" i="1"/>
  <c r="H939" i="1"/>
  <c r="I939" i="1" s="1"/>
  <c r="F939" i="1"/>
  <c r="E939" i="1"/>
  <c r="D939" i="1"/>
  <c r="C939" i="1"/>
  <c r="L938" i="1"/>
  <c r="H938" i="1"/>
  <c r="I938" i="1" s="1"/>
  <c r="F938" i="1"/>
  <c r="E938" i="1"/>
  <c r="D938" i="1"/>
  <c r="C938" i="1"/>
  <c r="L937" i="1"/>
  <c r="H937" i="1"/>
  <c r="I937" i="1" s="1"/>
  <c r="F937" i="1"/>
  <c r="E937" i="1"/>
  <c r="D937" i="1"/>
  <c r="C937" i="1"/>
  <c r="L936" i="1"/>
  <c r="I936" i="1"/>
  <c r="H936" i="1"/>
  <c r="F936" i="1"/>
  <c r="E936" i="1"/>
  <c r="D936" i="1"/>
  <c r="C936" i="1"/>
  <c r="L935" i="1"/>
  <c r="H935" i="1"/>
  <c r="I935" i="1" s="1"/>
  <c r="F935" i="1"/>
  <c r="E935" i="1"/>
  <c r="D935" i="1"/>
  <c r="C935" i="1"/>
  <c r="L934" i="1"/>
  <c r="H934" i="1"/>
  <c r="I934" i="1" s="1"/>
  <c r="F934" i="1"/>
  <c r="E934" i="1"/>
  <c r="D934" i="1"/>
  <c r="C934" i="1"/>
  <c r="L933" i="1"/>
  <c r="H933" i="1"/>
  <c r="I933" i="1" s="1"/>
  <c r="F933" i="1"/>
  <c r="E933" i="1"/>
  <c r="D933" i="1"/>
  <c r="C933" i="1"/>
  <c r="L932" i="1"/>
  <c r="H932" i="1"/>
  <c r="I932" i="1" s="1"/>
  <c r="F932" i="1"/>
  <c r="E932" i="1"/>
  <c r="D932" i="1"/>
  <c r="C932" i="1"/>
  <c r="L931" i="1"/>
  <c r="H931" i="1"/>
  <c r="I931" i="1" s="1"/>
  <c r="F931" i="1"/>
  <c r="E931" i="1"/>
  <c r="D931" i="1"/>
  <c r="C931" i="1"/>
  <c r="L930" i="1"/>
  <c r="I930" i="1"/>
  <c r="H930" i="1"/>
  <c r="F930" i="1"/>
  <c r="E930" i="1"/>
  <c r="D930" i="1"/>
  <c r="C930" i="1"/>
  <c r="L929" i="1"/>
  <c r="H929" i="1"/>
  <c r="I929" i="1" s="1"/>
  <c r="F929" i="1"/>
  <c r="E929" i="1"/>
  <c r="D929" i="1"/>
  <c r="C929" i="1"/>
  <c r="L928" i="1"/>
  <c r="H928" i="1"/>
  <c r="I928" i="1" s="1"/>
  <c r="F928" i="1"/>
  <c r="E928" i="1"/>
  <c r="D928" i="1"/>
  <c r="C928" i="1"/>
  <c r="L927" i="1"/>
  <c r="H927" i="1"/>
  <c r="I927" i="1" s="1"/>
  <c r="F927" i="1"/>
  <c r="E927" i="1"/>
  <c r="D927" i="1"/>
  <c r="C927" i="1"/>
  <c r="L926" i="1"/>
  <c r="H926" i="1"/>
  <c r="I926" i="1" s="1"/>
  <c r="F926" i="1"/>
  <c r="E926" i="1"/>
  <c r="D926" i="1"/>
  <c r="C926" i="1"/>
  <c r="L925" i="1"/>
  <c r="H925" i="1"/>
  <c r="I925" i="1" s="1"/>
  <c r="F925" i="1"/>
  <c r="E925" i="1"/>
  <c r="D925" i="1"/>
  <c r="C925" i="1"/>
  <c r="L924" i="1"/>
  <c r="H924" i="1"/>
  <c r="I924" i="1" s="1"/>
  <c r="F924" i="1"/>
  <c r="E924" i="1"/>
  <c r="D924" i="1"/>
  <c r="C924" i="1"/>
  <c r="L923" i="1"/>
  <c r="H923" i="1"/>
  <c r="I923" i="1" s="1"/>
  <c r="F923" i="1"/>
  <c r="E923" i="1"/>
  <c r="D923" i="1"/>
  <c r="C923" i="1"/>
  <c r="L922" i="1"/>
  <c r="I922" i="1"/>
  <c r="H922" i="1"/>
  <c r="F922" i="1"/>
  <c r="E922" i="1"/>
  <c r="D922" i="1"/>
  <c r="C922" i="1"/>
  <c r="L921" i="1"/>
  <c r="H921" i="1"/>
  <c r="I921" i="1" s="1"/>
  <c r="F921" i="1"/>
  <c r="E921" i="1"/>
  <c r="D921" i="1"/>
  <c r="C921" i="1"/>
  <c r="L920" i="1"/>
  <c r="H920" i="1"/>
  <c r="I920" i="1" s="1"/>
  <c r="F920" i="1"/>
  <c r="E920" i="1"/>
  <c r="D920" i="1"/>
  <c r="C920" i="1"/>
  <c r="L919" i="1"/>
  <c r="H919" i="1"/>
  <c r="I919" i="1" s="1"/>
  <c r="F919" i="1"/>
  <c r="E919" i="1"/>
  <c r="D919" i="1"/>
  <c r="C919" i="1"/>
  <c r="L918" i="1"/>
  <c r="H918" i="1"/>
  <c r="I918" i="1" s="1"/>
  <c r="F918" i="1"/>
  <c r="E918" i="1"/>
  <c r="D918" i="1"/>
  <c r="C918" i="1"/>
  <c r="L917" i="1"/>
  <c r="H917" i="1"/>
  <c r="I917" i="1" s="1"/>
  <c r="F917" i="1"/>
  <c r="E917" i="1"/>
  <c r="D917" i="1"/>
  <c r="C917" i="1"/>
  <c r="L916" i="1"/>
  <c r="H916" i="1"/>
  <c r="I916" i="1" s="1"/>
  <c r="F916" i="1"/>
  <c r="E916" i="1"/>
  <c r="D916" i="1"/>
  <c r="C916" i="1"/>
  <c r="L915" i="1"/>
  <c r="H915" i="1"/>
  <c r="I915" i="1" s="1"/>
  <c r="F915" i="1"/>
  <c r="E915" i="1"/>
  <c r="D915" i="1"/>
  <c r="C915" i="1"/>
  <c r="L914" i="1"/>
  <c r="H914" i="1"/>
  <c r="I914" i="1" s="1"/>
  <c r="F914" i="1"/>
  <c r="E914" i="1"/>
  <c r="D914" i="1"/>
  <c r="C914" i="1"/>
  <c r="L913" i="1"/>
  <c r="H913" i="1"/>
  <c r="I913" i="1" s="1"/>
  <c r="F913" i="1"/>
  <c r="E913" i="1"/>
  <c r="D913" i="1"/>
  <c r="C913" i="1"/>
  <c r="L912" i="1"/>
  <c r="H912" i="1"/>
  <c r="I912" i="1" s="1"/>
  <c r="F912" i="1"/>
  <c r="E912" i="1"/>
  <c r="D912" i="1"/>
  <c r="C912" i="1"/>
  <c r="L911" i="1"/>
  <c r="H911" i="1"/>
  <c r="I911" i="1" s="1"/>
  <c r="F911" i="1"/>
  <c r="E911" i="1"/>
  <c r="D911" i="1"/>
  <c r="C911" i="1"/>
  <c r="L910" i="1"/>
  <c r="H910" i="1"/>
  <c r="I910" i="1" s="1"/>
  <c r="F910" i="1"/>
  <c r="E910" i="1"/>
  <c r="D910" i="1"/>
  <c r="C910" i="1"/>
  <c r="L909" i="1"/>
  <c r="H909" i="1"/>
  <c r="I909" i="1" s="1"/>
  <c r="F909" i="1"/>
  <c r="E909" i="1"/>
  <c r="D909" i="1"/>
  <c r="C909" i="1"/>
  <c r="L908" i="1"/>
  <c r="H908" i="1"/>
  <c r="I908" i="1" s="1"/>
  <c r="F908" i="1"/>
  <c r="E908" i="1"/>
  <c r="D908" i="1"/>
  <c r="C908" i="1"/>
  <c r="L907" i="1"/>
  <c r="H907" i="1"/>
  <c r="I907" i="1" s="1"/>
  <c r="F907" i="1"/>
  <c r="E907" i="1"/>
  <c r="D907" i="1"/>
  <c r="C907" i="1"/>
  <c r="L906" i="1"/>
  <c r="H906" i="1"/>
  <c r="I906" i="1" s="1"/>
  <c r="F906" i="1"/>
  <c r="E906" i="1"/>
  <c r="D906" i="1"/>
  <c r="C906" i="1"/>
  <c r="L905" i="1"/>
  <c r="H905" i="1"/>
  <c r="I905" i="1" s="1"/>
  <c r="F905" i="1"/>
  <c r="E905" i="1"/>
  <c r="D905" i="1"/>
  <c r="C905" i="1"/>
  <c r="L904" i="1"/>
  <c r="H904" i="1"/>
  <c r="I904" i="1" s="1"/>
  <c r="F904" i="1"/>
  <c r="E904" i="1"/>
  <c r="D904" i="1"/>
  <c r="C904" i="1"/>
  <c r="L903" i="1"/>
  <c r="H903" i="1"/>
  <c r="I903" i="1" s="1"/>
  <c r="F903" i="1"/>
  <c r="E903" i="1"/>
  <c r="D903" i="1"/>
  <c r="C903" i="1"/>
  <c r="L902" i="1"/>
  <c r="H902" i="1"/>
  <c r="I902" i="1" s="1"/>
  <c r="F902" i="1"/>
  <c r="E902" i="1"/>
  <c r="D902" i="1"/>
  <c r="C902" i="1"/>
  <c r="L901" i="1"/>
  <c r="H901" i="1"/>
  <c r="I901" i="1" s="1"/>
  <c r="F901" i="1"/>
  <c r="E901" i="1"/>
  <c r="D901" i="1"/>
  <c r="C901" i="1"/>
  <c r="L900" i="1"/>
  <c r="I900" i="1"/>
  <c r="H900" i="1"/>
  <c r="F900" i="1"/>
  <c r="E900" i="1"/>
  <c r="D900" i="1"/>
  <c r="C900" i="1"/>
  <c r="L899" i="1"/>
  <c r="H899" i="1"/>
  <c r="I899" i="1" s="1"/>
  <c r="F899" i="1"/>
  <c r="E899" i="1"/>
  <c r="D899" i="1"/>
  <c r="C899" i="1"/>
  <c r="L898" i="1"/>
  <c r="H898" i="1"/>
  <c r="I898" i="1" s="1"/>
  <c r="F898" i="1"/>
  <c r="E898" i="1"/>
  <c r="D898" i="1"/>
  <c r="C898" i="1"/>
  <c r="L897" i="1"/>
  <c r="H897" i="1"/>
  <c r="I897" i="1" s="1"/>
  <c r="F897" i="1"/>
  <c r="E897" i="1"/>
  <c r="D897" i="1"/>
  <c r="C897" i="1"/>
  <c r="L896" i="1"/>
  <c r="H896" i="1"/>
  <c r="I896" i="1" s="1"/>
  <c r="F896" i="1"/>
  <c r="E896" i="1"/>
  <c r="D896" i="1"/>
  <c r="C896" i="1"/>
  <c r="L895" i="1"/>
  <c r="H895" i="1"/>
  <c r="I895" i="1" s="1"/>
  <c r="F895" i="1"/>
  <c r="E895" i="1"/>
  <c r="D895" i="1"/>
  <c r="C895" i="1"/>
  <c r="L894" i="1"/>
  <c r="H894" i="1"/>
  <c r="I894" i="1" s="1"/>
  <c r="F894" i="1"/>
  <c r="E894" i="1"/>
  <c r="D894" i="1"/>
  <c r="C894" i="1"/>
  <c r="L893" i="1"/>
  <c r="H893" i="1"/>
  <c r="I893" i="1" s="1"/>
  <c r="F893" i="1"/>
  <c r="E893" i="1"/>
  <c r="D893" i="1"/>
  <c r="C893" i="1"/>
  <c r="L892" i="1"/>
  <c r="I892" i="1"/>
  <c r="H892" i="1"/>
  <c r="F892" i="1"/>
  <c r="E892" i="1"/>
  <c r="D892" i="1"/>
  <c r="C892" i="1"/>
  <c r="L891" i="1"/>
  <c r="H891" i="1"/>
  <c r="I891" i="1" s="1"/>
  <c r="F891" i="1"/>
  <c r="E891" i="1"/>
  <c r="D891" i="1"/>
  <c r="C891" i="1"/>
  <c r="L890" i="1"/>
  <c r="H890" i="1"/>
  <c r="I890" i="1" s="1"/>
  <c r="F890" i="1"/>
  <c r="E890" i="1"/>
  <c r="D890" i="1"/>
  <c r="C890" i="1"/>
  <c r="L889" i="1"/>
  <c r="I889" i="1"/>
  <c r="H889" i="1"/>
  <c r="F889" i="1"/>
  <c r="E889" i="1"/>
  <c r="D889" i="1"/>
  <c r="C889" i="1"/>
  <c r="L888" i="1"/>
  <c r="H888" i="1"/>
  <c r="I888" i="1" s="1"/>
  <c r="F888" i="1"/>
  <c r="E888" i="1"/>
  <c r="D888" i="1"/>
  <c r="C888" i="1"/>
  <c r="L887" i="1"/>
  <c r="H887" i="1"/>
  <c r="I887" i="1" s="1"/>
  <c r="F887" i="1"/>
  <c r="E887" i="1"/>
  <c r="D887" i="1"/>
  <c r="C887" i="1"/>
  <c r="L886" i="1"/>
  <c r="H886" i="1"/>
  <c r="I886" i="1" s="1"/>
  <c r="F886" i="1"/>
  <c r="E886" i="1"/>
  <c r="D886" i="1"/>
  <c r="C886" i="1"/>
  <c r="L885" i="1"/>
  <c r="H885" i="1"/>
  <c r="I885" i="1" s="1"/>
  <c r="F885" i="1"/>
  <c r="E885" i="1"/>
  <c r="D885" i="1"/>
  <c r="C885" i="1"/>
  <c r="L884" i="1"/>
  <c r="H884" i="1"/>
  <c r="I884" i="1" s="1"/>
  <c r="F884" i="1"/>
  <c r="E884" i="1"/>
  <c r="D884" i="1"/>
  <c r="C884" i="1"/>
  <c r="L883" i="1"/>
  <c r="H883" i="1"/>
  <c r="I883" i="1" s="1"/>
  <c r="F883" i="1"/>
  <c r="E883" i="1"/>
  <c r="D883" i="1"/>
  <c r="C883" i="1"/>
  <c r="L882" i="1"/>
  <c r="H882" i="1"/>
  <c r="I882" i="1" s="1"/>
  <c r="F882" i="1"/>
  <c r="E882" i="1"/>
  <c r="D882" i="1"/>
  <c r="C882" i="1"/>
  <c r="L881" i="1"/>
  <c r="H881" i="1"/>
  <c r="I881" i="1" s="1"/>
  <c r="F881" i="1"/>
  <c r="E881" i="1"/>
  <c r="D881" i="1"/>
  <c r="C881" i="1"/>
  <c r="L880" i="1"/>
  <c r="H880" i="1"/>
  <c r="I880" i="1" s="1"/>
  <c r="F880" i="1"/>
  <c r="E880" i="1"/>
  <c r="D880" i="1"/>
  <c r="C880" i="1"/>
  <c r="L879" i="1"/>
  <c r="H879" i="1"/>
  <c r="I879" i="1" s="1"/>
  <c r="F879" i="1"/>
  <c r="E879" i="1"/>
  <c r="D879" i="1"/>
  <c r="C879" i="1"/>
  <c r="L878" i="1"/>
  <c r="H878" i="1"/>
  <c r="I878" i="1" s="1"/>
  <c r="F878" i="1"/>
  <c r="E878" i="1"/>
  <c r="D878" i="1"/>
  <c r="C878" i="1"/>
  <c r="L877" i="1"/>
  <c r="H877" i="1"/>
  <c r="I877" i="1" s="1"/>
  <c r="F877" i="1"/>
  <c r="E877" i="1"/>
  <c r="D877" i="1"/>
  <c r="C877" i="1"/>
  <c r="L876" i="1"/>
  <c r="H876" i="1"/>
  <c r="I876" i="1" s="1"/>
  <c r="F876" i="1"/>
  <c r="E876" i="1"/>
  <c r="D876" i="1"/>
  <c r="C876" i="1"/>
  <c r="L875" i="1"/>
  <c r="H875" i="1"/>
  <c r="I875" i="1" s="1"/>
  <c r="F875" i="1"/>
  <c r="E875" i="1"/>
  <c r="D875" i="1"/>
  <c r="C875" i="1"/>
  <c r="L874" i="1"/>
  <c r="H874" i="1"/>
  <c r="I874" i="1" s="1"/>
  <c r="F874" i="1"/>
  <c r="E874" i="1"/>
  <c r="D874" i="1"/>
  <c r="C874" i="1"/>
  <c r="L873" i="1"/>
  <c r="H873" i="1"/>
  <c r="I873" i="1" s="1"/>
  <c r="F873" i="1"/>
  <c r="E873" i="1"/>
  <c r="D873" i="1"/>
  <c r="C873" i="1"/>
  <c r="L872" i="1"/>
  <c r="H872" i="1"/>
  <c r="I872" i="1" s="1"/>
  <c r="F872" i="1"/>
  <c r="E872" i="1"/>
  <c r="D872" i="1"/>
  <c r="C872" i="1"/>
  <c r="L871" i="1"/>
  <c r="H871" i="1"/>
  <c r="I871" i="1" s="1"/>
  <c r="F871" i="1"/>
  <c r="E871" i="1"/>
  <c r="D871" i="1"/>
  <c r="C871" i="1"/>
  <c r="L870" i="1"/>
  <c r="H870" i="1"/>
  <c r="I870" i="1" s="1"/>
  <c r="F870" i="1"/>
  <c r="E870" i="1"/>
  <c r="D870" i="1"/>
  <c r="C870" i="1"/>
  <c r="L869" i="1"/>
  <c r="H869" i="1"/>
  <c r="I869" i="1" s="1"/>
  <c r="F869" i="1"/>
  <c r="E869" i="1"/>
  <c r="D869" i="1"/>
  <c r="C869" i="1"/>
  <c r="L868" i="1"/>
  <c r="H868" i="1"/>
  <c r="I868" i="1" s="1"/>
  <c r="F868" i="1"/>
  <c r="E868" i="1"/>
  <c r="D868" i="1"/>
  <c r="C868" i="1"/>
  <c r="L867" i="1"/>
  <c r="H867" i="1"/>
  <c r="I867" i="1" s="1"/>
  <c r="F867" i="1"/>
  <c r="E867" i="1"/>
  <c r="D867" i="1"/>
  <c r="C867" i="1"/>
  <c r="L866" i="1"/>
  <c r="H866" i="1"/>
  <c r="I866" i="1" s="1"/>
  <c r="F866" i="1"/>
  <c r="E866" i="1"/>
  <c r="D866" i="1"/>
  <c r="C866" i="1"/>
  <c r="L865" i="1"/>
  <c r="H865" i="1"/>
  <c r="I865" i="1" s="1"/>
  <c r="F865" i="1"/>
  <c r="E865" i="1"/>
  <c r="D865" i="1"/>
  <c r="C865" i="1"/>
  <c r="L864" i="1"/>
  <c r="H864" i="1"/>
  <c r="I864" i="1" s="1"/>
  <c r="F864" i="1"/>
  <c r="E864" i="1"/>
  <c r="D864" i="1"/>
  <c r="C864" i="1"/>
  <c r="L863" i="1"/>
  <c r="H863" i="1"/>
  <c r="I863" i="1" s="1"/>
  <c r="F863" i="1"/>
  <c r="E863" i="1"/>
  <c r="D863" i="1"/>
  <c r="C863" i="1"/>
  <c r="L862" i="1"/>
  <c r="H862" i="1"/>
  <c r="I862" i="1" s="1"/>
  <c r="F862" i="1"/>
  <c r="E862" i="1"/>
  <c r="D862" i="1"/>
  <c r="C862" i="1"/>
  <c r="L861" i="1"/>
  <c r="H861" i="1"/>
  <c r="I861" i="1" s="1"/>
  <c r="F861" i="1"/>
  <c r="E861" i="1"/>
  <c r="D861" i="1"/>
  <c r="C861" i="1"/>
  <c r="L860" i="1"/>
  <c r="H860" i="1"/>
  <c r="I860" i="1" s="1"/>
  <c r="F860" i="1"/>
  <c r="E860" i="1"/>
  <c r="D860" i="1"/>
  <c r="C860" i="1"/>
  <c r="L859" i="1"/>
  <c r="H859" i="1"/>
  <c r="I859" i="1" s="1"/>
  <c r="F859" i="1"/>
  <c r="E859" i="1"/>
  <c r="D859" i="1"/>
  <c r="C859" i="1"/>
  <c r="L858" i="1"/>
  <c r="I858" i="1"/>
  <c r="H858" i="1"/>
  <c r="F858" i="1"/>
  <c r="E858" i="1"/>
  <c r="D858" i="1"/>
  <c r="C858" i="1"/>
  <c r="L857" i="1"/>
  <c r="I857" i="1"/>
  <c r="H857" i="1"/>
  <c r="F857" i="1"/>
  <c r="E857" i="1"/>
  <c r="D857" i="1"/>
  <c r="C857" i="1"/>
  <c r="L856" i="1"/>
  <c r="H856" i="1"/>
  <c r="I856" i="1" s="1"/>
  <c r="F856" i="1"/>
  <c r="E856" i="1"/>
  <c r="D856" i="1"/>
  <c r="C856" i="1"/>
  <c r="L855" i="1"/>
  <c r="H855" i="1"/>
  <c r="I855" i="1" s="1"/>
  <c r="F855" i="1"/>
  <c r="E855" i="1"/>
  <c r="D855" i="1"/>
  <c r="C855" i="1"/>
  <c r="L854" i="1"/>
  <c r="H854" i="1"/>
  <c r="I854" i="1" s="1"/>
  <c r="F854" i="1"/>
  <c r="E854" i="1"/>
  <c r="D854" i="1"/>
  <c r="C854" i="1"/>
  <c r="L853" i="1"/>
  <c r="H853" i="1"/>
  <c r="I853" i="1" s="1"/>
  <c r="F853" i="1"/>
  <c r="E853" i="1"/>
  <c r="D853" i="1"/>
  <c r="C853" i="1"/>
  <c r="L852" i="1"/>
  <c r="H852" i="1"/>
  <c r="I852" i="1" s="1"/>
  <c r="F852" i="1"/>
  <c r="E852" i="1"/>
  <c r="D852" i="1"/>
  <c r="C852" i="1"/>
  <c r="L851" i="1"/>
  <c r="H851" i="1"/>
  <c r="I851" i="1" s="1"/>
  <c r="F851" i="1"/>
  <c r="E851" i="1"/>
  <c r="D851" i="1"/>
  <c r="C851" i="1"/>
  <c r="L850" i="1"/>
  <c r="H850" i="1"/>
  <c r="I850" i="1" s="1"/>
  <c r="F850" i="1"/>
  <c r="E850" i="1"/>
  <c r="D850" i="1"/>
  <c r="C850" i="1"/>
  <c r="L849" i="1"/>
  <c r="H849" i="1"/>
  <c r="I849" i="1" s="1"/>
  <c r="F849" i="1"/>
  <c r="E849" i="1"/>
  <c r="D849" i="1"/>
  <c r="C849" i="1"/>
  <c r="L848" i="1"/>
  <c r="H848" i="1"/>
  <c r="I848" i="1" s="1"/>
  <c r="F848" i="1"/>
  <c r="E848" i="1"/>
  <c r="D848" i="1"/>
  <c r="C848" i="1"/>
  <c r="L847" i="1"/>
  <c r="H847" i="1"/>
  <c r="I847" i="1" s="1"/>
  <c r="F847" i="1"/>
  <c r="E847" i="1"/>
  <c r="D847" i="1"/>
  <c r="C847" i="1"/>
  <c r="L846" i="1"/>
  <c r="H846" i="1"/>
  <c r="I846" i="1" s="1"/>
  <c r="F846" i="1"/>
  <c r="E846" i="1"/>
  <c r="D846" i="1"/>
  <c r="C846" i="1"/>
  <c r="L845" i="1"/>
  <c r="H845" i="1"/>
  <c r="I845" i="1" s="1"/>
  <c r="F845" i="1"/>
  <c r="E845" i="1"/>
  <c r="D845" i="1"/>
  <c r="C845" i="1"/>
  <c r="L844" i="1"/>
  <c r="H844" i="1"/>
  <c r="I844" i="1" s="1"/>
  <c r="F844" i="1"/>
  <c r="E844" i="1"/>
  <c r="D844" i="1"/>
  <c r="C844" i="1"/>
  <c r="L843" i="1"/>
  <c r="H843" i="1"/>
  <c r="I843" i="1" s="1"/>
  <c r="F843" i="1"/>
  <c r="E843" i="1"/>
  <c r="D843" i="1"/>
  <c r="C843" i="1"/>
  <c r="L842" i="1"/>
  <c r="H842" i="1"/>
  <c r="I842" i="1" s="1"/>
  <c r="F842" i="1"/>
  <c r="E842" i="1"/>
  <c r="D842" i="1"/>
  <c r="C842" i="1"/>
  <c r="L841" i="1"/>
  <c r="H841" i="1"/>
  <c r="I841" i="1" s="1"/>
  <c r="F841" i="1"/>
  <c r="E841" i="1"/>
  <c r="D841" i="1"/>
  <c r="C841" i="1"/>
  <c r="L840" i="1"/>
  <c r="H840" i="1"/>
  <c r="I840" i="1" s="1"/>
  <c r="F840" i="1"/>
  <c r="E840" i="1"/>
  <c r="D840" i="1"/>
  <c r="C840" i="1"/>
  <c r="L839" i="1"/>
  <c r="H839" i="1"/>
  <c r="I839" i="1" s="1"/>
  <c r="F839" i="1"/>
  <c r="E839" i="1"/>
  <c r="D839" i="1"/>
  <c r="C839" i="1"/>
  <c r="L838" i="1"/>
  <c r="H838" i="1"/>
  <c r="I838" i="1" s="1"/>
  <c r="F838" i="1"/>
  <c r="E838" i="1"/>
  <c r="D838" i="1"/>
  <c r="C838" i="1"/>
  <c r="L837" i="1"/>
  <c r="H837" i="1"/>
  <c r="I837" i="1" s="1"/>
  <c r="F837" i="1"/>
  <c r="E837" i="1"/>
  <c r="D837" i="1"/>
  <c r="C837" i="1"/>
  <c r="L836" i="1"/>
  <c r="H836" i="1"/>
  <c r="I836" i="1" s="1"/>
  <c r="F836" i="1"/>
  <c r="E836" i="1"/>
  <c r="D836" i="1"/>
  <c r="C836" i="1"/>
  <c r="L835" i="1"/>
  <c r="I835" i="1"/>
  <c r="H835" i="1"/>
  <c r="F835" i="1"/>
  <c r="E835" i="1"/>
  <c r="D835" i="1"/>
  <c r="C835" i="1"/>
  <c r="L834" i="1"/>
  <c r="H834" i="1"/>
  <c r="I834" i="1" s="1"/>
  <c r="F834" i="1"/>
  <c r="E834" i="1"/>
  <c r="D834" i="1"/>
  <c r="C834" i="1"/>
  <c r="L833" i="1"/>
  <c r="H833" i="1"/>
  <c r="I833" i="1" s="1"/>
  <c r="F833" i="1"/>
  <c r="E833" i="1"/>
  <c r="D833" i="1"/>
  <c r="C833" i="1"/>
  <c r="L832" i="1"/>
  <c r="I832" i="1"/>
  <c r="H832" i="1"/>
  <c r="F832" i="1"/>
  <c r="E832" i="1"/>
  <c r="D832" i="1"/>
  <c r="C832" i="1"/>
  <c r="L831" i="1"/>
  <c r="H831" i="1"/>
  <c r="I831" i="1" s="1"/>
  <c r="F831" i="1"/>
  <c r="E831" i="1"/>
  <c r="D831" i="1"/>
  <c r="C831" i="1"/>
  <c r="L830" i="1"/>
  <c r="H830" i="1"/>
  <c r="I830" i="1" s="1"/>
  <c r="F830" i="1"/>
  <c r="E830" i="1"/>
  <c r="D830" i="1"/>
  <c r="C830" i="1"/>
  <c r="L829" i="1"/>
  <c r="H829" i="1"/>
  <c r="I829" i="1" s="1"/>
  <c r="F829" i="1"/>
  <c r="E829" i="1"/>
  <c r="D829" i="1"/>
  <c r="C829" i="1"/>
  <c r="L828" i="1"/>
  <c r="H828" i="1"/>
  <c r="I828" i="1" s="1"/>
  <c r="F828" i="1"/>
  <c r="E828" i="1"/>
  <c r="D828" i="1"/>
  <c r="C828" i="1"/>
  <c r="L827" i="1"/>
  <c r="H827" i="1"/>
  <c r="I827" i="1" s="1"/>
  <c r="F827" i="1"/>
  <c r="E827" i="1"/>
  <c r="D827" i="1"/>
  <c r="C827" i="1"/>
  <c r="L826" i="1"/>
  <c r="H826" i="1"/>
  <c r="I826" i="1" s="1"/>
  <c r="F826" i="1"/>
  <c r="E826" i="1"/>
  <c r="D826" i="1"/>
  <c r="C826" i="1"/>
  <c r="L825" i="1"/>
  <c r="I825" i="1"/>
  <c r="H825" i="1"/>
  <c r="F825" i="1"/>
  <c r="E825" i="1"/>
  <c r="D825" i="1"/>
  <c r="C825" i="1"/>
  <c r="L824" i="1"/>
  <c r="H824" i="1"/>
  <c r="I824" i="1" s="1"/>
  <c r="F824" i="1"/>
  <c r="E824" i="1"/>
  <c r="D824" i="1"/>
  <c r="C824" i="1"/>
  <c r="L823" i="1"/>
  <c r="H823" i="1"/>
  <c r="I823" i="1" s="1"/>
  <c r="F823" i="1"/>
  <c r="E823" i="1"/>
  <c r="D823" i="1"/>
  <c r="C823" i="1"/>
  <c r="L822" i="1"/>
  <c r="H822" i="1"/>
  <c r="I822" i="1" s="1"/>
  <c r="F822" i="1"/>
  <c r="E822" i="1"/>
  <c r="D822" i="1"/>
  <c r="C822" i="1"/>
  <c r="L821" i="1"/>
  <c r="H821" i="1"/>
  <c r="I821" i="1" s="1"/>
  <c r="F821" i="1"/>
  <c r="E821" i="1"/>
  <c r="D821" i="1"/>
  <c r="C821" i="1"/>
  <c r="L820" i="1"/>
  <c r="H820" i="1"/>
  <c r="I820" i="1" s="1"/>
  <c r="F820" i="1"/>
  <c r="E820" i="1"/>
  <c r="D820" i="1"/>
  <c r="C820" i="1"/>
  <c r="L819" i="1"/>
  <c r="H819" i="1"/>
  <c r="I819" i="1" s="1"/>
  <c r="F819" i="1"/>
  <c r="E819" i="1"/>
  <c r="D819" i="1"/>
  <c r="C819" i="1"/>
  <c r="L818" i="1"/>
  <c r="H818" i="1"/>
  <c r="I818" i="1" s="1"/>
  <c r="F818" i="1"/>
  <c r="E818" i="1"/>
  <c r="D818" i="1"/>
  <c r="C818" i="1"/>
  <c r="L817" i="1"/>
  <c r="H817" i="1"/>
  <c r="I817" i="1" s="1"/>
  <c r="F817" i="1"/>
  <c r="E817" i="1"/>
  <c r="D817" i="1"/>
  <c r="C817" i="1"/>
  <c r="L816" i="1"/>
  <c r="H816" i="1"/>
  <c r="I816" i="1" s="1"/>
  <c r="F816" i="1"/>
  <c r="E816" i="1"/>
  <c r="D816" i="1"/>
  <c r="C816" i="1"/>
  <c r="L815" i="1"/>
  <c r="H815" i="1"/>
  <c r="I815" i="1" s="1"/>
  <c r="F815" i="1"/>
  <c r="E815" i="1"/>
  <c r="D815" i="1"/>
  <c r="C815" i="1"/>
  <c r="L814" i="1"/>
  <c r="H814" i="1"/>
  <c r="I814" i="1" s="1"/>
  <c r="F814" i="1"/>
  <c r="E814" i="1"/>
  <c r="D814" i="1"/>
  <c r="C814" i="1"/>
  <c r="L813" i="1"/>
  <c r="H813" i="1"/>
  <c r="I813" i="1" s="1"/>
  <c r="F813" i="1"/>
  <c r="E813" i="1"/>
  <c r="D813" i="1"/>
  <c r="C813" i="1"/>
  <c r="L812" i="1"/>
  <c r="H812" i="1"/>
  <c r="I812" i="1" s="1"/>
  <c r="F812" i="1"/>
  <c r="E812" i="1"/>
  <c r="D812" i="1"/>
  <c r="C812" i="1"/>
  <c r="L811" i="1"/>
  <c r="H811" i="1"/>
  <c r="I811" i="1" s="1"/>
  <c r="F811" i="1"/>
  <c r="E811" i="1"/>
  <c r="D811" i="1"/>
  <c r="C811" i="1"/>
  <c r="L810" i="1"/>
  <c r="H810" i="1"/>
  <c r="I810" i="1" s="1"/>
  <c r="F810" i="1"/>
  <c r="E810" i="1"/>
  <c r="D810" i="1"/>
  <c r="C810" i="1"/>
  <c r="L809" i="1"/>
  <c r="H809" i="1"/>
  <c r="I809" i="1" s="1"/>
  <c r="F809" i="1"/>
  <c r="E809" i="1"/>
  <c r="D809" i="1"/>
  <c r="C809" i="1"/>
  <c r="L808" i="1"/>
  <c r="H808" i="1"/>
  <c r="I808" i="1" s="1"/>
  <c r="F808" i="1"/>
  <c r="E808" i="1"/>
  <c r="D808" i="1"/>
  <c r="C808" i="1"/>
  <c r="L807" i="1"/>
  <c r="H807" i="1"/>
  <c r="I807" i="1" s="1"/>
  <c r="F807" i="1"/>
  <c r="E807" i="1"/>
  <c r="D807" i="1"/>
  <c r="C807" i="1"/>
  <c r="L806" i="1"/>
  <c r="H806" i="1"/>
  <c r="I806" i="1" s="1"/>
  <c r="F806" i="1"/>
  <c r="E806" i="1"/>
  <c r="D806" i="1"/>
  <c r="C806" i="1"/>
  <c r="L805" i="1"/>
  <c r="H805" i="1"/>
  <c r="I805" i="1" s="1"/>
  <c r="F805" i="1"/>
  <c r="E805" i="1"/>
  <c r="D805" i="1"/>
  <c r="C805" i="1"/>
  <c r="L804" i="1"/>
  <c r="H804" i="1"/>
  <c r="I804" i="1" s="1"/>
  <c r="F804" i="1"/>
  <c r="E804" i="1"/>
  <c r="D804" i="1"/>
  <c r="C804" i="1"/>
  <c r="L803" i="1"/>
  <c r="I803" i="1"/>
  <c r="H803" i="1"/>
  <c r="F803" i="1"/>
  <c r="E803" i="1"/>
  <c r="D803" i="1"/>
  <c r="C803" i="1"/>
  <c r="L802" i="1"/>
  <c r="H802" i="1"/>
  <c r="I802" i="1" s="1"/>
  <c r="F802" i="1"/>
  <c r="E802" i="1"/>
  <c r="D802" i="1"/>
  <c r="C802" i="1"/>
  <c r="L801" i="1"/>
  <c r="H801" i="1"/>
  <c r="I801" i="1" s="1"/>
  <c r="F801" i="1"/>
  <c r="E801" i="1"/>
  <c r="D801" i="1"/>
  <c r="C801" i="1"/>
  <c r="L800" i="1"/>
  <c r="H800" i="1"/>
  <c r="I800" i="1" s="1"/>
  <c r="F800" i="1"/>
  <c r="E800" i="1"/>
  <c r="D800" i="1"/>
  <c r="C800" i="1"/>
  <c r="L799" i="1"/>
  <c r="H799" i="1"/>
  <c r="I799" i="1" s="1"/>
  <c r="F799" i="1"/>
  <c r="E799" i="1"/>
  <c r="D799" i="1"/>
  <c r="C799" i="1"/>
  <c r="L798" i="1"/>
  <c r="H798" i="1"/>
  <c r="I798" i="1" s="1"/>
  <c r="F798" i="1"/>
  <c r="E798" i="1"/>
  <c r="D798" i="1"/>
  <c r="C798" i="1"/>
  <c r="L797" i="1"/>
  <c r="H797" i="1"/>
  <c r="I797" i="1" s="1"/>
  <c r="F797" i="1"/>
  <c r="E797" i="1"/>
  <c r="D797" i="1"/>
  <c r="C797" i="1"/>
  <c r="L796" i="1"/>
  <c r="H796" i="1"/>
  <c r="I796" i="1" s="1"/>
  <c r="F796" i="1"/>
  <c r="E796" i="1"/>
  <c r="D796" i="1"/>
  <c r="C796" i="1"/>
  <c r="L795" i="1"/>
  <c r="H795" i="1"/>
  <c r="I795" i="1" s="1"/>
  <c r="F795" i="1"/>
  <c r="E795" i="1"/>
  <c r="D795" i="1"/>
  <c r="C795" i="1"/>
  <c r="L794" i="1"/>
  <c r="H794" i="1"/>
  <c r="I794" i="1" s="1"/>
  <c r="F794" i="1"/>
  <c r="E794" i="1"/>
  <c r="D794" i="1"/>
  <c r="C794" i="1"/>
  <c r="L793" i="1"/>
  <c r="H793" i="1"/>
  <c r="I793" i="1" s="1"/>
  <c r="F793" i="1"/>
  <c r="E793" i="1"/>
  <c r="D793" i="1"/>
  <c r="C793" i="1"/>
  <c r="L792" i="1"/>
  <c r="H792" i="1"/>
  <c r="I792" i="1" s="1"/>
  <c r="F792" i="1"/>
  <c r="E792" i="1"/>
  <c r="D792" i="1"/>
  <c r="C792" i="1"/>
  <c r="L791" i="1"/>
  <c r="I791" i="1"/>
  <c r="K791" i="1" s="1"/>
  <c r="H791" i="1"/>
  <c r="F791" i="1"/>
  <c r="E791" i="1"/>
  <c r="D791" i="1"/>
  <c r="C791" i="1"/>
  <c r="L790" i="1"/>
  <c r="H790" i="1"/>
  <c r="I790" i="1" s="1"/>
  <c r="F790" i="1"/>
  <c r="E790" i="1"/>
  <c r="D790" i="1"/>
  <c r="C790" i="1"/>
  <c r="L789" i="1"/>
  <c r="H789" i="1"/>
  <c r="I789" i="1" s="1"/>
  <c r="F789" i="1"/>
  <c r="E789" i="1"/>
  <c r="D789" i="1"/>
  <c r="C789" i="1"/>
  <c r="L788" i="1"/>
  <c r="H788" i="1"/>
  <c r="I788" i="1" s="1"/>
  <c r="F788" i="1"/>
  <c r="E788" i="1"/>
  <c r="D788" i="1"/>
  <c r="C788" i="1"/>
  <c r="L787" i="1"/>
  <c r="H787" i="1"/>
  <c r="I787" i="1" s="1"/>
  <c r="F787" i="1"/>
  <c r="E787" i="1"/>
  <c r="D787" i="1"/>
  <c r="C787" i="1"/>
  <c r="L786" i="1"/>
  <c r="H786" i="1"/>
  <c r="I786" i="1" s="1"/>
  <c r="F786" i="1"/>
  <c r="E786" i="1"/>
  <c r="D786" i="1"/>
  <c r="C786" i="1"/>
  <c r="L785" i="1"/>
  <c r="H785" i="1"/>
  <c r="I785" i="1" s="1"/>
  <c r="F785" i="1"/>
  <c r="E785" i="1"/>
  <c r="D785" i="1"/>
  <c r="C785" i="1"/>
  <c r="L784" i="1"/>
  <c r="H784" i="1"/>
  <c r="I784" i="1" s="1"/>
  <c r="F784" i="1"/>
  <c r="E784" i="1"/>
  <c r="D784" i="1"/>
  <c r="C784" i="1"/>
  <c r="L783" i="1"/>
  <c r="H783" i="1"/>
  <c r="I783" i="1" s="1"/>
  <c r="F783" i="1"/>
  <c r="E783" i="1"/>
  <c r="D783" i="1"/>
  <c r="C783" i="1"/>
  <c r="L782" i="1"/>
  <c r="H782" i="1"/>
  <c r="I782" i="1" s="1"/>
  <c r="F782" i="1"/>
  <c r="E782" i="1"/>
  <c r="D782" i="1"/>
  <c r="C782" i="1"/>
  <c r="L781" i="1"/>
  <c r="I781" i="1"/>
  <c r="H781" i="1"/>
  <c r="F781" i="1"/>
  <c r="E781" i="1"/>
  <c r="D781" i="1"/>
  <c r="C781" i="1"/>
  <c r="L780" i="1"/>
  <c r="H780" i="1"/>
  <c r="I780" i="1" s="1"/>
  <c r="K780" i="1" s="1"/>
  <c r="F780" i="1"/>
  <c r="E780" i="1"/>
  <c r="D780" i="1"/>
  <c r="C780" i="1"/>
  <c r="L779" i="1"/>
  <c r="H779" i="1"/>
  <c r="I779" i="1" s="1"/>
  <c r="F779" i="1"/>
  <c r="E779" i="1"/>
  <c r="D779" i="1"/>
  <c r="C779" i="1"/>
  <c r="L778" i="1"/>
  <c r="H778" i="1"/>
  <c r="I778" i="1" s="1"/>
  <c r="F778" i="1"/>
  <c r="E778" i="1"/>
  <c r="D778" i="1"/>
  <c r="C778" i="1"/>
  <c r="L777" i="1"/>
  <c r="H777" i="1"/>
  <c r="I777" i="1" s="1"/>
  <c r="F777" i="1"/>
  <c r="E777" i="1"/>
  <c r="D777" i="1"/>
  <c r="C777" i="1"/>
  <c r="L776" i="1"/>
  <c r="H776" i="1"/>
  <c r="I776" i="1" s="1"/>
  <c r="F776" i="1"/>
  <c r="E776" i="1"/>
  <c r="D776" i="1"/>
  <c r="C776" i="1"/>
  <c r="L775" i="1"/>
  <c r="H775" i="1"/>
  <c r="I775" i="1" s="1"/>
  <c r="F775" i="1"/>
  <c r="E775" i="1"/>
  <c r="D775" i="1"/>
  <c r="C775" i="1"/>
  <c r="L774" i="1"/>
  <c r="H774" i="1"/>
  <c r="I774" i="1" s="1"/>
  <c r="F774" i="1"/>
  <c r="E774" i="1"/>
  <c r="D774" i="1"/>
  <c r="C774" i="1"/>
  <c r="L773" i="1"/>
  <c r="I773" i="1"/>
  <c r="H773" i="1"/>
  <c r="F773" i="1"/>
  <c r="E773" i="1"/>
  <c r="D773" i="1"/>
  <c r="C773" i="1"/>
  <c r="L772" i="1"/>
  <c r="I772" i="1"/>
  <c r="H772" i="1"/>
  <c r="F772" i="1"/>
  <c r="E772" i="1"/>
  <c r="D772" i="1"/>
  <c r="C772" i="1"/>
  <c r="L771" i="1"/>
  <c r="I771" i="1"/>
  <c r="H771" i="1"/>
  <c r="F771" i="1"/>
  <c r="E771" i="1"/>
  <c r="D771" i="1"/>
  <c r="C771" i="1"/>
  <c r="L770" i="1"/>
  <c r="H770" i="1"/>
  <c r="I770" i="1" s="1"/>
  <c r="F770" i="1"/>
  <c r="E770" i="1"/>
  <c r="D770" i="1"/>
  <c r="C770" i="1"/>
  <c r="L769" i="1"/>
  <c r="H769" i="1"/>
  <c r="I769" i="1" s="1"/>
  <c r="F769" i="1"/>
  <c r="E769" i="1"/>
  <c r="D769" i="1"/>
  <c r="C769" i="1"/>
  <c r="L768" i="1"/>
  <c r="H768" i="1"/>
  <c r="I768" i="1" s="1"/>
  <c r="F768" i="1"/>
  <c r="E768" i="1"/>
  <c r="D768" i="1"/>
  <c r="C768" i="1"/>
  <c r="L767" i="1"/>
  <c r="H767" i="1"/>
  <c r="I767" i="1" s="1"/>
  <c r="F767" i="1"/>
  <c r="E767" i="1"/>
  <c r="D767" i="1"/>
  <c r="C767" i="1"/>
  <c r="L766" i="1"/>
  <c r="H766" i="1"/>
  <c r="I766" i="1" s="1"/>
  <c r="F766" i="1"/>
  <c r="E766" i="1"/>
  <c r="D766" i="1"/>
  <c r="C766" i="1"/>
  <c r="L765" i="1"/>
  <c r="H765" i="1"/>
  <c r="I765" i="1" s="1"/>
  <c r="F765" i="1"/>
  <c r="E765" i="1"/>
  <c r="D765" i="1"/>
  <c r="C765" i="1"/>
  <c r="L764" i="1"/>
  <c r="H764" i="1"/>
  <c r="I764" i="1" s="1"/>
  <c r="F764" i="1"/>
  <c r="E764" i="1"/>
  <c r="D764" i="1"/>
  <c r="C764" i="1"/>
  <c r="L763" i="1"/>
  <c r="H763" i="1"/>
  <c r="I763" i="1" s="1"/>
  <c r="F763" i="1"/>
  <c r="E763" i="1"/>
  <c r="D763" i="1"/>
  <c r="C763" i="1"/>
  <c r="L762" i="1"/>
  <c r="H762" i="1"/>
  <c r="I762" i="1" s="1"/>
  <c r="F762" i="1"/>
  <c r="E762" i="1"/>
  <c r="D762" i="1"/>
  <c r="C762" i="1"/>
  <c r="L761" i="1"/>
  <c r="H761" i="1"/>
  <c r="I761" i="1" s="1"/>
  <c r="F761" i="1"/>
  <c r="E761" i="1"/>
  <c r="D761" i="1"/>
  <c r="C761" i="1"/>
  <c r="L760" i="1"/>
  <c r="H760" i="1"/>
  <c r="I760" i="1" s="1"/>
  <c r="F760" i="1"/>
  <c r="E760" i="1"/>
  <c r="D760" i="1"/>
  <c r="C760" i="1"/>
  <c r="L759" i="1"/>
  <c r="H759" i="1"/>
  <c r="I759" i="1" s="1"/>
  <c r="F759" i="1"/>
  <c r="E759" i="1"/>
  <c r="D759" i="1"/>
  <c r="C759" i="1"/>
  <c r="L758" i="1"/>
  <c r="H758" i="1"/>
  <c r="I758" i="1" s="1"/>
  <c r="F758" i="1"/>
  <c r="E758" i="1"/>
  <c r="D758" i="1"/>
  <c r="C758" i="1"/>
  <c r="L757" i="1"/>
  <c r="H757" i="1"/>
  <c r="I757" i="1" s="1"/>
  <c r="F757" i="1"/>
  <c r="E757" i="1"/>
  <c r="D757" i="1"/>
  <c r="C757" i="1"/>
  <c r="L756" i="1"/>
  <c r="H756" i="1"/>
  <c r="I756" i="1" s="1"/>
  <c r="F756" i="1"/>
  <c r="E756" i="1"/>
  <c r="D756" i="1"/>
  <c r="C756" i="1"/>
  <c r="L755" i="1"/>
  <c r="H755" i="1"/>
  <c r="I755" i="1" s="1"/>
  <c r="F755" i="1"/>
  <c r="E755" i="1"/>
  <c r="D755" i="1"/>
  <c r="C755" i="1"/>
  <c r="L754" i="1"/>
  <c r="H754" i="1"/>
  <c r="I754" i="1" s="1"/>
  <c r="F754" i="1"/>
  <c r="E754" i="1"/>
  <c r="D754" i="1"/>
  <c r="C754" i="1"/>
  <c r="L753" i="1"/>
  <c r="H753" i="1"/>
  <c r="I753" i="1" s="1"/>
  <c r="F753" i="1"/>
  <c r="E753" i="1"/>
  <c r="D753" i="1"/>
  <c r="C753" i="1"/>
  <c r="L752" i="1"/>
  <c r="H752" i="1"/>
  <c r="I752" i="1" s="1"/>
  <c r="F752" i="1"/>
  <c r="E752" i="1"/>
  <c r="D752" i="1"/>
  <c r="C752" i="1"/>
  <c r="L751" i="1"/>
  <c r="H751" i="1"/>
  <c r="I751" i="1" s="1"/>
  <c r="F751" i="1"/>
  <c r="E751" i="1"/>
  <c r="D751" i="1"/>
  <c r="C751" i="1"/>
  <c r="L750" i="1"/>
  <c r="I750" i="1"/>
  <c r="H750" i="1"/>
  <c r="F750" i="1"/>
  <c r="E750" i="1"/>
  <c r="D750" i="1"/>
  <c r="C750" i="1"/>
  <c r="L749" i="1"/>
  <c r="I749" i="1"/>
  <c r="H749" i="1"/>
  <c r="F749" i="1"/>
  <c r="E749" i="1"/>
  <c r="D749" i="1"/>
  <c r="C749" i="1"/>
  <c r="L748" i="1"/>
  <c r="I748" i="1"/>
  <c r="H748" i="1"/>
  <c r="F748" i="1"/>
  <c r="E748" i="1"/>
  <c r="D748" i="1"/>
  <c r="C748" i="1"/>
  <c r="L747" i="1"/>
  <c r="I747" i="1"/>
  <c r="H747" i="1"/>
  <c r="F747" i="1"/>
  <c r="E747" i="1"/>
  <c r="D747" i="1"/>
  <c r="C747" i="1"/>
  <c r="L746" i="1"/>
  <c r="H746" i="1"/>
  <c r="I746" i="1" s="1"/>
  <c r="F746" i="1"/>
  <c r="E746" i="1"/>
  <c r="D746" i="1"/>
  <c r="C746" i="1"/>
  <c r="L745" i="1"/>
  <c r="H745" i="1"/>
  <c r="I745" i="1" s="1"/>
  <c r="F745" i="1"/>
  <c r="E745" i="1"/>
  <c r="D745" i="1"/>
  <c r="C745" i="1"/>
  <c r="L744" i="1"/>
  <c r="H744" i="1"/>
  <c r="I744" i="1" s="1"/>
  <c r="F744" i="1"/>
  <c r="E744" i="1"/>
  <c r="D744" i="1"/>
  <c r="C744" i="1"/>
  <c r="L743" i="1"/>
  <c r="H743" i="1"/>
  <c r="I743" i="1" s="1"/>
  <c r="F743" i="1"/>
  <c r="E743" i="1"/>
  <c r="D743" i="1"/>
  <c r="C743" i="1"/>
  <c r="L742" i="1"/>
  <c r="H742" i="1"/>
  <c r="I742" i="1" s="1"/>
  <c r="F742" i="1"/>
  <c r="E742" i="1"/>
  <c r="D742" i="1"/>
  <c r="C742" i="1"/>
  <c r="L741" i="1"/>
  <c r="H741" i="1"/>
  <c r="I741" i="1" s="1"/>
  <c r="F741" i="1"/>
  <c r="E741" i="1"/>
  <c r="D741" i="1"/>
  <c r="C741" i="1"/>
  <c r="L740" i="1"/>
  <c r="I740" i="1"/>
  <c r="H740" i="1"/>
  <c r="F740" i="1"/>
  <c r="E740" i="1"/>
  <c r="D740" i="1"/>
  <c r="C740" i="1"/>
  <c r="L739" i="1"/>
  <c r="H739" i="1"/>
  <c r="I739" i="1" s="1"/>
  <c r="F739" i="1"/>
  <c r="E739" i="1"/>
  <c r="D739" i="1"/>
  <c r="C739" i="1"/>
  <c r="L738" i="1"/>
  <c r="H738" i="1"/>
  <c r="I738" i="1" s="1"/>
  <c r="F738" i="1"/>
  <c r="E738" i="1"/>
  <c r="D738" i="1"/>
  <c r="C738" i="1"/>
  <c r="L737" i="1"/>
  <c r="H737" i="1"/>
  <c r="I737" i="1" s="1"/>
  <c r="F737" i="1"/>
  <c r="E737" i="1"/>
  <c r="D737" i="1"/>
  <c r="C737" i="1"/>
  <c r="L736" i="1"/>
  <c r="I736" i="1"/>
  <c r="H736" i="1"/>
  <c r="F736" i="1"/>
  <c r="E736" i="1"/>
  <c r="D736" i="1"/>
  <c r="C736" i="1"/>
  <c r="L735" i="1"/>
  <c r="H735" i="1"/>
  <c r="I735" i="1" s="1"/>
  <c r="F735" i="1"/>
  <c r="E735" i="1"/>
  <c r="D735" i="1"/>
  <c r="C735" i="1"/>
  <c r="L734" i="1"/>
  <c r="H734" i="1"/>
  <c r="I734" i="1" s="1"/>
  <c r="F734" i="1"/>
  <c r="E734" i="1"/>
  <c r="D734" i="1"/>
  <c r="C734" i="1"/>
  <c r="L733" i="1"/>
  <c r="H733" i="1"/>
  <c r="I733" i="1" s="1"/>
  <c r="F733" i="1"/>
  <c r="E733" i="1"/>
  <c r="D733" i="1"/>
  <c r="C733" i="1"/>
  <c r="L732" i="1"/>
  <c r="H732" i="1"/>
  <c r="I732" i="1" s="1"/>
  <c r="F732" i="1"/>
  <c r="E732" i="1"/>
  <c r="D732" i="1"/>
  <c r="C732" i="1"/>
  <c r="L731" i="1"/>
  <c r="H731" i="1"/>
  <c r="I731" i="1" s="1"/>
  <c r="F731" i="1"/>
  <c r="E731" i="1"/>
  <c r="D731" i="1"/>
  <c r="C731" i="1"/>
  <c r="L730" i="1"/>
  <c r="H730" i="1"/>
  <c r="I730" i="1" s="1"/>
  <c r="F730" i="1"/>
  <c r="E730" i="1"/>
  <c r="D730" i="1"/>
  <c r="C730" i="1"/>
  <c r="L729" i="1"/>
  <c r="I729" i="1"/>
  <c r="H729" i="1"/>
  <c r="F729" i="1"/>
  <c r="E729" i="1"/>
  <c r="D729" i="1"/>
  <c r="C729" i="1"/>
  <c r="L728" i="1"/>
  <c r="H728" i="1"/>
  <c r="I728" i="1" s="1"/>
  <c r="F728" i="1"/>
  <c r="E728" i="1"/>
  <c r="D728" i="1"/>
  <c r="C728" i="1"/>
  <c r="L727" i="1"/>
  <c r="I727" i="1"/>
  <c r="H727" i="1"/>
  <c r="F727" i="1"/>
  <c r="E727" i="1"/>
  <c r="D727" i="1"/>
  <c r="C727" i="1"/>
  <c r="L726" i="1"/>
  <c r="H726" i="1"/>
  <c r="I726" i="1" s="1"/>
  <c r="F726" i="1"/>
  <c r="E726" i="1"/>
  <c r="D726" i="1"/>
  <c r="C726" i="1"/>
  <c r="L725" i="1"/>
  <c r="H725" i="1"/>
  <c r="I725" i="1" s="1"/>
  <c r="F725" i="1"/>
  <c r="E725" i="1"/>
  <c r="D725" i="1"/>
  <c r="C725" i="1"/>
  <c r="L724" i="1"/>
  <c r="H724" i="1"/>
  <c r="I724" i="1" s="1"/>
  <c r="F724" i="1"/>
  <c r="E724" i="1"/>
  <c r="D724" i="1"/>
  <c r="C724" i="1"/>
  <c r="L723" i="1"/>
  <c r="H723" i="1"/>
  <c r="I723" i="1" s="1"/>
  <c r="F723" i="1"/>
  <c r="E723" i="1"/>
  <c r="D723" i="1"/>
  <c r="C723" i="1"/>
  <c r="L722" i="1"/>
  <c r="H722" i="1"/>
  <c r="I722" i="1" s="1"/>
  <c r="F722" i="1"/>
  <c r="E722" i="1"/>
  <c r="D722" i="1"/>
  <c r="C722" i="1"/>
  <c r="L721" i="1"/>
  <c r="H721" i="1"/>
  <c r="I721" i="1" s="1"/>
  <c r="F721" i="1"/>
  <c r="E721" i="1"/>
  <c r="D721" i="1"/>
  <c r="C721" i="1"/>
  <c r="L720" i="1"/>
  <c r="H720" i="1"/>
  <c r="I720" i="1" s="1"/>
  <c r="F720" i="1"/>
  <c r="E720" i="1"/>
  <c r="D720" i="1"/>
  <c r="C720" i="1"/>
  <c r="L719" i="1"/>
  <c r="I719" i="1"/>
  <c r="H719" i="1"/>
  <c r="F719" i="1"/>
  <c r="E719" i="1"/>
  <c r="D719" i="1"/>
  <c r="C719" i="1"/>
  <c r="L718" i="1"/>
  <c r="I718" i="1"/>
  <c r="H718" i="1"/>
  <c r="F718" i="1"/>
  <c r="E718" i="1"/>
  <c r="D718" i="1"/>
  <c r="C718" i="1"/>
  <c r="L717" i="1"/>
  <c r="H717" i="1"/>
  <c r="I717" i="1" s="1"/>
  <c r="F717" i="1"/>
  <c r="E717" i="1"/>
  <c r="D717" i="1"/>
  <c r="C717" i="1"/>
  <c r="L716" i="1"/>
  <c r="H716" i="1"/>
  <c r="I716" i="1" s="1"/>
  <c r="F716" i="1"/>
  <c r="E716" i="1"/>
  <c r="D716" i="1"/>
  <c r="C716" i="1"/>
  <c r="L715" i="1"/>
  <c r="H715" i="1"/>
  <c r="I715" i="1" s="1"/>
  <c r="F715" i="1"/>
  <c r="E715" i="1"/>
  <c r="D715" i="1"/>
  <c r="C715" i="1"/>
  <c r="L714" i="1"/>
  <c r="H714" i="1"/>
  <c r="I714" i="1" s="1"/>
  <c r="F714" i="1"/>
  <c r="E714" i="1"/>
  <c r="D714" i="1"/>
  <c r="C714" i="1"/>
  <c r="L713" i="1"/>
  <c r="H713" i="1"/>
  <c r="I713" i="1" s="1"/>
  <c r="F713" i="1"/>
  <c r="E713" i="1"/>
  <c r="D713" i="1"/>
  <c r="C713" i="1"/>
  <c r="L712" i="1"/>
  <c r="H712" i="1"/>
  <c r="I712" i="1" s="1"/>
  <c r="F712" i="1"/>
  <c r="E712" i="1"/>
  <c r="D712" i="1"/>
  <c r="C712" i="1"/>
  <c r="L711" i="1"/>
  <c r="H711" i="1"/>
  <c r="I711" i="1" s="1"/>
  <c r="F711" i="1"/>
  <c r="E711" i="1"/>
  <c r="D711" i="1"/>
  <c r="C711" i="1"/>
  <c r="L710" i="1"/>
  <c r="H710" i="1"/>
  <c r="I710" i="1" s="1"/>
  <c r="F710" i="1"/>
  <c r="E710" i="1"/>
  <c r="D710" i="1"/>
  <c r="C710" i="1"/>
  <c r="L709" i="1"/>
  <c r="H709" i="1"/>
  <c r="I709" i="1" s="1"/>
  <c r="F709" i="1"/>
  <c r="E709" i="1"/>
  <c r="D709" i="1"/>
  <c r="C709" i="1"/>
  <c r="L708" i="1"/>
  <c r="I708" i="1"/>
  <c r="H708" i="1"/>
  <c r="F708" i="1"/>
  <c r="E708" i="1"/>
  <c r="D708" i="1"/>
  <c r="C708" i="1"/>
  <c r="L707" i="1"/>
  <c r="I707" i="1"/>
  <c r="H707" i="1"/>
  <c r="F707" i="1"/>
  <c r="E707" i="1"/>
  <c r="D707" i="1"/>
  <c r="C707" i="1"/>
  <c r="L706" i="1"/>
  <c r="H706" i="1"/>
  <c r="I706" i="1" s="1"/>
  <c r="F706" i="1"/>
  <c r="E706" i="1"/>
  <c r="D706" i="1"/>
  <c r="C706" i="1"/>
  <c r="L705" i="1"/>
  <c r="I705" i="1"/>
  <c r="H705" i="1"/>
  <c r="F705" i="1"/>
  <c r="E705" i="1"/>
  <c r="D705" i="1"/>
  <c r="C705" i="1"/>
  <c r="L704" i="1"/>
  <c r="H704" i="1"/>
  <c r="I704" i="1" s="1"/>
  <c r="F704" i="1"/>
  <c r="E704" i="1"/>
  <c r="D704" i="1"/>
  <c r="C704" i="1"/>
  <c r="L703" i="1"/>
  <c r="H703" i="1"/>
  <c r="I703" i="1" s="1"/>
  <c r="F703" i="1"/>
  <c r="E703" i="1"/>
  <c r="D703" i="1"/>
  <c r="C703" i="1"/>
  <c r="L702" i="1"/>
  <c r="H702" i="1"/>
  <c r="I702" i="1" s="1"/>
  <c r="F702" i="1"/>
  <c r="E702" i="1"/>
  <c r="D702" i="1"/>
  <c r="C702" i="1"/>
  <c r="L701" i="1"/>
  <c r="H701" i="1"/>
  <c r="I701" i="1" s="1"/>
  <c r="F701" i="1"/>
  <c r="E701" i="1"/>
  <c r="D701" i="1"/>
  <c r="C701" i="1"/>
  <c r="L700" i="1"/>
  <c r="H700" i="1"/>
  <c r="I700" i="1" s="1"/>
  <c r="F700" i="1"/>
  <c r="E700" i="1"/>
  <c r="D700" i="1"/>
  <c r="C700" i="1"/>
  <c r="L699" i="1"/>
  <c r="H699" i="1"/>
  <c r="I699" i="1" s="1"/>
  <c r="F699" i="1"/>
  <c r="E699" i="1"/>
  <c r="D699" i="1"/>
  <c r="C699" i="1"/>
  <c r="L698" i="1"/>
  <c r="H698" i="1"/>
  <c r="I698" i="1" s="1"/>
  <c r="F698" i="1"/>
  <c r="E698" i="1"/>
  <c r="D698" i="1"/>
  <c r="C698" i="1"/>
  <c r="L697" i="1"/>
  <c r="H697" i="1"/>
  <c r="I697" i="1" s="1"/>
  <c r="F697" i="1"/>
  <c r="E697" i="1"/>
  <c r="D697" i="1"/>
  <c r="C697" i="1"/>
  <c r="L696" i="1"/>
  <c r="H696" i="1"/>
  <c r="I696" i="1" s="1"/>
  <c r="F696" i="1"/>
  <c r="E696" i="1"/>
  <c r="D696" i="1"/>
  <c r="C696" i="1"/>
  <c r="L695" i="1"/>
  <c r="H695" i="1"/>
  <c r="I695" i="1" s="1"/>
  <c r="F695" i="1"/>
  <c r="E695" i="1"/>
  <c r="D695" i="1"/>
  <c r="C695" i="1"/>
  <c r="L694" i="1"/>
  <c r="I694" i="1"/>
  <c r="H694" i="1"/>
  <c r="F694" i="1"/>
  <c r="E694" i="1"/>
  <c r="D694" i="1"/>
  <c r="C694" i="1"/>
  <c r="L693" i="1"/>
  <c r="I693" i="1"/>
  <c r="H693" i="1"/>
  <c r="F693" i="1"/>
  <c r="E693" i="1"/>
  <c r="D693" i="1"/>
  <c r="C693" i="1"/>
  <c r="L692" i="1"/>
  <c r="I692" i="1"/>
  <c r="H692" i="1"/>
  <c r="F692" i="1"/>
  <c r="E692" i="1"/>
  <c r="D692" i="1"/>
  <c r="C692" i="1"/>
  <c r="L691" i="1"/>
  <c r="H691" i="1"/>
  <c r="I691" i="1" s="1"/>
  <c r="G82" i="3" s="1"/>
  <c r="F691" i="1"/>
  <c r="E691" i="1"/>
  <c r="D691" i="1"/>
  <c r="C691" i="1"/>
  <c r="L690" i="1"/>
  <c r="H690" i="1"/>
  <c r="I690" i="1" s="1"/>
  <c r="F690" i="1"/>
  <c r="E690" i="1"/>
  <c r="D690" i="1"/>
  <c r="C690" i="1"/>
  <c r="L689" i="1"/>
  <c r="H689" i="1"/>
  <c r="I689" i="1" s="1"/>
  <c r="F689" i="1"/>
  <c r="E689" i="1"/>
  <c r="D689" i="1"/>
  <c r="C689" i="1"/>
  <c r="L688" i="1"/>
  <c r="H688" i="1"/>
  <c r="I688" i="1" s="1"/>
  <c r="F688" i="1"/>
  <c r="E688" i="1"/>
  <c r="D688" i="1"/>
  <c r="C688" i="1"/>
  <c r="L687" i="1"/>
  <c r="H687" i="1"/>
  <c r="I687" i="1" s="1"/>
  <c r="F687" i="1"/>
  <c r="E687" i="1"/>
  <c r="D687" i="1"/>
  <c r="C687" i="1"/>
  <c r="L686" i="1"/>
  <c r="H686" i="1"/>
  <c r="I686" i="1" s="1"/>
  <c r="F686" i="1"/>
  <c r="E686" i="1"/>
  <c r="D686" i="1"/>
  <c r="C686" i="1"/>
  <c r="L685" i="1"/>
  <c r="I685" i="1"/>
  <c r="H685" i="1"/>
  <c r="F685" i="1"/>
  <c r="E685" i="1"/>
  <c r="D685" i="1"/>
  <c r="C685" i="1"/>
  <c r="L684" i="1"/>
  <c r="H684" i="1"/>
  <c r="I684" i="1" s="1"/>
  <c r="F684" i="1"/>
  <c r="E684" i="1"/>
  <c r="D684" i="1"/>
  <c r="C684" i="1"/>
  <c r="L683" i="1"/>
  <c r="H683" i="1"/>
  <c r="I683" i="1" s="1"/>
  <c r="F683" i="1"/>
  <c r="E683" i="1"/>
  <c r="D683" i="1"/>
  <c r="C683" i="1"/>
  <c r="L682" i="1"/>
  <c r="H682" i="1"/>
  <c r="I682" i="1" s="1"/>
  <c r="F682" i="1"/>
  <c r="E682" i="1"/>
  <c r="D682" i="1"/>
  <c r="C682" i="1"/>
  <c r="L681" i="1"/>
  <c r="H681" i="1"/>
  <c r="I681" i="1" s="1"/>
  <c r="F681" i="1"/>
  <c r="E681" i="1"/>
  <c r="D681" i="1"/>
  <c r="C681" i="1"/>
  <c r="L680" i="1"/>
  <c r="I680" i="1"/>
  <c r="H680" i="1"/>
  <c r="F680" i="1"/>
  <c r="E680" i="1"/>
  <c r="D680" i="1"/>
  <c r="C680" i="1"/>
  <c r="L679" i="1"/>
  <c r="H679" i="1"/>
  <c r="I679" i="1" s="1"/>
  <c r="F679" i="1"/>
  <c r="E679" i="1"/>
  <c r="D679" i="1"/>
  <c r="C679" i="1"/>
  <c r="L678" i="1"/>
  <c r="H678" i="1"/>
  <c r="I678" i="1" s="1"/>
  <c r="F678" i="1"/>
  <c r="E678" i="1"/>
  <c r="D678" i="1"/>
  <c r="C678" i="1"/>
  <c r="L677" i="1"/>
  <c r="H677" i="1"/>
  <c r="I677" i="1" s="1"/>
  <c r="F677" i="1"/>
  <c r="E677" i="1"/>
  <c r="D677" i="1"/>
  <c r="C677" i="1"/>
  <c r="L676" i="1"/>
  <c r="H676" i="1"/>
  <c r="I676" i="1" s="1"/>
  <c r="F676" i="1"/>
  <c r="E676" i="1"/>
  <c r="D676" i="1"/>
  <c r="C676" i="1"/>
  <c r="L675" i="1"/>
  <c r="H675" i="1"/>
  <c r="I675" i="1" s="1"/>
  <c r="F675" i="1"/>
  <c r="E675" i="1"/>
  <c r="D675" i="1"/>
  <c r="C675" i="1"/>
  <c r="L674" i="1"/>
  <c r="H674" i="1"/>
  <c r="I674" i="1" s="1"/>
  <c r="F674" i="1"/>
  <c r="E674" i="1"/>
  <c r="D674" i="1"/>
  <c r="C674" i="1"/>
  <c r="L673" i="1"/>
  <c r="H673" i="1"/>
  <c r="I673" i="1" s="1"/>
  <c r="F673" i="1"/>
  <c r="E673" i="1"/>
  <c r="D673" i="1"/>
  <c r="C673" i="1"/>
  <c r="L672" i="1"/>
  <c r="H672" i="1"/>
  <c r="I672" i="1" s="1"/>
  <c r="F672" i="1"/>
  <c r="E672" i="1"/>
  <c r="D672" i="1"/>
  <c r="C672" i="1"/>
  <c r="L671" i="1"/>
  <c r="H671" i="1"/>
  <c r="I671" i="1" s="1"/>
  <c r="F671" i="1"/>
  <c r="E671" i="1"/>
  <c r="D671" i="1"/>
  <c r="C671" i="1"/>
  <c r="L670" i="1"/>
  <c r="H670" i="1"/>
  <c r="I670" i="1" s="1"/>
  <c r="F670" i="1"/>
  <c r="E670" i="1"/>
  <c r="D670" i="1"/>
  <c r="C670" i="1"/>
  <c r="L669" i="1"/>
  <c r="I669" i="1"/>
  <c r="H669" i="1"/>
  <c r="F669" i="1"/>
  <c r="E669" i="1"/>
  <c r="D669" i="1"/>
  <c r="C669" i="1"/>
  <c r="L668" i="1"/>
  <c r="H668" i="1"/>
  <c r="I668" i="1" s="1"/>
  <c r="F668" i="1"/>
  <c r="E668" i="1"/>
  <c r="D668" i="1"/>
  <c r="C668" i="1"/>
  <c r="L667" i="1"/>
  <c r="H667" i="1"/>
  <c r="I667" i="1" s="1"/>
  <c r="F667" i="1"/>
  <c r="E667" i="1"/>
  <c r="D667" i="1"/>
  <c r="C667" i="1"/>
  <c r="L666" i="1"/>
  <c r="H666" i="1"/>
  <c r="I666" i="1" s="1"/>
  <c r="F666" i="1"/>
  <c r="E666" i="1"/>
  <c r="D666" i="1"/>
  <c r="C666" i="1"/>
  <c r="L665" i="1"/>
  <c r="H665" i="1"/>
  <c r="I665" i="1" s="1"/>
  <c r="F665" i="1"/>
  <c r="E665" i="1"/>
  <c r="D665" i="1"/>
  <c r="C665" i="1"/>
  <c r="L664" i="1"/>
  <c r="H664" i="1"/>
  <c r="I664" i="1" s="1"/>
  <c r="F664" i="1"/>
  <c r="E664" i="1"/>
  <c r="D664" i="1"/>
  <c r="C664" i="1"/>
  <c r="L663" i="1"/>
  <c r="I663" i="1"/>
  <c r="H663" i="1"/>
  <c r="F663" i="1"/>
  <c r="E663" i="1"/>
  <c r="D663" i="1"/>
  <c r="C663" i="1"/>
  <c r="L662" i="1"/>
  <c r="H662" i="1"/>
  <c r="I662" i="1" s="1"/>
  <c r="F662" i="1"/>
  <c r="E662" i="1"/>
  <c r="D662" i="1"/>
  <c r="C662" i="1"/>
  <c r="L661" i="1"/>
  <c r="I661" i="1"/>
  <c r="H661" i="1"/>
  <c r="F661" i="1"/>
  <c r="E661" i="1"/>
  <c r="D661" i="1"/>
  <c r="C661" i="1"/>
  <c r="L660" i="1"/>
  <c r="I660" i="1"/>
  <c r="H660" i="1"/>
  <c r="F660" i="1"/>
  <c r="E660" i="1"/>
  <c r="D660" i="1"/>
  <c r="C660" i="1"/>
  <c r="L659" i="1"/>
  <c r="H659" i="1"/>
  <c r="I659" i="1" s="1"/>
  <c r="F659" i="1"/>
  <c r="E659" i="1"/>
  <c r="D659" i="1"/>
  <c r="C659" i="1"/>
  <c r="L658" i="1"/>
  <c r="H658" i="1"/>
  <c r="I658" i="1" s="1"/>
  <c r="F658" i="1"/>
  <c r="E658" i="1"/>
  <c r="D658" i="1"/>
  <c r="C658" i="1"/>
  <c r="L657" i="1"/>
  <c r="H657" i="1"/>
  <c r="I657" i="1" s="1"/>
  <c r="F657" i="1"/>
  <c r="E657" i="1"/>
  <c r="D657" i="1"/>
  <c r="C657" i="1"/>
  <c r="L656" i="1"/>
  <c r="H656" i="1"/>
  <c r="I656" i="1" s="1"/>
  <c r="F656" i="1"/>
  <c r="E656" i="1"/>
  <c r="D656" i="1"/>
  <c r="C656" i="1"/>
  <c r="L655" i="1"/>
  <c r="H655" i="1"/>
  <c r="I655" i="1" s="1"/>
  <c r="F655" i="1"/>
  <c r="E655" i="1"/>
  <c r="D655" i="1"/>
  <c r="C655" i="1"/>
  <c r="L654" i="1"/>
  <c r="H654" i="1"/>
  <c r="I654" i="1" s="1"/>
  <c r="F654" i="1"/>
  <c r="E654" i="1"/>
  <c r="D654" i="1"/>
  <c r="C654" i="1"/>
  <c r="L653" i="1"/>
  <c r="H653" i="1"/>
  <c r="I653" i="1" s="1"/>
  <c r="F653" i="1"/>
  <c r="E653" i="1"/>
  <c r="D653" i="1"/>
  <c r="C653" i="1"/>
  <c r="L652" i="1"/>
  <c r="H652" i="1"/>
  <c r="I652" i="1" s="1"/>
  <c r="F652" i="1"/>
  <c r="E652" i="1"/>
  <c r="D652" i="1"/>
  <c r="C652" i="1"/>
  <c r="L651" i="1"/>
  <c r="H651" i="1"/>
  <c r="I651" i="1" s="1"/>
  <c r="F651" i="1"/>
  <c r="E651" i="1"/>
  <c r="D651" i="1"/>
  <c r="C651" i="1"/>
  <c r="L650" i="1"/>
  <c r="H650" i="1"/>
  <c r="I650" i="1" s="1"/>
  <c r="F650" i="1"/>
  <c r="E650" i="1"/>
  <c r="D650" i="1"/>
  <c r="C650" i="1"/>
  <c r="L649" i="1"/>
  <c r="H649" i="1"/>
  <c r="I649" i="1" s="1"/>
  <c r="F649" i="1"/>
  <c r="E649" i="1"/>
  <c r="D649" i="1"/>
  <c r="C649" i="1"/>
  <c r="L648" i="1"/>
  <c r="H648" i="1"/>
  <c r="I648" i="1" s="1"/>
  <c r="F648" i="1"/>
  <c r="E648" i="1"/>
  <c r="D648" i="1"/>
  <c r="C648" i="1"/>
  <c r="L647" i="1"/>
  <c r="H647" i="1"/>
  <c r="I647" i="1" s="1"/>
  <c r="F647" i="1"/>
  <c r="E647" i="1"/>
  <c r="D647" i="1"/>
  <c r="C647" i="1"/>
  <c r="L646" i="1"/>
  <c r="H646" i="1"/>
  <c r="I646" i="1" s="1"/>
  <c r="F646" i="1"/>
  <c r="E646" i="1"/>
  <c r="D646" i="1"/>
  <c r="C646" i="1"/>
  <c r="L645" i="1"/>
  <c r="H645" i="1"/>
  <c r="I645" i="1" s="1"/>
  <c r="F645" i="1"/>
  <c r="E645" i="1"/>
  <c r="D645" i="1"/>
  <c r="C645" i="1"/>
  <c r="L644" i="1"/>
  <c r="H644" i="1"/>
  <c r="I644" i="1" s="1"/>
  <c r="F644" i="1"/>
  <c r="E644" i="1"/>
  <c r="D644" i="1"/>
  <c r="C644" i="1"/>
  <c r="L643" i="1"/>
  <c r="H643" i="1"/>
  <c r="I643" i="1" s="1"/>
  <c r="F643" i="1"/>
  <c r="E643" i="1"/>
  <c r="D643" i="1"/>
  <c r="C643" i="1"/>
  <c r="L642" i="1"/>
  <c r="H642" i="1"/>
  <c r="I642" i="1" s="1"/>
  <c r="F642" i="1"/>
  <c r="E642" i="1"/>
  <c r="D642" i="1"/>
  <c r="C642" i="1"/>
  <c r="L641" i="1"/>
  <c r="H641" i="1"/>
  <c r="I641" i="1" s="1"/>
  <c r="F641" i="1"/>
  <c r="E641" i="1"/>
  <c r="D641" i="1"/>
  <c r="C641" i="1"/>
  <c r="L640" i="1"/>
  <c r="H640" i="1"/>
  <c r="I640" i="1" s="1"/>
  <c r="F640" i="1"/>
  <c r="E640" i="1"/>
  <c r="D640" i="1"/>
  <c r="C640" i="1"/>
  <c r="L639" i="1"/>
  <c r="H639" i="1"/>
  <c r="I639" i="1" s="1"/>
  <c r="F639" i="1"/>
  <c r="E639" i="1"/>
  <c r="D639" i="1"/>
  <c r="C639" i="1"/>
  <c r="L638" i="1"/>
  <c r="H638" i="1"/>
  <c r="I638" i="1" s="1"/>
  <c r="F638" i="1"/>
  <c r="E638" i="1"/>
  <c r="D638" i="1"/>
  <c r="C638" i="1"/>
  <c r="L637" i="1"/>
  <c r="I637" i="1"/>
  <c r="H637" i="1"/>
  <c r="F637" i="1"/>
  <c r="E637" i="1"/>
  <c r="D637" i="1"/>
  <c r="C637" i="1"/>
  <c r="L636" i="1"/>
  <c r="H636" i="1"/>
  <c r="I636" i="1" s="1"/>
  <c r="F636" i="1"/>
  <c r="E636" i="1"/>
  <c r="D636" i="1"/>
  <c r="C636" i="1"/>
  <c r="L635" i="1"/>
  <c r="H635" i="1"/>
  <c r="I635" i="1" s="1"/>
  <c r="F635" i="1"/>
  <c r="E635" i="1"/>
  <c r="D635" i="1"/>
  <c r="C635" i="1"/>
  <c r="L634" i="1"/>
  <c r="H634" i="1"/>
  <c r="I634" i="1" s="1"/>
  <c r="F634" i="1"/>
  <c r="E634" i="1"/>
  <c r="D634" i="1"/>
  <c r="C634" i="1"/>
  <c r="L633" i="1"/>
  <c r="H633" i="1"/>
  <c r="I633" i="1" s="1"/>
  <c r="F633" i="1"/>
  <c r="E633" i="1"/>
  <c r="D633" i="1"/>
  <c r="C633" i="1"/>
  <c r="L632" i="1"/>
  <c r="H632" i="1"/>
  <c r="I632" i="1" s="1"/>
  <c r="F632" i="1"/>
  <c r="E632" i="1"/>
  <c r="D632" i="1"/>
  <c r="C632" i="1"/>
  <c r="L631" i="1"/>
  <c r="I631" i="1"/>
  <c r="H631" i="1"/>
  <c r="F631" i="1"/>
  <c r="E631" i="1"/>
  <c r="D631" i="1"/>
  <c r="C631" i="1"/>
  <c r="L630" i="1"/>
  <c r="H630" i="1"/>
  <c r="I630" i="1" s="1"/>
  <c r="F630" i="1"/>
  <c r="E630" i="1"/>
  <c r="D630" i="1"/>
  <c r="C630" i="1"/>
  <c r="L629" i="1"/>
  <c r="H629" i="1"/>
  <c r="I629" i="1" s="1"/>
  <c r="K629" i="1" s="1"/>
  <c r="F629" i="1"/>
  <c r="E629" i="1"/>
  <c r="D629" i="1"/>
  <c r="C629" i="1"/>
  <c r="L628" i="1"/>
  <c r="H628" i="1"/>
  <c r="I628" i="1" s="1"/>
  <c r="F628" i="1"/>
  <c r="E628" i="1"/>
  <c r="D628" i="1"/>
  <c r="C628" i="1"/>
  <c r="L627" i="1"/>
  <c r="I627" i="1"/>
  <c r="H627" i="1"/>
  <c r="F627" i="1"/>
  <c r="E627" i="1"/>
  <c r="D627" i="1"/>
  <c r="C627" i="1"/>
  <c r="L626" i="1"/>
  <c r="H626" i="1"/>
  <c r="I626" i="1" s="1"/>
  <c r="F626" i="1"/>
  <c r="E626" i="1"/>
  <c r="D626" i="1"/>
  <c r="C626" i="1"/>
  <c r="L625" i="1"/>
  <c r="H625" i="1"/>
  <c r="I625" i="1" s="1"/>
  <c r="F625" i="1"/>
  <c r="E625" i="1"/>
  <c r="D625" i="1"/>
  <c r="C625" i="1"/>
  <c r="L624" i="1"/>
  <c r="H624" i="1"/>
  <c r="I624" i="1" s="1"/>
  <c r="F624" i="1"/>
  <c r="E624" i="1"/>
  <c r="D624" i="1"/>
  <c r="C624" i="1"/>
  <c r="L623" i="1"/>
  <c r="H623" i="1"/>
  <c r="I623" i="1" s="1"/>
  <c r="F623" i="1"/>
  <c r="E623" i="1"/>
  <c r="D623" i="1"/>
  <c r="C623" i="1"/>
  <c r="L622" i="1"/>
  <c r="H622" i="1"/>
  <c r="I622" i="1" s="1"/>
  <c r="F622" i="1"/>
  <c r="E622" i="1"/>
  <c r="D622" i="1"/>
  <c r="C622" i="1"/>
  <c r="L621" i="1"/>
  <c r="H621" i="1"/>
  <c r="I621" i="1" s="1"/>
  <c r="F621" i="1"/>
  <c r="E621" i="1"/>
  <c r="D621" i="1"/>
  <c r="C621" i="1"/>
  <c r="L620" i="1"/>
  <c r="H620" i="1"/>
  <c r="I620" i="1" s="1"/>
  <c r="F620" i="1"/>
  <c r="E620" i="1"/>
  <c r="D620" i="1"/>
  <c r="C620" i="1"/>
  <c r="L619" i="1"/>
  <c r="H619" i="1"/>
  <c r="I619" i="1" s="1"/>
  <c r="F619" i="1"/>
  <c r="E619" i="1"/>
  <c r="D619" i="1"/>
  <c r="C619" i="1"/>
  <c r="L618" i="1"/>
  <c r="H618" i="1"/>
  <c r="I618" i="1" s="1"/>
  <c r="F618" i="1"/>
  <c r="E618" i="1"/>
  <c r="D618" i="1"/>
  <c r="C618" i="1"/>
  <c r="L617" i="1"/>
  <c r="H617" i="1"/>
  <c r="I617" i="1" s="1"/>
  <c r="F617" i="1"/>
  <c r="E617" i="1"/>
  <c r="D617" i="1"/>
  <c r="C617" i="1"/>
  <c r="L616" i="1"/>
  <c r="H616" i="1"/>
  <c r="I616" i="1" s="1"/>
  <c r="F616" i="1"/>
  <c r="E616" i="1"/>
  <c r="D616" i="1"/>
  <c r="C616" i="1"/>
  <c r="L615" i="1"/>
  <c r="H615" i="1"/>
  <c r="I615" i="1" s="1"/>
  <c r="F615" i="1"/>
  <c r="E615" i="1"/>
  <c r="D615" i="1"/>
  <c r="C615" i="1"/>
  <c r="L614" i="1"/>
  <c r="H614" i="1"/>
  <c r="I614" i="1" s="1"/>
  <c r="F614" i="1"/>
  <c r="E614" i="1"/>
  <c r="D614" i="1"/>
  <c r="C614" i="1"/>
  <c r="L613" i="1"/>
  <c r="H613" i="1"/>
  <c r="I613" i="1" s="1"/>
  <c r="F613" i="1"/>
  <c r="E613" i="1"/>
  <c r="D613" i="1"/>
  <c r="C613" i="1"/>
  <c r="L612" i="1"/>
  <c r="H612" i="1"/>
  <c r="I612" i="1" s="1"/>
  <c r="F612" i="1"/>
  <c r="E612" i="1"/>
  <c r="D612" i="1"/>
  <c r="C612" i="1"/>
  <c r="L611" i="1"/>
  <c r="H611" i="1"/>
  <c r="I611" i="1" s="1"/>
  <c r="F611" i="1"/>
  <c r="E611" i="1"/>
  <c r="D611" i="1"/>
  <c r="C611" i="1"/>
  <c r="L610" i="1"/>
  <c r="H610" i="1"/>
  <c r="I610" i="1" s="1"/>
  <c r="F610" i="1"/>
  <c r="E610" i="1"/>
  <c r="D610" i="1"/>
  <c r="C610" i="1"/>
  <c r="L609" i="1"/>
  <c r="H609" i="1"/>
  <c r="I609" i="1" s="1"/>
  <c r="F609" i="1"/>
  <c r="E609" i="1"/>
  <c r="D609" i="1"/>
  <c r="C609" i="1"/>
  <c r="L608" i="1"/>
  <c r="H608" i="1"/>
  <c r="I608" i="1" s="1"/>
  <c r="F608" i="1"/>
  <c r="E608" i="1"/>
  <c r="D608" i="1"/>
  <c r="C608" i="1"/>
  <c r="L607" i="1"/>
  <c r="H607" i="1"/>
  <c r="I607" i="1" s="1"/>
  <c r="F607" i="1"/>
  <c r="E607" i="1"/>
  <c r="D607" i="1"/>
  <c r="C607" i="1"/>
  <c r="L606" i="1"/>
  <c r="H606" i="1"/>
  <c r="I606" i="1" s="1"/>
  <c r="F606" i="1"/>
  <c r="E606" i="1"/>
  <c r="D606" i="1"/>
  <c r="C606" i="1"/>
  <c r="L605" i="1"/>
  <c r="I605" i="1"/>
  <c r="H605" i="1"/>
  <c r="F605" i="1"/>
  <c r="E605" i="1"/>
  <c r="D605" i="1"/>
  <c r="C605" i="1"/>
  <c r="L604" i="1"/>
  <c r="H604" i="1"/>
  <c r="I604" i="1" s="1"/>
  <c r="F604" i="1"/>
  <c r="E604" i="1"/>
  <c r="D604" i="1"/>
  <c r="C604" i="1"/>
  <c r="L603" i="1"/>
  <c r="I603" i="1"/>
  <c r="H603" i="1"/>
  <c r="F603" i="1"/>
  <c r="E603" i="1"/>
  <c r="D603" i="1"/>
  <c r="C603" i="1"/>
  <c r="L602" i="1"/>
  <c r="H602" i="1"/>
  <c r="I602" i="1" s="1"/>
  <c r="F602" i="1"/>
  <c r="E602" i="1"/>
  <c r="D602" i="1"/>
  <c r="C602" i="1"/>
  <c r="L601" i="1"/>
  <c r="H601" i="1"/>
  <c r="I601" i="1" s="1"/>
  <c r="F601" i="1"/>
  <c r="E601" i="1"/>
  <c r="D601" i="1"/>
  <c r="C601" i="1"/>
  <c r="L600" i="1"/>
  <c r="H600" i="1"/>
  <c r="I600" i="1" s="1"/>
  <c r="F600" i="1"/>
  <c r="E600" i="1"/>
  <c r="D600" i="1"/>
  <c r="C600" i="1"/>
  <c r="L599" i="1"/>
  <c r="H599" i="1"/>
  <c r="I599" i="1" s="1"/>
  <c r="F599" i="1"/>
  <c r="E599" i="1"/>
  <c r="D599" i="1"/>
  <c r="C599" i="1"/>
  <c r="L598" i="1"/>
  <c r="H598" i="1"/>
  <c r="I598" i="1" s="1"/>
  <c r="F598" i="1"/>
  <c r="E598" i="1"/>
  <c r="D598" i="1"/>
  <c r="C598" i="1"/>
  <c r="L597" i="1"/>
  <c r="H597" i="1"/>
  <c r="I597" i="1" s="1"/>
  <c r="F597" i="1"/>
  <c r="E597" i="1"/>
  <c r="D597" i="1"/>
  <c r="C597" i="1"/>
  <c r="L596" i="1"/>
  <c r="H596" i="1"/>
  <c r="I596" i="1" s="1"/>
  <c r="F596" i="1"/>
  <c r="E596" i="1"/>
  <c r="D596" i="1"/>
  <c r="C596" i="1"/>
  <c r="L595" i="1"/>
  <c r="I595" i="1"/>
  <c r="H595" i="1"/>
  <c r="F595" i="1"/>
  <c r="E595" i="1"/>
  <c r="D595" i="1"/>
  <c r="C595" i="1"/>
  <c r="L594" i="1"/>
  <c r="H594" i="1"/>
  <c r="I594" i="1" s="1"/>
  <c r="F594" i="1"/>
  <c r="E594" i="1"/>
  <c r="D594" i="1"/>
  <c r="C594" i="1"/>
  <c r="L593" i="1"/>
  <c r="H593" i="1"/>
  <c r="I593" i="1" s="1"/>
  <c r="F593" i="1"/>
  <c r="E593" i="1"/>
  <c r="D593" i="1"/>
  <c r="C593" i="1"/>
  <c r="L592" i="1"/>
  <c r="H592" i="1"/>
  <c r="I592" i="1" s="1"/>
  <c r="F592" i="1"/>
  <c r="E592" i="1"/>
  <c r="D592" i="1"/>
  <c r="C592" i="1"/>
  <c r="L591" i="1"/>
  <c r="H591" i="1"/>
  <c r="I591" i="1" s="1"/>
  <c r="F591" i="1"/>
  <c r="E591" i="1"/>
  <c r="D591" i="1"/>
  <c r="C591" i="1"/>
  <c r="L590" i="1"/>
  <c r="H590" i="1"/>
  <c r="I590" i="1" s="1"/>
  <c r="F590" i="1"/>
  <c r="E590" i="1"/>
  <c r="D590" i="1"/>
  <c r="C590" i="1"/>
  <c r="L589" i="1"/>
  <c r="H589" i="1"/>
  <c r="I589" i="1" s="1"/>
  <c r="F589" i="1"/>
  <c r="E589" i="1"/>
  <c r="D589" i="1"/>
  <c r="C589" i="1"/>
  <c r="L588" i="1"/>
  <c r="H588" i="1"/>
  <c r="I588" i="1" s="1"/>
  <c r="F588" i="1"/>
  <c r="E588" i="1"/>
  <c r="D588" i="1"/>
  <c r="C588" i="1"/>
  <c r="L587" i="1"/>
  <c r="I587" i="1"/>
  <c r="H587" i="1"/>
  <c r="F587" i="1"/>
  <c r="E587" i="1"/>
  <c r="D587" i="1"/>
  <c r="C587" i="1"/>
  <c r="L586" i="1"/>
  <c r="H586" i="1"/>
  <c r="I586" i="1" s="1"/>
  <c r="F586" i="1"/>
  <c r="E586" i="1"/>
  <c r="D586" i="1"/>
  <c r="C586" i="1"/>
  <c r="L585" i="1"/>
  <c r="H585" i="1"/>
  <c r="I585" i="1" s="1"/>
  <c r="F585" i="1"/>
  <c r="E585" i="1"/>
  <c r="D585" i="1"/>
  <c r="C585" i="1"/>
  <c r="L584" i="1"/>
  <c r="H584" i="1"/>
  <c r="I584" i="1" s="1"/>
  <c r="F584" i="1"/>
  <c r="E584" i="1"/>
  <c r="D584" i="1"/>
  <c r="C584" i="1"/>
  <c r="L583" i="1"/>
  <c r="H583" i="1"/>
  <c r="I583" i="1" s="1"/>
  <c r="F583" i="1"/>
  <c r="E583" i="1"/>
  <c r="D583" i="1"/>
  <c r="C583" i="1"/>
  <c r="L582" i="1"/>
  <c r="H582" i="1"/>
  <c r="I582" i="1" s="1"/>
  <c r="F582" i="1"/>
  <c r="E582" i="1"/>
  <c r="D582" i="1"/>
  <c r="C582" i="1"/>
  <c r="L581" i="1"/>
  <c r="H581" i="1"/>
  <c r="I581" i="1" s="1"/>
  <c r="F581" i="1"/>
  <c r="E581" i="1"/>
  <c r="D581" i="1"/>
  <c r="C581" i="1"/>
  <c r="L580" i="1"/>
  <c r="H580" i="1"/>
  <c r="I580" i="1" s="1"/>
  <c r="F580" i="1"/>
  <c r="E580" i="1"/>
  <c r="D580" i="1"/>
  <c r="C580" i="1"/>
  <c r="L579" i="1"/>
  <c r="H579" i="1"/>
  <c r="I579" i="1" s="1"/>
  <c r="F579" i="1"/>
  <c r="E579" i="1"/>
  <c r="D579" i="1"/>
  <c r="C579" i="1"/>
  <c r="L578" i="1"/>
  <c r="H578" i="1"/>
  <c r="I578" i="1" s="1"/>
  <c r="F578" i="1"/>
  <c r="E578" i="1"/>
  <c r="D578" i="1"/>
  <c r="C578" i="1"/>
  <c r="L577" i="1"/>
  <c r="H577" i="1"/>
  <c r="I577" i="1" s="1"/>
  <c r="F577" i="1"/>
  <c r="E577" i="1"/>
  <c r="D577" i="1"/>
  <c r="C577" i="1"/>
  <c r="L576" i="1"/>
  <c r="H576" i="1"/>
  <c r="I576" i="1" s="1"/>
  <c r="F576" i="1"/>
  <c r="E576" i="1"/>
  <c r="D576" i="1"/>
  <c r="C576" i="1"/>
  <c r="L575" i="1"/>
  <c r="H575" i="1"/>
  <c r="I575" i="1" s="1"/>
  <c r="F575" i="1"/>
  <c r="E575" i="1"/>
  <c r="D575" i="1"/>
  <c r="C575" i="1"/>
  <c r="L574" i="1"/>
  <c r="H574" i="1"/>
  <c r="I574" i="1" s="1"/>
  <c r="F574" i="1"/>
  <c r="E574" i="1"/>
  <c r="D574" i="1"/>
  <c r="C574" i="1"/>
  <c r="L573" i="1"/>
  <c r="I573" i="1"/>
  <c r="H573" i="1"/>
  <c r="F573" i="1"/>
  <c r="E573" i="1"/>
  <c r="D573" i="1"/>
  <c r="C573" i="1"/>
  <c r="L572" i="1"/>
  <c r="H572" i="1"/>
  <c r="I572" i="1" s="1"/>
  <c r="F572" i="1"/>
  <c r="E572" i="1"/>
  <c r="D572" i="1"/>
  <c r="C572" i="1"/>
  <c r="L571" i="1"/>
  <c r="H571" i="1"/>
  <c r="I571" i="1" s="1"/>
  <c r="F571" i="1"/>
  <c r="E571" i="1"/>
  <c r="D571" i="1"/>
  <c r="C571" i="1"/>
  <c r="L570" i="1"/>
  <c r="H570" i="1"/>
  <c r="I570" i="1" s="1"/>
  <c r="G27" i="3" s="1"/>
  <c r="F570" i="1"/>
  <c r="E570" i="1"/>
  <c r="D570" i="1"/>
  <c r="C570" i="1"/>
  <c r="L569" i="1"/>
  <c r="H569" i="1"/>
  <c r="I569" i="1" s="1"/>
  <c r="F569" i="1"/>
  <c r="E569" i="1"/>
  <c r="D569" i="1"/>
  <c r="C569" i="1"/>
  <c r="L568" i="1"/>
  <c r="H568" i="1"/>
  <c r="I568" i="1" s="1"/>
  <c r="F568" i="1"/>
  <c r="E568" i="1"/>
  <c r="D568" i="1"/>
  <c r="C568" i="1"/>
  <c r="L567" i="1"/>
  <c r="H567" i="1"/>
  <c r="I567" i="1" s="1"/>
  <c r="F567" i="1"/>
  <c r="E567" i="1"/>
  <c r="D567" i="1"/>
  <c r="C567" i="1"/>
  <c r="L566" i="1"/>
  <c r="H566" i="1"/>
  <c r="I566" i="1" s="1"/>
  <c r="F566" i="1"/>
  <c r="E566" i="1"/>
  <c r="D566" i="1"/>
  <c r="C566" i="1"/>
  <c r="L565" i="1"/>
  <c r="H565" i="1"/>
  <c r="I565" i="1" s="1"/>
  <c r="F565" i="1"/>
  <c r="E565" i="1"/>
  <c r="D565" i="1"/>
  <c r="C565" i="1"/>
  <c r="L564" i="1"/>
  <c r="H564" i="1"/>
  <c r="I564" i="1" s="1"/>
  <c r="F564" i="1"/>
  <c r="E564" i="1"/>
  <c r="D564" i="1"/>
  <c r="C564" i="1"/>
  <c r="L563" i="1"/>
  <c r="H563" i="1"/>
  <c r="I563" i="1" s="1"/>
  <c r="F563" i="1"/>
  <c r="E563" i="1"/>
  <c r="D563" i="1"/>
  <c r="C563" i="1"/>
  <c r="L562" i="1"/>
  <c r="H562" i="1"/>
  <c r="I562" i="1" s="1"/>
  <c r="G107" i="3" s="1"/>
  <c r="F562" i="1"/>
  <c r="E562" i="1"/>
  <c r="D562" i="1"/>
  <c r="C562" i="1"/>
  <c r="L561" i="1"/>
  <c r="I561" i="1"/>
  <c r="H561" i="1"/>
  <c r="F561" i="1"/>
  <c r="E561" i="1"/>
  <c r="D561" i="1"/>
  <c r="C561" i="1"/>
  <c r="L560" i="1"/>
  <c r="H560" i="1"/>
  <c r="I560" i="1" s="1"/>
  <c r="F560" i="1"/>
  <c r="E560" i="1"/>
  <c r="D560" i="1"/>
  <c r="C560" i="1"/>
  <c r="L559" i="1"/>
  <c r="H559" i="1"/>
  <c r="I559" i="1" s="1"/>
  <c r="F559" i="1"/>
  <c r="E559" i="1"/>
  <c r="D559" i="1"/>
  <c r="C559" i="1"/>
  <c r="L558" i="1"/>
  <c r="H558" i="1"/>
  <c r="I558" i="1" s="1"/>
  <c r="F558" i="1"/>
  <c r="E558" i="1"/>
  <c r="D558" i="1"/>
  <c r="C558" i="1"/>
  <c r="L557" i="1"/>
  <c r="I557" i="1"/>
  <c r="H557" i="1"/>
  <c r="F557" i="1"/>
  <c r="E557" i="1"/>
  <c r="D557" i="1"/>
  <c r="C557" i="1"/>
  <c r="L556" i="1"/>
  <c r="H556" i="1"/>
  <c r="I556" i="1" s="1"/>
  <c r="F556" i="1"/>
  <c r="E556" i="1"/>
  <c r="D556" i="1"/>
  <c r="C556" i="1"/>
  <c r="L555" i="1"/>
  <c r="H555" i="1"/>
  <c r="I555" i="1" s="1"/>
  <c r="F555" i="1"/>
  <c r="E555" i="1"/>
  <c r="D555" i="1"/>
  <c r="C555" i="1"/>
  <c r="L554" i="1"/>
  <c r="I554" i="1"/>
  <c r="H554" i="1"/>
  <c r="F554" i="1"/>
  <c r="E554" i="1"/>
  <c r="D554" i="1"/>
  <c r="C554" i="1"/>
  <c r="L553" i="1"/>
  <c r="H553" i="1"/>
  <c r="I553" i="1" s="1"/>
  <c r="F553" i="1"/>
  <c r="E553" i="1"/>
  <c r="D553" i="1"/>
  <c r="C553" i="1"/>
  <c r="L552" i="1"/>
  <c r="H552" i="1"/>
  <c r="I552" i="1" s="1"/>
  <c r="F552" i="1"/>
  <c r="E552" i="1"/>
  <c r="D552" i="1"/>
  <c r="C552" i="1"/>
  <c r="L551" i="1"/>
  <c r="H551" i="1"/>
  <c r="I551" i="1" s="1"/>
  <c r="F551" i="1"/>
  <c r="E551" i="1"/>
  <c r="D551" i="1"/>
  <c r="C551" i="1"/>
  <c r="L550" i="1"/>
  <c r="I550" i="1"/>
  <c r="H550" i="1"/>
  <c r="F550" i="1"/>
  <c r="E550" i="1"/>
  <c r="D550" i="1"/>
  <c r="C550" i="1"/>
  <c r="L549" i="1"/>
  <c r="H549" i="1"/>
  <c r="I549" i="1" s="1"/>
  <c r="F549" i="1"/>
  <c r="E549" i="1"/>
  <c r="D549" i="1"/>
  <c r="C549" i="1"/>
  <c r="L548" i="1"/>
  <c r="H548" i="1"/>
  <c r="I548" i="1" s="1"/>
  <c r="F548" i="1"/>
  <c r="E548" i="1"/>
  <c r="D548" i="1"/>
  <c r="C548" i="1"/>
  <c r="L547" i="1"/>
  <c r="H547" i="1"/>
  <c r="I547" i="1" s="1"/>
  <c r="F547" i="1"/>
  <c r="E547" i="1"/>
  <c r="D547" i="1"/>
  <c r="C547" i="1"/>
  <c r="L546" i="1"/>
  <c r="H546" i="1"/>
  <c r="I546" i="1" s="1"/>
  <c r="F546" i="1"/>
  <c r="E546" i="1"/>
  <c r="D546" i="1"/>
  <c r="C546" i="1"/>
  <c r="L545" i="1"/>
  <c r="H545" i="1"/>
  <c r="I545" i="1" s="1"/>
  <c r="F545" i="1"/>
  <c r="E545" i="1"/>
  <c r="D545" i="1"/>
  <c r="C545" i="1"/>
  <c r="L544" i="1"/>
  <c r="H544" i="1"/>
  <c r="I544" i="1" s="1"/>
  <c r="F544" i="1"/>
  <c r="E544" i="1"/>
  <c r="D544" i="1"/>
  <c r="C544" i="1"/>
  <c r="L543" i="1"/>
  <c r="H543" i="1"/>
  <c r="I543" i="1" s="1"/>
  <c r="F543" i="1"/>
  <c r="E543" i="1"/>
  <c r="D543" i="1"/>
  <c r="C543" i="1"/>
  <c r="L542" i="1"/>
  <c r="H542" i="1"/>
  <c r="I542" i="1" s="1"/>
  <c r="F542" i="1"/>
  <c r="E542" i="1"/>
  <c r="D542" i="1"/>
  <c r="C542" i="1"/>
  <c r="L541" i="1"/>
  <c r="H541" i="1"/>
  <c r="I541" i="1" s="1"/>
  <c r="F541" i="1"/>
  <c r="E541" i="1"/>
  <c r="D541" i="1"/>
  <c r="C541" i="1"/>
  <c r="L540" i="1"/>
  <c r="H540" i="1"/>
  <c r="I540" i="1" s="1"/>
  <c r="F540" i="1"/>
  <c r="E540" i="1"/>
  <c r="D540" i="1"/>
  <c r="C540" i="1"/>
  <c r="L539" i="1"/>
  <c r="H539" i="1"/>
  <c r="I539" i="1" s="1"/>
  <c r="F539" i="1"/>
  <c r="E539" i="1"/>
  <c r="D539" i="1"/>
  <c r="C539" i="1"/>
  <c r="L538" i="1"/>
  <c r="H538" i="1"/>
  <c r="I538" i="1" s="1"/>
  <c r="F538" i="1"/>
  <c r="E538" i="1"/>
  <c r="D538" i="1"/>
  <c r="C538" i="1"/>
  <c r="L537" i="1"/>
  <c r="H537" i="1"/>
  <c r="I537" i="1" s="1"/>
  <c r="F537" i="1"/>
  <c r="E537" i="1"/>
  <c r="D537" i="1"/>
  <c r="C537" i="1"/>
  <c r="L536" i="1"/>
  <c r="H536" i="1"/>
  <c r="I536" i="1" s="1"/>
  <c r="F536" i="1"/>
  <c r="E536" i="1"/>
  <c r="D536" i="1"/>
  <c r="C536" i="1"/>
  <c r="L535" i="1"/>
  <c r="H535" i="1"/>
  <c r="I535" i="1" s="1"/>
  <c r="F535" i="1"/>
  <c r="E535" i="1"/>
  <c r="D535" i="1"/>
  <c r="C535" i="1"/>
  <c r="L534" i="1"/>
  <c r="H534" i="1"/>
  <c r="I534" i="1" s="1"/>
  <c r="F534" i="1"/>
  <c r="E534" i="1"/>
  <c r="D534" i="1"/>
  <c r="C534" i="1"/>
  <c r="L533" i="1"/>
  <c r="H533" i="1"/>
  <c r="I533" i="1" s="1"/>
  <c r="F533" i="1"/>
  <c r="E533" i="1"/>
  <c r="D533" i="1"/>
  <c r="C533" i="1"/>
  <c r="L532" i="1"/>
  <c r="H532" i="1"/>
  <c r="I532" i="1" s="1"/>
  <c r="F532" i="1"/>
  <c r="E532" i="1"/>
  <c r="D532" i="1"/>
  <c r="C532" i="1"/>
  <c r="L531" i="1"/>
  <c r="H531" i="1"/>
  <c r="I531" i="1" s="1"/>
  <c r="F531" i="1"/>
  <c r="E531" i="1"/>
  <c r="D531" i="1"/>
  <c r="C531" i="1"/>
  <c r="L530" i="1"/>
  <c r="H530" i="1"/>
  <c r="I530" i="1" s="1"/>
  <c r="F530" i="1"/>
  <c r="E530" i="1"/>
  <c r="D530" i="1"/>
  <c r="C530" i="1"/>
  <c r="L529" i="1"/>
  <c r="H529" i="1"/>
  <c r="I529" i="1" s="1"/>
  <c r="F529" i="1"/>
  <c r="E529" i="1"/>
  <c r="D529" i="1"/>
  <c r="C529" i="1"/>
  <c r="L528" i="1"/>
  <c r="H528" i="1"/>
  <c r="I528" i="1" s="1"/>
  <c r="F528" i="1"/>
  <c r="E528" i="1"/>
  <c r="D528" i="1"/>
  <c r="C528" i="1"/>
  <c r="L527" i="1"/>
  <c r="H527" i="1"/>
  <c r="I527" i="1" s="1"/>
  <c r="F527" i="1"/>
  <c r="E527" i="1"/>
  <c r="D527" i="1"/>
  <c r="C527" i="1"/>
  <c r="L526" i="1"/>
  <c r="H526" i="1"/>
  <c r="I526" i="1" s="1"/>
  <c r="F526" i="1"/>
  <c r="E526" i="1"/>
  <c r="D526" i="1"/>
  <c r="C526" i="1"/>
  <c r="L525" i="1"/>
  <c r="H525" i="1"/>
  <c r="I525" i="1" s="1"/>
  <c r="F525" i="1"/>
  <c r="E525" i="1"/>
  <c r="D525" i="1"/>
  <c r="C525" i="1"/>
  <c r="L524" i="1"/>
  <c r="H524" i="1"/>
  <c r="I524" i="1" s="1"/>
  <c r="F524" i="1"/>
  <c r="E524" i="1"/>
  <c r="D524" i="1"/>
  <c r="C524" i="1"/>
  <c r="L523" i="1"/>
  <c r="H523" i="1"/>
  <c r="I523" i="1" s="1"/>
  <c r="F523" i="1"/>
  <c r="E523" i="1"/>
  <c r="D523" i="1"/>
  <c r="C523" i="1"/>
  <c r="L522" i="1"/>
  <c r="H522" i="1"/>
  <c r="I522" i="1" s="1"/>
  <c r="F522" i="1"/>
  <c r="E522" i="1"/>
  <c r="D522" i="1"/>
  <c r="C522" i="1"/>
  <c r="L521" i="1"/>
  <c r="I521" i="1"/>
  <c r="H521" i="1"/>
  <c r="F521" i="1"/>
  <c r="E521" i="1"/>
  <c r="D521" i="1"/>
  <c r="C521" i="1"/>
  <c r="L520" i="1"/>
  <c r="H520" i="1"/>
  <c r="I520" i="1" s="1"/>
  <c r="F520" i="1"/>
  <c r="E520" i="1"/>
  <c r="D520" i="1"/>
  <c r="C520" i="1"/>
  <c r="L519" i="1"/>
  <c r="H519" i="1"/>
  <c r="I519" i="1" s="1"/>
  <c r="F519" i="1"/>
  <c r="E519" i="1"/>
  <c r="D519" i="1"/>
  <c r="C519" i="1"/>
  <c r="L518" i="1"/>
  <c r="I518" i="1"/>
  <c r="H518" i="1"/>
  <c r="F518" i="1"/>
  <c r="E518" i="1"/>
  <c r="D518" i="1"/>
  <c r="C518" i="1"/>
  <c r="L517" i="1"/>
  <c r="H517" i="1"/>
  <c r="I517" i="1" s="1"/>
  <c r="F517" i="1"/>
  <c r="E517" i="1"/>
  <c r="D517" i="1"/>
  <c r="C517" i="1"/>
  <c r="L516" i="1"/>
  <c r="H516" i="1"/>
  <c r="I516" i="1" s="1"/>
  <c r="F516" i="1"/>
  <c r="E516" i="1"/>
  <c r="D516" i="1"/>
  <c r="C516" i="1"/>
  <c r="L515" i="1"/>
  <c r="H515" i="1"/>
  <c r="I515" i="1" s="1"/>
  <c r="F515" i="1"/>
  <c r="E515" i="1"/>
  <c r="D515" i="1"/>
  <c r="C515" i="1"/>
  <c r="L514" i="1"/>
  <c r="H514" i="1"/>
  <c r="I514" i="1" s="1"/>
  <c r="F514" i="1"/>
  <c r="E514" i="1"/>
  <c r="D514" i="1"/>
  <c r="C514" i="1"/>
  <c r="L513" i="1"/>
  <c r="H513" i="1"/>
  <c r="I513" i="1" s="1"/>
  <c r="F513" i="1"/>
  <c r="E513" i="1"/>
  <c r="D513" i="1"/>
  <c r="C513" i="1"/>
  <c r="L512" i="1"/>
  <c r="H512" i="1"/>
  <c r="I512" i="1" s="1"/>
  <c r="F512" i="1"/>
  <c r="E512" i="1"/>
  <c r="D512" i="1"/>
  <c r="C512" i="1"/>
  <c r="L511" i="1"/>
  <c r="H511" i="1"/>
  <c r="I511" i="1" s="1"/>
  <c r="K511" i="1" s="1"/>
  <c r="F511" i="1"/>
  <c r="E511" i="1"/>
  <c r="D511" i="1"/>
  <c r="C511" i="1"/>
  <c r="L510" i="1"/>
  <c r="H510" i="1"/>
  <c r="I510" i="1" s="1"/>
  <c r="F510" i="1"/>
  <c r="E510" i="1"/>
  <c r="D510" i="1"/>
  <c r="C510" i="1"/>
  <c r="L509" i="1"/>
  <c r="H509" i="1"/>
  <c r="I509" i="1" s="1"/>
  <c r="F509" i="1"/>
  <c r="E509" i="1"/>
  <c r="D509" i="1"/>
  <c r="C509" i="1"/>
  <c r="L508" i="1"/>
  <c r="H508" i="1"/>
  <c r="I508" i="1" s="1"/>
  <c r="F508" i="1"/>
  <c r="E508" i="1"/>
  <c r="D508" i="1"/>
  <c r="C508" i="1"/>
  <c r="L507" i="1"/>
  <c r="H507" i="1"/>
  <c r="I507" i="1" s="1"/>
  <c r="F507" i="1"/>
  <c r="E507" i="1"/>
  <c r="D507" i="1"/>
  <c r="C507" i="1"/>
  <c r="L506" i="1"/>
  <c r="H506" i="1"/>
  <c r="I506" i="1" s="1"/>
  <c r="F506" i="1"/>
  <c r="E506" i="1"/>
  <c r="D506" i="1"/>
  <c r="C506" i="1"/>
  <c r="L505" i="1"/>
  <c r="H505" i="1"/>
  <c r="I505" i="1" s="1"/>
  <c r="F505" i="1"/>
  <c r="E505" i="1"/>
  <c r="D505" i="1"/>
  <c r="C505" i="1"/>
  <c r="L504" i="1"/>
  <c r="H504" i="1"/>
  <c r="I504" i="1" s="1"/>
  <c r="F504" i="1"/>
  <c r="E504" i="1"/>
  <c r="D504" i="1"/>
  <c r="C504" i="1"/>
  <c r="L503" i="1"/>
  <c r="H503" i="1"/>
  <c r="I503" i="1" s="1"/>
  <c r="F503" i="1"/>
  <c r="E503" i="1"/>
  <c r="D503" i="1"/>
  <c r="C503" i="1"/>
  <c r="L502" i="1"/>
  <c r="H502" i="1"/>
  <c r="I502" i="1" s="1"/>
  <c r="F502" i="1"/>
  <c r="E502" i="1"/>
  <c r="D502" i="1"/>
  <c r="C502" i="1"/>
  <c r="L501" i="1"/>
  <c r="H501" i="1"/>
  <c r="I501" i="1" s="1"/>
  <c r="F501" i="1"/>
  <c r="E501" i="1"/>
  <c r="D501" i="1"/>
  <c r="C501" i="1"/>
  <c r="L500" i="1"/>
  <c r="H500" i="1"/>
  <c r="I500" i="1" s="1"/>
  <c r="F500" i="1"/>
  <c r="E500" i="1"/>
  <c r="D500" i="1"/>
  <c r="C500" i="1"/>
  <c r="L499" i="1"/>
  <c r="H499" i="1"/>
  <c r="I499" i="1" s="1"/>
  <c r="F499" i="1"/>
  <c r="E499" i="1"/>
  <c r="D499" i="1"/>
  <c r="C499" i="1"/>
  <c r="L498" i="1"/>
  <c r="H498" i="1"/>
  <c r="I498" i="1" s="1"/>
  <c r="F498" i="1"/>
  <c r="E498" i="1"/>
  <c r="D498" i="1"/>
  <c r="C498" i="1"/>
  <c r="L497" i="1"/>
  <c r="H497" i="1"/>
  <c r="I497" i="1" s="1"/>
  <c r="F497" i="1"/>
  <c r="E497" i="1"/>
  <c r="D497" i="1"/>
  <c r="C497" i="1"/>
  <c r="L496" i="1"/>
  <c r="H496" i="1"/>
  <c r="I496" i="1" s="1"/>
  <c r="F496" i="1"/>
  <c r="E496" i="1"/>
  <c r="D496" i="1"/>
  <c r="C496" i="1"/>
  <c r="L495" i="1"/>
  <c r="H495" i="1"/>
  <c r="I495" i="1" s="1"/>
  <c r="F495" i="1"/>
  <c r="E495" i="1"/>
  <c r="D495" i="1"/>
  <c r="C495" i="1"/>
  <c r="L494" i="1"/>
  <c r="H494" i="1"/>
  <c r="I494" i="1" s="1"/>
  <c r="F494" i="1"/>
  <c r="E494" i="1"/>
  <c r="D494" i="1"/>
  <c r="C494" i="1"/>
  <c r="L493" i="1"/>
  <c r="H493" i="1"/>
  <c r="I493" i="1" s="1"/>
  <c r="F493" i="1"/>
  <c r="E493" i="1"/>
  <c r="D493" i="1"/>
  <c r="C493" i="1"/>
  <c r="L492" i="1"/>
  <c r="H492" i="1"/>
  <c r="I492" i="1" s="1"/>
  <c r="F492" i="1"/>
  <c r="E492" i="1"/>
  <c r="D492" i="1"/>
  <c r="C492" i="1"/>
  <c r="L491" i="1"/>
  <c r="H491" i="1"/>
  <c r="I491" i="1" s="1"/>
  <c r="F491" i="1"/>
  <c r="E491" i="1"/>
  <c r="D491" i="1"/>
  <c r="C491" i="1"/>
  <c r="L490" i="1"/>
  <c r="H490" i="1"/>
  <c r="I490" i="1" s="1"/>
  <c r="F490" i="1"/>
  <c r="E490" i="1"/>
  <c r="D490" i="1"/>
  <c r="C490" i="1"/>
  <c r="L489" i="1"/>
  <c r="H489" i="1"/>
  <c r="I489" i="1" s="1"/>
  <c r="F489" i="1"/>
  <c r="E489" i="1"/>
  <c r="D489" i="1"/>
  <c r="C489" i="1"/>
  <c r="L488" i="1"/>
  <c r="H488" i="1"/>
  <c r="I488" i="1" s="1"/>
  <c r="F488" i="1"/>
  <c r="E488" i="1"/>
  <c r="D488" i="1"/>
  <c r="C488" i="1"/>
  <c r="L487" i="1"/>
  <c r="H487" i="1"/>
  <c r="I487" i="1" s="1"/>
  <c r="F487" i="1"/>
  <c r="E487" i="1"/>
  <c r="D487" i="1"/>
  <c r="C487" i="1"/>
  <c r="L486" i="1"/>
  <c r="H486" i="1"/>
  <c r="I486" i="1" s="1"/>
  <c r="F486" i="1"/>
  <c r="E486" i="1"/>
  <c r="D486" i="1"/>
  <c r="C486" i="1"/>
  <c r="L485" i="1"/>
  <c r="H485" i="1"/>
  <c r="I485" i="1" s="1"/>
  <c r="F485" i="1"/>
  <c r="E485" i="1"/>
  <c r="D485" i="1"/>
  <c r="C485" i="1"/>
  <c r="L484" i="1"/>
  <c r="H484" i="1"/>
  <c r="I484" i="1" s="1"/>
  <c r="F484" i="1"/>
  <c r="E484" i="1"/>
  <c r="D484" i="1"/>
  <c r="C484" i="1"/>
  <c r="L483" i="1"/>
  <c r="H483" i="1"/>
  <c r="I483" i="1" s="1"/>
  <c r="F483" i="1"/>
  <c r="E483" i="1"/>
  <c r="D483" i="1"/>
  <c r="C483" i="1"/>
  <c r="L482" i="1"/>
  <c r="H482" i="1"/>
  <c r="I482" i="1" s="1"/>
  <c r="F482" i="1"/>
  <c r="E482" i="1"/>
  <c r="D482" i="1"/>
  <c r="C482" i="1"/>
  <c r="L481" i="1"/>
  <c r="H481" i="1"/>
  <c r="I481" i="1" s="1"/>
  <c r="F481" i="1"/>
  <c r="E481" i="1"/>
  <c r="D481" i="1"/>
  <c r="C481" i="1"/>
  <c r="L480" i="1"/>
  <c r="H480" i="1"/>
  <c r="I480" i="1" s="1"/>
  <c r="F480" i="1"/>
  <c r="E480" i="1"/>
  <c r="D480" i="1"/>
  <c r="C480" i="1"/>
  <c r="L479" i="1"/>
  <c r="H479" i="1"/>
  <c r="I479" i="1" s="1"/>
  <c r="F479" i="1"/>
  <c r="E479" i="1"/>
  <c r="D479" i="1"/>
  <c r="C479" i="1"/>
  <c r="L478" i="1"/>
  <c r="H478" i="1"/>
  <c r="I478" i="1" s="1"/>
  <c r="F478" i="1"/>
  <c r="E478" i="1"/>
  <c r="D478" i="1"/>
  <c r="C478" i="1"/>
  <c r="L477" i="1"/>
  <c r="H477" i="1"/>
  <c r="I477" i="1" s="1"/>
  <c r="F477" i="1"/>
  <c r="E477" i="1"/>
  <c r="D477" i="1"/>
  <c r="C477" i="1"/>
  <c r="L476" i="1"/>
  <c r="H476" i="1"/>
  <c r="I476" i="1" s="1"/>
  <c r="F476" i="1"/>
  <c r="E476" i="1"/>
  <c r="D476" i="1"/>
  <c r="C476" i="1"/>
  <c r="L475" i="1"/>
  <c r="I475" i="1"/>
  <c r="H475" i="1"/>
  <c r="F475" i="1"/>
  <c r="E475" i="1"/>
  <c r="D475" i="1"/>
  <c r="C475" i="1"/>
  <c r="L474" i="1"/>
  <c r="H474" i="1"/>
  <c r="I474" i="1" s="1"/>
  <c r="F474" i="1"/>
  <c r="E474" i="1"/>
  <c r="D474" i="1"/>
  <c r="C474" i="1"/>
  <c r="L473" i="1"/>
  <c r="H473" i="1"/>
  <c r="I473" i="1" s="1"/>
  <c r="F473" i="1"/>
  <c r="E473" i="1"/>
  <c r="D473" i="1"/>
  <c r="C473" i="1"/>
  <c r="L472" i="1"/>
  <c r="I472" i="1"/>
  <c r="H472" i="1"/>
  <c r="F472" i="1"/>
  <c r="E472" i="1"/>
  <c r="D472" i="1"/>
  <c r="C472" i="1"/>
  <c r="L471" i="1"/>
  <c r="I471" i="1"/>
  <c r="H471" i="1"/>
  <c r="F471" i="1"/>
  <c r="E471" i="1"/>
  <c r="D471" i="1"/>
  <c r="C471" i="1"/>
  <c r="L470" i="1"/>
  <c r="H470" i="1"/>
  <c r="I470" i="1" s="1"/>
  <c r="F470" i="1"/>
  <c r="E470" i="1"/>
  <c r="D470" i="1"/>
  <c r="C470" i="1"/>
  <c r="L469" i="1"/>
  <c r="H469" i="1"/>
  <c r="I469" i="1" s="1"/>
  <c r="F469" i="1"/>
  <c r="E469" i="1"/>
  <c r="D469" i="1"/>
  <c r="C469" i="1"/>
  <c r="L468" i="1"/>
  <c r="H468" i="1"/>
  <c r="I468" i="1" s="1"/>
  <c r="F468" i="1"/>
  <c r="E468" i="1"/>
  <c r="D468" i="1"/>
  <c r="C468" i="1"/>
  <c r="L467" i="1"/>
  <c r="H467" i="1"/>
  <c r="I467" i="1" s="1"/>
  <c r="F467" i="1"/>
  <c r="E467" i="1"/>
  <c r="D467" i="1"/>
  <c r="C467" i="1"/>
  <c r="L466" i="1"/>
  <c r="H466" i="1"/>
  <c r="I466" i="1" s="1"/>
  <c r="F466" i="1"/>
  <c r="E466" i="1"/>
  <c r="D466" i="1"/>
  <c r="C466" i="1"/>
  <c r="L465" i="1"/>
  <c r="H465" i="1"/>
  <c r="I465" i="1" s="1"/>
  <c r="F465" i="1"/>
  <c r="E465" i="1"/>
  <c r="D465" i="1"/>
  <c r="C465" i="1"/>
  <c r="L464" i="1"/>
  <c r="H464" i="1"/>
  <c r="I464" i="1" s="1"/>
  <c r="F464" i="1"/>
  <c r="E464" i="1"/>
  <c r="D464" i="1"/>
  <c r="C464" i="1"/>
  <c r="L463" i="1"/>
  <c r="H463" i="1"/>
  <c r="I463" i="1" s="1"/>
  <c r="F463" i="1"/>
  <c r="E463" i="1"/>
  <c r="D463" i="1"/>
  <c r="C463" i="1"/>
  <c r="L462" i="1"/>
  <c r="H462" i="1"/>
  <c r="I462" i="1" s="1"/>
  <c r="F462" i="1"/>
  <c r="E462" i="1"/>
  <c r="D462" i="1"/>
  <c r="C462" i="1"/>
  <c r="L461" i="1"/>
  <c r="I461" i="1"/>
  <c r="H461" i="1"/>
  <c r="F461" i="1"/>
  <c r="E461" i="1"/>
  <c r="D461" i="1"/>
  <c r="C461" i="1"/>
  <c r="L460" i="1"/>
  <c r="H460" i="1"/>
  <c r="I460" i="1" s="1"/>
  <c r="F460" i="1"/>
  <c r="E460" i="1"/>
  <c r="D460" i="1"/>
  <c r="C460" i="1"/>
  <c r="L459" i="1"/>
  <c r="H459" i="1"/>
  <c r="I459" i="1" s="1"/>
  <c r="F459" i="1"/>
  <c r="E459" i="1"/>
  <c r="D459" i="1"/>
  <c r="C459" i="1"/>
  <c r="L458" i="1"/>
  <c r="I458" i="1"/>
  <c r="H458" i="1"/>
  <c r="F458" i="1"/>
  <c r="E458" i="1"/>
  <c r="D458" i="1"/>
  <c r="C458" i="1"/>
  <c r="L457" i="1"/>
  <c r="H457" i="1"/>
  <c r="I457" i="1" s="1"/>
  <c r="F457" i="1"/>
  <c r="E457" i="1"/>
  <c r="D457" i="1"/>
  <c r="C457" i="1"/>
  <c r="L456" i="1"/>
  <c r="H456" i="1"/>
  <c r="I456" i="1" s="1"/>
  <c r="F456" i="1"/>
  <c r="E456" i="1"/>
  <c r="D456" i="1"/>
  <c r="C456" i="1"/>
  <c r="L455" i="1"/>
  <c r="H455" i="1"/>
  <c r="I455" i="1" s="1"/>
  <c r="F455" i="1"/>
  <c r="E455" i="1"/>
  <c r="D455" i="1"/>
  <c r="C455" i="1"/>
  <c r="L454" i="1"/>
  <c r="H454" i="1"/>
  <c r="I454" i="1" s="1"/>
  <c r="F454" i="1"/>
  <c r="E454" i="1"/>
  <c r="D454" i="1"/>
  <c r="C454" i="1"/>
  <c r="L453" i="1"/>
  <c r="H453" i="1"/>
  <c r="I453" i="1" s="1"/>
  <c r="F453" i="1"/>
  <c r="E453" i="1"/>
  <c r="D453" i="1"/>
  <c r="C453" i="1"/>
  <c r="L452" i="1"/>
  <c r="H452" i="1"/>
  <c r="I452" i="1" s="1"/>
  <c r="F452" i="1"/>
  <c r="E452" i="1"/>
  <c r="D452" i="1"/>
  <c r="C452" i="1"/>
  <c r="L451" i="1"/>
  <c r="I451" i="1"/>
  <c r="H451" i="1"/>
  <c r="F451" i="1"/>
  <c r="E451" i="1"/>
  <c r="D451" i="1"/>
  <c r="C451" i="1"/>
  <c r="L450" i="1"/>
  <c r="H450" i="1"/>
  <c r="I450" i="1" s="1"/>
  <c r="F450" i="1"/>
  <c r="E450" i="1"/>
  <c r="D450" i="1"/>
  <c r="C450" i="1"/>
  <c r="L449" i="1"/>
  <c r="H449" i="1"/>
  <c r="I449" i="1" s="1"/>
  <c r="F449" i="1"/>
  <c r="E449" i="1"/>
  <c r="D449" i="1"/>
  <c r="C449" i="1"/>
  <c r="L448" i="1"/>
  <c r="H448" i="1"/>
  <c r="I448" i="1" s="1"/>
  <c r="F448" i="1"/>
  <c r="E448" i="1"/>
  <c r="D448" i="1"/>
  <c r="C448" i="1"/>
  <c r="L447" i="1"/>
  <c r="H447" i="1"/>
  <c r="I447" i="1" s="1"/>
  <c r="F447" i="1"/>
  <c r="E447" i="1"/>
  <c r="D447" i="1"/>
  <c r="C447" i="1"/>
  <c r="L446" i="1"/>
  <c r="H446" i="1"/>
  <c r="I446" i="1" s="1"/>
  <c r="F446" i="1"/>
  <c r="E446" i="1"/>
  <c r="D446" i="1"/>
  <c r="C446" i="1"/>
  <c r="L445" i="1"/>
  <c r="H445" i="1"/>
  <c r="I445" i="1" s="1"/>
  <c r="F445" i="1"/>
  <c r="E445" i="1"/>
  <c r="D445" i="1"/>
  <c r="C445" i="1"/>
  <c r="L444" i="1"/>
  <c r="H444" i="1"/>
  <c r="I444" i="1" s="1"/>
  <c r="F444" i="1"/>
  <c r="E444" i="1"/>
  <c r="D444" i="1"/>
  <c r="C444" i="1"/>
  <c r="L443" i="1"/>
  <c r="H443" i="1"/>
  <c r="I443" i="1" s="1"/>
  <c r="F443" i="1"/>
  <c r="E443" i="1"/>
  <c r="D443" i="1"/>
  <c r="C443" i="1"/>
  <c r="L442" i="1"/>
  <c r="H442" i="1"/>
  <c r="I442" i="1" s="1"/>
  <c r="F442" i="1"/>
  <c r="E442" i="1"/>
  <c r="D442" i="1"/>
  <c r="C442" i="1"/>
  <c r="L441" i="1"/>
  <c r="H441" i="1"/>
  <c r="I441" i="1" s="1"/>
  <c r="F441" i="1"/>
  <c r="E441" i="1"/>
  <c r="D441" i="1"/>
  <c r="C441" i="1"/>
  <c r="L440" i="1"/>
  <c r="H440" i="1"/>
  <c r="I440" i="1" s="1"/>
  <c r="F440" i="1"/>
  <c r="E440" i="1"/>
  <c r="D440" i="1"/>
  <c r="C440" i="1"/>
  <c r="L439" i="1"/>
  <c r="H439" i="1"/>
  <c r="I439" i="1" s="1"/>
  <c r="F439" i="1"/>
  <c r="E439" i="1"/>
  <c r="D439" i="1"/>
  <c r="C439" i="1"/>
  <c r="L438" i="1"/>
  <c r="H438" i="1"/>
  <c r="I438" i="1" s="1"/>
  <c r="F438" i="1"/>
  <c r="E438" i="1"/>
  <c r="D438" i="1"/>
  <c r="C438" i="1"/>
  <c r="L437" i="1"/>
  <c r="I437" i="1"/>
  <c r="H437" i="1"/>
  <c r="F437" i="1"/>
  <c r="E437" i="1"/>
  <c r="D437" i="1"/>
  <c r="C437" i="1"/>
  <c r="L436" i="1"/>
  <c r="H436" i="1"/>
  <c r="I436" i="1" s="1"/>
  <c r="F436" i="1"/>
  <c r="E436" i="1"/>
  <c r="D436" i="1"/>
  <c r="C436" i="1"/>
  <c r="L435" i="1"/>
  <c r="H435" i="1"/>
  <c r="I435" i="1" s="1"/>
  <c r="G150" i="3" s="1"/>
  <c r="F435" i="1"/>
  <c r="E435" i="1"/>
  <c r="D435" i="1"/>
  <c r="C435" i="1"/>
  <c r="L434" i="1"/>
  <c r="H434" i="1"/>
  <c r="I434" i="1" s="1"/>
  <c r="F434" i="1"/>
  <c r="E434" i="1"/>
  <c r="D434" i="1"/>
  <c r="C434" i="1"/>
  <c r="L433" i="1"/>
  <c r="H433" i="1"/>
  <c r="I433" i="1" s="1"/>
  <c r="F433" i="1"/>
  <c r="E433" i="1"/>
  <c r="D433" i="1"/>
  <c r="C433" i="1"/>
  <c r="L432" i="1"/>
  <c r="H432" i="1"/>
  <c r="I432" i="1" s="1"/>
  <c r="F432" i="1"/>
  <c r="E432" i="1"/>
  <c r="D432" i="1"/>
  <c r="C432" i="1"/>
  <c r="L431" i="1"/>
  <c r="H431" i="1"/>
  <c r="I431" i="1" s="1"/>
  <c r="F431" i="1"/>
  <c r="E431" i="1"/>
  <c r="D431" i="1"/>
  <c r="C431" i="1"/>
  <c r="L430" i="1"/>
  <c r="I430" i="1"/>
  <c r="H430" i="1"/>
  <c r="F430" i="1"/>
  <c r="E430" i="1"/>
  <c r="D430" i="1"/>
  <c r="C430" i="1"/>
  <c r="L429" i="1"/>
  <c r="H429" i="1"/>
  <c r="I429" i="1" s="1"/>
  <c r="F429" i="1"/>
  <c r="E429" i="1"/>
  <c r="D429" i="1"/>
  <c r="C429" i="1"/>
  <c r="L428" i="1"/>
  <c r="H428" i="1"/>
  <c r="I428" i="1" s="1"/>
  <c r="F428" i="1"/>
  <c r="E428" i="1"/>
  <c r="D428" i="1"/>
  <c r="C428" i="1"/>
  <c r="L427" i="1"/>
  <c r="I427" i="1"/>
  <c r="H427" i="1"/>
  <c r="F427" i="1"/>
  <c r="E427" i="1"/>
  <c r="D427" i="1"/>
  <c r="C427" i="1"/>
  <c r="L426" i="1"/>
  <c r="H426" i="1"/>
  <c r="I426" i="1" s="1"/>
  <c r="F426" i="1"/>
  <c r="E426" i="1"/>
  <c r="D426" i="1"/>
  <c r="C426" i="1"/>
  <c r="L425" i="1"/>
  <c r="H425" i="1"/>
  <c r="I425" i="1" s="1"/>
  <c r="F425" i="1"/>
  <c r="E425" i="1"/>
  <c r="D425" i="1"/>
  <c r="C425" i="1"/>
  <c r="L424" i="1"/>
  <c r="H424" i="1"/>
  <c r="I424" i="1" s="1"/>
  <c r="F424" i="1"/>
  <c r="E424" i="1"/>
  <c r="D424" i="1"/>
  <c r="C424" i="1"/>
  <c r="L423" i="1"/>
  <c r="H423" i="1"/>
  <c r="I423" i="1" s="1"/>
  <c r="F423" i="1"/>
  <c r="E423" i="1"/>
  <c r="D423" i="1"/>
  <c r="C423" i="1"/>
  <c r="L422" i="1"/>
  <c r="H422" i="1"/>
  <c r="I422" i="1" s="1"/>
  <c r="F422" i="1"/>
  <c r="E422" i="1"/>
  <c r="D422" i="1"/>
  <c r="C422" i="1"/>
  <c r="L421" i="1"/>
  <c r="H421" i="1"/>
  <c r="I421" i="1" s="1"/>
  <c r="F421" i="1"/>
  <c r="E421" i="1"/>
  <c r="D421" i="1"/>
  <c r="C421" i="1"/>
  <c r="L420" i="1"/>
  <c r="H420" i="1"/>
  <c r="I420" i="1" s="1"/>
  <c r="F420" i="1"/>
  <c r="E420" i="1"/>
  <c r="D420" i="1"/>
  <c r="C420" i="1"/>
  <c r="L419" i="1"/>
  <c r="H419" i="1"/>
  <c r="I419" i="1" s="1"/>
  <c r="F419" i="1"/>
  <c r="E419" i="1"/>
  <c r="D419" i="1"/>
  <c r="C419" i="1"/>
  <c r="L418" i="1"/>
  <c r="H418" i="1"/>
  <c r="I418" i="1" s="1"/>
  <c r="F418" i="1"/>
  <c r="E418" i="1"/>
  <c r="D418" i="1"/>
  <c r="C418" i="1"/>
  <c r="L417" i="1"/>
  <c r="H417" i="1"/>
  <c r="I417" i="1" s="1"/>
  <c r="F417" i="1"/>
  <c r="E417" i="1"/>
  <c r="D417" i="1"/>
  <c r="C417" i="1"/>
  <c r="L416" i="1"/>
  <c r="H416" i="1"/>
  <c r="I416" i="1" s="1"/>
  <c r="F416" i="1"/>
  <c r="E416" i="1"/>
  <c r="D416" i="1"/>
  <c r="C416" i="1"/>
  <c r="L415" i="1"/>
  <c r="H415" i="1"/>
  <c r="I415" i="1" s="1"/>
  <c r="F415" i="1"/>
  <c r="E415" i="1"/>
  <c r="D415" i="1"/>
  <c r="C415" i="1"/>
  <c r="L414" i="1"/>
  <c r="H414" i="1"/>
  <c r="I414" i="1" s="1"/>
  <c r="F414" i="1"/>
  <c r="E414" i="1"/>
  <c r="D414" i="1"/>
  <c r="C414" i="1"/>
  <c r="L413" i="1"/>
  <c r="H413" i="1"/>
  <c r="I413" i="1" s="1"/>
  <c r="F413" i="1"/>
  <c r="E413" i="1"/>
  <c r="D413" i="1"/>
  <c r="C413" i="1"/>
  <c r="L412" i="1"/>
  <c r="H412" i="1"/>
  <c r="I412" i="1" s="1"/>
  <c r="F412" i="1"/>
  <c r="E412" i="1"/>
  <c r="D412" i="1"/>
  <c r="C412" i="1"/>
  <c r="L411" i="1"/>
  <c r="H411" i="1"/>
  <c r="I411" i="1" s="1"/>
  <c r="F411" i="1"/>
  <c r="E411" i="1"/>
  <c r="D411" i="1"/>
  <c r="C411" i="1"/>
  <c r="L410" i="1"/>
  <c r="H410" i="1"/>
  <c r="I410" i="1" s="1"/>
  <c r="F410" i="1"/>
  <c r="E410" i="1"/>
  <c r="D410" i="1"/>
  <c r="C410" i="1"/>
  <c r="L409" i="1"/>
  <c r="H409" i="1"/>
  <c r="I409" i="1" s="1"/>
  <c r="F409" i="1"/>
  <c r="E409" i="1"/>
  <c r="D409" i="1"/>
  <c r="C409" i="1"/>
  <c r="L408" i="1"/>
  <c r="H408" i="1"/>
  <c r="I408" i="1" s="1"/>
  <c r="F408" i="1"/>
  <c r="E408" i="1"/>
  <c r="D408" i="1"/>
  <c r="C408" i="1"/>
  <c r="L407" i="1"/>
  <c r="I407" i="1"/>
  <c r="H407" i="1"/>
  <c r="F407" i="1"/>
  <c r="E407" i="1"/>
  <c r="D407" i="1"/>
  <c r="C407" i="1"/>
  <c r="L406" i="1"/>
  <c r="H406" i="1"/>
  <c r="I406" i="1" s="1"/>
  <c r="F406" i="1"/>
  <c r="E406" i="1"/>
  <c r="D406" i="1"/>
  <c r="C406" i="1"/>
  <c r="L405" i="1"/>
  <c r="H405" i="1"/>
  <c r="I405" i="1" s="1"/>
  <c r="F405" i="1"/>
  <c r="E405" i="1"/>
  <c r="D405" i="1"/>
  <c r="C405" i="1"/>
  <c r="L404" i="1"/>
  <c r="H404" i="1"/>
  <c r="I404" i="1" s="1"/>
  <c r="F404" i="1"/>
  <c r="E404" i="1"/>
  <c r="D404" i="1"/>
  <c r="C404" i="1"/>
  <c r="L403" i="1"/>
  <c r="H403" i="1"/>
  <c r="I403" i="1" s="1"/>
  <c r="F403" i="1"/>
  <c r="E403" i="1"/>
  <c r="D403" i="1"/>
  <c r="C403" i="1"/>
  <c r="L402" i="1"/>
  <c r="H402" i="1"/>
  <c r="I402" i="1" s="1"/>
  <c r="G129" i="3" s="1"/>
  <c r="F402" i="1"/>
  <c r="E402" i="1"/>
  <c r="D402" i="1"/>
  <c r="C402" i="1"/>
  <c r="L401" i="1"/>
  <c r="H401" i="1"/>
  <c r="I401" i="1" s="1"/>
  <c r="F401" i="1"/>
  <c r="E401" i="1"/>
  <c r="D401" i="1"/>
  <c r="C401" i="1"/>
  <c r="L400" i="1"/>
  <c r="H400" i="1"/>
  <c r="I400" i="1" s="1"/>
  <c r="F400" i="1"/>
  <c r="E400" i="1"/>
  <c r="D400" i="1"/>
  <c r="C400" i="1"/>
  <c r="L399" i="1"/>
  <c r="H399" i="1"/>
  <c r="I399" i="1" s="1"/>
  <c r="F399" i="1"/>
  <c r="E399" i="1"/>
  <c r="D399" i="1"/>
  <c r="C399" i="1"/>
  <c r="L398" i="1"/>
  <c r="H398" i="1"/>
  <c r="I398" i="1" s="1"/>
  <c r="F398" i="1"/>
  <c r="E398" i="1"/>
  <c r="D398" i="1"/>
  <c r="C398" i="1"/>
  <c r="L397" i="1"/>
  <c r="H397" i="1"/>
  <c r="I397" i="1" s="1"/>
  <c r="F397" i="1"/>
  <c r="E397" i="1"/>
  <c r="D397" i="1"/>
  <c r="C397" i="1"/>
  <c r="L396" i="1"/>
  <c r="H396" i="1"/>
  <c r="I396" i="1" s="1"/>
  <c r="F396" i="1"/>
  <c r="E396" i="1"/>
  <c r="D396" i="1"/>
  <c r="C396" i="1"/>
  <c r="L395" i="1"/>
  <c r="H395" i="1"/>
  <c r="I395" i="1" s="1"/>
  <c r="F395" i="1"/>
  <c r="E395" i="1"/>
  <c r="D395" i="1"/>
  <c r="C395" i="1"/>
  <c r="L394" i="1"/>
  <c r="I394" i="1"/>
  <c r="H394" i="1"/>
  <c r="F394" i="1"/>
  <c r="E394" i="1"/>
  <c r="D394" i="1"/>
  <c r="C394" i="1"/>
  <c r="L393" i="1"/>
  <c r="H393" i="1"/>
  <c r="I393" i="1" s="1"/>
  <c r="F393" i="1"/>
  <c r="E393" i="1"/>
  <c r="D393" i="1"/>
  <c r="C393" i="1"/>
  <c r="L392" i="1"/>
  <c r="H392" i="1"/>
  <c r="I392" i="1" s="1"/>
  <c r="F392" i="1"/>
  <c r="E392" i="1"/>
  <c r="D392" i="1"/>
  <c r="C392" i="1"/>
  <c r="L391" i="1"/>
  <c r="H391" i="1"/>
  <c r="I391" i="1" s="1"/>
  <c r="F391" i="1"/>
  <c r="E391" i="1"/>
  <c r="D391" i="1"/>
  <c r="C391" i="1"/>
  <c r="L390" i="1"/>
  <c r="H390" i="1"/>
  <c r="I390" i="1" s="1"/>
  <c r="F390" i="1"/>
  <c r="E390" i="1"/>
  <c r="D390" i="1"/>
  <c r="C390" i="1"/>
  <c r="L389" i="1"/>
  <c r="H389" i="1"/>
  <c r="I389" i="1" s="1"/>
  <c r="F389" i="1"/>
  <c r="E389" i="1"/>
  <c r="D389" i="1"/>
  <c r="C389" i="1"/>
  <c r="L388" i="1"/>
  <c r="H388" i="1"/>
  <c r="I388" i="1" s="1"/>
  <c r="F388" i="1"/>
  <c r="E388" i="1"/>
  <c r="D388" i="1"/>
  <c r="C388" i="1"/>
  <c r="L387" i="1"/>
  <c r="I387" i="1"/>
  <c r="H387" i="1"/>
  <c r="F387" i="1"/>
  <c r="E387" i="1"/>
  <c r="D387" i="1"/>
  <c r="C387" i="1"/>
  <c r="L386" i="1"/>
  <c r="H386" i="1"/>
  <c r="I386" i="1" s="1"/>
  <c r="F386" i="1"/>
  <c r="E386" i="1"/>
  <c r="D386" i="1"/>
  <c r="C386" i="1"/>
  <c r="L385" i="1"/>
  <c r="H385" i="1"/>
  <c r="I385" i="1" s="1"/>
  <c r="F385" i="1"/>
  <c r="E385" i="1"/>
  <c r="D385" i="1"/>
  <c r="C385" i="1"/>
  <c r="L384" i="1"/>
  <c r="H384" i="1"/>
  <c r="I384" i="1" s="1"/>
  <c r="F384" i="1"/>
  <c r="E384" i="1"/>
  <c r="D384" i="1"/>
  <c r="C384" i="1"/>
  <c r="L383" i="1"/>
  <c r="H383" i="1"/>
  <c r="I383" i="1" s="1"/>
  <c r="F383" i="1"/>
  <c r="E383" i="1"/>
  <c r="D383" i="1"/>
  <c r="C383" i="1"/>
  <c r="L382" i="1"/>
  <c r="H382" i="1"/>
  <c r="I382" i="1" s="1"/>
  <c r="F382" i="1"/>
  <c r="E382" i="1"/>
  <c r="D382" i="1"/>
  <c r="C382" i="1"/>
  <c r="L381" i="1"/>
  <c r="H381" i="1"/>
  <c r="I381" i="1" s="1"/>
  <c r="F381" i="1"/>
  <c r="E381" i="1"/>
  <c r="D381" i="1"/>
  <c r="C381" i="1"/>
  <c r="L380" i="1"/>
  <c r="H380" i="1"/>
  <c r="I380" i="1" s="1"/>
  <c r="F380" i="1"/>
  <c r="E380" i="1"/>
  <c r="D380" i="1"/>
  <c r="C380" i="1"/>
  <c r="L379" i="1"/>
  <c r="H379" i="1"/>
  <c r="I379" i="1" s="1"/>
  <c r="F379" i="1"/>
  <c r="E379" i="1"/>
  <c r="D379" i="1"/>
  <c r="C379" i="1"/>
  <c r="L378" i="1"/>
  <c r="H378" i="1"/>
  <c r="I378" i="1" s="1"/>
  <c r="F378" i="1"/>
  <c r="E378" i="1"/>
  <c r="D378" i="1"/>
  <c r="C378" i="1"/>
  <c r="L377" i="1"/>
  <c r="H377" i="1"/>
  <c r="I377" i="1" s="1"/>
  <c r="F377" i="1"/>
  <c r="E377" i="1"/>
  <c r="D377" i="1"/>
  <c r="C377" i="1"/>
  <c r="L376" i="1"/>
  <c r="H376" i="1"/>
  <c r="I376" i="1" s="1"/>
  <c r="F376" i="1"/>
  <c r="E376" i="1"/>
  <c r="D376" i="1"/>
  <c r="C376" i="1"/>
  <c r="L375" i="1"/>
  <c r="H375" i="1"/>
  <c r="I375" i="1" s="1"/>
  <c r="F375" i="1"/>
  <c r="E375" i="1"/>
  <c r="D375" i="1"/>
  <c r="C375" i="1"/>
  <c r="L374" i="1"/>
  <c r="H374" i="1"/>
  <c r="I374" i="1" s="1"/>
  <c r="F374" i="1"/>
  <c r="E374" i="1"/>
  <c r="D374" i="1"/>
  <c r="C374" i="1"/>
  <c r="L373" i="1"/>
  <c r="H373" i="1"/>
  <c r="I373" i="1" s="1"/>
  <c r="F373" i="1"/>
  <c r="E373" i="1"/>
  <c r="D373" i="1"/>
  <c r="C373" i="1"/>
  <c r="L372" i="1"/>
  <c r="H372" i="1"/>
  <c r="I372" i="1" s="1"/>
  <c r="F372" i="1"/>
  <c r="E372" i="1"/>
  <c r="D372" i="1"/>
  <c r="C372" i="1"/>
  <c r="L371" i="1"/>
  <c r="H371" i="1"/>
  <c r="I371" i="1" s="1"/>
  <c r="F371" i="1"/>
  <c r="E371" i="1"/>
  <c r="D371" i="1"/>
  <c r="C371" i="1"/>
  <c r="L370" i="1"/>
  <c r="H370" i="1"/>
  <c r="I370" i="1" s="1"/>
  <c r="F370" i="1"/>
  <c r="E370" i="1"/>
  <c r="D370" i="1"/>
  <c r="C370" i="1"/>
  <c r="L369" i="1"/>
  <c r="H369" i="1"/>
  <c r="I369" i="1" s="1"/>
  <c r="F369" i="1"/>
  <c r="E369" i="1"/>
  <c r="D369" i="1"/>
  <c r="C369" i="1"/>
  <c r="L368" i="1"/>
  <c r="H368" i="1"/>
  <c r="I368" i="1" s="1"/>
  <c r="F368" i="1"/>
  <c r="E368" i="1"/>
  <c r="D368" i="1"/>
  <c r="C368" i="1"/>
  <c r="L367" i="1"/>
  <c r="H367" i="1"/>
  <c r="I367" i="1" s="1"/>
  <c r="F367" i="1"/>
  <c r="E367" i="1"/>
  <c r="D367" i="1"/>
  <c r="C367" i="1"/>
  <c r="L366" i="1"/>
  <c r="H366" i="1"/>
  <c r="I366" i="1" s="1"/>
  <c r="F366" i="1"/>
  <c r="E366" i="1"/>
  <c r="D366" i="1"/>
  <c r="C366" i="1"/>
  <c r="L365" i="1"/>
  <c r="H365" i="1"/>
  <c r="I365" i="1" s="1"/>
  <c r="F365" i="1"/>
  <c r="E365" i="1"/>
  <c r="D365" i="1"/>
  <c r="C365" i="1"/>
  <c r="L364" i="1"/>
  <c r="H364" i="1"/>
  <c r="I364" i="1" s="1"/>
  <c r="G87" i="3" s="1"/>
  <c r="F364" i="1"/>
  <c r="E364" i="1"/>
  <c r="D364" i="1"/>
  <c r="C364" i="1"/>
  <c r="L363" i="1"/>
  <c r="H363" i="1"/>
  <c r="I363" i="1" s="1"/>
  <c r="F363" i="1"/>
  <c r="E363" i="1"/>
  <c r="D363" i="1"/>
  <c r="C363" i="1"/>
  <c r="L362" i="1"/>
  <c r="H362" i="1"/>
  <c r="I362" i="1" s="1"/>
  <c r="G6" i="3" s="1"/>
  <c r="F362" i="1"/>
  <c r="E362" i="1"/>
  <c r="D362" i="1"/>
  <c r="C362" i="1"/>
  <c r="L361" i="1"/>
  <c r="H361" i="1"/>
  <c r="I361" i="1" s="1"/>
  <c r="F361" i="1"/>
  <c r="E361" i="1"/>
  <c r="D361" i="1"/>
  <c r="C361" i="1"/>
  <c r="L360" i="1"/>
  <c r="H360" i="1"/>
  <c r="I360" i="1" s="1"/>
  <c r="F360" i="1"/>
  <c r="E360" i="1"/>
  <c r="D360" i="1"/>
  <c r="C360" i="1"/>
  <c r="L359" i="1"/>
  <c r="I359" i="1"/>
  <c r="H359" i="1"/>
  <c r="F359" i="1"/>
  <c r="E359" i="1"/>
  <c r="D359" i="1"/>
  <c r="C359" i="1"/>
  <c r="L358" i="1"/>
  <c r="H358" i="1"/>
  <c r="I358" i="1" s="1"/>
  <c r="F358" i="1"/>
  <c r="E358" i="1"/>
  <c r="D358" i="1"/>
  <c r="C358" i="1"/>
  <c r="L357" i="1"/>
  <c r="H357" i="1"/>
  <c r="I357" i="1" s="1"/>
  <c r="F357" i="1"/>
  <c r="E357" i="1"/>
  <c r="D357" i="1"/>
  <c r="C357" i="1"/>
  <c r="L356" i="1"/>
  <c r="H356" i="1"/>
  <c r="I356" i="1" s="1"/>
  <c r="F356" i="1"/>
  <c r="E356" i="1"/>
  <c r="D356" i="1"/>
  <c r="C356" i="1"/>
  <c r="L355" i="1"/>
  <c r="H355" i="1"/>
  <c r="I355" i="1" s="1"/>
  <c r="F355" i="1"/>
  <c r="E355" i="1"/>
  <c r="D355" i="1"/>
  <c r="C355" i="1"/>
  <c r="L354" i="1"/>
  <c r="I354" i="1"/>
  <c r="H354" i="1"/>
  <c r="F354" i="1"/>
  <c r="E354" i="1"/>
  <c r="D354" i="1"/>
  <c r="C354" i="1"/>
  <c r="L353" i="1"/>
  <c r="H353" i="1"/>
  <c r="I353" i="1" s="1"/>
  <c r="F353" i="1"/>
  <c r="E353" i="1"/>
  <c r="D353" i="1"/>
  <c r="C353" i="1"/>
  <c r="L352" i="1"/>
  <c r="H352" i="1"/>
  <c r="I352" i="1" s="1"/>
  <c r="F352" i="1"/>
  <c r="E352" i="1"/>
  <c r="D352" i="1"/>
  <c r="C352" i="1"/>
  <c r="L351" i="1"/>
  <c r="H351" i="1"/>
  <c r="I351" i="1" s="1"/>
  <c r="F351" i="1"/>
  <c r="E351" i="1"/>
  <c r="D351" i="1"/>
  <c r="C351" i="1"/>
  <c r="L350" i="1"/>
  <c r="I350" i="1"/>
  <c r="H350" i="1"/>
  <c r="F350" i="1"/>
  <c r="E350" i="1"/>
  <c r="D350" i="1"/>
  <c r="C350" i="1"/>
  <c r="L349" i="1"/>
  <c r="H349" i="1"/>
  <c r="I349" i="1" s="1"/>
  <c r="F349" i="1"/>
  <c r="E349" i="1"/>
  <c r="D349" i="1"/>
  <c r="C349" i="1"/>
  <c r="L348" i="1"/>
  <c r="H348" i="1"/>
  <c r="I348" i="1" s="1"/>
  <c r="F348" i="1"/>
  <c r="E348" i="1"/>
  <c r="D348" i="1"/>
  <c r="C348" i="1"/>
  <c r="L347" i="1"/>
  <c r="I347" i="1"/>
  <c r="H347" i="1"/>
  <c r="F347" i="1"/>
  <c r="E347" i="1"/>
  <c r="D347" i="1"/>
  <c r="C347" i="1"/>
  <c r="L346" i="1"/>
  <c r="H346" i="1"/>
  <c r="I346" i="1" s="1"/>
  <c r="F346" i="1"/>
  <c r="E346" i="1"/>
  <c r="D346" i="1"/>
  <c r="C346" i="1"/>
  <c r="L345" i="1"/>
  <c r="H345" i="1"/>
  <c r="I345" i="1" s="1"/>
  <c r="F345" i="1"/>
  <c r="E345" i="1"/>
  <c r="D345" i="1"/>
  <c r="C345" i="1"/>
  <c r="L344" i="1"/>
  <c r="H344" i="1"/>
  <c r="I344" i="1" s="1"/>
  <c r="F344" i="1"/>
  <c r="E344" i="1"/>
  <c r="D344" i="1"/>
  <c r="C344" i="1"/>
  <c r="L343" i="1"/>
  <c r="H343" i="1"/>
  <c r="I343" i="1" s="1"/>
  <c r="F343" i="1"/>
  <c r="E343" i="1"/>
  <c r="D343" i="1"/>
  <c r="C343" i="1"/>
  <c r="L342" i="1"/>
  <c r="H342" i="1"/>
  <c r="I342" i="1" s="1"/>
  <c r="F342" i="1"/>
  <c r="E342" i="1"/>
  <c r="D342" i="1"/>
  <c r="C342" i="1"/>
  <c r="L341" i="1"/>
  <c r="H341" i="1"/>
  <c r="I341" i="1" s="1"/>
  <c r="F341" i="1"/>
  <c r="E341" i="1"/>
  <c r="D341" i="1"/>
  <c r="C341" i="1"/>
  <c r="L340" i="1"/>
  <c r="H340" i="1"/>
  <c r="I340" i="1" s="1"/>
  <c r="F340" i="1"/>
  <c r="E340" i="1"/>
  <c r="D340" i="1"/>
  <c r="C340" i="1"/>
  <c r="L339" i="1"/>
  <c r="H339" i="1"/>
  <c r="I339" i="1" s="1"/>
  <c r="F339" i="1"/>
  <c r="E339" i="1"/>
  <c r="D339" i="1"/>
  <c r="C339" i="1"/>
  <c r="L338" i="1"/>
  <c r="H338" i="1"/>
  <c r="I338" i="1" s="1"/>
  <c r="F338" i="1"/>
  <c r="E338" i="1"/>
  <c r="D338" i="1"/>
  <c r="C338" i="1"/>
  <c r="L337" i="1"/>
  <c r="I337" i="1"/>
  <c r="H337" i="1"/>
  <c r="F337" i="1"/>
  <c r="E337" i="1"/>
  <c r="D337" i="1"/>
  <c r="C337" i="1"/>
  <c r="L336" i="1"/>
  <c r="H336" i="1"/>
  <c r="I336" i="1" s="1"/>
  <c r="F336" i="1"/>
  <c r="E336" i="1"/>
  <c r="D336" i="1"/>
  <c r="C336" i="1"/>
  <c r="L335" i="1"/>
  <c r="H335" i="1"/>
  <c r="I335" i="1" s="1"/>
  <c r="F335" i="1"/>
  <c r="E335" i="1"/>
  <c r="D335" i="1"/>
  <c r="C335" i="1"/>
  <c r="L334" i="1"/>
  <c r="H334" i="1"/>
  <c r="I334" i="1" s="1"/>
  <c r="F334" i="1"/>
  <c r="E334" i="1"/>
  <c r="D334" i="1"/>
  <c r="C334" i="1"/>
  <c r="L333" i="1"/>
  <c r="H333" i="1"/>
  <c r="I333" i="1" s="1"/>
  <c r="F333" i="1"/>
  <c r="E333" i="1"/>
  <c r="D333" i="1"/>
  <c r="C333" i="1"/>
  <c r="L332" i="1"/>
  <c r="H332" i="1"/>
  <c r="I332" i="1" s="1"/>
  <c r="F332" i="1"/>
  <c r="E332" i="1"/>
  <c r="D332" i="1"/>
  <c r="C332" i="1"/>
  <c r="L331" i="1"/>
  <c r="H331" i="1"/>
  <c r="I331" i="1" s="1"/>
  <c r="F331" i="1"/>
  <c r="E331" i="1"/>
  <c r="D331" i="1"/>
  <c r="C331" i="1"/>
  <c r="L330" i="1"/>
  <c r="H330" i="1"/>
  <c r="I330" i="1" s="1"/>
  <c r="F330" i="1"/>
  <c r="E330" i="1"/>
  <c r="D330" i="1"/>
  <c r="C330" i="1"/>
  <c r="L329" i="1"/>
  <c r="H329" i="1"/>
  <c r="I329" i="1" s="1"/>
  <c r="F329" i="1"/>
  <c r="E329" i="1"/>
  <c r="D329" i="1"/>
  <c r="C329" i="1"/>
  <c r="L328" i="1"/>
  <c r="H328" i="1"/>
  <c r="I328" i="1" s="1"/>
  <c r="F328" i="1"/>
  <c r="E328" i="1"/>
  <c r="D328" i="1"/>
  <c r="C328" i="1"/>
  <c r="L327" i="1"/>
  <c r="H327" i="1"/>
  <c r="I327" i="1" s="1"/>
  <c r="F327" i="1"/>
  <c r="E327" i="1"/>
  <c r="D327" i="1"/>
  <c r="C327" i="1"/>
  <c r="L326" i="1"/>
  <c r="I326" i="1"/>
  <c r="H326" i="1"/>
  <c r="F326" i="1"/>
  <c r="E326" i="1"/>
  <c r="D326" i="1"/>
  <c r="C326" i="1"/>
  <c r="L325" i="1"/>
  <c r="H325" i="1"/>
  <c r="I325" i="1" s="1"/>
  <c r="F325" i="1"/>
  <c r="E325" i="1"/>
  <c r="D325" i="1"/>
  <c r="C325" i="1"/>
  <c r="L324" i="1"/>
  <c r="H324" i="1"/>
  <c r="I324" i="1" s="1"/>
  <c r="F324" i="1"/>
  <c r="E324" i="1"/>
  <c r="D324" i="1"/>
  <c r="C324" i="1"/>
  <c r="L323" i="1"/>
  <c r="H323" i="1"/>
  <c r="I323" i="1" s="1"/>
  <c r="F323" i="1"/>
  <c r="E323" i="1"/>
  <c r="D323" i="1"/>
  <c r="C323" i="1"/>
  <c r="L322" i="1"/>
  <c r="H322" i="1"/>
  <c r="I322" i="1" s="1"/>
  <c r="F322" i="1"/>
  <c r="E322" i="1"/>
  <c r="D322" i="1"/>
  <c r="C322" i="1"/>
  <c r="L321" i="1"/>
  <c r="H321" i="1"/>
  <c r="I321" i="1" s="1"/>
  <c r="F321" i="1"/>
  <c r="E321" i="1"/>
  <c r="D321" i="1"/>
  <c r="C321" i="1"/>
  <c r="L320" i="1"/>
  <c r="H320" i="1"/>
  <c r="I320" i="1" s="1"/>
  <c r="F320" i="1"/>
  <c r="E320" i="1"/>
  <c r="D320" i="1"/>
  <c r="C320" i="1"/>
  <c r="L319" i="1"/>
  <c r="I319" i="1"/>
  <c r="H319" i="1"/>
  <c r="F319" i="1"/>
  <c r="E319" i="1"/>
  <c r="D319" i="1"/>
  <c r="C319" i="1"/>
  <c r="L318" i="1"/>
  <c r="H318" i="1"/>
  <c r="I318" i="1" s="1"/>
  <c r="F318" i="1"/>
  <c r="E318" i="1"/>
  <c r="D318" i="1"/>
  <c r="C318" i="1"/>
  <c r="L317" i="1"/>
  <c r="H317" i="1"/>
  <c r="I317" i="1" s="1"/>
  <c r="F317" i="1"/>
  <c r="E317" i="1"/>
  <c r="D317" i="1"/>
  <c r="C317" i="1"/>
  <c r="L316" i="1"/>
  <c r="H316" i="1"/>
  <c r="I316" i="1" s="1"/>
  <c r="F316" i="1"/>
  <c r="E316" i="1"/>
  <c r="D316" i="1"/>
  <c r="C316" i="1"/>
  <c r="L315" i="1"/>
  <c r="H315" i="1"/>
  <c r="I315" i="1" s="1"/>
  <c r="F315" i="1"/>
  <c r="E315" i="1"/>
  <c r="D315" i="1"/>
  <c r="C315" i="1"/>
  <c r="L314" i="1"/>
  <c r="I314" i="1"/>
  <c r="H314" i="1"/>
  <c r="F314" i="1"/>
  <c r="E314" i="1"/>
  <c r="D314" i="1"/>
  <c r="C314" i="1"/>
  <c r="L313" i="1"/>
  <c r="H313" i="1"/>
  <c r="I313" i="1" s="1"/>
  <c r="F313" i="1"/>
  <c r="E313" i="1"/>
  <c r="D313" i="1"/>
  <c r="C313" i="1"/>
  <c r="L312" i="1"/>
  <c r="H312" i="1"/>
  <c r="I312" i="1" s="1"/>
  <c r="F312" i="1"/>
  <c r="E312" i="1"/>
  <c r="D312" i="1"/>
  <c r="C312" i="1"/>
  <c r="L311" i="1"/>
  <c r="H311" i="1"/>
  <c r="I311" i="1" s="1"/>
  <c r="F311" i="1"/>
  <c r="E311" i="1"/>
  <c r="D311" i="1"/>
  <c r="C311" i="1"/>
  <c r="L310" i="1"/>
  <c r="I310" i="1"/>
  <c r="H310" i="1"/>
  <c r="F310" i="1"/>
  <c r="E310" i="1"/>
  <c r="D310" i="1"/>
  <c r="C310" i="1"/>
  <c r="L309" i="1"/>
  <c r="I309" i="1"/>
  <c r="H309" i="1"/>
  <c r="F309" i="1"/>
  <c r="E309" i="1"/>
  <c r="D309" i="1"/>
  <c r="C309" i="1"/>
  <c r="L308" i="1"/>
  <c r="H308" i="1"/>
  <c r="I308" i="1" s="1"/>
  <c r="F308" i="1"/>
  <c r="E308" i="1"/>
  <c r="D308" i="1"/>
  <c r="C308" i="1"/>
  <c r="L307" i="1"/>
  <c r="H307" i="1"/>
  <c r="I307" i="1" s="1"/>
  <c r="F307" i="1"/>
  <c r="E307" i="1"/>
  <c r="D307" i="1"/>
  <c r="C307" i="1"/>
  <c r="L306" i="1"/>
  <c r="H306" i="1"/>
  <c r="I306" i="1" s="1"/>
  <c r="F306" i="1"/>
  <c r="E306" i="1"/>
  <c r="D306" i="1"/>
  <c r="C306" i="1"/>
  <c r="L305" i="1"/>
  <c r="H305" i="1"/>
  <c r="I305" i="1" s="1"/>
  <c r="F305" i="1"/>
  <c r="E305" i="1"/>
  <c r="D305" i="1"/>
  <c r="C305" i="1"/>
  <c r="L304" i="1"/>
  <c r="H304" i="1"/>
  <c r="I304" i="1" s="1"/>
  <c r="F304" i="1"/>
  <c r="E304" i="1"/>
  <c r="D304" i="1"/>
  <c r="C304" i="1"/>
  <c r="L303" i="1"/>
  <c r="H303" i="1"/>
  <c r="I303" i="1" s="1"/>
  <c r="F303" i="1"/>
  <c r="E303" i="1"/>
  <c r="D303" i="1"/>
  <c r="C303" i="1"/>
  <c r="L302" i="1"/>
  <c r="H302" i="1"/>
  <c r="I302" i="1" s="1"/>
  <c r="F302" i="1"/>
  <c r="E302" i="1"/>
  <c r="D302" i="1"/>
  <c r="C302" i="1"/>
  <c r="L301" i="1"/>
  <c r="H301" i="1"/>
  <c r="I301" i="1" s="1"/>
  <c r="F301" i="1"/>
  <c r="E301" i="1"/>
  <c r="D301" i="1"/>
  <c r="C301" i="1"/>
  <c r="L300" i="1"/>
  <c r="H300" i="1"/>
  <c r="I300" i="1" s="1"/>
  <c r="F300" i="1"/>
  <c r="E300" i="1"/>
  <c r="D300" i="1"/>
  <c r="C300" i="1"/>
  <c r="L299" i="1"/>
  <c r="H299" i="1"/>
  <c r="I299" i="1" s="1"/>
  <c r="F299" i="1"/>
  <c r="E299" i="1"/>
  <c r="D299" i="1"/>
  <c r="C299" i="1"/>
  <c r="L298" i="1"/>
  <c r="H298" i="1"/>
  <c r="I298" i="1" s="1"/>
  <c r="F298" i="1"/>
  <c r="E298" i="1"/>
  <c r="D298" i="1"/>
  <c r="C298" i="1"/>
  <c r="L297" i="1"/>
  <c r="H297" i="1"/>
  <c r="I297" i="1" s="1"/>
  <c r="F297" i="1"/>
  <c r="E297" i="1"/>
  <c r="D297" i="1"/>
  <c r="C297" i="1"/>
  <c r="L296" i="1"/>
  <c r="H296" i="1"/>
  <c r="I296" i="1" s="1"/>
  <c r="F296" i="1"/>
  <c r="E296" i="1"/>
  <c r="D296" i="1"/>
  <c r="C296" i="1"/>
  <c r="L295" i="1"/>
  <c r="I295" i="1"/>
  <c r="H295" i="1"/>
  <c r="F295" i="1"/>
  <c r="E295" i="1"/>
  <c r="D295" i="1"/>
  <c r="C295" i="1"/>
  <c r="L294" i="1"/>
  <c r="H294" i="1"/>
  <c r="I294" i="1" s="1"/>
  <c r="F294" i="1"/>
  <c r="E294" i="1"/>
  <c r="D294" i="1"/>
  <c r="C294" i="1"/>
  <c r="L293" i="1"/>
  <c r="H293" i="1"/>
  <c r="I293" i="1" s="1"/>
  <c r="F293" i="1"/>
  <c r="E293" i="1"/>
  <c r="D293" i="1"/>
  <c r="C293" i="1"/>
  <c r="L292" i="1"/>
  <c r="I292" i="1"/>
  <c r="H292" i="1"/>
  <c r="F292" i="1"/>
  <c r="E292" i="1"/>
  <c r="D292" i="1"/>
  <c r="C292" i="1"/>
  <c r="L291" i="1"/>
  <c r="H291" i="1"/>
  <c r="I291" i="1" s="1"/>
  <c r="G64" i="3" s="1"/>
  <c r="F291" i="1"/>
  <c r="E291" i="1"/>
  <c r="D291" i="1"/>
  <c r="C291" i="1"/>
  <c r="L290" i="1"/>
  <c r="H290" i="1"/>
  <c r="I290" i="1" s="1"/>
  <c r="F290" i="1"/>
  <c r="E290" i="1"/>
  <c r="D290" i="1"/>
  <c r="C290" i="1"/>
  <c r="L289" i="1"/>
  <c r="H289" i="1"/>
  <c r="I289" i="1" s="1"/>
  <c r="F289" i="1"/>
  <c r="E289" i="1"/>
  <c r="D289" i="1"/>
  <c r="C289" i="1"/>
  <c r="L288" i="1"/>
  <c r="H288" i="1"/>
  <c r="I288" i="1" s="1"/>
  <c r="F288" i="1"/>
  <c r="E288" i="1"/>
  <c r="D288" i="1"/>
  <c r="C288" i="1"/>
  <c r="L287" i="1"/>
  <c r="H287" i="1"/>
  <c r="I287" i="1" s="1"/>
  <c r="F287" i="1"/>
  <c r="E287" i="1"/>
  <c r="D287" i="1"/>
  <c r="C287" i="1"/>
  <c r="L286" i="1"/>
  <c r="H286" i="1"/>
  <c r="I286" i="1" s="1"/>
  <c r="F286" i="1"/>
  <c r="E286" i="1"/>
  <c r="D286" i="1"/>
  <c r="C286" i="1"/>
  <c r="L285" i="1"/>
  <c r="H285" i="1"/>
  <c r="I285" i="1" s="1"/>
  <c r="F285" i="1"/>
  <c r="E285" i="1"/>
  <c r="D285" i="1"/>
  <c r="C285" i="1"/>
  <c r="L284" i="1"/>
  <c r="H284" i="1"/>
  <c r="I284" i="1" s="1"/>
  <c r="F284" i="1"/>
  <c r="E284" i="1"/>
  <c r="D284" i="1"/>
  <c r="C284" i="1"/>
  <c r="L283" i="1"/>
  <c r="H283" i="1"/>
  <c r="I283" i="1" s="1"/>
  <c r="F283" i="1"/>
  <c r="E283" i="1"/>
  <c r="D283" i="1"/>
  <c r="C283" i="1"/>
  <c r="L282" i="1"/>
  <c r="H282" i="1"/>
  <c r="I282" i="1" s="1"/>
  <c r="F282" i="1"/>
  <c r="E282" i="1"/>
  <c r="D282" i="1"/>
  <c r="C282" i="1"/>
  <c r="L281" i="1"/>
  <c r="I281" i="1"/>
  <c r="H281" i="1"/>
  <c r="F281" i="1"/>
  <c r="E281" i="1"/>
  <c r="D281" i="1"/>
  <c r="C281" i="1"/>
  <c r="L280" i="1"/>
  <c r="H280" i="1"/>
  <c r="I280" i="1" s="1"/>
  <c r="F280" i="1"/>
  <c r="E280" i="1"/>
  <c r="D280" i="1"/>
  <c r="C280" i="1"/>
  <c r="L279" i="1"/>
  <c r="H279" i="1"/>
  <c r="I279" i="1" s="1"/>
  <c r="F279" i="1"/>
  <c r="E279" i="1"/>
  <c r="D279" i="1"/>
  <c r="C279" i="1"/>
  <c r="L278" i="1"/>
  <c r="H278" i="1"/>
  <c r="I278" i="1" s="1"/>
  <c r="F278" i="1"/>
  <c r="E278" i="1"/>
  <c r="D278" i="1"/>
  <c r="C278" i="1"/>
  <c r="L277" i="1"/>
  <c r="H277" i="1"/>
  <c r="I277" i="1" s="1"/>
  <c r="F277" i="1"/>
  <c r="E277" i="1"/>
  <c r="D277" i="1"/>
  <c r="C277" i="1"/>
  <c r="L276" i="1"/>
  <c r="H276" i="1"/>
  <c r="I276" i="1" s="1"/>
  <c r="F276" i="1"/>
  <c r="E276" i="1"/>
  <c r="D276" i="1"/>
  <c r="C276" i="1"/>
  <c r="L275" i="1"/>
  <c r="H275" i="1"/>
  <c r="I275" i="1" s="1"/>
  <c r="G106" i="3" s="1"/>
  <c r="F275" i="1"/>
  <c r="E275" i="1"/>
  <c r="D275" i="1"/>
  <c r="C275" i="1"/>
  <c r="L274" i="1"/>
  <c r="H274" i="1"/>
  <c r="I274" i="1" s="1"/>
  <c r="F274" i="1"/>
  <c r="E274" i="1"/>
  <c r="D274" i="1"/>
  <c r="C274" i="1"/>
  <c r="L273" i="1"/>
  <c r="H273" i="1"/>
  <c r="I273" i="1" s="1"/>
  <c r="F273" i="1"/>
  <c r="E273" i="1"/>
  <c r="D273" i="1"/>
  <c r="C273" i="1"/>
  <c r="L272" i="1"/>
  <c r="H272" i="1"/>
  <c r="I272" i="1" s="1"/>
  <c r="F272" i="1"/>
  <c r="E272" i="1"/>
  <c r="D272" i="1"/>
  <c r="C272" i="1"/>
  <c r="L271" i="1"/>
  <c r="H271" i="1"/>
  <c r="I271" i="1" s="1"/>
  <c r="F271" i="1"/>
  <c r="E271" i="1"/>
  <c r="D271" i="1"/>
  <c r="C271" i="1"/>
  <c r="L270" i="1"/>
  <c r="H270" i="1"/>
  <c r="I270" i="1" s="1"/>
  <c r="F270" i="1"/>
  <c r="E270" i="1"/>
  <c r="D270" i="1"/>
  <c r="C270" i="1"/>
  <c r="L269" i="1"/>
  <c r="H269" i="1"/>
  <c r="I269" i="1" s="1"/>
  <c r="F269" i="1"/>
  <c r="E269" i="1"/>
  <c r="D269" i="1"/>
  <c r="C269" i="1"/>
  <c r="L268" i="1"/>
  <c r="H268" i="1"/>
  <c r="I268" i="1" s="1"/>
  <c r="F268" i="1"/>
  <c r="E268" i="1"/>
  <c r="D268" i="1"/>
  <c r="C268" i="1"/>
  <c r="L267" i="1"/>
  <c r="H267" i="1"/>
  <c r="I267" i="1" s="1"/>
  <c r="F267" i="1"/>
  <c r="E267" i="1"/>
  <c r="D267" i="1"/>
  <c r="C267" i="1"/>
  <c r="L266" i="1"/>
  <c r="H266" i="1"/>
  <c r="I266" i="1" s="1"/>
  <c r="F266" i="1"/>
  <c r="E266" i="1"/>
  <c r="D266" i="1"/>
  <c r="C266" i="1"/>
  <c r="L265" i="1"/>
  <c r="H265" i="1"/>
  <c r="I265" i="1" s="1"/>
  <c r="F265" i="1"/>
  <c r="E265" i="1"/>
  <c r="D265" i="1"/>
  <c r="C265" i="1"/>
  <c r="L264" i="1"/>
  <c r="H264" i="1"/>
  <c r="I264" i="1" s="1"/>
  <c r="F264" i="1"/>
  <c r="E264" i="1"/>
  <c r="D264" i="1"/>
  <c r="C264" i="1"/>
  <c r="L263" i="1"/>
  <c r="H263" i="1"/>
  <c r="I263" i="1" s="1"/>
  <c r="F263" i="1"/>
  <c r="E263" i="1"/>
  <c r="D263" i="1"/>
  <c r="C263" i="1"/>
  <c r="L262" i="1"/>
  <c r="H262" i="1"/>
  <c r="I262" i="1" s="1"/>
  <c r="K262" i="1" s="1"/>
  <c r="F262" i="1"/>
  <c r="E262" i="1"/>
  <c r="D262" i="1"/>
  <c r="C262" i="1"/>
  <c r="L261" i="1"/>
  <c r="H261" i="1"/>
  <c r="I261" i="1" s="1"/>
  <c r="F261" i="1"/>
  <c r="E261" i="1"/>
  <c r="D261" i="1"/>
  <c r="C261" i="1"/>
  <c r="L260" i="1"/>
  <c r="H260" i="1"/>
  <c r="I260" i="1" s="1"/>
  <c r="F260" i="1"/>
  <c r="E260" i="1"/>
  <c r="D260" i="1"/>
  <c r="C260" i="1"/>
  <c r="L259" i="1"/>
  <c r="H259" i="1"/>
  <c r="I259" i="1" s="1"/>
  <c r="F259" i="1"/>
  <c r="E259" i="1"/>
  <c r="D259" i="1"/>
  <c r="C259" i="1"/>
  <c r="L258" i="1"/>
  <c r="I258" i="1"/>
  <c r="H258" i="1"/>
  <c r="F258" i="1"/>
  <c r="E258" i="1"/>
  <c r="D258" i="1"/>
  <c r="C258" i="1"/>
  <c r="L257" i="1"/>
  <c r="H257" i="1"/>
  <c r="I257" i="1" s="1"/>
  <c r="F257" i="1"/>
  <c r="E257" i="1"/>
  <c r="D257" i="1"/>
  <c r="C257" i="1"/>
  <c r="L256" i="1"/>
  <c r="H256" i="1"/>
  <c r="I256" i="1" s="1"/>
  <c r="F256" i="1"/>
  <c r="E256" i="1"/>
  <c r="D256" i="1"/>
  <c r="C256" i="1"/>
  <c r="L255" i="1"/>
  <c r="H255" i="1"/>
  <c r="I255" i="1" s="1"/>
  <c r="F255" i="1"/>
  <c r="E255" i="1"/>
  <c r="D255" i="1"/>
  <c r="C255" i="1"/>
  <c r="L254" i="1"/>
  <c r="H254" i="1"/>
  <c r="I254" i="1" s="1"/>
  <c r="F254" i="1"/>
  <c r="E254" i="1"/>
  <c r="D254" i="1"/>
  <c r="C254" i="1"/>
  <c r="L253" i="1"/>
  <c r="H253" i="1"/>
  <c r="I253" i="1" s="1"/>
  <c r="F253" i="1"/>
  <c r="E253" i="1"/>
  <c r="D253" i="1"/>
  <c r="C253" i="1"/>
  <c r="L252" i="1"/>
  <c r="H252" i="1"/>
  <c r="I252" i="1" s="1"/>
  <c r="F252" i="1"/>
  <c r="E252" i="1"/>
  <c r="D252" i="1"/>
  <c r="C252" i="1"/>
  <c r="L251" i="1"/>
  <c r="H251" i="1"/>
  <c r="I251" i="1" s="1"/>
  <c r="G137" i="3" s="1"/>
  <c r="F251" i="1"/>
  <c r="E251" i="1"/>
  <c r="D251" i="1"/>
  <c r="C251" i="1"/>
  <c r="L250" i="1"/>
  <c r="H250" i="1"/>
  <c r="I250" i="1" s="1"/>
  <c r="F250" i="1"/>
  <c r="E250" i="1"/>
  <c r="D250" i="1"/>
  <c r="C250" i="1"/>
  <c r="L249" i="1"/>
  <c r="H249" i="1"/>
  <c r="I249" i="1" s="1"/>
  <c r="F249" i="1"/>
  <c r="E249" i="1"/>
  <c r="D249" i="1"/>
  <c r="C249" i="1"/>
  <c r="L248" i="1"/>
  <c r="H248" i="1"/>
  <c r="I248" i="1" s="1"/>
  <c r="F248" i="1"/>
  <c r="E248" i="1"/>
  <c r="D248" i="1"/>
  <c r="C248" i="1"/>
  <c r="L247" i="1"/>
  <c r="I247" i="1"/>
  <c r="H247" i="1"/>
  <c r="F247" i="1"/>
  <c r="E247" i="1"/>
  <c r="D247" i="1"/>
  <c r="C247" i="1"/>
  <c r="L246" i="1"/>
  <c r="H246" i="1"/>
  <c r="I246" i="1" s="1"/>
  <c r="F246" i="1"/>
  <c r="E246" i="1"/>
  <c r="D246" i="1"/>
  <c r="C246" i="1"/>
  <c r="L245" i="1"/>
  <c r="H245" i="1"/>
  <c r="I245" i="1" s="1"/>
  <c r="F245" i="1"/>
  <c r="E245" i="1"/>
  <c r="D245" i="1"/>
  <c r="C245" i="1"/>
  <c r="L244" i="1"/>
  <c r="H244" i="1"/>
  <c r="I244" i="1" s="1"/>
  <c r="F244" i="1"/>
  <c r="E244" i="1"/>
  <c r="D244" i="1"/>
  <c r="C244" i="1"/>
  <c r="L243" i="1"/>
  <c r="H243" i="1"/>
  <c r="I243" i="1" s="1"/>
  <c r="F243" i="1"/>
  <c r="E243" i="1"/>
  <c r="D243" i="1"/>
  <c r="C243" i="1"/>
  <c r="L242" i="1"/>
  <c r="H242" i="1"/>
  <c r="I242" i="1" s="1"/>
  <c r="F242" i="1"/>
  <c r="E242" i="1"/>
  <c r="D242" i="1"/>
  <c r="C242" i="1"/>
  <c r="L241" i="1"/>
  <c r="H241" i="1"/>
  <c r="I241" i="1" s="1"/>
  <c r="F241" i="1"/>
  <c r="E241" i="1"/>
  <c r="D241" i="1"/>
  <c r="C241" i="1"/>
  <c r="L240" i="1"/>
  <c r="I240" i="1"/>
  <c r="G70" i="3" s="1"/>
  <c r="H240" i="1"/>
  <c r="F240" i="1"/>
  <c r="E240" i="1"/>
  <c r="D240" i="1"/>
  <c r="C240" i="1"/>
  <c r="L239" i="1"/>
  <c r="H239" i="1"/>
  <c r="I239" i="1" s="1"/>
  <c r="F239" i="1"/>
  <c r="E239" i="1"/>
  <c r="D239" i="1"/>
  <c r="C239" i="1"/>
  <c r="L238" i="1"/>
  <c r="H238" i="1"/>
  <c r="I238" i="1" s="1"/>
  <c r="F238" i="1"/>
  <c r="E238" i="1"/>
  <c r="D238" i="1"/>
  <c r="C238" i="1"/>
  <c r="L237" i="1"/>
  <c r="I237" i="1"/>
  <c r="H237" i="1"/>
  <c r="F237" i="1"/>
  <c r="E237" i="1"/>
  <c r="D237" i="1"/>
  <c r="C237" i="1"/>
  <c r="L236" i="1"/>
  <c r="H236" i="1"/>
  <c r="I236" i="1" s="1"/>
  <c r="F236" i="1"/>
  <c r="E236" i="1"/>
  <c r="D236" i="1"/>
  <c r="C236" i="1"/>
  <c r="L235" i="1"/>
  <c r="H235" i="1"/>
  <c r="I235" i="1" s="1"/>
  <c r="F235" i="1"/>
  <c r="E235" i="1"/>
  <c r="D235" i="1"/>
  <c r="C235" i="1"/>
  <c r="L234" i="1"/>
  <c r="H234" i="1"/>
  <c r="I234" i="1" s="1"/>
  <c r="F234" i="1"/>
  <c r="E234" i="1"/>
  <c r="D234" i="1"/>
  <c r="C234" i="1"/>
  <c r="L233" i="1"/>
  <c r="H233" i="1"/>
  <c r="I233" i="1" s="1"/>
  <c r="G131" i="3" s="1"/>
  <c r="F233" i="1"/>
  <c r="E233" i="1"/>
  <c r="D233" i="1"/>
  <c r="C233" i="1"/>
  <c r="L232" i="1"/>
  <c r="H232" i="1"/>
  <c r="I232" i="1" s="1"/>
  <c r="F232" i="1"/>
  <c r="E232" i="1"/>
  <c r="D232" i="1"/>
  <c r="C232" i="1"/>
  <c r="L231" i="1"/>
  <c r="H231" i="1"/>
  <c r="I231" i="1" s="1"/>
  <c r="F231" i="1"/>
  <c r="E231" i="1"/>
  <c r="D231" i="1"/>
  <c r="C231" i="1"/>
  <c r="L230" i="1"/>
  <c r="H230" i="1"/>
  <c r="I230" i="1" s="1"/>
  <c r="F230" i="1"/>
  <c r="E230" i="1"/>
  <c r="D230" i="1"/>
  <c r="C230" i="1"/>
  <c r="L229" i="1"/>
  <c r="I229" i="1"/>
  <c r="G91" i="3" s="1"/>
  <c r="H229" i="1"/>
  <c r="F229" i="1"/>
  <c r="E229" i="1"/>
  <c r="D229" i="1"/>
  <c r="C229" i="1"/>
  <c r="L228" i="1"/>
  <c r="H228" i="1"/>
  <c r="I228" i="1" s="1"/>
  <c r="F228" i="1"/>
  <c r="E228" i="1"/>
  <c r="D228" i="1"/>
  <c r="C228" i="1"/>
  <c r="L227" i="1"/>
  <c r="I227" i="1"/>
  <c r="H227" i="1"/>
  <c r="F227" i="1"/>
  <c r="E227" i="1"/>
  <c r="D227" i="1"/>
  <c r="C227" i="1"/>
  <c r="L226" i="1"/>
  <c r="H226" i="1"/>
  <c r="I226" i="1" s="1"/>
  <c r="F226" i="1"/>
  <c r="E226" i="1"/>
  <c r="D226" i="1"/>
  <c r="C226" i="1"/>
  <c r="L225" i="1"/>
  <c r="H225" i="1"/>
  <c r="I225" i="1" s="1"/>
  <c r="F225" i="1"/>
  <c r="E225" i="1"/>
  <c r="D225" i="1"/>
  <c r="C225" i="1"/>
  <c r="L224" i="1"/>
  <c r="H224" i="1"/>
  <c r="I224" i="1" s="1"/>
  <c r="G39" i="3" s="1"/>
  <c r="F224" i="1"/>
  <c r="E224" i="1"/>
  <c r="D224" i="1"/>
  <c r="C224" i="1"/>
  <c r="L223" i="1"/>
  <c r="H223" i="1"/>
  <c r="I223" i="1" s="1"/>
  <c r="F223" i="1"/>
  <c r="E223" i="1"/>
  <c r="D223" i="1"/>
  <c r="C223" i="1"/>
  <c r="L222" i="1"/>
  <c r="H222" i="1"/>
  <c r="I222" i="1" s="1"/>
  <c r="F222" i="1"/>
  <c r="E222" i="1"/>
  <c r="D222" i="1"/>
  <c r="C222" i="1"/>
  <c r="L221" i="1"/>
  <c r="H221" i="1"/>
  <c r="I221" i="1" s="1"/>
  <c r="F221" i="1"/>
  <c r="E221" i="1"/>
  <c r="D221" i="1"/>
  <c r="C221" i="1"/>
  <c r="L220" i="1"/>
  <c r="H220" i="1"/>
  <c r="I220" i="1" s="1"/>
  <c r="F220" i="1"/>
  <c r="E220" i="1"/>
  <c r="D220" i="1"/>
  <c r="C220" i="1"/>
  <c r="L219" i="1"/>
  <c r="H219" i="1"/>
  <c r="I219" i="1" s="1"/>
  <c r="F219" i="1"/>
  <c r="E219" i="1"/>
  <c r="D219" i="1"/>
  <c r="C219" i="1"/>
  <c r="L218" i="1"/>
  <c r="H218" i="1"/>
  <c r="I218" i="1" s="1"/>
  <c r="F218" i="1"/>
  <c r="E218" i="1"/>
  <c r="D218" i="1"/>
  <c r="C218" i="1"/>
  <c r="L217" i="1"/>
  <c r="H217" i="1"/>
  <c r="I217" i="1" s="1"/>
  <c r="F217" i="1"/>
  <c r="E217" i="1"/>
  <c r="D217" i="1"/>
  <c r="C217" i="1"/>
  <c r="L216" i="1"/>
  <c r="H216" i="1"/>
  <c r="I216" i="1" s="1"/>
  <c r="F216" i="1"/>
  <c r="E216" i="1"/>
  <c r="D216" i="1"/>
  <c r="C216" i="1"/>
  <c r="L215" i="1"/>
  <c r="H215" i="1"/>
  <c r="I215" i="1" s="1"/>
  <c r="F215" i="1"/>
  <c r="E215" i="1"/>
  <c r="D215" i="1"/>
  <c r="C215" i="1"/>
  <c r="L214" i="1"/>
  <c r="H214" i="1"/>
  <c r="I214" i="1" s="1"/>
  <c r="F214" i="1"/>
  <c r="E214" i="1"/>
  <c r="D214" i="1"/>
  <c r="C214" i="1"/>
  <c r="L213" i="1"/>
  <c r="H213" i="1"/>
  <c r="I213" i="1" s="1"/>
  <c r="G88" i="3" s="1"/>
  <c r="F213" i="1"/>
  <c r="E213" i="1"/>
  <c r="D213" i="1"/>
  <c r="C213" i="1"/>
  <c r="L212" i="1"/>
  <c r="H212" i="1"/>
  <c r="I212" i="1" s="1"/>
  <c r="F212" i="1"/>
  <c r="E212" i="1"/>
  <c r="D212" i="1"/>
  <c r="C212" i="1"/>
  <c r="L211" i="1"/>
  <c r="H211" i="1"/>
  <c r="I211" i="1" s="1"/>
  <c r="F211" i="1"/>
  <c r="E211" i="1"/>
  <c r="D211" i="1"/>
  <c r="C211" i="1"/>
  <c r="L210" i="1"/>
  <c r="H210" i="1"/>
  <c r="I210" i="1" s="1"/>
  <c r="F210" i="1"/>
  <c r="E210" i="1"/>
  <c r="D210" i="1"/>
  <c r="C210" i="1"/>
  <c r="L209" i="1"/>
  <c r="H209" i="1"/>
  <c r="I209" i="1" s="1"/>
  <c r="F209" i="1"/>
  <c r="E209" i="1"/>
  <c r="D209" i="1"/>
  <c r="C209" i="1"/>
  <c r="L208" i="1"/>
  <c r="H208" i="1"/>
  <c r="I208" i="1" s="1"/>
  <c r="G12" i="3" s="1"/>
  <c r="F208" i="1"/>
  <c r="E208" i="1"/>
  <c r="D208" i="1"/>
  <c r="C208" i="1"/>
  <c r="L207" i="1"/>
  <c r="I207" i="1"/>
  <c r="H207" i="1"/>
  <c r="F207" i="1"/>
  <c r="E207" i="1"/>
  <c r="D207" i="1"/>
  <c r="C207" i="1"/>
  <c r="L206" i="1"/>
  <c r="H206" i="1"/>
  <c r="I206" i="1" s="1"/>
  <c r="F206" i="1"/>
  <c r="E206" i="1"/>
  <c r="D206" i="1"/>
  <c r="C206" i="1"/>
  <c r="L205" i="1"/>
  <c r="H205" i="1"/>
  <c r="I205" i="1" s="1"/>
  <c r="F205" i="1"/>
  <c r="E205" i="1"/>
  <c r="D205" i="1"/>
  <c r="C205" i="1"/>
  <c r="L204" i="1"/>
  <c r="H204" i="1"/>
  <c r="I204" i="1" s="1"/>
  <c r="F204" i="1"/>
  <c r="E204" i="1"/>
  <c r="D204" i="1"/>
  <c r="C204" i="1"/>
  <c r="L203" i="1"/>
  <c r="H203" i="1"/>
  <c r="I203" i="1" s="1"/>
  <c r="F203" i="1"/>
  <c r="E203" i="1"/>
  <c r="D203" i="1"/>
  <c r="C203" i="1"/>
  <c r="L202" i="1"/>
  <c r="H202" i="1"/>
  <c r="I202" i="1" s="1"/>
  <c r="F202" i="1"/>
  <c r="E202" i="1"/>
  <c r="D202" i="1"/>
  <c r="C202" i="1"/>
  <c r="L201" i="1"/>
  <c r="H201" i="1"/>
  <c r="I201" i="1" s="1"/>
  <c r="F201" i="1"/>
  <c r="E201" i="1"/>
  <c r="D201" i="1"/>
  <c r="C201" i="1"/>
  <c r="L200" i="1"/>
  <c r="H200" i="1"/>
  <c r="I200" i="1" s="1"/>
  <c r="F200" i="1"/>
  <c r="E200" i="1"/>
  <c r="D200" i="1"/>
  <c r="C200" i="1"/>
  <c r="L199" i="1"/>
  <c r="H199" i="1"/>
  <c r="I199" i="1" s="1"/>
  <c r="F199" i="1"/>
  <c r="E199" i="1"/>
  <c r="D199" i="1"/>
  <c r="C199" i="1"/>
  <c r="L198" i="1"/>
  <c r="H198" i="1"/>
  <c r="I198" i="1" s="1"/>
  <c r="F198" i="1"/>
  <c r="E198" i="1"/>
  <c r="D198" i="1"/>
  <c r="C198" i="1"/>
  <c r="L197" i="1"/>
  <c r="H197" i="1"/>
  <c r="I197" i="1" s="1"/>
  <c r="F197" i="1"/>
  <c r="E197" i="1"/>
  <c r="D197" i="1"/>
  <c r="C197" i="1"/>
  <c r="L196" i="1"/>
  <c r="H196" i="1"/>
  <c r="I196" i="1" s="1"/>
  <c r="F196" i="1"/>
  <c r="E196" i="1"/>
  <c r="D196" i="1"/>
  <c r="C196" i="1"/>
  <c r="L195" i="1"/>
  <c r="H195" i="1"/>
  <c r="I195" i="1" s="1"/>
  <c r="F195" i="1"/>
  <c r="E195" i="1"/>
  <c r="D195" i="1"/>
  <c r="C195" i="1"/>
  <c r="L194" i="1"/>
  <c r="H194" i="1"/>
  <c r="I194" i="1" s="1"/>
  <c r="F194" i="1"/>
  <c r="E194" i="1"/>
  <c r="D194" i="1"/>
  <c r="C194" i="1"/>
  <c r="L193" i="1"/>
  <c r="I193" i="1"/>
  <c r="H193" i="1"/>
  <c r="F193" i="1"/>
  <c r="E193" i="1"/>
  <c r="D193" i="1"/>
  <c r="C193" i="1"/>
  <c r="L192" i="1"/>
  <c r="H192" i="1"/>
  <c r="I192" i="1" s="1"/>
  <c r="F192" i="1"/>
  <c r="E192" i="1"/>
  <c r="D192" i="1"/>
  <c r="C192" i="1"/>
  <c r="L191" i="1"/>
  <c r="H191" i="1"/>
  <c r="I191" i="1" s="1"/>
  <c r="F191" i="1"/>
  <c r="E191" i="1"/>
  <c r="D191" i="1"/>
  <c r="C191" i="1"/>
  <c r="L190" i="1"/>
  <c r="H190" i="1"/>
  <c r="I190" i="1" s="1"/>
  <c r="F190" i="1"/>
  <c r="E190" i="1"/>
  <c r="D190" i="1"/>
  <c r="C190" i="1"/>
  <c r="L189" i="1"/>
  <c r="H189" i="1"/>
  <c r="I189" i="1" s="1"/>
  <c r="F189" i="1"/>
  <c r="E189" i="1"/>
  <c r="D189" i="1"/>
  <c r="C189" i="1"/>
  <c r="L188" i="1"/>
  <c r="H188" i="1"/>
  <c r="I188" i="1" s="1"/>
  <c r="G69" i="3" s="1"/>
  <c r="F188" i="1"/>
  <c r="E188" i="1"/>
  <c r="D188" i="1"/>
  <c r="C188" i="1"/>
  <c r="L187" i="1"/>
  <c r="H187" i="1"/>
  <c r="I187" i="1" s="1"/>
  <c r="F187" i="1"/>
  <c r="E187" i="1"/>
  <c r="D187" i="1"/>
  <c r="C187" i="1"/>
  <c r="L186" i="1"/>
  <c r="H186" i="1"/>
  <c r="I186" i="1" s="1"/>
  <c r="F186" i="1"/>
  <c r="E186" i="1"/>
  <c r="D186" i="1"/>
  <c r="C186" i="1"/>
  <c r="L185" i="1"/>
  <c r="H185" i="1"/>
  <c r="I185" i="1" s="1"/>
  <c r="F185" i="1"/>
  <c r="E185" i="1"/>
  <c r="D185" i="1"/>
  <c r="C185" i="1"/>
  <c r="L184" i="1"/>
  <c r="H184" i="1"/>
  <c r="I184" i="1" s="1"/>
  <c r="F184" i="1"/>
  <c r="E184" i="1"/>
  <c r="D184" i="1"/>
  <c r="C184" i="1"/>
  <c r="L183" i="1"/>
  <c r="H183" i="1"/>
  <c r="I183" i="1" s="1"/>
  <c r="F183" i="1"/>
  <c r="E183" i="1"/>
  <c r="D183" i="1"/>
  <c r="C183" i="1"/>
  <c r="L182" i="1"/>
  <c r="H182" i="1"/>
  <c r="I182" i="1" s="1"/>
  <c r="F182" i="1"/>
  <c r="E182" i="1"/>
  <c r="D182" i="1"/>
  <c r="C182" i="1"/>
  <c r="L181" i="1"/>
  <c r="I181" i="1"/>
  <c r="H181" i="1"/>
  <c r="F181" i="1"/>
  <c r="E181" i="1"/>
  <c r="D181" i="1"/>
  <c r="C181" i="1"/>
  <c r="L180" i="1"/>
  <c r="H180" i="1"/>
  <c r="I180" i="1" s="1"/>
  <c r="F180" i="1"/>
  <c r="E180" i="1"/>
  <c r="D180" i="1"/>
  <c r="C180" i="1"/>
  <c r="L179" i="1"/>
  <c r="H179" i="1"/>
  <c r="I179" i="1" s="1"/>
  <c r="F179" i="1"/>
  <c r="E179" i="1"/>
  <c r="D179" i="1"/>
  <c r="C179" i="1"/>
  <c r="L178" i="1"/>
  <c r="H178" i="1"/>
  <c r="I178" i="1" s="1"/>
  <c r="G138" i="3" s="1"/>
  <c r="F178" i="1"/>
  <c r="E178" i="1"/>
  <c r="D178" i="1"/>
  <c r="C178" i="1"/>
  <c r="L177" i="1"/>
  <c r="I177" i="1"/>
  <c r="H177" i="1"/>
  <c r="F177" i="1"/>
  <c r="E177" i="1"/>
  <c r="D177" i="1"/>
  <c r="C177" i="1"/>
  <c r="L176" i="1"/>
  <c r="H176" i="1"/>
  <c r="I176" i="1" s="1"/>
  <c r="F176" i="1"/>
  <c r="E176" i="1"/>
  <c r="D176" i="1"/>
  <c r="C176" i="1"/>
  <c r="L175" i="1"/>
  <c r="H175" i="1"/>
  <c r="I175" i="1" s="1"/>
  <c r="F175" i="1"/>
  <c r="E175" i="1"/>
  <c r="D175" i="1"/>
  <c r="C175" i="1"/>
  <c r="L174" i="1"/>
  <c r="H174" i="1"/>
  <c r="I174" i="1" s="1"/>
  <c r="F174" i="1"/>
  <c r="E174" i="1"/>
  <c r="D174" i="1"/>
  <c r="C174" i="1"/>
  <c r="L173" i="1"/>
  <c r="H173" i="1"/>
  <c r="I173" i="1" s="1"/>
  <c r="F173" i="1"/>
  <c r="E173" i="1"/>
  <c r="D173" i="1"/>
  <c r="C173" i="1"/>
  <c r="L172" i="1"/>
  <c r="H172" i="1"/>
  <c r="I172" i="1" s="1"/>
  <c r="F172" i="1"/>
  <c r="E172" i="1"/>
  <c r="D172" i="1"/>
  <c r="C172" i="1"/>
  <c r="L171" i="1"/>
  <c r="H171" i="1"/>
  <c r="I171" i="1" s="1"/>
  <c r="G36" i="3" s="1"/>
  <c r="F171" i="1"/>
  <c r="E171" i="1"/>
  <c r="D171" i="1"/>
  <c r="C171" i="1"/>
  <c r="L170" i="1"/>
  <c r="H170" i="1"/>
  <c r="I170" i="1" s="1"/>
  <c r="F170" i="1"/>
  <c r="E170" i="1"/>
  <c r="D170" i="1"/>
  <c r="C170" i="1"/>
  <c r="L169" i="1"/>
  <c r="H169" i="1"/>
  <c r="I169" i="1" s="1"/>
  <c r="F169" i="1"/>
  <c r="E169" i="1"/>
  <c r="D169" i="1"/>
  <c r="C169" i="1"/>
  <c r="L168" i="1"/>
  <c r="H168" i="1"/>
  <c r="I168" i="1" s="1"/>
  <c r="F168" i="1"/>
  <c r="E168" i="1"/>
  <c r="D168" i="1"/>
  <c r="C168" i="1"/>
  <c r="L167" i="1"/>
  <c r="H167" i="1"/>
  <c r="I167" i="1" s="1"/>
  <c r="F167" i="1"/>
  <c r="E167" i="1"/>
  <c r="D167" i="1"/>
  <c r="C167" i="1"/>
  <c r="L166" i="1"/>
  <c r="H166" i="1"/>
  <c r="I166" i="1" s="1"/>
  <c r="F166" i="1"/>
  <c r="E166" i="1"/>
  <c r="D166" i="1"/>
  <c r="C166" i="1"/>
  <c r="L165" i="1"/>
  <c r="I165" i="1"/>
  <c r="H165" i="1"/>
  <c r="F165" i="1"/>
  <c r="E165" i="1"/>
  <c r="D165" i="1"/>
  <c r="C165" i="1"/>
  <c r="L164" i="1"/>
  <c r="H164" i="1"/>
  <c r="I164" i="1" s="1"/>
  <c r="F164" i="1"/>
  <c r="E164" i="1"/>
  <c r="D164" i="1"/>
  <c r="C164" i="1"/>
  <c r="L163" i="1"/>
  <c r="H163" i="1"/>
  <c r="I163" i="1" s="1"/>
  <c r="F163" i="1"/>
  <c r="E163" i="1"/>
  <c r="D163" i="1"/>
  <c r="C163" i="1"/>
  <c r="L162" i="1"/>
  <c r="H162" i="1"/>
  <c r="I162" i="1" s="1"/>
  <c r="F162" i="1"/>
  <c r="E162" i="1"/>
  <c r="D162" i="1"/>
  <c r="C162" i="1"/>
  <c r="L161" i="1"/>
  <c r="H161" i="1"/>
  <c r="I161" i="1" s="1"/>
  <c r="F161" i="1"/>
  <c r="E161" i="1"/>
  <c r="D161" i="1"/>
  <c r="C161" i="1"/>
  <c r="L160" i="1"/>
  <c r="H160" i="1"/>
  <c r="I160" i="1" s="1"/>
  <c r="F160" i="1"/>
  <c r="E160" i="1"/>
  <c r="D160" i="1"/>
  <c r="C160" i="1"/>
  <c r="L159" i="1"/>
  <c r="H159" i="1"/>
  <c r="I159" i="1" s="1"/>
  <c r="F159" i="1"/>
  <c r="E159" i="1"/>
  <c r="D159" i="1"/>
  <c r="C159" i="1"/>
  <c r="L158" i="1"/>
  <c r="H158" i="1"/>
  <c r="I158" i="1" s="1"/>
  <c r="F158" i="1"/>
  <c r="E158" i="1"/>
  <c r="D158" i="1"/>
  <c r="C158" i="1"/>
  <c r="L157" i="1"/>
  <c r="H157" i="1"/>
  <c r="I157" i="1" s="1"/>
  <c r="G47" i="3" s="1"/>
  <c r="F157" i="1"/>
  <c r="E157" i="1"/>
  <c r="D157" i="1"/>
  <c r="C157" i="1"/>
  <c r="L156" i="1"/>
  <c r="H156" i="1"/>
  <c r="I156" i="1" s="1"/>
  <c r="F156" i="1"/>
  <c r="E156" i="1"/>
  <c r="D156" i="1"/>
  <c r="C156" i="1"/>
  <c r="L155" i="1"/>
  <c r="H155" i="1"/>
  <c r="I155" i="1" s="1"/>
  <c r="F155" i="1"/>
  <c r="E155" i="1"/>
  <c r="D155" i="1"/>
  <c r="C155" i="1"/>
  <c r="L154" i="1"/>
  <c r="H154" i="1"/>
  <c r="I154" i="1" s="1"/>
  <c r="F154" i="1"/>
  <c r="E154" i="1"/>
  <c r="D154" i="1"/>
  <c r="C154" i="1"/>
  <c r="L153" i="1"/>
  <c r="H153" i="1"/>
  <c r="I153" i="1" s="1"/>
  <c r="K756" i="1" s="1"/>
  <c r="F153" i="1"/>
  <c r="E153" i="1"/>
  <c r="D153" i="1"/>
  <c r="C153" i="1"/>
  <c r="L152" i="1"/>
  <c r="H152" i="1"/>
  <c r="I152" i="1" s="1"/>
  <c r="F152" i="1"/>
  <c r="E152" i="1"/>
  <c r="D152" i="1"/>
  <c r="C152" i="1"/>
  <c r="L151" i="1"/>
  <c r="I151" i="1"/>
  <c r="H151" i="1"/>
  <c r="F151" i="1"/>
  <c r="E151" i="1"/>
  <c r="D151" i="1"/>
  <c r="C151" i="1"/>
  <c r="L150" i="1"/>
  <c r="H150" i="1"/>
  <c r="I150" i="1" s="1"/>
  <c r="F150" i="1"/>
  <c r="E150" i="1"/>
  <c r="D150" i="1"/>
  <c r="C150" i="1"/>
  <c r="L149" i="1"/>
  <c r="H149" i="1"/>
  <c r="I149" i="1" s="1"/>
  <c r="F149" i="1"/>
  <c r="E149" i="1"/>
  <c r="D149" i="1"/>
  <c r="C149" i="1"/>
  <c r="L148" i="1"/>
  <c r="H148" i="1"/>
  <c r="I148" i="1" s="1"/>
  <c r="F148" i="1"/>
  <c r="E148" i="1"/>
  <c r="D148" i="1"/>
  <c r="C148" i="1"/>
  <c r="L147" i="1"/>
  <c r="H147" i="1"/>
  <c r="I147" i="1" s="1"/>
  <c r="K147" i="1" s="1"/>
  <c r="F147" i="1"/>
  <c r="E147" i="1"/>
  <c r="D147" i="1"/>
  <c r="C147" i="1"/>
  <c r="L146" i="1"/>
  <c r="H146" i="1"/>
  <c r="I146" i="1" s="1"/>
  <c r="F146" i="1"/>
  <c r="E146" i="1"/>
  <c r="D146" i="1"/>
  <c r="C146" i="1"/>
  <c r="L145" i="1"/>
  <c r="H145" i="1"/>
  <c r="I145" i="1" s="1"/>
  <c r="F145" i="1"/>
  <c r="E145" i="1"/>
  <c r="D145" i="1"/>
  <c r="C145" i="1"/>
  <c r="L144" i="1"/>
  <c r="H144" i="1"/>
  <c r="I144" i="1" s="1"/>
  <c r="F144" i="1"/>
  <c r="E144" i="1"/>
  <c r="D144" i="1"/>
  <c r="C144" i="1"/>
  <c r="L143" i="1"/>
  <c r="H143" i="1"/>
  <c r="I143" i="1" s="1"/>
  <c r="F143" i="1"/>
  <c r="E143" i="1"/>
  <c r="D143" i="1"/>
  <c r="C143" i="1"/>
  <c r="L142" i="1"/>
  <c r="H142" i="1"/>
  <c r="I142" i="1" s="1"/>
  <c r="K142" i="1" s="1"/>
  <c r="F142" i="1"/>
  <c r="E142" i="1"/>
  <c r="D142" i="1"/>
  <c r="C142" i="1"/>
  <c r="L141" i="1"/>
  <c r="I141" i="1"/>
  <c r="H141" i="1"/>
  <c r="F141" i="1"/>
  <c r="E141" i="1"/>
  <c r="D141" i="1"/>
  <c r="C141" i="1"/>
  <c r="L140" i="1"/>
  <c r="H140" i="1"/>
  <c r="I140" i="1" s="1"/>
  <c r="F140" i="1"/>
  <c r="E140" i="1"/>
  <c r="D140" i="1"/>
  <c r="C140" i="1"/>
  <c r="L139" i="1"/>
  <c r="I139" i="1"/>
  <c r="H139" i="1"/>
  <c r="F139" i="1"/>
  <c r="E139" i="1"/>
  <c r="D139" i="1"/>
  <c r="C139" i="1"/>
  <c r="L138" i="1"/>
  <c r="H138" i="1"/>
  <c r="I138" i="1" s="1"/>
  <c r="G19" i="3" s="1"/>
  <c r="F138" i="1"/>
  <c r="E138" i="1"/>
  <c r="D138" i="1"/>
  <c r="C138" i="1"/>
  <c r="L137" i="1"/>
  <c r="H137" i="1"/>
  <c r="I137" i="1" s="1"/>
  <c r="F137" i="1"/>
  <c r="E137" i="1"/>
  <c r="D137" i="1"/>
  <c r="C137" i="1"/>
  <c r="L136" i="1"/>
  <c r="H136" i="1"/>
  <c r="I136" i="1" s="1"/>
  <c r="G15" i="3" s="1"/>
  <c r="F136" i="1"/>
  <c r="E136" i="1"/>
  <c r="D136" i="1"/>
  <c r="C136" i="1"/>
  <c r="L135" i="1"/>
  <c r="H135" i="1"/>
  <c r="I135" i="1" s="1"/>
  <c r="F135" i="1"/>
  <c r="E135" i="1"/>
  <c r="D135" i="1"/>
  <c r="C135" i="1"/>
  <c r="L134" i="1"/>
  <c r="H134" i="1"/>
  <c r="I134" i="1" s="1"/>
  <c r="F134" i="1"/>
  <c r="E134" i="1"/>
  <c r="D134" i="1"/>
  <c r="C134" i="1"/>
  <c r="L133" i="1"/>
  <c r="H133" i="1"/>
  <c r="I133" i="1" s="1"/>
  <c r="F133" i="1"/>
  <c r="E133" i="1"/>
  <c r="D133" i="1"/>
  <c r="C133" i="1"/>
  <c r="L132" i="1"/>
  <c r="I132" i="1"/>
  <c r="H132" i="1"/>
  <c r="F132" i="1"/>
  <c r="E132" i="1"/>
  <c r="D132" i="1"/>
  <c r="C132" i="1"/>
  <c r="L131" i="1"/>
  <c r="K131" i="1"/>
  <c r="H131" i="1"/>
  <c r="I131" i="1" s="1"/>
  <c r="F131" i="1"/>
  <c r="E131" i="1"/>
  <c r="D131" i="1"/>
  <c r="C131" i="1"/>
  <c r="L130" i="1"/>
  <c r="H130" i="1"/>
  <c r="I130" i="1" s="1"/>
  <c r="F130" i="1"/>
  <c r="E130" i="1"/>
  <c r="D130" i="1"/>
  <c r="C130" i="1"/>
  <c r="L129" i="1"/>
  <c r="H129" i="1"/>
  <c r="I129" i="1" s="1"/>
  <c r="F129" i="1"/>
  <c r="E129" i="1"/>
  <c r="D129" i="1"/>
  <c r="C129" i="1"/>
  <c r="L128" i="1"/>
  <c r="H128" i="1"/>
  <c r="I128" i="1" s="1"/>
  <c r="F128" i="1"/>
  <c r="E128" i="1"/>
  <c r="D128" i="1"/>
  <c r="C128" i="1"/>
  <c r="L127" i="1"/>
  <c r="I127" i="1"/>
  <c r="H127" i="1"/>
  <c r="F127" i="1"/>
  <c r="E127" i="1"/>
  <c r="D127" i="1"/>
  <c r="C127" i="1"/>
  <c r="L126" i="1"/>
  <c r="H126" i="1"/>
  <c r="I126" i="1" s="1"/>
  <c r="G94" i="3" s="1"/>
  <c r="F126" i="1"/>
  <c r="E126" i="1"/>
  <c r="D126" i="1"/>
  <c r="C126" i="1"/>
  <c r="L125" i="1"/>
  <c r="H125" i="1"/>
  <c r="I125" i="1" s="1"/>
  <c r="F125" i="1"/>
  <c r="E125" i="1"/>
  <c r="D125" i="1"/>
  <c r="C125" i="1"/>
  <c r="L124" i="1"/>
  <c r="H124" i="1"/>
  <c r="I124" i="1" s="1"/>
  <c r="F124" i="1"/>
  <c r="E124" i="1"/>
  <c r="D124" i="1"/>
  <c r="C124" i="1"/>
  <c r="L123" i="1"/>
  <c r="H123" i="1"/>
  <c r="I123" i="1" s="1"/>
  <c r="F123" i="1"/>
  <c r="E123" i="1"/>
  <c r="D123" i="1"/>
  <c r="C123" i="1"/>
  <c r="L122" i="1"/>
  <c r="H122" i="1"/>
  <c r="I122" i="1" s="1"/>
  <c r="F122" i="1"/>
  <c r="E122" i="1"/>
  <c r="D122" i="1"/>
  <c r="C122" i="1"/>
  <c r="L121" i="1"/>
  <c r="H121" i="1"/>
  <c r="I121" i="1" s="1"/>
  <c r="F121" i="1"/>
  <c r="E121" i="1"/>
  <c r="D121" i="1"/>
  <c r="C121" i="1"/>
  <c r="L120" i="1"/>
  <c r="H120" i="1"/>
  <c r="I120" i="1" s="1"/>
  <c r="F120" i="1"/>
  <c r="E120" i="1"/>
  <c r="D120" i="1"/>
  <c r="C120" i="1"/>
  <c r="L119" i="1"/>
  <c r="H119" i="1"/>
  <c r="I119" i="1" s="1"/>
  <c r="F119" i="1"/>
  <c r="E119" i="1"/>
  <c r="D119" i="1"/>
  <c r="C119" i="1"/>
  <c r="L118" i="1"/>
  <c r="I118" i="1"/>
  <c r="H118" i="1"/>
  <c r="F118" i="1"/>
  <c r="E118" i="1"/>
  <c r="D118" i="1"/>
  <c r="C118" i="1"/>
  <c r="L117" i="1"/>
  <c r="H117" i="1"/>
  <c r="I117" i="1" s="1"/>
  <c r="F117" i="1"/>
  <c r="E117" i="1"/>
  <c r="D117" i="1"/>
  <c r="C117" i="1"/>
  <c r="L116" i="1"/>
  <c r="H116" i="1"/>
  <c r="I116" i="1" s="1"/>
  <c r="F116" i="1"/>
  <c r="E116" i="1"/>
  <c r="D116" i="1"/>
  <c r="C116" i="1"/>
  <c r="L115" i="1"/>
  <c r="H115" i="1"/>
  <c r="I115" i="1" s="1"/>
  <c r="F115" i="1"/>
  <c r="E115" i="1"/>
  <c r="D115" i="1"/>
  <c r="C115" i="1"/>
  <c r="L114" i="1"/>
  <c r="H114" i="1"/>
  <c r="I114" i="1" s="1"/>
  <c r="K114" i="1" s="1"/>
  <c r="F114" i="1"/>
  <c r="E114" i="1"/>
  <c r="D114" i="1"/>
  <c r="C114" i="1"/>
  <c r="L113" i="1"/>
  <c r="H113" i="1"/>
  <c r="I113" i="1" s="1"/>
  <c r="F113" i="1"/>
  <c r="E113" i="1"/>
  <c r="D113" i="1"/>
  <c r="C113" i="1"/>
  <c r="L112" i="1"/>
  <c r="H112" i="1"/>
  <c r="I112" i="1" s="1"/>
  <c r="F112" i="1"/>
  <c r="E112" i="1"/>
  <c r="D112" i="1"/>
  <c r="C112" i="1"/>
  <c r="L111" i="1"/>
  <c r="H111" i="1"/>
  <c r="I111" i="1" s="1"/>
  <c r="F111" i="1"/>
  <c r="E111" i="1"/>
  <c r="D111" i="1"/>
  <c r="C111" i="1"/>
  <c r="L110" i="1"/>
  <c r="H110" i="1"/>
  <c r="I110" i="1" s="1"/>
  <c r="G111" i="3" s="1"/>
  <c r="F110" i="1"/>
  <c r="E110" i="1"/>
  <c r="D110" i="1"/>
  <c r="C110" i="1"/>
  <c r="L109" i="1"/>
  <c r="K109" i="1"/>
  <c r="H109" i="1"/>
  <c r="I109" i="1" s="1"/>
  <c r="F109" i="1"/>
  <c r="E109" i="1"/>
  <c r="D109" i="1"/>
  <c r="C109" i="1"/>
  <c r="L108" i="1"/>
  <c r="I108" i="1"/>
  <c r="H108" i="1"/>
  <c r="F108" i="1"/>
  <c r="E108" i="1"/>
  <c r="D108" i="1"/>
  <c r="C108" i="1"/>
  <c r="L107" i="1"/>
  <c r="H107" i="1"/>
  <c r="I107" i="1" s="1"/>
  <c r="F107" i="1"/>
  <c r="E107" i="1"/>
  <c r="D107" i="1"/>
  <c r="C107" i="1"/>
  <c r="L106" i="1"/>
  <c r="H106" i="1"/>
  <c r="I106" i="1" s="1"/>
  <c r="F106" i="1"/>
  <c r="E106" i="1"/>
  <c r="D106" i="1"/>
  <c r="C106" i="1"/>
  <c r="L105" i="1"/>
  <c r="H105" i="1"/>
  <c r="I105" i="1" s="1"/>
  <c r="F105" i="1"/>
  <c r="E105" i="1"/>
  <c r="D105" i="1"/>
  <c r="C105" i="1"/>
  <c r="L104" i="1"/>
  <c r="H104" i="1"/>
  <c r="I104" i="1" s="1"/>
  <c r="F104" i="1"/>
  <c r="E104" i="1"/>
  <c r="D104" i="1"/>
  <c r="C104" i="1"/>
  <c r="L103" i="1"/>
  <c r="H103" i="1"/>
  <c r="I103" i="1" s="1"/>
  <c r="F103" i="1"/>
  <c r="E103" i="1"/>
  <c r="D103" i="1"/>
  <c r="C103" i="1"/>
  <c r="L102" i="1"/>
  <c r="H102" i="1"/>
  <c r="I102" i="1" s="1"/>
  <c r="F102" i="1"/>
  <c r="E102" i="1"/>
  <c r="D102" i="1"/>
  <c r="C102" i="1"/>
  <c r="L101" i="1"/>
  <c r="H101" i="1"/>
  <c r="I101" i="1" s="1"/>
  <c r="F101" i="1"/>
  <c r="E101" i="1"/>
  <c r="D101" i="1"/>
  <c r="C101" i="1"/>
  <c r="L100" i="1"/>
  <c r="H100" i="1"/>
  <c r="I100" i="1" s="1"/>
  <c r="F100" i="1"/>
  <c r="E100" i="1"/>
  <c r="D100" i="1"/>
  <c r="C100" i="1"/>
  <c r="L99" i="1"/>
  <c r="H99" i="1"/>
  <c r="I99" i="1" s="1"/>
  <c r="F99" i="1"/>
  <c r="E99" i="1"/>
  <c r="D99" i="1"/>
  <c r="C99" i="1"/>
  <c r="L98" i="1"/>
  <c r="H98" i="1"/>
  <c r="I98" i="1" s="1"/>
  <c r="F98" i="1"/>
  <c r="E98" i="1"/>
  <c r="D98" i="1"/>
  <c r="C98" i="1"/>
  <c r="L97" i="1"/>
  <c r="H97" i="1"/>
  <c r="I97" i="1" s="1"/>
  <c r="F97" i="1"/>
  <c r="E97" i="1"/>
  <c r="D97" i="1"/>
  <c r="C97" i="1"/>
  <c r="L96" i="1"/>
  <c r="H96" i="1"/>
  <c r="I96" i="1" s="1"/>
  <c r="F96" i="1"/>
  <c r="E96" i="1"/>
  <c r="D96" i="1"/>
  <c r="C96" i="1"/>
  <c r="L95" i="1"/>
  <c r="H95" i="1"/>
  <c r="I95" i="1" s="1"/>
  <c r="G59" i="3" s="1"/>
  <c r="F95" i="1"/>
  <c r="E95" i="1"/>
  <c r="D95" i="1"/>
  <c r="C95" i="1"/>
  <c r="L94" i="1"/>
  <c r="H94" i="1"/>
  <c r="I94" i="1" s="1"/>
  <c r="F94" i="1"/>
  <c r="E94" i="1"/>
  <c r="D94" i="1"/>
  <c r="C94" i="1"/>
  <c r="L93" i="1"/>
  <c r="H93" i="1"/>
  <c r="I93" i="1" s="1"/>
  <c r="G38" i="3" s="1"/>
  <c r="F93" i="1"/>
  <c r="E93" i="1"/>
  <c r="D93" i="1"/>
  <c r="C93" i="1"/>
  <c r="L92" i="1"/>
  <c r="K92" i="1"/>
  <c r="H92" i="1"/>
  <c r="I92" i="1" s="1"/>
  <c r="F92" i="1"/>
  <c r="E92" i="1"/>
  <c r="D92" i="1"/>
  <c r="C92" i="1"/>
  <c r="L91" i="1"/>
  <c r="H91" i="1"/>
  <c r="I91" i="1" s="1"/>
  <c r="F91" i="1"/>
  <c r="E91" i="1"/>
  <c r="D91" i="1"/>
  <c r="C91" i="1"/>
  <c r="L90" i="1"/>
  <c r="H90" i="1"/>
  <c r="I90" i="1" s="1"/>
  <c r="F90" i="1"/>
  <c r="E90" i="1"/>
  <c r="D90" i="1"/>
  <c r="C90" i="1"/>
  <c r="L89" i="1"/>
  <c r="H89" i="1"/>
  <c r="I89" i="1" s="1"/>
  <c r="F89" i="1"/>
  <c r="E89" i="1"/>
  <c r="D89" i="1"/>
  <c r="C89" i="1"/>
  <c r="L88" i="1"/>
  <c r="H88" i="1"/>
  <c r="I88" i="1" s="1"/>
  <c r="F88" i="1"/>
  <c r="E88" i="1"/>
  <c r="D88" i="1"/>
  <c r="C88" i="1"/>
  <c r="L87" i="1"/>
  <c r="H87" i="1"/>
  <c r="I87" i="1" s="1"/>
  <c r="G149" i="3" s="1"/>
  <c r="F87" i="1"/>
  <c r="E87" i="1"/>
  <c r="D87" i="1"/>
  <c r="C87" i="1"/>
  <c r="L86" i="1"/>
  <c r="H86" i="1"/>
  <c r="I86" i="1" s="1"/>
  <c r="G117" i="3" s="1"/>
  <c r="F86" i="1"/>
  <c r="E86" i="1"/>
  <c r="D86" i="1"/>
  <c r="C86" i="1"/>
  <c r="L85" i="1"/>
  <c r="I85" i="1"/>
  <c r="H85" i="1"/>
  <c r="F85" i="1"/>
  <c r="E85" i="1"/>
  <c r="D85" i="1"/>
  <c r="C85" i="1"/>
  <c r="L84" i="1"/>
  <c r="H84" i="1"/>
  <c r="I84" i="1" s="1"/>
  <c r="F84" i="1"/>
  <c r="E84" i="1"/>
  <c r="D84" i="1"/>
  <c r="C84" i="1"/>
  <c r="L83" i="1"/>
  <c r="H83" i="1"/>
  <c r="I83" i="1" s="1"/>
  <c r="F83" i="1"/>
  <c r="E83" i="1"/>
  <c r="D83" i="1"/>
  <c r="C83" i="1"/>
  <c r="L82" i="1"/>
  <c r="I82" i="1"/>
  <c r="H82" i="1"/>
  <c r="F82" i="1"/>
  <c r="E82" i="1"/>
  <c r="D82" i="1"/>
  <c r="C82" i="1"/>
  <c r="L81" i="1"/>
  <c r="H81" i="1"/>
  <c r="I81" i="1" s="1"/>
  <c r="F81" i="1"/>
  <c r="E81" i="1"/>
  <c r="D81" i="1"/>
  <c r="C81" i="1"/>
  <c r="L80" i="1"/>
  <c r="H80" i="1"/>
  <c r="I80" i="1" s="1"/>
  <c r="F80" i="1"/>
  <c r="E80" i="1"/>
  <c r="D80" i="1"/>
  <c r="C80" i="1"/>
  <c r="L79" i="1"/>
  <c r="I79" i="1"/>
  <c r="H79" i="1"/>
  <c r="F79" i="1"/>
  <c r="E79" i="1"/>
  <c r="D79" i="1"/>
  <c r="C79" i="1"/>
  <c r="L78" i="1"/>
  <c r="H78" i="1"/>
  <c r="I78" i="1" s="1"/>
  <c r="F78" i="1"/>
  <c r="E78" i="1"/>
  <c r="D78" i="1"/>
  <c r="C78" i="1"/>
  <c r="L77" i="1"/>
  <c r="I77" i="1"/>
  <c r="H77" i="1"/>
  <c r="F77" i="1"/>
  <c r="E77" i="1"/>
  <c r="D77" i="1"/>
  <c r="C77" i="1"/>
  <c r="L76" i="1"/>
  <c r="H76" i="1"/>
  <c r="I76" i="1" s="1"/>
  <c r="K76" i="1" s="1"/>
  <c r="F76" i="1"/>
  <c r="E76" i="1"/>
  <c r="D76" i="1"/>
  <c r="C76" i="1"/>
  <c r="L75" i="1"/>
  <c r="H75" i="1"/>
  <c r="I75" i="1" s="1"/>
  <c r="F75" i="1"/>
  <c r="E75" i="1"/>
  <c r="D75" i="1"/>
  <c r="C75" i="1"/>
  <c r="L74" i="1"/>
  <c r="H74" i="1"/>
  <c r="I74" i="1" s="1"/>
  <c r="F74" i="1"/>
  <c r="E74" i="1"/>
  <c r="D74" i="1"/>
  <c r="C74" i="1"/>
  <c r="L73" i="1"/>
  <c r="H73" i="1"/>
  <c r="I73" i="1" s="1"/>
  <c r="F73" i="1"/>
  <c r="E73" i="1"/>
  <c r="D73" i="1"/>
  <c r="C73" i="1"/>
  <c r="L72" i="1"/>
  <c r="H72" i="1"/>
  <c r="I72" i="1" s="1"/>
  <c r="K72" i="1" s="1"/>
  <c r="F72" i="1"/>
  <c r="E72" i="1"/>
  <c r="D72" i="1"/>
  <c r="C72" i="1"/>
  <c r="L71" i="1"/>
  <c r="H71" i="1"/>
  <c r="I71" i="1" s="1"/>
  <c r="F71" i="1"/>
  <c r="E71" i="1"/>
  <c r="D71" i="1"/>
  <c r="C71" i="1"/>
  <c r="L70" i="1"/>
  <c r="H70" i="1"/>
  <c r="I70" i="1" s="1"/>
  <c r="F70" i="1"/>
  <c r="E70" i="1"/>
  <c r="D70" i="1"/>
  <c r="C70" i="1"/>
  <c r="L69" i="1"/>
  <c r="H69" i="1"/>
  <c r="I69" i="1" s="1"/>
  <c r="K69" i="1" s="1"/>
  <c r="F69" i="1"/>
  <c r="E69" i="1"/>
  <c r="D69" i="1"/>
  <c r="C69" i="1"/>
  <c r="L68" i="1"/>
  <c r="I68" i="1"/>
  <c r="H68" i="1"/>
  <c r="F68" i="1"/>
  <c r="E68" i="1"/>
  <c r="D68" i="1"/>
  <c r="C68" i="1"/>
  <c r="L67" i="1"/>
  <c r="H67" i="1"/>
  <c r="I67" i="1" s="1"/>
  <c r="F67" i="1"/>
  <c r="E67" i="1"/>
  <c r="D67" i="1"/>
  <c r="C67" i="1"/>
  <c r="L66" i="1"/>
  <c r="H66" i="1"/>
  <c r="I66" i="1" s="1"/>
  <c r="K66" i="1" s="1"/>
  <c r="F66" i="1"/>
  <c r="E66" i="1"/>
  <c r="D66" i="1"/>
  <c r="C66" i="1"/>
  <c r="L65" i="1"/>
  <c r="I65" i="1"/>
  <c r="G104" i="3" s="1"/>
  <c r="H65" i="1"/>
  <c r="F65" i="1"/>
  <c r="E65" i="1"/>
  <c r="D65" i="1"/>
  <c r="C65" i="1"/>
  <c r="L64" i="1"/>
  <c r="H64" i="1"/>
  <c r="I64" i="1" s="1"/>
  <c r="G102" i="3" s="1"/>
  <c r="F64" i="1"/>
  <c r="E64" i="1"/>
  <c r="D64" i="1"/>
  <c r="C64" i="1"/>
  <c r="L63" i="1"/>
  <c r="H63" i="1"/>
  <c r="I63" i="1" s="1"/>
  <c r="F63" i="1"/>
  <c r="E63" i="1"/>
  <c r="D63" i="1"/>
  <c r="C63" i="1"/>
  <c r="L62" i="1"/>
  <c r="H62" i="1"/>
  <c r="I62" i="1" s="1"/>
  <c r="F62" i="1"/>
  <c r="E62" i="1"/>
  <c r="D62" i="1"/>
  <c r="C62" i="1"/>
  <c r="L61" i="1"/>
  <c r="I61" i="1"/>
  <c r="K61" i="1" s="1"/>
  <c r="H61" i="1"/>
  <c r="F61" i="1"/>
  <c r="E61" i="1"/>
  <c r="D61" i="1"/>
  <c r="C61" i="1"/>
  <c r="L60" i="1"/>
  <c r="H60" i="1"/>
  <c r="I60" i="1" s="1"/>
  <c r="F60" i="1"/>
  <c r="E60" i="1"/>
  <c r="D60" i="1"/>
  <c r="C60" i="1"/>
  <c r="L59" i="1"/>
  <c r="H59" i="1"/>
  <c r="I59" i="1" s="1"/>
  <c r="F59" i="1"/>
  <c r="E59" i="1"/>
  <c r="D59" i="1"/>
  <c r="C59" i="1"/>
  <c r="L58" i="1"/>
  <c r="H58" i="1"/>
  <c r="I58" i="1" s="1"/>
  <c r="F58" i="1"/>
  <c r="E58" i="1"/>
  <c r="D58" i="1"/>
  <c r="C58" i="1"/>
  <c r="L57" i="1"/>
  <c r="H57" i="1"/>
  <c r="I57" i="1" s="1"/>
  <c r="K57" i="1" s="1"/>
  <c r="F57" i="1"/>
  <c r="E57" i="1"/>
  <c r="D57" i="1"/>
  <c r="C57" i="1"/>
  <c r="L56" i="1"/>
  <c r="H56" i="1"/>
  <c r="I56" i="1" s="1"/>
  <c r="F56" i="1"/>
  <c r="E56" i="1"/>
  <c r="D56" i="1"/>
  <c r="C56" i="1"/>
  <c r="L55" i="1"/>
  <c r="H55" i="1"/>
  <c r="I55" i="1" s="1"/>
  <c r="F55" i="1"/>
  <c r="E55" i="1"/>
  <c r="D55" i="1"/>
  <c r="C55" i="1"/>
  <c r="L54" i="1"/>
  <c r="I54" i="1"/>
  <c r="G8" i="3" s="1"/>
  <c r="H54" i="1"/>
  <c r="F54" i="1"/>
  <c r="E54" i="1"/>
  <c r="D54" i="1"/>
  <c r="C54" i="1"/>
  <c r="L53" i="1"/>
  <c r="H53" i="1"/>
  <c r="I53" i="1" s="1"/>
  <c r="G151" i="3" s="1"/>
  <c r="F53" i="1"/>
  <c r="E53" i="1"/>
  <c r="D53" i="1"/>
  <c r="C53" i="1"/>
  <c r="L52" i="1"/>
  <c r="H52" i="1"/>
  <c r="I52" i="1" s="1"/>
  <c r="F52" i="1"/>
  <c r="E52" i="1"/>
  <c r="D52" i="1"/>
  <c r="C52" i="1"/>
  <c r="L51" i="1"/>
  <c r="H51" i="1"/>
  <c r="I51" i="1" s="1"/>
  <c r="F51" i="1"/>
  <c r="E51" i="1"/>
  <c r="D51" i="1"/>
  <c r="C51" i="1"/>
  <c r="L50" i="1"/>
  <c r="H50" i="1"/>
  <c r="I50" i="1" s="1"/>
  <c r="G50" i="3" s="1"/>
  <c r="F50" i="1"/>
  <c r="E50" i="1"/>
  <c r="D50" i="1"/>
  <c r="C50" i="1"/>
  <c r="L49" i="1"/>
  <c r="H49" i="1"/>
  <c r="I49" i="1" s="1"/>
  <c r="F49" i="1"/>
  <c r="E49" i="1"/>
  <c r="D49" i="1"/>
  <c r="C49" i="1"/>
  <c r="L48" i="1"/>
  <c r="H48" i="1"/>
  <c r="I48" i="1" s="1"/>
  <c r="F48" i="1"/>
  <c r="E48" i="1"/>
  <c r="D48" i="1"/>
  <c r="C48" i="1"/>
  <c r="L47" i="1"/>
  <c r="H47" i="1"/>
  <c r="I47" i="1" s="1"/>
  <c r="F47" i="1"/>
  <c r="E47" i="1"/>
  <c r="D47" i="1"/>
  <c r="C47" i="1"/>
  <c r="L46" i="1"/>
  <c r="H46" i="1"/>
  <c r="I46" i="1" s="1"/>
  <c r="F46" i="1"/>
  <c r="E46" i="1"/>
  <c r="D46" i="1"/>
  <c r="C46" i="1"/>
  <c r="L45" i="1"/>
  <c r="H45" i="1"/>
  <c r="I45" i="1" s="1"/>
  <c r="F45" i="1"/>
  <c r="E45" i="1"/>
  <c r="D45" i="1"/>
  <c r="C45" i="1"/>
  <c r="L44" i="1"/>
  <c r="H44" i="1"/>
  <c r="I44" i="1" s="1"/>
  <c r="G13" i="3" s="1"/>
  <c r="F44" i="1"/>
  <c r="E44" i="1"/>
  <c r="D44" i="1"/>
  <c r="C44" i="1"/>
  <c r="L43" i="1"/>
  <c r="H43" i="1"/>
  <c r="I43" i="1" s="1"/>
  <c r="F43" i="1"/>
  <c r="E43" i="1"/>
  <c r="D43" i="1"/>
  <c r="C43" i="1"/>
  <c r="L42" i="1"/>
  <c r="H42" i="1"/>
  <c r="I42" i="1" s="1"/>
  <c r="F42" i="1"/>
  <c r="E42" i="1"/>
  <c r="D42" i="1"/>
  <c r="C42" i="1"/>
  <c r="L41" i="1"/>
  <c r="H41" i="1"/>
  <c r="I41" i="1" s="1"/>
  <c r="F41" i="1"/>
  <c r="E41" i="1"/>
  <c r="D41" i="1"/>
  <c r="C41" i="1"/>
  <c r="L40" i="1"/>
  <c r="I40" i="1"/>
  <c r="H40" i="1"/>
  <c r="F40" i="1"/>
  <c r="E40" i="1"/>
  <c r="D40" i="1"/>
  <c r="C40" i="1"/>
  <c r="L39" i="1"/>
  <c r="H39" i="1"/>
  <c r="I39" i="1" s="1"/>
  <c r="F39" i="1"/>
  <c r="E39" i="1"/>
  <c r="D39" i="1"/>
  <c r="C39" i="1"/>
  <c r="L38" i="1"/>
  <c r="H38" i="1"/>
  <c r="I38" i="1" s="1"/>
  <c r="F38" i="1"/>
  <c r="E38" i="1"/>
  <c r="D38" i="1"/>
  <c r="C38" i="1"/>
  <c r="L37" i="1"/>
  <c r="H37" i="1"/>
  <c r="I37" i="1" s="1"/>
  <c r="F37" i="1"/>
  <c r="E37" i="1"/>
  <c r="D37" i="1"/>
  <c r="C37" i="1"/>
  <c r="L36" i="1"/>
  <c r="I36" i="1"/>
  <c r="K36" i="1" s="1"/>
  <c r="H36" i="1"/>
  <c r="F36" i="1"/>
  <c r="E36" i="1"/>
  <c r="D36" i="1"/>
  <c r="C36" i="1"/>
  <c r="L35" i="1"/>
  <c r="H35" i="1"/>
  <c r="I35" i="1" s="1"/>
  <c r="K35" i="1" s="1"/>
  <c r="F35" i="1"/>
  <c r="E35" i="1"/>
  <c r="D35" i="1"/>
  <c r="C35" i="1"/>
  <c r="L34" i="1"/>
  <c r="H34" i="1"/>
  <c r="I34" i="1" s="1"/>
  <c r="F34" i="1"/>
  <c r="E34" i="1"/>
  <c r="D34" i="1"/>
  <c r="C34" i="1"/>
  <c r="L33" i="1"/>
  <c r="I33" i="1"/>
  <c r="K33" i="1" s="1"/>
  <c r="H33" i="1"/>
  <c r="F33" i="1"/>
  <c r="E33" i="1"/>
  <c r="D33" i="1"/>
  <c r="C33" i="1"/>
  <c r="L32" i="1"/>
  <c r="H32" i="1"/>
  <c r="I32" i="1" s="1"/>
  <c r="K32" i="1" s="1"/>
  <c r="F32" i="1"/>
  <c r="E32" i="1"/>
  <c r="D32" i="1"/>
  <c r="C32" i="1"/>
  <c r="L31" i="1"/>
  <c r="I31" i="1"/>
  <c r="H31" i="1"/>
  <c r="F31" i="1"/>
  <c r="E31" i="1"/>
  <c r="D31" i="1"/>
  <c r="C31" i="1"/>
  <c r="L30" i="1"/>
  <c r="H30" i="1"/>
  <c r="I30" i="1" s="1"/>
  <c r="G51" i="3" s="1"/>
  <c r="F30" i="1"/>
  <c r="E30" i="1"/>
  <c r="D30" i="1"/>
  <c r="C30" i="1"/>
  <c r="L29" i="1"/>
  <c r="H29" i="1"/>
  <c r="I29" i="1" s="1"/>
  <c r="K29" i="1" s="1"/>
  <c r="F29" i="1"/>
  <c r="E29" i="1"/>
  <c r="D29" i="1"/>
  <c r="C29" i="1"/>
  <c r="L28" i="1"/>
  <c r="H28" i="1"/>
  <c r="I28" i="1" s="1"/>
  <c r="G33" i="3" s="1"/>
  <c r="F28" i="1"/>
  <c r="E28" i="1"/>
  <c r="D28" i="1"/>
  <c r="C28" i="1"/>
  <c r="L27" i="1"/>
  <c r="H27" i="1"/>
  <c r="I27" i="1" s="1"/>
  <c r="F27" i="1"/>
  <c r="E27" i="1"/>
  <c r="D27" i="1"/>
  <c r="C27" i="1"/>
  <c r="L26" i="1"/>
  <c r="H26" i="1"/>
  <c r="I26" i="1" s="1"/>
  <c r="F26" i="1"/>
  <c r="E26" i="1"/>
  <c r="D26" i="1"/>
  <c r="C26" i="1"/>
  <c r="L25" i="1"/>
  <c r="I25" i="1"/>
  <c r="H25" i="1"/>
  <c r="F25" i="1"/>
  <c r="E25" i="1"/>
  <c r="D25" i="1"/>
  <c r="C25" i="1"/>
  <c r="L24" i="1"/>
  <c r="H24" i="1"/>
  <c r="I24" i="1" s="1"/>
  <c r="F24" i="1"/>
  <c r="E24" i="1"/>
  <c r="D24" i="1"/>
  <c r="C24" i="1"/>
  <c r="L23" i="1"/>
  <c r="H23" i="1"/>
  <c r="I23" i="1" s="1"/>
  <c r="F23" i="1"/>
  <c r="E23" i="1"/>
  <c r="D23" i="1"/>
  <c r="C23" i="1"/>
  <c r="L22" i="1"/>
  <c r="H22" i="1"/>
  <c r="I22" i="1" s="1"/>
  <c r="F22" i="1"/>
  <c r="E22" i="1"/>
  <c r="D22" i="1"/>
  <c r="C22" i="1"/>
  <c r="L21" i="1"/>
  <c r="I21" i="1"/>
  <c r="K21" i="1" s="1"/>
  <c r="H21" i="1"/>
  <c r="F21" i="1"/>
  <c r="E21" i="1"/>
  <c r="D21" i="1"/>
  <c r="C21" i="1"/>
  <c r="L20" i="1"/>
  <c r="H20" i="1"/>
  <c r="I20" i="1" s="1"/>
  <c r="F20" i="1"/>
  <c r="E20" i="1"/>
  <c r="D20" i="1"/>
  <c r="C20" i="1"/>
  <c r="L19" i="1"/>
  <c r="H19" i="1"/>
  <c r="I19" i="1" s="1"/>
  <c r="F19" i="1"/>
  <c r="E19" i="1"/>
  <c r="D19" i="1"/>
  <c r="C19" i="1"/>
  <c r="L18" i="1"/>
  <c r="I18" i="1"/>
  <c r="K18" i="1" s="1"/>
  <c r="H18" i="1"/>
  <c r="F18" i="1"/>
  <c r="E18" i="1"/>
  <c r="D18" i="1"/>
  <c r="C18" i="1"/>
  <c r="L17" i="1"/>
  <c r="H17" i="1"/>
  <c r="I17" i="1" s="1"/>
  <c r="F17" i="1"/>
  <c r="E17" i="1"/>
  <c r="D17" i="1"/>
  <c r="C17" i="1"/>
  <c r="L16" i="1"/>
  <c r="H16" i="1"/>
  <c r="I16" i="1" s="1"/>
  <c r="F16" i="1"/>
  <c r="E16" i="1"/>
  <c r="D16" i="1"/>
  <c r="C16" i="1"/>
  <c r="L15" i="1"/>
  <c r="H15" i="1"/>
  <c r="I15" i="1" s="1"/>
  <c r="F15" i="1"/>
  <c r="E15" i="1"/>
  <c r="D15" i="1"/>
  <c r="C15" i="1"/>
  <c r="L14" i="1"/>
  <c r="H14" i="1"/>
  <c r="I14" i="1" s="1"/>
  <c r="F14" i="1"/>
  <c r="E14" i="1"/>
  <c r="D14" i="1"/>
  <c r="C14" i="1"/>
  <c r="L13" i="1"/>
  <c r="H13" i="1"/>
  <c r="I13" i="1" s="1"/>
  <c r="F13" i="1"/>
  <c r="E13" i="1"/>
  <c r="D13" i="1"/>
  <c r="C13" i="1"/>
  <c r="L12" i="1"/>
  <c r="H12" i="1"/>
  <c r="I12" i="1" s="1"/>
  <c r="F12" i="1"/>
  <c r="E12" i="1"/>
  <c r="D12" i="1"/>
  <c r="C12" i="1"/>
  <c r="L11" i="1"/>
  <c r="H11" i="1"/>
  <c r="I11" i="1" s="1"/>
  <c r="K11" i="1" s="1"/>
  <c r="F11" i="1"/>
  <c r="E11" i="1"/>
  <c r="D11" i="1"/>
  <c r="C11" i="1"/>
  <c r="L10" i="1"/>
  <c r="H10" i="1"/>
  <c r="I10" i="1" s="1"/>
  <c r="F10" i="1"/>
  <c r="E10" i="1"/>
  <c r="D10" i="1"/>
  <c r="C10" i="1"/>
  <c r="L9" i="1"/>
  <c r="H9" i="1"/>
  <c r="I9" i="1" s="1"/>
  <c r="F9" i="1"/>
  <c r="E9" i="1"/>
  <c r="D9" i="1"/>
  <c r="C9" i="1"/>
  <c r="L8" i="1"/>
  <c r="H8" i="1"/>
  <c r="I8" i="1" s="1"/>
  <c r="F8" i="1"/>
  <c r="E8" i="1"/>
  <c r="D8" i="1"/>
  <c r="C8" i="1"/>
  <c r="L7" i="1"/>
  <c r="H7" i="1"/>
  <c r="I7" i="1" s="1"/>
  <c r="F7" i="1"/>
  <c r="E7" i="1"/>
  <c r="D7" i="1"/>
  <c r="C7" i="1"/>
  <c r="L6" i="1"/>
  <c r="H6" i="1"/>
  <c r="I6" i="1" s="1"/>
  <c r="F6" i="1"/>
  <c r="E6" i="1"/>
  <c r="D6" i="1"/>
  <c r="C6" i="1"/>
  <c r="L5" i="1"/>
  <c r="H5" i="1"/>
  <c r="I5" i="1" s="1"/>
  <c r="G132" i="3" s="1"/>
  <c r="F5" i="1"/>
  <c r="E5" i="1"/>
  <c r="D5" i="1"/>
  <c r="C5" i="1"/>
  <c r="L4" i="1"/>
  <c r="H4" i="1"/>
  <c r="I4" i="1" s="1"/>
  <c r="F4" i="1"/>
  <c r="E4" i="1"/>
  <c r="D4" i="1"/>
  <c r="C4" i="1"/>
  <c r="I162" i="3"/>
  <c r="J162" i="3" s="1"/>
  <c r="H162" i="3"/>
  <c r="G162" i="3"/>
  <c r="F162" i="3"/>
  <c r="E162" i="3"/>
  <c r="D162" i="3"/>
  <c r="I161" i="3"/>
  <c r="J161" i="3" s="1"/>
  <c r="H161" i="3"/>
  <c r="F161" i="3"/>
  <c r="E161" i="3"/>
  <c r="D161" i="3"/>
  <c r="I160" i="3"/>
  <c r="J160" i="3" s="1"/>
  <c r="H160" i="3"/>
  <c r="G160" i="3"/>
  <c r="F160" i="3"/>
  <c r="E160" i="3"/>
  <c r="D160" i="3"/>
  <c r="I159" i="3"/>
  <c r="J159" i="3" s="1"/>
  <c r="H159" i="3"/>
  <c r="G159" i="3"/>
  <c r="F159" i="3"/>
  <c r="E159" i="3"/>
  <c r="D159" i="3"/>
  <c r="I158" i="3"/>
  <c r="J158" i="3" s="1"/>
  <c r="H158" i="3"/>
  <c r="F158" i="3"/>
  <c r="E158" i="3"/>
  <c r="D158" i="3"/>
  <c r="I157" i="3"/>
  <c r="J157" i="3" s="1"/>
  <c r="H157" i="3"/>
  <c r="F157" i="3"/>
  <c r="E157" i="3"/>
  <c r="D157" i="3"/>
  <c r="I156" i="3"/>
  <c r="J156" i="3" s="1"/>
  <c r="H156" i="3"/>
  <c r="F156" i="3"/>
  <c r="E156" i="3"/>
  <c r="D156" i="3"/>
  <c r="I155" i="3"/>
  <c r="J155" i="3" s="1"/>
  <c r="H155" i="3"/>
  <c r="F155" i="3"/>
  <c r="E155" i="3"/>
  <c r="D155" i="3"/>
  <c r="I154" i="3"/>
  <c r="J154" i="3" s="1"/>
  <c r="H154" i="3"/>
  <c r="F154" i="3"/>
  <c r="E154" i="3"/>
  <c r="D154" i="3"/>
  <c r="I153" i="3"/>
  <c r="J153" i="3" s="1"/>
  <c r="H153" i="3"/>
  <c r="F153" i="3"/>
  <c r="E153" i="3"/>
  <c r="D153" i="3"/>
  <c r="I152" i="3"/>
  <c r="J152" i="3" s="1"/>
  <c r="H152" i="3"/>
  <c r="F152" i="3"/>
  <c r="E152" i="3"/>
  <c r="D152" i="3"/>
  <c r="I151" i="3"/>
  <c r="J151" i="3" s="1"/>
  <c r="H151" i="3"/>
  <c r="F151" i="3"/>
  <c r="E151" i="3"/>
  <c r="D151" i="3"/>
  <c r="I150" i="3"/>
  <c r="J150" i="3" s="1"/>
  <c r="H150" i="3"/>
  <c r="F150" i="3"/>
  <c r="E150" i="3"/>
  <c r="D150" i="3"/>
  <c r="I149" i="3"/>
  <c r="J149" i="3" s="1"/>
  <c r="H149" i="3"/>
  <c r="F149" i="3"/>
  <c r="E149" i="3"/>
  <c r="D149" i="3"/>
  <c r="I148" i="3"/>
  <c r="J148" i="3" s="1"/>
  <c r="H148" i="3"/>
  <c r="F148" i="3"/>
  <c r="E148" i="3"/>
  <c r="D148" i="3"/>
  <c r="I147" i="3"/>
  <c r="J147" i="3" s="1"/>
  <c r="H147" i="3"/>
  <c r="F147" i="3"/>
  <c r="E147" i="3"/>
  <c r="D147" i="3"/>
  <c r="I146" i="3"/>
  <c r="J146" i="3" s="1"/>
  <c r="H146" i="3"/>
  <c r="F146" i="3"/>
  <c r="E146" i="3"/>
  <c r="D146" i="3"/>
  <c r="I145" i="3"/>
  <c r="J145" i="3" s="1"/>
  <c r="H145" i="3"/>
  <c r="F145" i="3"/>
  <c r="E145" i="3"/>
  <c r="D145" i="3"/>
  <c r="I144" i="3"/>
  <c r="J144" i="3" s="1"/>
  <c r="H144" i="3"/>
  <c r="F144" i="3"/>
  <c r="E144" i="3"/>
  <c r="D144" i="3"/>
  <c r="I143" i="3"/>
  <c r="J143" i="3" s="1"/>
  <c r="H143" i="3"/>
  <c r="F143" i="3"/>
  <c r="E143" i="3"/>
  <c r="D143" i="3"/>
  <c r="I142" i="3"/>
  <c r="J142" i="3" s="1"/>
  <c r="H142" i="3"/>
  <c r="G142" i="3"/>
  <c r="F142" i="3"/>
  <c r="E142" i="3"/>
  <c r="D142" i="3"/>
  <c r="I141" i="3"/>
  <c r="J141" i="3" s="1"/>
  <c r="H141" i="3"/>
  <c r="F141" i="3"/>
  <c r="E141" i="3"/>
  <c r="D141" i="3"/>
  <c r="I140" i="3"/>
  <c r="J140" i="3" s="1"/>
  <c r="H140" i="3"/>
  <c r="F140" i="3"/>
  <c r="E140" i="3"/>
  <c r="D140" i="3"/>
  <c r="I139" i="3"/>
  <c r="J139" i="3" s="1"/>
  <c r="H139" i="3"/>
  <c r="F139" i="3"/>
  <c r="E139" i="3"/>
  <c r="D139" i="3"/>
  <c r="I138" i="3"/>
  <c r="J138" i="3" s="1"/>
  <c r="H138" i="3"/>
  <c r="F138" i="3"/>
  <c r="E138" i="3"/>
  <c r="D138" i="3"/>
  <c r="I137" i="3"/>
  <c r="J137" i="3" s="1"/>
  <c r="H137" i="3"/>
  <c r="F137" i="3"/>
  <c r="E137" i="3"/>
  <c r="D137" i="3"/>
  <c r="I136" i="3"/>
  <c r="J136" i="3" s="1"/>
  <c r="H136" i="3"/>
  <c r="F136" i="3"/>
  <c r="E136" i="3"/>
  <c r="D136" i="3"/>
  <c r="I135" i="3"/>
  <c r="J135" i="3" s="1"/>
  <c r="H135" i="3"/>
  <c r="F135" i="3"/>
  <c r="E135" i="3"/>
  <c r="D135" i="3"/>
  <c r="I134" i="3"/>
  <c r="J134" i="3" s="1"/>
  <c r="H134" i="3"/>
  <c r="F134" i="3"/>
  <c r="E134" i="3"/>
  <c r="D134" i="3"/>
  <c r="I133" i="3"/>
  <c r="J133" i="3" s="1"/>
  <c r="H133" i="3"/>
  <c r="F133" i="3"/>
  <c r="E133" i="3"/>
  <c r="D133" i="3"/>
  <c r="I132" i="3"/>
  <c r="J132" i="3" s="1"/>
  <c r="H132" i="3"/>
  <c r="F132" i="3"/>
  <c r="E132" i="3"/>
  <c r="D132" i="3"/>
  <c r="I131" i="3"/>
  <c r="J131" i="3" s="1"/>
  <c r="H131" i="3"/>
  <c r="F131" i="3"/>
  <c r="E131" i="3"/>
  <c r="D131" i="3"/>
  <c r="I130" i="3"/>
  <c r="J130" i="3" s="1"/>
  <c r="H130" i="3"/>
  <c r="F130" i="3"/>
  <c r="E130" i="3"/>
  <c r="D130" i="3"/>
  <c r="I129" i="3"/>
  <c r="J129" i="3" s="1"/>
  <c r="H129" i="3"/>
  <c r="F129" i="3"/>
  <c r="E129" i="3"/>
  <c r="D129" i="3"/>
  <c r="I128" i="3"/>
  <c r="J128" i="3" s="1"/>
  <c r="H128" i="3"/>
  <c r="G128" i="3"/>
  <c r="F128" i="3"/>
  <c r="E128" i="3"/>
  <c r="D128" i="3"/>
  <c r="I127" i="3"/>
  <c r="J127" i="3" s="1"/>
  <c r="H127" i="3"/>
  <c r="F127" i="3"/>
  <c r="E127" i="3"/>
  <c r="D127" i="3"/>
  <c r="I126" i="3"/>
  <c r="J126" i="3" s="1"/>
  <c r="H126" i="3"/>
  <c r="F126" i="3"/>
  <c r="E126" i="3"/>
  <c r="D126" i="3"/>
  <c r="I125" i="3"/>
  <c r="J125" i="3" s="1"/>
  <c r="H125" i="3"/>
  <c r="F125" i="3"/>
  <c r="E125" i="3"/>
  <c r="D125" i="3"/>
  <c r="I124" i="3"/>
  <c r="J124" i="3" s="1"/>
  <c r="H124" i="3"/>
  <c r="F124" i="3"/>
  <c r="E124" i="3"/>
  <c r="D124" i="3"/>
  <c r="I123" i="3"/>
  <c r="J123" i="3" s="1"/>
  <c r="H123" i="3"/>
  <c r="F123" i="3"/>
  <c r="E123" i="3"/>
  <c r="D123" i="3"/>
  <c r="I122" i="3"/>
  <c r="J122" i="3" s="1"/>
  <c r="H122" i="3"/>
  <c r="G122" i="3"/>
  <c r="F122" i="3"/>
  <c r="E122" i="3"/>
  <c r="D122" i="3"/>
  <c r="I121" i="3"/>
  <c r="J121" i="3" s="1"/>
  <c r="H121" i="3"/>
  <c r="F121" i="3"/>
  <c r="E121" i="3"/>
  <c r="D121" i="3"/>
  <c r="I120" i="3"/>
  <c r="J120" i="3" s="1"/>
  <c r="H120" i="3"/>
  <c r="F120" i="3"/>
  <c r="E120" i="3"/>
  <c r="D120" i="3"/>
  <c r="I119" i="3"/>
  <c r="J119" i="3" s="1"/>
  <c r="H119" i="3"/>
  <c r="F119" i="3"/>
  <c r="E119" i="3"/>
  <c r="D119" i="3"/>
  <c r="I118" i="3"/>
  <c r="J118" i="3" s="1"/>
  <c r="H118" i="3"/>
  <c r="F118" i="3"/>
  <c r="E118" i="3"/>
  <c r="D118" i="3"/>
  <c r="I117" i="3"/>
  <c r="J117" i="3" s="1"/>
  <c r="H117" i="3"/>
  <c r="F117" i="3"/>
  <c r="E117" i="3"/>
  <c r="D117" i="3"/>
  <c r="I116" i="3"/>
  <c r="J116" i="3" s="1"/>
  <c r="H116" i="3"/>
  <c r="G116" i="3"/>
  <c r="F116" i="3"/>
  <c r="E116" i="3"/>
  <c r="D116" i="3"/>
  <c r="I115" i="3"/>
  <c r="J115" i="3" s="1"/>
  <c r="H115" i="3"/>
  <c r="G115" i="3"/>
  <c r="F115" i="3"/>
  <c r="E115" i="3"/>
  <c r="D115" i="3"/>
  <c r="I114" i="3"/>
  <c r="J114" i="3" s="1"/>
  <c r="H114" i="3"/>
  <c r="F114" i="3"/>
  <c r="E114" i="3"/>
  <c r="D114" i="3"/>
  <c r="I113" i="3"/>
  <c r="J113" i="3" s="1"/>
  <c r="H113" i="3"/>
  <c r="F113" i="3"/>
  <c r="E113" i="3"/>
  <c r="D113" i="3"/>
  <c r="I112" i="3"/>
  <c r="J112" i="3" s="1"/>
  <c r="H112" i="3"/>
  <c r="F112" i="3"/>
  <c r="E112" i="3"/>
  <c r="D112" i="3"/>
  <c r="I111" i="3"/>
  <c r="J111" i="3" s="1"/>
  <c r="H111" i="3"/>
  <c r="F111" i="3"/>
  <c r="E111" i="3"/>
  <c r="D111" i="3"/>
  <c r="I110" i="3"/>
  <c r="J110" i="3" s="1"/>
  <c r="H110" i="3"/>
  <c r="F110" i="3"/>
  <c r="E110" i="3"/>
  <c r="D110" i="3"/>
  <c r="I109" i="3"/>
  <c r="J109" i="3" s="1"/>
  <c r="H109" i="3"/>
  <c r="F109" i="3"/>
  <c r="E109" i="3"/>
  <c r="D109" i="3"/>
  <c r="I108" i="3"/>
  <c r="J108" i="3" s="1"/>
  <c r="H108" i="3"/>
  <c r="F108" i="3"/>
  <c r="E108" i="3"/>
  <c r="D108" i="3"/>
  <c r="I107" i="3"/>
  <c r="J107" i="3" s="1"/>
  <c r="H107" i="3"/>
  <c r="F107" i="3"/>
  <c r="E107" i="3"/>
  <c r="D107" i="3"/>
  <c r="I106" i="3"/>
  <c r="J106" i="3" s="1"/>
  <c r="H106" i="3"/>
  <c r="F106" i="3"/>
  <c r="E106" i="3"/>
  <c r="D106" i="3"/>
  <c r="I105" i="3"/>
  <c r="J105" i="3" s="1"/>
  <c r="H105" i="3"/>
  <c r="F105" i="3"/>
  <c r="E105" i="3"/>
  <c r="D105" i="3"/>
  <c r="I104" i="3"/>
  <c r="J104" i="3" s="1"/>
  <c r="H104" i="3"/>
  <c r="F104" i="3"/>
  <c r="E104" i="3"/>
  <c r="D104" i="3"/>
  <c r="I103" i="3"/>
  <c r="J103" i="3" s="1"/>
  <c r="H103" i="3"/>
  <c r="F103" i="3"/>
  <c r="E103" i="3"/>
  <c r="D103" i="3"/>
  <c r="I102" i="3"/>
  <c r="J102" i="3" s="1"/>
  <c r="H102" i="3"/>
  <c r="F102" i="3"/>
  <c r="E102" i="3"/>
  <c r="D102" i="3"/>
  <c r="I101" i="3"/>
  <c r="J101" i="3" s="1"/>
  <c r="H101" i="3"/>
  <c r="F101" i="3"/>
  <c r="E101" i="3"/>
  <c r="D101" i="3"/>
  <c r="I100" i="3"/>
  <c r="J100" i="3" s="1"/>
  <c r="H100" i="3"/>
  <c r="G100" i="3"/>
  <c r="F100" i="3"/>
  <c r="E100" i="3"/>
  <c r="D100" i="3"/>
  <c r="I99" i="3"/>
  <c r="J99" i="3" s="1"/>
  <c r="H99" i="3"/>
  <c r="F99" i="3"/>
  <c r="E99" i="3"/>
  <c r="D99" i="3"/>
  <c r="I98" i="3"/>
  <c r="J98" i="3" s="1"/>
  <c r="H98" i="3"/>
  <c r="F98" i="3"/>
  <c r="E98" i="3"/>
  <c r="D98" i="3"/>
  <c r="I97" i="3"/>
  <c r="J97" i="3" s="1"/>
  <c r="H97" i="3"/>
  <c r="F97" i="3"/>
  <c r="E97" i="3"/>
  <c r="D97" i="3"/>
  <c r="I96" i="3"/>
  <c r="J96" i="3" s="1"/>
  <c r="H96" i="3"/>
  <c r="F96" i="3"/>
  <c r="E96" i="3"/>
  <c r="D96" i="3"/>
  <c r="I95" i="3"/>
  <c r="J95" i="3" s="1"/>
  <c r="H95" i="3"/>
  <c r="G95" i="3"/>
  <c r="F95" i="3"/>
  <c r="E95" i="3"/>
  <c r="D95" i="3"/>
  <c r="I94" i="3"/>
  <c r="J94" i="3" s="1"/>
  <c r="H94" i="3"/>
  <c r="F94" i="3"/>
  <c r="E94" i="3"/>
  <c r="D94" i="3"/>
  <c r="I93" i="3"/>
  <c r="J93" i="3" s="1"/>
  <c r="H93" i="3"/>
  <c r="G93" i="3"/>
  <c r="F93" i="3"/>
  <c r="E93" i="3"/>
  <c r="D93" i="3"/>
  <c r="I92" i="3"/>
  <c r="J92" i="3" s="1"/>
  <c r="H92" i="3"/>
  <c r="F92" i="3"/>
  <c r="E92" i="3"/>
  <c r="D92" i="3"/>
  <c r="I91" i="3"/>
  <c r="J91" i="3" s="1"/>
  <c r="H91" i="3"/>
  <c r="F91" i="3"/>
  <c r="E91" i="3"/>
  <c r="D91" i="3"/>
  <c r="I90" i="3"/>
  <c r="J90" i="3" s="1"/>
  <c r="H90" i="3"/>
  <c r="F90" i="3"/>
  <c r="E90" i="3"/>
  <c r="D90" i="3"/>
  <c r="I89" i="3"/>
  <c r="J89" i="3" s="1"/>
  <c r="H89" i="3"/>
  <c r="F89" i="3"/>
  <c r="E89" i="3"/>
  <c r="D89" i="3"/>
  <c r="I88" i="3"/>
  <c r="J88" i="3" s="1"/>
  <c r="H88" i="3"/>
  <c r="F88" i="3"/>
  <c r="E88" i="3"/>
  <c r="D88" i="3"/>
  <c r="I87" i="3"/>
  <c r="J87" i="3" s="1"/>
  <c r="H87" i="3"/>
  <c r="F87" i="3"/>
  <c r="E87" i="3"/>
  <c r="D87" i="3"/>
  <c r="I86" i="3"/>
  <c r="J86" i="3" s="1"/>
  <c r="H86" i="3"/>
  <c r="F86" i="3"/>
  <c r="E86" i="3"/>
  <c r="D86" i="3"/>
  <c r="I85" i="3"/>
  <c r="J85" i="3" s="1"/>
  <c r="H85" i="3"/>
  <c r="F85" i="3"/>
  <c r="E85" i="3"/>
  <c r="D85" i="3"/>
  <c r="I84" i="3"/>
  <c r="J84" i="3" s="1"/>
  <c r="H84" i="3"/>
  <c r="F84" i="3"/>
  <c r="E84" i="3"/>
  <c r="D84" i="3"/>
  <c r="I83" i="3"/>
  <c r="J83" i="3" s="1"/>
  <c r="H83" i="3"/>
  <c r="G83" i="3"/>
  <c r="F83" i="3"/>
  <c r="E83" i="3"/>
  <c r="D83" i="3"/>
  <c r="I82" i="3"/>
  <c r="J82" i="3" s="1"/>
  <c r="H82" i="3"/>
  <c r="F82" i="3"/>
  <c r="E82" i="3"/>
  <c r="D82" i="3"/>
  <c r="I81" i="3"/>
  <c r="J81" i="3" s="1"/>
  <c r="H81" i="3"/>
  <c r="F81" i="3"/>
  <c r="E81" i="3"/>
  <c r="D81" i="3"/>
  <c r="I80" i="3"/>
  <c r="J80" i="3" s="1"/>
  <c r="H80" i="3"/>
  <c r="F80" i="3"/>
  <c r="E80" i="3"/>
  <c r="D80" i="3"/>
  <c r="I79" i="3"/>
  <c r="J79" i="3" s="1"/>
  <c r="H79" i="3"/>
  <c r="F79" i="3"/>
  <c r="E79" i="3"/>
  <c r="D79" i="3"/>
  <c r="I78" i="3"/>
  <c r="J78" i="3" s="1"/>
  <c r="H78" i="3"/>
  <c r="F78" i="3"/>
  <c r="E78" i="3"/>
  <c r="D78" i="3"/>
  <c r="I77" i="3"/>
  <c r="J77" i="3" s="1"/>
  <c r="H77" i="3"/>
  <c r="F77" i="3"/>
  <c r="E77" i="3"/>
  <c r="D77" i="3"/>
  <c r="I76" i="3"/>
  <c r="J76" i="3" s="1"/>
  <c r="H76" i="3"/>
  <c r="F76" i="3"/>
  <c r="E76" i="3"/>
  <c r="D76" i="3"/>
  <c r="I75" i="3"/>
  <c r="J75" i="3" s="1"/>
  <c r="H75" i="3"/>
  <c r="F75" i="3"/>
  <c r="E75" i="3"/>
  <c r="D75" i="3"/>
  <c r="I74" i="3"/>
  <c r="J74" i="3" s="1"/>
  <c r="H74" i="3"/>
  <c r="F74" i="3"/>
  <c r="E74" i="3"/>
  <c r="D74" i="3"/>
  <c r="I73" i="3"/>
  <c r="J73" i="3" s="1"/>
  <c r="H73" i="3"/>
  <c r="F73" i="3"/>
  <c r="E73" i="3"/>
  <c r="D73" i="3"/>
  <c r="I72" i="3"/>
  <c r="J72" i="3" s="1"/>
  <c r="H72" i="3"/>
  <c r="F72" i="3"/>
  <c r="E72" i="3"/>
  <c r="D72" i="3"/>
  <c r="I71" i="3"/>
  <c r="J71" i="3" s="1"/>
  <c r="H71" i="3"/>
  <c r="F71" i="3"/>
  <c r="E71" i="3"/>
  <c r="D71" i="3"/>
  <c r="I70" i="3"/>
  <c r="J70" i="3" s="1"/>
  <c r="H70" i="3"/>
  <c r="F70" i="3"/>
  <c r="E70" i="3"/>
  <c r="D70" i="3"/>
  <c r="I69" i="3"/>
  <c r="J69" i="3" s="1"/>
  <c r="H69" i="3"/>
  <c r="F69" i="3"/>
  <c r="E69" i="3"/>
  <c r="D69" i="3"/>
  <c r="I68" i="3"/>
  <c r="J68" i="3" s="1"/>
  <c r="H68" i="3"/>
  <c r="F68" i="3"/>
  <c r="E68" i="3"/>
  <c r="D68" i="3"/>
  <c r="I67" i="3"/>
  <c r="J67" i="3" s="1"/>
  <c r="H67" i="3"/>
  <c r="F67" i="3"/>
  <c r="E67" i="3"/>
  <c r="D67" i="3"/>
  <c r="I66" i="3"/>
  <c r="J66" i="3" s="1"/>
  <c r="H66" i="3"/>
  <c r="G66" i="3"/>
  <c r="F66" i="3"/>
  <c r="E66" i="3"/>
  <c r="D66" i="3"/>
  <c r="I65" i="3"/>
  <c r="J65" i="3" s="1"/>
  <c r="H65" i="3"/>
  <c r="G65" i="3"/>
  <c r="F65" i="3"/>
  <c r="E65" i="3"/>
  <c r="D65" i="3"/>
  <c r="I64" i="3"/>
  <c r="J64" i="3" s="1"/>
  <c r="H64" i="3"/>
  <c r="F64" i="3"/>
  <c r="E64" i="3"/>
  <c r="D64" i="3"/>
  <c r="I63" i="3"/>
  <c r="J63" i="3" s="1"/>
  <c r="H63" i="3"/>
  <c r="F63" i="3"/>
  <c r="E63" i="3"/>
  <c r="D63" i="3"/>
  <c r="I62" i="3"/>
  <c r="J62" i="3" s="1"/>
  <c r="H62" i="3"/>
  <c r="F62" i="3"/>
  <c r="E62" i="3"/>
  <c r="D62" i="3"/>
  <c r="I61" i="3"/>
  <c r="J61" i="3" s="1"/>
  <c r="H61" i="3"/>
  <c r="F61" i="3"/>
  <c r="E61" i="3"/>
  <c r="D61" i="3"/>
  <c r="I60" i="3"/>
  <c r="J60" i="3" s="1"/>
  <c r="H60" i="3"/>
  <c r="F60" i="3"/>
  <c r="E60" i="3"/>
  <c r="D60" i="3"/>
  <c r="I59" i="3"/>
  <c r="J59" i="3" s="1"/>
  <c r="H59" i="3"/>
  <c r="F59" i="3"/>
  <c r="E59" i="3"/>
  <c r="D59" i="3"/>
  <c r="I58" i="3"/>
  <c r="J58" i="3" s="1"/>
  <c r="H58" i="3"/>
  <c r="G58" i="3"/>
  <c r="F58" i="3"/>
  <c r="E58" i="3"/>
  <c r="D58" i="3"/>
  <c r="I57" i="3"/>
  <c r="J57" i="3" s="1"/>
  <c r="H57" i="3"/>
  <c r="F57" i="3"/>
  <c r="E57" i="3"/>
  <c r="D57" i="3"/>
  <c r="I56" i="3"/>
  <c r="J56" i="3" s="1"/>
  <c r="H56" i="3"/>
  <c r="G56" i="3"/>
  <c r="F56" i="3"/>
  <c r="E56" i="3"/>
  <c r="D56" i="3"/>
  <c r="I55" i="3"/>
  <c r="J55" i="3" s="1"/>
  <c r="H55" i="3"/>
  <c r="F55" i="3"/>
  <c r="E55" i="3"/>
  <c r="D55" i="3"/>
  <c r="I54" i="3"/>
  <c r="J54" i="3" s="1"/>
  <c r="H54" i="3"/>
  <c r="F54" i="3"/>
  <c r="E54" i="3"/>
  <c r="D54" i="3"/>
  <c r="I53" i="3"/>
  <c r="J53" i="3" s="1"/>
  <c r="H53" i="3"/>
  <c r="F53" i="3"/>
  <c r="E53" i="3"/>
  <c r="D53" i="3"/>
  <c r="I52" i="3"/>
  <c r="J52" i="3" s="1"/>
  <c r="H52" i="3"/>
  <c r="F52" i="3"/>
  <c r="E52" i="3"/>
  <c r="D52" i="3"/>
  <c r="I51" i="3"/>
  <c r="J51" i="3" s="1"/>
  <c r="H51" i="3"/>
  <c r="F51" i="3"/>
  <c r="E51" i="3"/>
  <c r="D51" i="3"/>
  <c r="I50" i="3"/>
  <c r="J50" i="3" s="1"/>
  <c r="H50" i="3"/>
  <c r="F50" i="3"/>
  <c r="E50" i="3"/>
  <c r="D50" i="3"/>
  <c r="I49" i="3"/>
  <c r="J49" i="3" s="1"/>
  <c r="H49" i="3"/>
  <c r="F49" i="3"/>
  <c r="E49" i="3"/>
  <c r="D49" i="3"/>
  <c r="I48" i="3"/>
  <c r="J48" i="3" s="1"/>
  <c r="H48" i="3"/>
  <c r="F48" i="3"/>
  <c r="E48" i="3"/>
  <c r="D48" i="3"/>
  <c r="I47" i="3"/>
  <c r="J47" i="3" s="1"/>
  <c r="H47" i="3"/>
  <c r="F47" i="3"/>
  <c r="E47" i="3"/>
  <c r="D47" i="3"/>
  <c r="I46" i="3"/>
  <c r="J46" i="3" s="1"/>
  <c r="H46" i="3"/>
  <c r="F46" i="3"/>
  <c r="E46" i="3"/>
  <c r="D46" i="3"/>
  <c r="I45" i="3"/>
  <c r="J45" i="3" s="1"/>
  <c r="H45" i="3"/>
  <c r="F45" i="3"/>
  <c r="E45" i="3"/>
  <c r="D45" i="3"/>
  <c r="I44" i="3"/>
  <c r="J44" i="3" s="1"/>
  <c r="H44" i="3"/>
  <c r="G44" i="3"/>
  <c r="F44" i="3"/>
  <c r="E44" i="3"/>
  <c r="D44" i="3"/>
  <c r="I43" i="3"/>
  <c r="J43" i="3" s="1"/>
  <c r="H43" i="3"/>
  <c r="F43" i="3"/>
  <c r="E43" i="3"/>
  <c r="D43" i="3"/>
  <c r="I42" i="3"/>
  <c r="J42" i="3" s="1"/>
  <c r="H42" i="3"/>
  <c r="G42" i="3"/>
  <c r="F42" i="3"/>
  <c r="E42" i="3"/>
  <c r="D42" i="3"/>
  <c r="I41" i="3"/>
  <c r="J41" i="3" s="1"/>
  <c r="H41" i="3"/>
  <c r="F41" i="3"/>
  <c r="E41" i="3"/>
  <c r="D41" i="3"/>
  <c r="I40" i="3"/>
  <c r="J40" i="3" s="1"/>
  <c r="H40" i="3"/>
  <c r="F40" i="3"/>
  <c r="E40" i="3"/>
  <c r="D40" i="3"/>
  <c r="I39" i="3"/>
  <c r="J39" i="3" s="1"/>
  <c r="H39" i="3"/>
  <c r="F39" i="3"/>
  <c r="E39" i="3"/>
  <c r="D39" i="3"/>
  <c r="I38" i="3"/>
  <c r="J38" i="3" s="1"/>
  <c r="H38" i="3"/>
  <c r="F38" i="3"/>
  <c r="E38" i="3"/>
  <c r="D38" i="3"/>
  <c r="I37" i="3"/>
  <c r="J37" i="3" s="1"/>
  <c r="H37" i="3"/>
  <c r="F37" i="3"/>
  <c r="E37" i="3"/>
  <c r="D37" i="3"/>
  <c r="I36" i="3"/>
  <c r="J36" i="3" s="1"/>
  <c r="H36" i="3"/>
  <c r="F36" i="3"/>
  <c r="E36" i="3"/>
  <c r="D36" i="3"/>
  <c r="I35" i="3"/>
  <c r="J35" i="3" s="1"/>
  <c r="H35" i="3"/>
  <c r="G35" i="3"/>
  <c r="F35" i="3"/>
  <c r="E35" i="3"/>
  <c r="D35" i="3"/>
  <c r="I34" i="3"/>
  <c r="J34" i="3" s="1"/>
  <c r="H34" i="3"/>
  <c r="F34" i="3"/>
  <c r="E34" i="3"/>
  <c r="D34" i="3"/>
  <c r="I33" i="3"/>
  <c r="J33" i="3" s="1"/>
  <c r="H33" i="3"/>
  <c r="F33" i="3"/>
  <c r="E33" i="3"/>
  <c r="D33" i="3"/>
  <c r="I32" i="3"/>
  <c r="J32" i="3" s="1"/>
  <c r="H32" i="3"/>
  <c r="G32" i="3"/>
  <c r="F32" i="3"/>
  <c r="E32" i="3"/>
  <c r="D32" i="3"/>
  <c r="I31" i="3"/>
  <c r="J31" i="3" s="1"/>
  <c r="H31" i="3"/>
  <c r="G31" i="3"/>
  <c r="F31" i="3"/>
  <c r="E31" i="3"/>
  <c r="D31" i="3"/>
  <c r="I30" i="3"/>
  <c r="J30" i="3" s="1"/>
  <c r="H30" i="3"/>
  <c r="F30" i="3"/>
  <c r="E30" i="3"/>
  <c r="D30" i="3"/>
  <c r="I29" i="3"/>
  <c r="J29" i="3" s="1"/>
  <c r="H29" i="3"/>
  <c r="G29" i="3"/>
  <c r="F29" i="3"/>
  <c r="E29" i="3"/>
  <c r="D29" i="3"/>
  <c r="I28" i="3"/>
  <c r="J28" i="3" s="1"/>
  <c r="H28" i="3"/>
  <c r="F28" i="3"/>
  <c r="E28" i="3"/>
  <c r="D28" i="3"/>
  <c r="I27" i="3"/>
  <c r="J27" i="3" s="1"/>
  <c r="H27" i="3"/>
  <c r="F27" i="3"/>
  <c r="E27" i="3"/>
  <c r="D27" i="3"/>
  <c r="I26" i="3"/>
  <c r="J26" i="3" s="1"/>
  <c r="H26" i="3"/>
  <c r="G26" i="3"/>
  <c r="F26" i="3"/>
  <c r="E26" i="3"/>
  <c r="D26" i="3"/>
  <c r="I25" i="3"/>
  <c r="J25" i="3" s="1"/>
  <c r="H25" i="3"/>
  <c r="F25" i="3"/>
  <c r="E25" i="3"/>
  <c r="D25" i="3"/>
  <c r="I24" i="3"/>
  <c r="J24" i="3" s="1"/>
  <c r="H24" i="3"/>
  <c r="F24" i="3"/>
  <c r="E24" i="3"/>
  <c r="D24" i="3"/>
  <c r="I23" i="3"/>
  <c r="J23" i="3" s="1"/>
  <c r="H23" i="3"/>
  <c r="F23" i="3"/>
  <c r="E23" i="3"/>
  <c r="D23" i="3"/>
  <c r="I22" i="3"/>
  <c r="J22" i="3" s="1"/>
  <c r="H22" i="3"/>
  <c r="F22" i="3"/>
  <c r="E22" i="3"/>
  <c r="D22" i="3"/>
  <c r="I21" i="3"/>
  <c r="J21" i="3" s="1"/>
  <c r="H21" i="3"/>
  <c r="G21" i="3"/>
  <c r="F21" i="3"/>
  <c r="E21" i="3"/>
  <c r="D21" i="3"/>
  <c r="I20" i="3"/>
  <c r="J20" i="3" s="1"/>
  <c r="H20" i="3"/>
  <c r="F20" i="3"/>
  <c r="E20" i="3"/>
  <c r="D20" i="3"/>
  <c r="I19" i="3"/>
  <c r="J19" i="3" s="1"/>
  <c r="H19" i="3"/>
  <c r="F19" i="3"/>
  <c r="E19" i="3"/>
  <c r="D19" i="3"/>
  <c r="I18" i="3"/>
  <c r="J18" i="3" s="1"/>
  <c r="H18" i="3"/>
  <c r="F18" i="3"/>
  <c r="E18" i="3"/>
  <c r="D18" i="3"/>
  <c r="I17" i="3"/>
  <c r="J17" i="3" s="1"/>
  <c r="H17" i="3"/>
  <c r="F17" i="3"/>
  <c r="E17" i="3"/>
  <c r="D17" i="3"/>
  <c r="I16" i="3"/>
  <c r="J16" i="3" s="1"/>
  <c r="H16" i="3"/>
  <c r="F16" i="3"/>
  <c r="E16" i="3"/>
  <c r="D16" i="3"/>
  <c r="I15" i="3"/>
  <c r="J15" i="3" s="1"/>
  <c r="H15" i="3"/>
  <c r="F15" i="3"/>
  <c r="E15" i="3"/>
  <c r="D15" i="3"/>
  <c r="I14" i="3"/>
  <c r="J14" i="3" s="1"/>
  <c r="H14" i="3"/>
  <c r="F14" i="3"/>
  <c r="E14" i="3"/>
  <c r="D14" i="3"/>
  <c r="I13" i="3"/>
  <c r="J13" i="3" s="1"/>
  <c r="H13" i="3"/>
  <c r="F13" i="3"/>
  <c r="E13" i="3"/>
  <c r="D13" i="3"/>
  <c r="I12" i="3"/>
  <c r="J12" i="3" s="1"/>
  <c r="H12" i="3"/>
  <c r="F12" i="3"/>
  <c r="E12" i="3"/>
  <c r="D12" i="3"/>
  <c r="I11" i="3"/>
  <c r="J11" i="3" s="1"/>
  <c r="H11" i="3"/>
  <c r="G11" i="3"/>
  <c r="F11" i="3"/>
  <c r="E11" i="3"/>
  <c r="D11" i="3"/>
  <c r="I10" i="3"/>
  <c r="J10" i="3" s="1"/>
  <c r="H10" i="3"/>
  <c r="F10" i="3"/>
  <c r="E10" i="3"/>
  <c r="D10" i="3"/>
  <c r="I9" i="3"/>
  <c r="J9" i="3" s="1"/>
  <c r="H9" i="3"/>
  <c r="G9" i="3"/>
  <c r="F9" i="3"/>
  <c r="E9" i="3"/>
  <c r="D9" i="3"/>
  <c r="I8" i="3"/>
  <c r="J8" i="3" s="1"/>
  <c r="H8" i="3"/>
  <c r="F8" i="3"/>
  <c r="E8" i="3"/>
  <c r="D8" i="3"/>
  <c r="I7" i="3"/>
  <c r="J7" i="3" s="1"/>
  <c r="H7" i="3"/>
  <c r="F7" i="3"/>
  <c r="E7" i="3"/>
  <c r="D7" i="3"/>
  <c r="I6" i="3"/>
  <c r="J6" i="3" s="1"/>
  <c r="H6" i="3"/>
  <c r="F6" i="3"/>
  <c r="E6" i="3"/>
  <c r="D6" i="3"/>
  <c r="K42" i="3" l="1"/>
  <c r="M42" i="3" s="1"/>
  <c r="N42" i="3" s="1"/>
  <c r="K160" i="3"/>
  <c r="K93" i="3"/>
  <c r="G127" i="3"/>
  <c r="K51" i="1"/>
  <c r="G96" i="3"/>
  <c r="G154" i="3"/>
  <c r="K154" i="3" s="1"/>
  <c r="K297" i="1"/>
  <c r="G133" i="3"/>
  <c r="K133" i="3" s="1"/>
  <c r="M133" i="3" s="1"/>
  <c r="N133" i="3" s="1"/>
  <c r="K198" i="1"/>
  <c r="G34" i="3"/>
  <c r="K34" i="3" s="1"/>
  <c r="M34" i="3" s="1"/>
  <c r="N34" i="3" s="1"/>
  <c r="G63" i="3"/>
  <c r="K396" i="1"/>
  <c r="G40" i="3"/>
  <c r="K814" i="1"/>
  <c r="G92" i="3"/>
  <c r="G68" i="3"/>
  <c r="G84" i="3"/>
  <c r="K84" i="3" s="1"/>
  <c r="L84" i="3" s="1"/>
  <c r="K62" i="1"/>
  <c r="G41" i="3"/>
  <c r="K41" i="3" s="1"/>
  <c r="M41" i="3" s="1"/>
  <c r="N41" i="3" s="1"/>
  <c r="K97" i="1"/>
  <c r="G148" i="3"/>
  <c r="K148" i="3" s="1"/>
  <c r="G74" i="3"/>
  <c r="G103" i="3"/>
  <c r="G97" i="3"/>
  <c r="G24" i="3"/>
  <c r="K24" i="3" s="1"/>
  <c r="M24" i="3" s="1"/>
  <c r="N24" i="3" s="1"/>
  <c r="G139" i="3"/>
  <c r="K139" i="3" s="1"/>
  <c r="G37" i="3"/>
  <c r="K37" i="3" s="1"/>
  <c r="G144" i="3"/>
  <c r="K144" i="3" s="1"/>
  <c r="L144" i="3" s="1"/>
  <c r="G109" i="3"/>
  <c r="K109" i="3" s="1"/>
  <c r="L109" i="3" s="1"/>
  <c r="G16" i="3"/>
  <c r="K16" i="3" s="1"/>
  <c r="L16" i="3" s="1"/>
  <c r="K47" i="3"/>
  <c r="M47" i="3" s="1"/>
  <c r="N47" i="3" s="1"/>
  <c r="G135" i="3"/>
  <c r="K135" i="3" s="1"/>
  <c r="M135" i="3" s="1"/>
  <c r="N135" i="3" s="1"/>
  <c r="G25" i="3"/>
  <c r="G57" i="3"/>
  <c r="K57" i="3" s="1"/>
  <c r="G101" i="3"/>
  <c r="G79" i="3"/>
  <c r="K79" i="3" s="1"/>
  <c r="G112" i="3"/>
  <c r="K136" i="1"/>
  <c r="G126" i="3"/>
  <c r="K126" i="3" s="1"/>
  <c r="L126" i="3" s="1"/>
  <c r="G48" i="3"/>
  <c r="K48" i="3" s="1"/>
  <c r="M48" i="3" s="1"/>
  <c r="N48" i="3" s="1"/>
  <c r="G60" i="3"/>
  <c r="K60" i="3" s="1"/>
  <c r="G146" i="3"/>
  <c r="K146" i="3" s="1"/>
  <c r="M146" i="3" s="1"/>
  <c r="N146" i="3" s="1"/>
  <c r="G124" i="3"/>
  <c r="K124" i="3" s="1"/>
  <c r="M124" i="3" s="1"/>
  <c r="N124" i="3" s="1"/>
  <c r="G20" i="3"/>
  <c r="G90" i="3"/>
  <c r="K90" i="3" s="1"/>
  <c r="M90" i="3" s="1"/>
  <c r="N90" i="3" s="1"/>
  <c r="G55" i="3"/>
  <c r="K55" i="3" s="1"/>
  <c r="L55" i="3" s="1"/>
  <c r="G18" i="3"/>
  <c r="K18" i="3" s="1"/>
  <c r="G76" i="3"/>
  <c r="K76" i="3" s="1"/>
  <c r="G157" i="3"/>
  <c r="K157" i="3" s="1"/>
  <c r="M157" i="3" s="1"/>
  <c r="N157" i="3" s="1"/>
  <c r="G73" i="3"/>
  <c r="K73" i="3" s="1"/>
  <c r="M73" i="3" s="1"/>
  <c r="N73" i="3" s="1"/>
  <c r="G156" i="3"/>
  <c r="K156" i="3" s="1"/>
  <c r="M156" i="3" s="1"/>
  <c r="N156" i="3" s="1"/>
  <c r="K66" i="3"/>
  <c r="L66" i="3" s="1"/>
  <c r="G43" i="3"/>
  <c r="K43" i="3" s="1"/>
  <c r="G108" i="3"/>
  <c r="K108" i="3" s="1"/>
  <c r="L108" i="3" s="1"/>
  <c r="G130" i="3"/>
  <c r="G105" i="3"/>
  <c r="G120" i="3"/>
  <c r="K120" i="3" s="1"/>
  <c r="L120" i="3" s="1"/>
  <c r="G161" i="3"/>
  <c r="K161" i="3" s="1"/>
  <c r="L161" i="3" s="1"/>
  <c r="G147" i="3"/>
  <c r="G28" i="3"/>
  <c r="K28" i="3" s="1"/>
  <c r="M28" i="3" s="1"/>
  <c r="N28" i="3" s="1"/>
  <c r="K54" i="1"/>
  <c r="K35" i="3"/>
  <c r="M35" i="3" s="1"/>
  <c r="N35" i="3" s="1"/>
  <c r="G46" i="3"/>
  <c r="K46" i="3" s="1"/>
  <c r="M46" i="3" s="1"/>
  <c r="N46" i="3" s="1"/>
  <c r="G23" i="3"/>
  <c r="K23" i="3" s="1"/>
  <c r="M23" i="3" s="1"/>
  <c r="N23" i="3" s="1"/>
  <c r="G89" i="3"/>
  <c r="K89" i="3" s="1"/>
  <c r="M89" i="3" s="1"/>
  <c r="N89" i="3" s="1"/>
  <c r="G14" i="3"/>
  <c r="K14" i="3" s="1"/>
  <c r="G10" i="3"/>
  <c r="K10" i="3" s="1"/>
  <c r="M10" i="3" s="1"/>
  <c r="N10" i="3" s="1"/>
  <c r="G72" i="3"/>
  <c r="K72" i="3" s="1"/>
  <c r="L72" i="3" s="1"/>
  <c r="G45" i="3"/>
  <c r="K45" i="3" s="1"/>
  <c r="G155" i="3"/>
  <c r="K155" i="3" s="1"/>
  <c r="L155" i="3" s="1"/>
  <c r="G145" i="3"/>
  <c r="K145" i="3" s="1"/>
  <c r="M145" i="3" s="1"/>
  <c r="N145" i="3" s="1"/>
  <c r="G136" i="3"/>
  <c r="K136" i="3" s="1"/>
  <c r="M136" i="3" s="1"/>
  <c r="N136" i="3" s="1"/>
  <c r="G153" i="3"/>
  <c r="K153" i="3" s="1"/>
  <c r="M153" i="3" s="1"/>
  <c r="N153" i="3" s="1"/>
  <c r="G54" i="3"/>
  <c r="K54" i="3" s="1"/>
  <c r="K79" i="1"/>
  <c r="G22" i="3"/>
  <c r="K22" i="3" s="1"/>
  <c r="M22" i="3" s="1"/>
  <c r="N22" i="3" s="1"/>
  <c r="G52" i="3"/>
  <c r="K52" i="3" s="1"/>
  <c r="L52" i="3" s="1"/>
  <c r="G67" i="3"/>
  <c r="K67" i="3" s="1"/>
  <c r="K286" i="1"/>
  <c r="G7" i="3"/>
  <c r="K7" i="3" s="1"/>
  <c r="G75" i="3"/>
  <c r="K75" i="3" s="1"/>
  <c r="M75" i="3" s="1"/>
  <c r="N75" i="3" s="1"/>
  <c r="G85" i="3"/>
  <c r="K85" i="3" s="1"/>
  <c r="L85" i="3" s="1"/>
  <c r="N769" i="1"/>
  <c r="G61" i="3"/>
  <c r="K61" i="3" s="1"/>
  <c r="M61" i="3" s="1"/>
  <c r="N61" i="3" s="1"/>
  <c r="K302" i="1"/>
  <c r="K273" i="1"/>
  <c r="G98" i="3"/>
  <c r="K98" i="3" s="1"/>
  <c r="L98" i="3" s="1"/>
  <c r="K298" i="1"/>
  <c r="K209" i="1"/>
  <c r="G17" i="3"/>
  <c r="G30" i="3"/>
  <c r="K30" i="3" s="1"/>
  <c r="L30" i="3" s="1"/>
  <c r="K7" i="1"/>
  <c r="G140" i="3"/>
  <c r="K140" i="3" s="1"/>
  <c r="K42" i="1"/>
  <c r="G81" i="3"/>
  <c r="K81" i="3" s="1"/>
  <c r="M81" i="3" s="1"/>
  <c r="N81" i="3" s="1"/>
  <c r="K145" i="1"/>
  <c r="G118" i="3"/>
  <c r="K118" i="3" s="1"/>
  <c r="M118" i="3" s="1"/>
  <c r="N118" i="3" s="1"/>
  <c r="K22" i="1"/>
  <c r="G123" i="3"/>
  <c r="K123" i="3" s="1"/>
  <c r="M123" i="3" s="1"/>
  <c r="N123" i="3" s="1"/>
  <c r="K39" i="1"/>
  <c r="K88" i="1"/>
  <c r="G62" i="3"/>
  <c r="K62" i="3" s="1"/>
  <c r="L62" i="3" s="1"/>
  <c r="K83" i="1"/>
  <c r="G53" i="3"/>
  <c r="K53" i="3" s="1"/>
  <c r="M53" i="3" s="1"/>
  <c r="N53" i="3" s="1"/>
  <c r="G80" i="3"/>
  <c r="K80" i="3" s="1"/>
  <c r="M80" i="3" s="1"/>
  <c r="N80" i="3" s="1"/>
  <c r="G114" i="3"/>
  <c r="K114" i="3" s="1"/>
  <c r="M114" i="3" s="1"/>
  <c r="N114" i="3" s="1"/>
  <c r="K33" i="3"/>
  <c r="L33" i="3" s="1"/>
  <c r="G77" i="3"/>
  <c r="K77" i="3" s="1"/>
  <c r="L77" i="3" s="1"/>
  <c r="G121" i="3"/>
  <c r="K121" i="3" s="1"/>
  <c r="M121" i="3" s="1"/>
  <c r="N121" i="3" s="1"/>
  <c r="K207" i="1"/>
  <c r="G99" i="3"/>
  <c r="K99" i="3" s="1"/>
  <c r="M99" i="3" s="1"/>
  <c r="N99" i="3" s="1"/>
  <c r="K385" i="1"/>
  <c r="G141" i="3"/>
  <c r="K141" i="3" s="1"/>
  <c r="K50" i="1"/>
  <c r="K64" i="1"/>
  <c r="K229" i="1"/>
  <c r="K11" i="3"/>
  <c r="L11" i="3" s="1"/>
  <c r="K32" i="3"/>
  <c r="L32" i="3" s="1"/>
  <c r="K40" i="1"/>
  <c r="K53" i="1"/>
  <c r="K64" i="3"/>
  <c r="M64" i="3" s="1"/>
  <c r="N64" i="3" s="1"/>
  <c r="K162" i="3"/>
  <c r="M162" i="3" s="1"/>
  <c r="N162" i="3" s="1"/>
  <c r="G143" i="3"/>
  <c r="K143" i="3" s="1"/>
  <c r="G78" i="3"/>
  <c r="K78" i="3" s="1"/>
  <c r="G158" i="3"/>
  <c r="K158" i="3" s="1"/>
  <c r="M158" i="3" s="1"/>
  <c r="N158" i="3" s="1"/>
  <c r="G152" i="3"/>
  <c r="K152" i="3" s="1"/>
  <c r="G110" i="3"/>
  <c r="K110" i="3" s="1"/>
  <c r="M110" i="3" s="1"/>
  <c r="N110" i="3" s="1"/>
  <c r="K130" i="1"/>
  <c r="K153" i="1"/>
  <c r="G134" i="3"/>
  <c r="K134" i="3" s="1"/>
  <c r="L134" i="3" s="1"/>
  <c r="K765" i="1"/>
  <c r="G119" i="3"/>
  <c r="K119" i="3" s="1"/>
  <c r="G49" i="3"/>
  <c r="K49" i="3" s="1"/>
  <c r="K40" i="3"/>
  <c r="M40" i="3" s="1"/>
  <c r="N40" i="3" s="1"/>
  <c r="K59" i="3"/>
  <c r="L59" i="3" s="1"/>
  <c r="G86" i="3"/>
  <c r="K86" i="3" s="1"/>
  <c r="M86" i="3" s="1"/>
  <c r="N86" i="3" s="1"/>
  <c r="K100" i="3"/>
  <c r="L100" i="3" s="1"/>
  <c r="G125" i="3"/>
  <c r="K125" i="3" s="1"/>
  <c r="M125" i="3" s="1"/>
  <c r="N125" i="3" s="1"/>
  <c r="K177" i="1"/>
  <c r="K185" i="1"/>
  <c r="K236" i="1"/>
  <c r="K21" i="3"/>
  <c r="L21" i="3" s="1"/>
  <c r="K69" i="3"/>
  <c r="M69" i="3" s="1"/>
  <c r="N69" i="3" s="1"/>
  <c r="K88" i="3"/>
  <c r="M88" i="3" s="1"/>
  <c r="N88" i="3" s="1"/>
  <c r="K95" i="3"/>
  <c r="L95" i="3" s="1"/>
  <c r="K106" i="3"/>
  <c r="L106" i="3" s="1"/>
  <c r="K130" i="3"/>
  <c r="M130" i="3" s="1"/>
  <c r="N130" i="3" s="1"/>
  <c r="K24" i="1"/>
  <c r="K44" i="1"/>
  <c r="K82" i="1"/>
  <c r="K317" i="1"/>
  <c r="K83" i="3"/>
  <c r="M83" i="3" s="1"/>
  <c r="N83" i="3" s="1"/>
  <c r="K132" i="3"/>
  <c r="M132" i="3" s="1"/>
  <c r="N132" i="3" s="1"/>
  <c r="K9" i="3"/>
  <c r="L9" i="3" s="1"/>
  <c r="K6" i="3"/>
  <c r="M6" i="3" s="1"/>
  <c r="N6" i="3" s="1"/>
  <c r="K13" i="3"/>
  <c r="M13" i="3" s="1"/>
  <c r="N13" i="3" s="1"/>
  <c r="K25" i="3"/>
  <c r="M25" i="3" s="1"/>
  <c r="N25" i="3" s="1"/>
  <c r="K44" i="3"/>
  <c r="M44" i="3" s="1"/>
  <c r="N44" i="3" s="1"/>
  <c r="K101" i="3"/>
  <c r="L101" i="3" s="1"/>
  <c r="K112" i="3"/>
  <c r="L112" i="3" s="1"/>
  <c r="K8" i="3"/>
  <c r="M8" i="3" s="1"/>
  <c r="N8" i="3" s="1"/>
  <c r="K39" i="3"/>
  <c r="M39" i="3" s="1"/>
  <c r="N39" i="3" s="1"/>
  <c r="K51" i="3"/>
  <c r="M51" i="3" s="1"/>
  <c r="N51" i="3" s="1"/>
  <c r="K56" i="3"/>
  <c r="M56" i="3" s="1"/>
  <c r="N56" i="3" s="1"/>
  <c r="K63" i="3"/>
  <c r="M63" i="3" s="1"/>
  <c r="N63" i="3" s="1"/>
  <c r="K92" i="3"/>
  <c r="L92" i="3" s="1"/>
  <c r="K116" i="3"/>
  <c r="M116" i="3" s="1"/>
  <c r="N116" i="3" s="1"/>
  <c r="K127" i="3"/>
  <c r="M127" i="3" s="1"/>
  <c r="N127" i="3" s="1"/>
  <c r="K147" i="3"/>
  <c r="M147" i="3" s="1"/>
  <c r="N147" i="3" s="1"/>
  <c r="K20" i="3"/>
  <c r="L20" i="3" s="1"/>
  <c r="K27" i="3"/>
  <c r="M27" i="3" s="1"/>
  <c r="N27" i="3" s="1"/>
  <c r="K68" i="3"/>
  <c r="M68" i="3" s="1"/>
  <c r="N68" i="3" s="1"/>
  <c r="K94" i="3"/>
  <c r="M94" i="3" s="1"/>
  <c r="N94" i="3" s="1"/>
  <c r="K58" i="3"/>
  <c r="M58" i="3" s="1"/>
  <c r="N58" i="3" s="1"/>
  <c r="K70" i="3"/>
  <c r="M70" i="3" s="1"/>
  <c r="N70" i="3" s="1"/>
  <c r="K82" i="3"/>
  <c r="M82" i="3" s="1"/>
  <c r="N82" i="3" s="1"/>
  <c r="K96" i="3"/>
  <c r="M96" i="3" s="1"/>
  <c r="N96" i="3" s="1"/>
  <c r="K131" i="3"/>
  <c r="M131" i="3" s="1"/>
  <c r="N131" i="3" s="1"/>
  <c r="K17" i="3"/>
  <c r="M17" i="3" s="1"/>
  <c r="N17" i="3" s="1"/>
  <c r="K29" i="3"/>
  <c r="M29" i="3" s="1"/>
  <c r="N29" i="3" s="1"/>
  <c r="K36" i="3"/>
  <c r="M36" i="3" s="1"/>
  <c r="N36" i="3" s="1"/>
  <c r="K115" i="3"/>
  <c r="L115" i="3" s="1"/>
  <c r="K122" i="3"/>
  <c r="M122" i="3" s="1"/>
  <c r="N122" i="3" s="1"/>
  <c r="K142" i="3"/>
  <c r="M142" i="3" s="1"/>
  <c r="N142" i="3" s="1"/>
  <c r="K12" i="3"/>
  <c r="L12" i="3" s="1"/>
  <c r="K111" i="3"/>
  <c r="M111" i="3" s="1"/>
  <c r="N111" i="3" s="1"/>
  <c r="K19" i="3"/>
  <c r="L19" i="3" s="1"/>
  <c r="K31" i="3"/>
  <c r="L31" i="3" s="1"/>
  <c r="K38" i="3"/>
  <c r="L38" i="3" s="1"/>
  <c r="K50" i="3"/>
  <c r="M50" i="3" s="1"/>
  <c r="N50" i="3" s="1"/>
  <c r="K74" i="3"/>
  <c r="L74" i="3" s="1"/>
  <c r="K91" i="3"/>
  <c r="L91" i="3" s="1"/>
  <c r="K102" i="3"/>
  <c r="M102" i="3" s="1"/>
  <c r="N102" i="3" s="1"/>
  <c r="K137" i="3"/>
  <c r="L137" i="3" s="1"/>
  <c r="K107" i="3"/>
  <c r="M107" i="3" s="1"/>
  <c r="N107" i="3" s="1"/>
  <c r="K129" i="3"/>
  <c r="M129" i="3" s="1"/>
  <c r="N129" i="3" s="1"/>
  <c r="K159" i="3"/>
  <c r="L159" i="3" s="1"/>
  <c r="K104" i="3"/>
  <c r="L104" i="3" s="1"/>
  <c r="K128" i="3"/>
  <c r="M128" i="3" s="1"/>
  <c r="N128" i="3" s="1"/>
  <c r="M93" i="3"/>
  <c r="N93" i="3" s="1"/>
  <c r="L93" i="3"/>
  <c r="K1011" i="1"/>
  <c r="K1085" i="1"/>
  <c r="K1225" i="1"/>
  <c r="K1170" i="1"/>
  <c r="K1152" i="1"/>
  <c r="K976" i="1"/>
  <c r="K1101" i="1"/>
  <c r="K644" i="1"/>
  <c r="K924" i="1"/>
  <c r="K839" i="1"/>
  <c r="K752" i="1"/>
  <c r="K307" i="1"/>
  <c r="K219" i="1"/>
  <c r="K389" i="1"/>
  <c r="K568" i="1"/>
  <c r="K477" i="1"/>
  <c r="K137" i="1"/>
  <c r="K55" i="1"/>
  <c r="K6" i="1"/>
  <c r="K150" i="3"/>
  <c r="K1213" i="1"/>
  <c r="K954" i="1"/>
  <c r="K870" i="1"/>
  <c r="K1131" i="1"/>
  <c r="K1047" i="1"/>
  <c r="K617" i="1"/>
  <c r="K702" i="1"/>
  <c r="K790" i="1"/>
  <c r="K179" i="1"/>
  <c r="K459" i="1"/>
  <c r="K330" i="1"/>
  <c r="K254" i="1"/>
  <c r="K379" i="1"/>
  <c r="K527" i="1"/>
  <c r="K99" i="1"/>
  <c r="K46" i="1"/>
  <c r="K1207" i="1"/>
  <c r="K866" i="1"/>
  <c r="K1095" i="1"/>
  <c r="K963" i="1"/>
  <c r="K660" i="1"/>
  <c r="K763" i="1"/>
  <c r="K384" i="1"/>
  <c r="K261" i="1"/>
  <c r="K539" i="1"/>
  <c r="K111" i="1"/>
  <c r="G113" i="3"/>
  <c r="K113" i="3" s="1"/>
  <c r="K13" i="1"/>
  <c r="K15" i="3"/>
  <c r="K26" i="3"/>
  <c r="K71" i="3"/>
  <c r="M160" i="3"/>
  <c r="N160" i="3" s="1"/>
  <c r="L160" i="3"/>
  <c r="K1218" i="1"/>
  <c r="K874" i="1"/>
  <c r="K704" i="1"/>
  <c r="K347" i="1"/>
  <c r="K513" i="1"/>
  <c r="K173" i="1"/>
  <c r="K20" i="1"/>
  <c r="K1010" i="1"/>
  <c r="K1168" i="1"/>
  <c r="K893" i="1"/>
  <c r="K750" i="1"/>
  <c r="K458" i="1"/>
  <c r="K326" i="1"/>
  <c r="K566" i="1"/>
  <c r="K218" i="1"/>
  <c r="K43" i="1"/>
  <c r="K65" i="3"/>
  <c r="K87" i="3"/>
  <c r="K97" i="3"/>
  <c r="K103" i="3"/>
  <c r="K1158" i="1"/>
  <c r="K1073" i="1"/>
  <c r="K735" i="1"/>
  <c r="K945" i="1"/>
  <c r="K830" i="1"/>
  <c r="K609" i="1"/>
  <c r="K358" i="1"/>
  <c r="K473" i="1"/>
  <c r="K225" i="1"/>
  <c r="K103" i="1"/>
  <c r="K10" i="1"/>
  <c r="K117" i="3"/>
  <c r="K149" i="3"/>
  <c r="K285" i="1"/>
  <c r="K5" i="1"/>
  <c r="K1173" i="1"/>
  <c r="K844" i="1"/>
  <c r="K1029" i="1"/>
  <c r="K668" i="1"/>
  <c r="K481" i="1"/>
  <c r="K312" i="1"/>
  <c r="K155" i="1"/>
  <c r="K17" i="1"/>
  <c r="L42" i="3"/>
  <c r="K138" i="3"/>
  <c r="K151" i="3"/>
  <c r="K1118" i="1"/>
  <c r="K1052" i="1"/>
  <c r="K1053" i="1"/>
  <c r="K1215" i="1"/>
  <c r="K1157" i="1"/>
  <c r="K558" i="1"/>
  <c r="K915" i="1"/>
  <c r="K792" i="1"/>
  <c r="K968" i="1"/>
  <c r="K858" i="1"/>
  <c r="K710" i="1"/>
  <c r="K649" i="1"/>
  <c r="K315" i="1"/>
  <c r="K498" i="1"/>
  <c r="K371" i="1"/>
  <c r="K423" i="1"/>
  <c r="K255" i="1"/>
  <c r="K187" i="1"/>
  <c r="K101" i="1"/>
  <c r="K9" i="1"/>
  <c r="K31" i="1"/>
  <c r="K1089" i="1"/>
  <c r="K625" i="1"/>
  <c r="K313" i="1"/>
  <c r="K49" i="1"/>
  <c r="K105" i="3"/>
  <c r="K979" i="1"/>
  <c r="K1186" i="1"/>
  <c r="K588" i="1"/>
  <c r="K755" i="1"/>
  <c r="K404" i="1"/>
  <c r="K222" i="1"/>
  <c r="K16" i="1"/>
  <c r="K1136" i="1"/>
  <c r="K1018" i="1"/>
  <c r="K832" i="1"/>
  <c r="K523" i="1"/>
  <c r="K689" i="1"/>
  <c r="K372" i="1"/>
  <c r="K188" i="1"/>
  <c r="K1171" i="1"/>
  <c r="K607" i="1"/>
  <c r="K843" i="1"/>
  <c r="K224" i="1"/>
  <c r="K439" i="1"/>
  <c r="K8" i="1"/>
  <c r="K994" i="1"/>
  <c r="K1241" i="1"/>
  <c r="K599" i="1"/>
  <c r="K766" i="1"/>
  <c r="K417" i="1"/>
  <c r="K74" i="1"/>
  <c r="K232" i="1"/>
  <c r="K1232" i="1"/>
  <c r="K943" i="1"/>
  <c r="K1032" i="1"/>
  <c r="K1117" i="1"/>
  <c r="K775" i="1"/>
  <c r="K482" i="1"/>
  <c r="K670" i="1"/>
  <c r="K593" i="1"/>
  <c r="K314" i="1"/>
  <c r="K408" i="1"/>
  <c r="K211" i="1"/>
  <c r="K122" i="1"/>
  <c r="K1035" i="1"/>
  <c r="K903" i="1"/>
  <c r="K725" i="1"/>
  <c r="K579" i="1"/>
  <c r="K383" i="1"/>
  <c r="K159" i="1"/>
  <c r="K1045" i="1"/>
  <c r="K868" i="1"/>
  <c r="K700" i="1"/>
  <c r="K342" i="1"/>
  <c r="K509" i="1"/>
  <c r="K169" i="1"/>
  <c r="K1242" i="1"/>
  <c r="K1040" i="1"/>
  <c r="K504" i="1"/>
  <c r="K883" i="1"/>
  <c r="K675" i="1"/>
  <c r="K338" i="1"/>
  <c r="K166" i="1"/>
  <c r="K23" i="1"/>
  <c r="K878" i="1"/>
  <c r="K661" i="1"/>
  <c r="K465" i="1"/>
  <c r="K183" i="1"/>
  <c r="K350" i="1"/>
  <c r="K26" i="1"/>
  <c r="K865" i="1"/>
  <c r="K1093" i="1"/>
  <c r="K991" i="1"/>
  <c r="K1205" i="1"/>
  <c r="K537" i="1"/>
  <c r="K659" i="1"/>
  <c r="K762" i="1"/>
  <c r="K260" i="1"/>
  <c r="K374" i="1"/>
  <c r="K129" i="1"/>
  <c r="K1038" i="1"/>
  <c r="K784" i="1"/>
  <c r="K248" i="1"/>
  <c r="K476" i="1"/>
  <c r="K38" i="1"/>
  <c r="K964" i="1"/>
  <c r="K1145" i="1"/>
  <c r="K636" i="1"/>
  <c r="K819" i="1"/>
  <c r="K466" i="1"/>
  <c r="K41" i="1"/>
  <c r="K231" i="1"/>
  <c r="K1071" i="1"/>
  <c r="K1229" i="1"/>
  <c r="K1156" i="1"/>
  <c r="K1002" i="1"/>
  <c r="K941" i="1"/>
  <c r="K547" i="1"/>
  <c r="K828" i="1"/>
  <c r="K720" i="1"/>
  <c r="K471" i="1"/>
  <c r="K626" i="1"/>
  <c r="K370" i="1"/>
  <c r="K290" i="1"/>
  <c r="K120" i="1"/>
  <c r="K199" i="1"/>
  <c r="K911" i="1"/>
  <c r="K516" i="1"/>
  <c r="K306" i="1"/>
  <c r="K997" i="1"/>
  <c r="K646" i="1"/>
  <c r="K771" i="1"/>
  <c r="K449" i="1"/>
  <c r="K869" i="1"/>
  <c r="K149" i="1"/>
  <c r="K268" i="1"/>
  <c r="K353" i="1"/>
  <c r="K521" i="1"/>
  <c r="K56" i="1"/>
  <c r="K1231" i="1"/>
  <c r="K942" i="1"/>
  <c r="K1072" i="1"/>
  <c r="K829" i="1"/>
  <c r="K648" i="1"/>
  <c r="K270" i="1"/>
  <c r="K522" i="1"/>
  <c r="K394" i="1"/>
  <c r="K59" i="1"/>
  <c r="K158" i="1"/>
  <c r="K1141" i="1"/>
  <c r="K929" i="1"/>
  <c r="K1161" i="1"/>
  <c r="K657" i="1"/>
  <c r="K781" i="1"/>
  <c r="K204" i="1"/>
  <c r="K486" i="1"/>
  <c r="K335" i="1"/>
  <c r="K1096" i="1"/>
  <c r="K848" i="1"/>
  <c r="K552" i="1"/>
  <c r="K337" i="1"/>
  <c r="K981" i="1"/>
  <c r="K1172" i="1"/>
  <c r="K757" i="1"/>
  <c r="K237" i="1"/>
  <c r="K572" i="1"/>
  <c r="K392" i="1"/>
  <c r="K71" i="1"/>
  <c r="K1017" i="1"/>
  <c r="K1175" i="1"/>
  <c r="K917" i="1"/>
  <c r="K628" i="1"/>
  <c r="K794" i="1"/>
  <c r="K451" i="1"/>
  <c r="K291" i="1"/>
  <c r="K104" i="1"/>
  <c r="K14" i="1"/>
  <c r="K1000" i="1"/>
  <c r="K1185" i="1"/>
  <c r="K899" i="1"/>
  <c r="K804" i="1"/>
  <c r="K1087" i="1"/>
  <c r="K618" i="1"/>
  <c r="K718" i="1"/>
  <c r="K494" i="1"/>
  <c r="K151" i="1"/>
  <c r="K390" i="1"/>
  <c r="K310" i="1"/>
  <c r="K221" i="1"/>
  <c r="K65" i="1"/>
  <c r="K68" i="1"/>
  <c r="K1121" i="1"/>
  <c r="K1202" i="1"/>
  <c r="K1056" i="1"/>
  <c r="K811" i="1"/>
  <c r="K948" i="1"/>
  <c r="K690" i="1"/>
  <c r="K201" i="1"/>
  <c r="K293" i="1"/>
  <c r="K84" i="1"/>
  <c r="K532" i="1"/>
  <c r="K412" i="1"/>
  <c r="K1147" i="1"/>
  <c r="K957" i="1"/>
  <c r="K796" i="1"/>
  <c r="K611" i="1"/>
  <c r="K257" i="1"/>
  <c r="K426" i="1"/>
  <c r="K89" i="1"/>
  <c r="K778" i="1"/>
  <c r="K959" i="1"/>
  <c r="K1139" i="1"/>
  <c r="K373" i="1"/>
  <c r="K561" i="1"/>
  <c r="K272" i="1"/>
  <c r="K126" i="1"/>
  <c r="K1189" i="1"/>
  <c r="K847" i="1"/>
  <c r="K487" i="1"/>
  <c r="K144" i="1"/>
  <c r="K1236" i="1"/>
  <c r="K951" i="1"/>
  <c r="K693" i="1"/>
  <c r="K161" i="1"/>
  <c r="K398" i="1"/>
  <c r="K47" i="1"/>
  <c r="K912" i="1"/>
  <c r="K4" i="1"/>
  <c r="K666" i="1"/>
  <c r="K470" i="1"/>
  <c r="K119" i="1"/>
  <c r="K1217" i="1"/>
  <c r="K1049" i="1"/>
  <c r="K512" i="1"/>
  <c r="K703" i="1"/>
  <c r="K872" i="1"/>
  <c r="K172" i="1"/>
  <c r="K346" i="1"/>
  <c r="K19" i="1"/>
  <c r="K980" i="1"/>
  <c r="K1105" i="1"/>
  <c r="K624" i="1"/>
  <c r="K805" i="1"/>
  <c r="K528" i="1"/>
  <c r="K279" i="1"/>
  <c r="K405" i="1"/>
  <c r="K154" i="1"/>
  <c r="K1137" i="1"/>
  <c r="K736" i="1"/>
  <c r="K212" i="1"/>
  <c r="K576" i="1"/>
  <c r="K382" i="1"/>
  <c r="K989" i="1"/>
  <c r="K1112" i="1"/>
  <c r="K1237" i="1"/>
  <c r="K742" i="1"/>
  <c r="K873" i="1"/>
  <c r="K655" i="1"/>
  <c r="K274" i="1"/>
  <c r="K399" i="1"/>
  <c r="K162" i="1"/>
  <c r="K524" i="1"/>
  <c r="K1064" i="1"/>
  <c r="K881" i="1"/>
  <c r="K1128" i="1"/>
  <c r="K708" i="1"/>
  <c r="K436" i="1"/>
  <c r="K78" i="1"/>
  <c r="K1180" i="1"/>
  <c r="K953" i="1"/>
  <c r="K1062" i="1"/>
  <c r="K818" i="1"/>
  <c r="K622" i="1"/>
  <c r="K707" i="1"/>
  <c r="K319" i="1"/>
  <c r="K553" i="1"/>
  <c r="K429" i="1"/>
  <c r="K86" i="1"/>
  <c r="K192" i="1"/>
  <c r="K1162" i="1"/>
  <c r="K1080" i="1"/>
  <c r="K992" i="1"/>
  <c r="K540" i="1"/>
  <c r="K621" i="1"/>
  <c r="K729" i="1"/>
  <c r="K817" i="1"/>
  <c r="K906" i="1"/>
  <c r="K455" i="1"/>
  <c r="K282" i="1"/>
  <c r="K206" i="1"/>
  <c r="K376" i="1"/>
  <c r="K112" i="1"/>
  <c r="K28" i="1"/>
  <c r="K1159" i="1"/>
  <c r="K918" i="1"/>
  <c r="K712" i="1"/>
  <c r="K499" i="1"/>
  <c r="K243" i="1"/>
  <c r="K34" i="1"/>
  <c r="K1191" i="1"/>
  <c r="K993" i="1"/>
  <c r="K1097" i="1"/>
  <c r="K632" i="1"/>
  <c r="K879" i="1"/>
  <c r="K744" i="1"/>
  <c r="K488" i="1"/>
  <c r="K377" i="1"/>
  <c r="K146" i="1"/>
  <c r="K277" i="1"/>
  <c r="K37" i="1"/>
  <c r="K1224" i="1"/>
  <c r="K1009" i="1"/>
  <c r="K822" i="1"/>
  <c r="K640" i="1"/>
  <c r="K420" i="1"/>
  <c r="K253" i="1"/>
  <c r="K52" i="1"/>
  <c r="K1030" i="1"/>
  <c r="K914" i="1"/>
  <c r="K760" i="1"/>
  <c r="K669" i="1"/>
  <c r="K393" i="1"/>
  <c r="K574" i="1"/>
  <c r="K299" i="1"/>
  <c r="K156" i="1"/>
  <c r="K210" i="1"/>
  <c r="K1163" i="1"/>
  <c r="K1007" i="1"/>
  <c r="K835" i="1"/>
  <c r="K615" i="1"/>
  <c r="K415" i="1"/>
  <c r="K247" i="1"/>
  <c r="K67" i="1"/>
  <c r="K1193" i="1"/>
  <c r="K851" i="1"/>
  <c r="K489" i="1"/>
  <c r="K148" i="1"/>
  <c r="K25" i="1"/>
  <c r="K58" i="1"/>
  <c r="K1098" i="1"/>
  <c r="K919" i="1"/>
  <c r="K821" i="1"/>
  <c r="K600" i="1"/>
  <c r="K402" i="1"/>
  <c r="K250" i="1"/>
  <c r="K75" i="1"/>
  <c r="K1132" i="1"/>
  <c r="K1012" i="1"/>
  <c r="K647" i="1"/>
  <c r="K842" i="1"/>
  <c r="K355" i="1"/>
  <c r="K93" i="1"/>
  <c r="K1127" i="1"/>
  <c r="K995" i="1"/>
  <c r="K639" i="1"/>
  <c r="K836" i="1"/>
  <c r="K418" i="1"/>
  <c r="K184" i="1"/>
  <c r="K1034" i="1"/>
  <c r="K958" i="1"/>
  <c r="K1138" i="1"/>
  <c r="K861" i="1"/>
  <c r="K739" i="1"/>
  <c r="K653" i="1"/>
  <c r="K549" i="1"/>
  <c r="K442" i="1"/>
  <c r="K334" i="1"/>
  <c r="K213" i="1"/>
  <c r="K125" i="1"/>
  <c r="K12" i="1"/>
  <c r="K1226" i="1"/>
  <c r="K999" i="1"/>
  <c r="K1102" i="1"/>
  <c r="K569" i="1"/>
  <c r="K753" i="1"/>
  <c r="K665" i="1"/>
  <c r="K882" i="1"/>
  <c r="K493" i="1"/>
  <c r="K438" i="1"/>
  <c r="K913" i="1"/>
  <c r="K329" i="1"/>
  <c r="K150" i="1"/>
  <c r="K15" i="1"/>
  <c r="K220" i="1"/>
  <c r="K81" i="1"/>
  <c r="K1015" i="1"/>
  <c r="K1133" i="1"/>
  <c r="K1200" i="1"/>
  <c r="K592" i="1"/>
  <c r="K684" i="1"/>
  <c r="K856" i="1"/>
  <c r="K774" i="1"/>
  <c r="K497" i="1"/>
  <c r="K238" i="1"/>
  <c r="K407" i="1"/>
  <c r="K343" i="1"/>
  <c r="K94" i="1"/>
  <c r="K1219" i="1"/>
  <c r="K514" i="1"/>
  <c r="K705" i="1"/>
  <c r="K875" i="1"/>
  <c r="K348" i="1"/>
  <c r="K174" i="1"/>
  <c r="K1025" i="1"/>
  <c r="K677" i="1"/>
  <c r="K935" i="1"/>
  <c r="K323" i="1"/>
  <c r="K490" i="1"/>
  <c r="K894" i="1"/>
  <c r="K1196" i="1"/>
  <c r="K1068" i="1"/>
  <c r="K716" i="1"/>
  <c r="K546" i="1"/>
  <c r="K368" i="1"/>
  <c r="K27" i="1"/>
  <c r="K196" i="1"/>
  <c r="K1031" i="1"/>
  <c r="K857" i="1"/>
  <c r="K685" i="1"/>
  <c r="K472" i="1"/>
  <c r="K200" i="1"/>
  <c r="K30" i="1"/>
  <c r="K1143" i="1"/>
  <c r="K931" i="1"/>
  <c r="K1020" i="1"/>
  <c r="K1208" i="1"/>
  <c r="K745" i="1"/>
  <c r="K849" i="1"/>
  <c r="K634" i="1"/>
  <c r="K445" i="1"/>
  <c r="K249" i="1"/>
  <c r="K367" i="1"/>
  <c r="K541" i="1"/>
  <c r="K176" i="1"/>
  <c r="K1167" i="1"/>
  <c r="K606" i="1"/>
  <c r="K938" i="1"/>
  <c r="K1214" i="1"/>
  <c r="K1104" i="1"/>
  <c r="K1027" i="1"/>
  <c r="K854" i="1"/>
  <c r="K571" i="1"/>
  <c r="K773" i="1"/>
  <c r="K682" i="1"/>
  <c r="K495" i="1"/>
  <c r="K235" i="1"/>
  <c r="K331" i="1"/>
  <c r="K152" i="1"/>
  <c r="K916" i="1"/>
  <c r="K1174" i="1"/>
  <c r="K859" i="1"/>
  <c r="K1054" i="1"/>
  <c r="K650" i="1"/>
  <c r="K559" i="1"/>
  <c r="K711" i="1"/>
  <c r="K424" i="1"/>
  <c r="K102" i="1"/>
  <c r="K316" i="1"/>
  <c r="K239" i="1"/>
  <c r="K60" i="1"/>
  <c r="K1059" i="1"/>
  <c r="K949" i="1"/>
  <c r="K1177" i="1"/>
  <c r="K692" i="1"/>
  <c r="K813" i="1"/>
  <c r="K535" i="1"/>
  <c r="K228" i="1"/>
  <c r="K364" i="1"/>
  <c r="K63" i="1"/>
  <c r="K947" i="1"/>
  <c r="K1234" i="1"/>
  <c r="K1091" i="1"/>
  <c r="K1216" i="1"/>
  <c r="K652" i="1"/>
  <c r="K797" i="1"/>
  <c r="K303" i="1"/>
  <c r="K182" i="1"/>
  <c r="K531" i="1"/>
  <c r="K411" i="1"/>
  <c r="K1003" i="1"/>
  <c r="K687" i="1"/>
  <c r="K333" i="1"/>
  <c r="K95" i="1"/>
  <c r="K1014" i="1"/>
  <c r="K734" i="1"/>
  <c r="K461" i="1"/>
  <c r="K140" i="1"/>
  <c r="K1037" i="1"/>
  <c r="K876" i="1"/>
  <c r="K962" i="1"/>
  <c r="K1190" i="1"/>
  <c r="K1113" i="1"/>
  <c r="K727" i="1"/>
  <c r="K816" i="1"/>
  <c r="K620" i="1"/>
  <c r="K281" i="1"/>
  <c r="K366" i="1"/>
  <c r="K205" i="1"/>
  <c r="K538" i="1"/>
  <c r="K454" i="1"/>
  <c r="K110" i="1"/>
  <c r="K1026" i="1"/>
  <c r="K1151" i="1"/>
  <c r="K492" i="1"/>
  <c r="K751" i="1"/>
  <c r="K616" i="1"/>
  <c r="K895" i="1"/>
  <c r="K388" i="1"/>
  <c r="K278" i="1"/>
  <c r="K45" i="1"/>
  <c r="K170" i="1"/>
  <c r="K1013" i="1"/>
  <c r="K573" i="1"/>
  <c r="K758" i="1"/>
  <c r="K332" i="1"/>
  <c r="K48" i="1"/>
  <c r="K1067" i="1"/>
  <c r="K892" i="1"/>
  <c r="K715" i="1"/>
  <c r="K519" i="1"/>
  <c r="K403" i="1"/>
  <c r="K217" i="1"/>
  <c r="K1082" i="1"/>
  <c r="K1194" i="1"/>
  <c r="K890" i="1"/>
  <c r="K732" i="1"/>
  <c r="K194" i="1"/>
  <c r="K585" i="1"/>
  <c r="K467" i="1"/>
  <c r="K361" i="1"/>
  <c r="K939" i="1"/>
  <c r="K479" i="1"/>
  <c r="K100" i="1"/>
  <c r="K1070" i="1"/>
  <c r="K1155" i="1"/>
  <c r="K940" i="1"/>
  <c r="K683" i="1"/>
  <c r="K827" i="1"/>
  <c r="K462" i="1"/>
  <c r="K356" i="1"/>
  <c r="K608" i="1"/>
  <c r="K269" i="1"/>
  <c r="K1114" i="1"/>
  <c r="K1240" i="1"/>
  <c r="K932" i="1"/>
  <c r="K1021" i="1"/>
  <c r="K635" i="1"/>
  <c r="K746" i="1"/>
  <c r="K850" i="1"/>
  <c r="K351" i="1"/>
  <c r="K446" i="1"/>
  <c r="K542" i="1"/>
  <c r="K1022" i="1"/>
  <c r="K1222" i="1"/>
  <c r="K503" i="1"/>
  <c r="K662" i="1"/>
  <c r="K820" i="1"/>
  <c r="K305" i="1"/>
  <c r="K1092" i="1"/>
  <c r="K1203" i="1"/>
  <c r="K833" i="1"/>
  <c r="K970" i="1"/>
  <c r="K578" i="1"/>
  <c r="K671" i="1"/>
  <c r="K441" i="1"/>
  <c r="K1184" i="1"/>
  <c r="K1065" i="1"/>
  <c r="K676" i="1"/>
  <c r="K934" i="1"/>
  <c r="K788" i="1"/>
  <c r="K586" i="1"/>
  <c r="K195" i="1"/>
  <c r="K508" i="1"/>
  <c r="K386" i="1"/>
  <c r="K287" i="1"/>
  <c r="K887" i="1"/>
  <c r="K987" i="1"/>
  <c r="K1179" i="1"/>
  <c r="K672" i="1"/>
  <c r="K85" i="1"/>
  <c r="K443" i="1"/>
  <c r="K244" i="1"/>
  <c r="K793" i="1"/>
  <c r="K955" i="1"/>
  <c r="K1135" i="1"/>
  <c r="K610" i="1"/>
  <c r="K256" i="1"/>
  <c r="K425" i="1"/>
  <c r="K1220" i="1"/>
  <c r="K1078" i="1"/>
  <c r="K815" i="1"/>
  <c r="K581" i="1"/>
  <c r="K695" i="1"/>
  <c r="K961" i="1"/>
  <c r="K276" i="1"/>
  <c r="K401" i="1"/>
  <c r="K898" i="1"/>
  <c r="K680" i="1"/>
  <c r="K510" i="1"/>
  <c r="K139" i="1"/>
  <c r="K309" i="1"/>
  <c r="K996" i="1"/>
  <c r="K749" i="1"/>
  <c r="K491" i="1"/>
  <c r="K1140" i="1"/>
  <c r="K800" i="1"/>
  <c r="K91" i="1"/>
  <c r="K428" i="1"/>
  <c r="K1063" i="1"/>
  <c r="K852" i="1"/>
  <c r="K642" i="1"/>
  <c r="K434" i="1"/>
  <c r="K266" i="1"/>
  <c r="K1188" i="1"/>
  <c r="K888" i="1"/>
  <c r="K1036" i="1"/>
  <c r="K536" i="1"/>
  <c r="K726" i="1"/>
  <c r="K259" i="1"/>
  <c r="K414" i="1"/>
  <c r="K1103" i="1"/>
  <c r="K925" i="1"/>
  <c r="K570" i="1"/>
  <c r="K754" i="1"/>
  <c r="K311" i="1"/>
  <c r="K422" i="1"/>
  <c r="K118" i="1"/>
  <c r="K967" i="1"/>
  <c r="K1134" i="1"/>
  <c r="K1230" i="1"/>
  <c r="K529" i="1"/>
  <c r="K806" i="1"/>
  <c r="K686" i="1"/>
  <c r="K357" i="1"/>
  <c r="K1074" i="1"/>
  <c r="K901" i="1"/>
  <c r="K776" i="1"/>
  <c r="K612" i="1"/>
  <c r="K410" i="1"/>
  <c r="K124" i="1"/>
  <c r="K271" i="1"/>
  <c r="K990" i="1"/>
  <c r="K1238" i="1"/>
  <c r="K846" i="1"/>
  <c r="K656" i="1"/>
  <c r="K127" i="1"/>
  <c r="K304" i="1"/>
  <c r="K920" i="1"/>
  <c r="K1164" i="1"/>
  <c r="K747" i="1"/>
  <c r="K601" i="1"/>
  <c r="K284" i="1"/>
  <c r="K430" i="1"/>
  <c r="K910" i="1"/>
  <c r="K1043" i="1"/>
  <c r="K507" i="1"/>
  <c r="K641" i="1"/>
  <c r="K823" i="1"/>
  <c r="K168" i="1"/>
  <c r="K352" i="1"/>
  <c r="K714" i="1"/>
  <c r="K362" i="1"/>
  <c r="K956" i="1"/>
  <c r="K474" i="1"/>
  <c r="K721" i="1"/>
  <c r="K292" i="1"/>
  <c r="K106" i="1"/>
  <c r="K115" i="1"/>
  <c r="K121" i="1"/>
  <c r="K133" i="1"/>
  <c r="K1144" i="1"/>
  <c r="K1192" i="1"/>
  <c r="K801" i="1"/>
  <c r="K416" i="1"/>
  <c r="K502" i="1"/>
  <c r="K165" i="1"/>
  <c r="K1183" i="1"/>
  <c r="K584" i="1"/>
  <c r="K885" i="1"/>
  <c r="K340" i="1"/>
  <c r="K985" i="1"/>
  <c r="K863" i="1"/>
  <c r="K724" i="1"/>
  <c r="K190" i="1"/>
  <c r="K550" i="1"/>
  <c r="K365" i="1"/>
  <c r="K87" i="1"/>
  <c r="K1024" i="1"/>
  <c r="K1223" i="1"/>
  <c r="K880" i="1"/>
  <c r="K730" i="1"/>
  <c r="K544" i="1"/>
  <c r="K321" i="1"/>
  <c r="K1066" i="1"/>
  <c r="K1212" i="1"/>
  <c r="K713" i="1"/>
  <c r="K886" i="1"/>
  <c r="K664" i="1"/>
  <c r="K468" i="1"/>
  <c r="K135" i="1"/>
  <c r="K341" i="1"/>
  <c r="K1197" i="1"/>
  <c r="K977" i="1"/>
  <c r="K645" i="1"/>
  <c r="K770" i="1"/>
  <c r="K138" i="1"/>
  <c r="K478" i="1"/>
  <c r="K328" i="1"/>
  <c r="K141" i="1"/>
  <c r="K1001" i="1"/>
  <c r="K496" i="1"/>
  <c r="K223" i="1"/>
  <c r="K798" i="1"/>
  <c r="K613" i="1"/>
  <c r="K427" i="1"/>
  <c r="K258" i="1"/>
  <c r="K1235" i="1"/>
  <c r="K1122" i="1"/>
  <c r="K1005" i="1"/>
  <c r="K928" i="1"/>
  <c r="K845" i="1"/>
  <c r="K630" i="1"/>
  <c r="K737" i="1"/>
  <c r="K242" i="1"/>
  <c r="K345" i="1"/>
  <c r="K96" i="1"/>
  <c r="K533" i="1"/>
  <c r="K440" i="1"/>
  <c r="K1060" i="1"/>
  <c r="K463" i="1"/>
  <c r="K654" i="1"/>
  <c r="K799" i="1"/>
  <c r="K950" i="1"/>
  <c r="K296" i="1"/>
  <c r="K998" i="1"/>
  <c r="K772" i="1"/>
  <c r="K681" i="1"/>
  <c r="K853" i="1"/>
  <c r="K587" i="1"/>
  <c r="K234" i="1"/>
  <c r="K117" i="1"/>
  <c r="K450" i="1"/>
  <c r="K354" i="1"/>
  <c r="K969" i="1"/>
  <c r="K1109" i="1"/>
  <c r="K831" i="1"/>
  <c r="K688" i="1"/>
  <c r="K344" i="1"/>
  <c r="K530" i="1"/>
  <c r="K132" i="1"/>
  <c r="K1239" i="1"/>
  <c r="K1061" i="1"/>
  <c r="K930" i="1"/>
  <c r="K580" i="1"/>
  <c r="K782" i="1"/>
  <c r="K658" i="1"/>
  <c r="K164" i="1"/>
  <c r="K359" i="1"/>
  <c r="K275" i="1"/>
  <c r="K464" i="1"/>
  <c r="K1120" i="1"/>
  <c r="K809" i="1"/>
  <c r="K596" i="1"/>
  <c r="K1090" i="1"/>
  <c r="K560" i="1"/>
  <c r="K810" i="1"/>
  <c r="K241" i="1"/>
  <c r="K909" i="1"/>
  <c r="K1210" i="1"/>
  <c r="K1023" i="1"/>
  <c r="K1126" i="1"/>
  <c r="K802" i="1"/>
  <c r="K526" i="1"/>
  <c r="K638" i="1"/>
  <c r="K263" i="1"/>
  <c r="K378" i="1"/>
  <c r="K90" i="1"/>
  <c r="K1119" i="1"/>
  <c r="K795" i="1"/>
  <c r="K946" i="1"/>
  <c r="K594" i="1"/>
  <c r="K105" i="1"/>
  <c r="K240" i="1"/>
  <c r="K409" i="1"/>
  <c r="K108" i="1"/>
  <c r="K123" i="1"/>
  <c r="K167" i="1"/>
  <c r="K181" i="1"/>
  <c r="K77" i="1"/>
  <c r="K1198" i="1"/>
  <c r="K978" i="1"/>
  <c r="K1199" i="1"/>
  <c r="K1130" i="1"/>
  <c r="K1086" i="1"/>
  <c r="K789" i="1"/>
  <c r="K1046" i="1"/>
  <c r="K1153" i="1"/>
  <c r="K1069" i="1"/>
  <c r="K897" i="1"/>
  <c r="K679" i="1"/>
  <c r="K556" i="1"/>
  <c r="K197" i="1"/>
  <c r="K80" i="1"/>
  <c r="K308" i="1"/>
  <c r="K437" i="1"/>
  <c r="K1048" i="1"/>
  <c r="K761" i="1"/>
  <c r="K300" i="1"/>
  <c r="K557" i="1"/>
  <c r="K1169" i="1"/>
  <c r="K937" i="1"/>
  <c r="K1084" i="1"/>
  <c r="K701" i="1"/>
  <c r="K825" i="1"/>
  <c r="K567" i="1"/>
  <c r="K448" i="1"/>
  <c r="K208" i="1"/>
  <c r="K327" i="1"/>
  <c r="K905" i="1"/>
  <c r="K1206" i="1"/>
  <c r="K1079" i="1"/>
  <c r="K1094" i="1"/>
  <c r="K614" i="1"/>
  <c r="K728" i="1"/>
  <c r="K501" i="1"/>
  <c r="K246" i="1"/>
  <c r="K375" i="1"/>
  <c r="K971" i="1"/>
  <c r="K1178" i="1"/>
  <c r="K1076" i="1"/>
  <c r="K723" i="1"/>
  <c r="K862" i="1"/>
  <c r="K597" i="1"/>
  <c r="K453" i="1"/>
  <c r="K295" i="1"/>
  <c r="K1221" i="1"/>
  <c r="K877" i="1"/>
  <c r="K1050" i="1"/>
  <c r="K515" i="1"/>
  <c r="K706" i="1"/>
  <c r="K175" i="1"/>
  <c r="K349" i="1"/>
  <c r="K1081" i="1"/>
  <c r="K1166" i="1"/>
  <c r="K965" i="1"/>
  <c r="K933" i="1"/>
  <c r="K698" i="1"/>
  <c r="K786" i="1"/>
  <c r="K605" i="1"/>
  <c r="K252" i="1"/>
  <c r="K360" i="1"/>
  <c r="K433" i="1"/>
  <c r="K506" i="1"/>
  <c r="K178" i="1"/>
  <c r="K203" i="1"/>
  <c r="K214" i="1"/>
  <c r="K1209" i="1"/>
  <c r="K921" i="1"/>
  <c r="K602" i="1"/>
  <c r="K431" i="1"/>
  <c r="K233" i="1"/>
  <c r="K1228" i="1"/>
  <c r="K855" i="1"/>
  <c r="K1116" i="1"/>
  <c r="K1028" i="1"/>
  <c r="K759" i="1"/>
  <c r="K380" i="1"/>
  <c r="K590" i="1"/>
  <c r="K480" i="1"/>
  <c r="K1148" i="1"/>
  <c r="K936" i="1"/>
  <c r="K1083" i="1"/>
  <c r="K824" i="1"/>
  <c r="K699" i="1"/>
  <c r="K325" i="1"/>
  <c r="K565" i="1"/>
  <c r="K447" i="1"/>
  <c r="K973" i="1"/>
  <c r="K1146" i="1"/>
  <c r="K787" i="1"/>
  <c r="K322" i="1"/>
  <c r="K517" i="1"/>
  <c r="K1019" i="1"/>
  <c r="K1142" i="1"/>
  <c r="K904" i="1"/>
  <c r="K743" i="1"/>
  <c r="K674" i="1"/>
  <c r="K563" i="1"/>
  <c r="K245" i="1"/>
  <c r="K128" i="1"/>
  <c r="K400" i="1"/>
  <c r="K972" i="1"/>
  <c r="K731" i="1"/>
  <c r="K435" i="1"/>
  <c r="K143" i="1"/>
  <c r="K1004" i="1"/>
  <c r="K1201" i="1"/>
  <c r="K808" i="1"/>
  <c r="K595" i="1"/>
  <c r="K397" i="1"/>
  <c r="K1075" i="1"/>
  <c r="K691" i="1"/>
  <c r="K189" i="1"/>
  <c r="K988" i="1"/>
  <c r="K485" i="1"/>
  <c r="K741" i="1"/>
  <c r="K230" i="1"/>
  <c r="K70" i="1"/>
  <c r="K1099" i="1"/>
  <c r="K767" i="1"/>
  <c r="K923" i="1"/>
  <c r="K604" i="1"/>
  <c r="K663" i="1"/>
  <c r="K543" i="1"/>
  <c r="K432" i="1"/>
  <c r="K339" i="1"/>
  <c r="K251" i="1"/>
  <c r="K98" i="1"/>
  <c r="K1042" i="1"/>
  <c r="K1182" i="1"/>
  <c r="K884" i="1"/>
  <c r="K768" i="1"/>
  <c r="K583" i="1"/>
  <c r="K113" i="1"/>
  <c r="K264" i="1"/>
  <c r="K419" i="1"/>
  <c r="K1044" i="1"/>
  <c r="K1195" i="1"/>
  <c r="K1129" i="1"/>
  <c r="K518" i="1"/>
  <c r="K709" i="1"/>
  <c r="K891" i="1"/>
  <c r="K116" i="1"/>
  <c r="K324" i="1"/>
  <c r="K134" i="1"/>
  <c r="K960" i="1"/>
  <c r="K1123" i="1"/>
  <c r="K525" i="1"/>
  <c r="K834" i="1"/>
  <c r="K673" i="1"/>
  <c r="K336" i="1"/>
  <c r="K180" i="1"/>
  <c r="K1058" i="1"/>
  <c r="K860" i="1"/>
  <c r="K738" i="1"/>
  <c r="K484" i="1"/>
  <c r="K294" i="1"/>
  <c r="K907" i="1"/>
  <c r="K1051" i="1"/>
  <c r="K764" i="1"/>
  <c r="K598" i="1"/>
  <c r="K456" i="1"/>
  <c r="K283" i="1"/>
  <c r="K1187" i="1"/>
  <c r="K1111" i="1"/>
  <c r="K983" i="1"/>
  <c r="K1057" i="1"/>
  <c r="K902" i="1"/>
  <c r="K812" i="1"/>
  <c r="K534" i="1"/>
  <c r="K722" i="1"/>
  <c r="K619" i="1"/>
  <c r="K452" i="1"/>
  <c r="K363" i="1"/>
  <c r="K202" i="1"/>
  <c r="K107" i="1"/>
  <c r="K280" i="1"/>
  <c r="K975" i="1"/>
  <c r="K1149" i="1"/>
  <c r="K545" i="1"/>
  <c r="K803" i="1"/>
  <c r="K678" i="1"/>
  <c r="K421" i="1"/>
  <c r="K288" i="1"/>
  <c r="K1077" i="1"/>
  <c r="K1204" i="1"/>
  <c r="K952" i="1"/>
  <c r="K694" i="1"/>
  <c r="K562" i="1"/>
  <c r="K864" i="1"/>
  <c r="K783" i="1"/>
  <c r="K318" i="1"/>
  <c r="K475" i="1"/>
  <c r="K1176" i="1"/>
  <c r="K982" i="1"/>
  <c r="K777" i="1"/>
  <c r="K413" i="1"/>
  <c r="K226" i="1"/>
  <c r="K73" i="1"/>
  <c r="K577" i="1"/>
  <c r="K1088" i="1"/>
  <c r="K927" i="1"/>
  <c r="K1227" i="1"/>
  <c r="K589" i="1"/>
  <c r="K733" i="1"/>
  <c r="K391" i="1"/>
  <c r="K966" i="1"/>
  <c r="K1150" i="1"/>
  <c r="K643" i="1"/>
  <c r="K769" i="1"/>
  <c r="K267" i="1"/>
  <c r="K520" i="1"/>
  <c r="K387" i="1"/>
  <c r="K1108" i="1"/>
  <c r="K1233" i="1"/>
  <c r="K944" i="1"/>
  <c r="K807" i="1"/>
  <c r="K627" i="1"/>
  <c r="K395" i="1"/>
  <c r="K186" i="1"/>
  <c r="K301" i="1"/>
  <c r="K483" i="1"/>
  <c r="K1107" i="1"/>
  <c r="K591" i="1"/>
  <c r="K871" i="1"/>
  <c r="K157" i="1"/>
  <c r="K381" i="1"/>
  <c r="K163" i="1"/>
  <c r="K191" i="1"/>
  <c r="K1211" i="1"/>
  <c r="K974" i="1"/>
  <c r="K838" i="1"/>
  <c r="K216" i="1"/>
  <c r="K554" i="1"/>
  <c r="K1033" i="1"/>
  <c r="K984" i="1"/>
  <c r="K631" i="1"/>
  <c r="K227" i="1"/>
  <c r="K840" i="1"/>
  <c r="K289" i="1"/>
  <c r="K986" i="1"/>
  <c r="K740" i="1"/>
  <c r="K1124" i="1"/>
  <c r="K633" i="1"/>
  <c r="K444" i="1"/>
  <c r="K1055" i="1"/>
  <c r="K548" i="1"/>
  <c r="K900" i="1"/>
  <c r="K1100" i="1"/>
  <c r="K837" i="1"/>
  <c r="K1165" i="1"/>
  <c r="K1039" i="1"/>
  <c r="K908" i="1"/>
  <c r="K696" i="1"/>
  <c r="K457" i="1"/>
  <c r="K265" i="1"/>
  <c r="K320" i="1"/>
  <c r="K505" i="1"/>
  <c r="K1115" i="1"/>
  <c r="K841" i="1"/>
  <c r="K460" i="1"/>
  <c r="K719" i="1"/>
  <c r="K826" i="1"/>
  <c r="K896" i="1"/>
  <c r="K717" i="1"/>
  <c r="K623" i="1"/>
  <c r="K922" i="1"/>
  <c r="K637" i="1"/>
  <c r="K1016" i="1"/>
  <c r="K651" i="1"/>
  <c r="K469" i="1"/>
  <c r="K564" i="1"/>
  <c r="K1160" i="1"/>
  <c r="K1006" i="1"/>
  <c r="K551" i="1"/>
  <c r="K779" i="1"/>
  <c r="K1154" i="1"/>
  <c r="K926" i="1"/>
  <c r="K667" i="1"/>
  <c r="K1125" i="1"/>
  <c r="K1008" i="1"/>
  <c r="K785" i="1"/>
  <c r="K603" i="1"/>
  <c r="K867" i="1"/>
  <c r="K697" i="1"/>
  <c r="K1041" i="1"/>
  <c r="K1181" i="1"/>
  <c r="K889" i="1"/>
  <c r="K582" i="1"/>
  <c r="K748" i="1"/>
  <c r="K406" i="1"/>
  <c r="K555" i="1"/>
  <c r="K575" i="1"/>
  <c r="K160" i="1"/>
  <c r="K171" i="1"/>
  <c r="K193" i="1"/>
  <c r="K215" i="1"/>
  <c r="K369" i="1"/>
  <c r="K500" i="1"/>
  <c r="M33" i="3" l="1"/>
  <c r="N33" i="3" s="1"/>
  <c r="L47" i="3"/>
  <c r="L35" i="3"/>
  <c r="M32" i="3"/>
  <c r="N32" i="3" s="1"/>
  <c r="M100" i="3"/>
  <c r="N100" i="3" s="1"/>
  <c r="M57" i="3"/>
  <c r="N57" i="3" s="1"/>
  <c r="L57" i="3"/>
  <c r="M21" i="3"/>
  <c r="N21" i="3" s="1"/>
  <c r="L64" i="3"/>
  <c r="L130" i="3"/>
  <c r="M59" i="3"/>
  <c r="N59" i="3" s="1"/>
  <c r="M72" i="3"/>
  <c r="N72" i="3" s="1"/>
  <c r="M11" i="3"/>
  <c r="N11" i="3" s="1"/>
  <c r="M106" i="3"/>
  <c r="N106" i="3" s="1"/>
  <c r="L132" i="3"/>
  <c r="L88" i="3"/>
  <c r="M66" i="3"/>
  <c r="N66" i="3" s="1"/>
  <c r="M95" i="3"/>
  <c r="N95" i="3" s="1"/>
  <c r="L23" i="3"/>
  <c r="L121" i="3"/>
  <c r="M45" i="3"/>
  <c r="N45" i="3" s="1"/>
  <c r="L45" i="3"/>
  <c r="M79" i="3"/>
  <c r="N79" i="3" s="1"/>
  <c r="L79" i="3"/>
  <c r="M16" i="3"/>
  <c r="N16" i="3" s="1"/>
  <c r="M108" i="3"/>
  <c r="N108" i="3" s="1"/>
  <c r="M52" i="3"/>
  <c r="N52" i="3" s="1"/>
  <c r="L44" i="3"/>
  <c r="M154" i="3"/>
  <c r="N154" i="3" s="1"/>
  <c r="L154" i="3"/>
  <c r="M67" i="3"/>
  <c r="N67" i="3" s="1"/>
  <c r="L67" i="3"/>
  <c r="M74" i="3"/>
  <c r="N74" i="3" s="1"/>
  <c r="L162" i="3"/>
  <c r="M78" i="3"/>
  <c r="N78" i="3" s="1"/>
  <c r="L78" i="3"/>
  <c r="M143" i="3"/>
  <c r="N143" i="3" s="1"/>
  <c r="L143" i="3"/>
  <c r="L81" i="3"/>
  <c r="L69" i="3"/>
  <c r="L83" i="3"/>
  <c r="L40" i="3"/>
  <c r="L28" i="3"/>
  <c r="L51" i="3"/>
  <c r="L27" i="3"/>
  <c r="M161" i="3"/>
  <c r="N161" i="3" s="1"/>
  <c r="L86" i="3"/>
  <c r="M55" i="3"/>
  <c r="N55" i="3" s="1"/>
  <c r="L89" i="3"/>
  <c r="L102" i="3"/>
  <c r="L96" i="3"/>
  <c r="L75" i="3"/>
  <c r="L56" i="3"/>
  <c r="M85" i="3"/>
  <c r="N85" i="3" s="1"/>
  <c r="M109" i="3"/>
  <c r="N109" i="3" s="1"/>
  <c r="L61" i="3"/>
  <c r="M84" i="3"/>
  <c r="N84" i="3" s="1"/>
  <c r="M91" i="3"/>
  <c r="N91" i="3" s="1"/>
  <c r="L58" i="3"/>
  <c r="L68" i="3"/>
  <c r="M98" i="3"/>
  <c r="N98" i="3" s="1"/>
  <c r="M101" i="3"/>
  <c r="N101" i="3" s="1"/>
  <c r="M92" i="3"/>
  <c r="N92" i="3" s="1"/>
  <c r="M30" i="3"/>
  <c r="N30" i="3" s="1"/>
  <c r="L99" i="3"/>
  <c r="L63" i="3"/>
  <c r="M77" i="3"/>
  <c r="N77" i="3" s="1"/>
  <c r="L73" i="3"/>
  <c r="L34" i="3"/>
  <c r="M115" i="3"/>
  <c r="N115" i="3" s="1"/>
  <c r="M144" i="3"/>
  <c r="N144" i="3" s="1"/>
  <c r="M62" i="3"/>
  <c r="N62" i="3" s="1"/>
  <c r="L48" i="3"/>
  <c r="L128" i="3"/>
  <c r="L53" i="3"/>
  <c r="M112" i="3"/>
  <c r="N112" i="3" s="1"/>
  <c r="L147" i="3"/>
  <c r="M134" i="3"/>
  <c r="N134" i="3" s="1"/>
  <c r="L22" i="3"/>
  <c r="M120" i="3"/>
  <c r="N120" i="3" s="1"/>
  <c r="L90" i="3"/>
  <c r="L133" i="3"/>
  <c r="L123" i="3"/>
  <c r="M155" i="3"/>
  <c r="N155" i="3" s="1"/>
  <c r="L46" i="3"/>
  <c r="L24" i="3"/>
  <c r="L153" i="3"/>
  <c r="M38" i="3"/>
  <c r="N38" i="3" s="1"/>
  <c r="L80" i="3"/>
  <c r="M12" i="3"/>
  <c r="N12" i="3" s="1"/>
  <c r="L146" i="3"/>
  <c r="L17" i="3"/>
  <c r="L136" i="3"/>
  <c r="L156" i="3"/>
  <c r="L114" i="3"/>
  <c r="L29" i="3"/>
  <c r="L50" i="3"/>
  <c r="L8" i="3"/>
  <c r="L127" i="3"/>
  <c r="L142" i="3"/>
  <c r="L6" i="3"/>
  <c r="L25" i="3"/>
  <c r="L39" i="3"/>
  <c r="L158" i="3"/>
  <c r="M20" i="3"/>
  <c r="N20" i="3" s="1"/>
  <c r="L36" i="3"/>
  <c r="L94" i="3"/>
  <c r="L145" i="3"/>
  <c r="L157" i="3"/>
  <c r="M31" i="3"/>
  <c r="N31" i="3" s="1"/>
  <c r="M9" i="3"/>
  <c r="N9" i="3" s="1"/>
  <c r="L13" i="3"/>
  <c r="L125" i="3"/>
  <c r="M137" i="3"/>
  <c r="N137" i="3" s="1"/>
  <c r="M19" i="3"/>
  <c r="N19" i="3" s="1"/>
  <c r="L82" i="3"/>
  <c r="L41" i="3"/>
  <c r="L116" i="3"/>
  <c r="L118" i="3"/>
  <c r="L131" i="3"/>
  <c r="L124" i="3"/>
  <c r="M159" i="3"/>
  <c r="N159" i="3" s="1"/>
  <c r="L70" i="3"/>
  <c r="L122" i="3"/>
  <c r="L135" i="3"/>
  <c r="L10" i="3"/>
  <c r="L107" i="3"/>
  <c r="L111" i="3"/>
  <c r="L110" i="3"/>
  <c r="L129" i="3"/>
  <c r="M126" i="3"/>
  <c r="N126" i="3" s="1"/>
  <c r="M104" i="3"/>
  <c r="N104" i="3" s="1"/>
  <c r="L148" i="3"/>
  <c r="M148" i="3"/>
  <c r="N148" i="3" s="1"/>
  <c r="M87" i="3"/>
  <c r="N87" i="3" s="1"/>
  <c r="L87" i="3"/>
  <c r="M60" i="3"/>
  <c r="N60" i="3" s="1"/>
  <c r="L60" i="3"/>
  <c r="M113" i="3"/>
  <c r="N113" i="3" s="1"/>
  <c r="L113" i="3"/>
  <c r="M152" i="3"/>
  <c r="N152" i="3" s="1"/>
  <c r="L152" i="3"/>
  <c r="M18" i="3"/>
  <c r="N18" i="3" s="1"/>
  <c r="L18" i="3"/>
  <c r="L7" i="3"/>
  <c r="M7" i="3"/>
  <c r="N7" i="3" s="1"/>
  <c r="M76" i="3"/>
  <c r="N76" i="3" s="1"/>
  <c r="L76" i="3"/>
  <c r="M49" i="3"/>
  <c r="N49" i="3" s="1"/>
  <c r="L49" i="3"/>
  <c r="M105" i="3"/>
  <c r="N105" i="3" s="1"/>
  <c r="L105" i="3"/>
  <c r="M65" i="3"/>
  <c r="N65" i="3" s="1"/>
  <c r="L65" i="3"/>
  <c r="M37" i="3"/>
  <c r="N37" i="3" s="1"/>
  <c r="L37" i="3"/>
  <c r="M54" i="3"/>
  <c r="N54" i="3" s="1"/>
  <c r="L54" i="3"/>
  <c r="M26" i="3"/>
  <c r="N26" i="3" s="1"/>
  <c r="L26" i="3"/>
  <c r="M149" i="3"/>
  <c r="N149" i="3" s="1"/>
  <c r="L149" i="3"/>
  <c r="M43" i="3"/>
  <c r="N43" i="3" s="1"/>
  <c r="L43" i="3"/>
  <c r="M15" i="3"/>
  <c r="N15" i="3" s="1"/>
  <c r="L15" i="3"/>
  <c r="L117" i="3"/>
  <c r="M117" i="3"/>
  <c r="N117" i="3" s="1"/>
  <c r="M14" i="3"/>
  <c r="N14" i="3" s="1"/>
  <c r="L14" i="3"/>
  <c r="L139" i="3"/>
  <c r="M139" i="3"/>
  <c r="N139" i="3" s="1"/>
  <c r="M119" i="3"/>
  <c r="N119" i="3" s="1"/>
  <c r="L119" i="3"/>
  <c r="M141" i="3"/>
  <c r="N141" i="3" s="1"/>
  <c r="L141" i="3"/>
  <c r="L150" i="3"/>
  <c r="M150" i="3"/>
  <c r="N150" i="3" s="1"/>
  <c r="M151" i="3"/>
  <c r="N151" i="3" s="1"/>
  <c r="L151" i="3"/>
  <c r="M140" i="3"/>
  <c r="N140" i="3" s="1"/>
  <c r="L140" i="3"/>
  <c r="M103" i="3"/>
  <c r="N103" i="3" s="1"/>
  <c r="L103" i="3"/>
  <c r="M138" i="3"/>
  <c r="N138" i="3" s="1"/>
  <c r="L138" i="3"/>
  <c r="M97" i="3"/>
  <c r="N97" i="3" s="1"/>
  <c r="L97" i="3"/>
  <c r="M71" i="3"/>
  <c r="N71" i="3" s="1"/>
  <c r="L71" i="3"/>
</calcChain>
</file>

<file path=xl/sharedStrings.xml><?xml version="1.0" encoding="utf-8"?>
<sst xmlns="http://schemas.openxmlformats.org/spreadsheetml/2006/main" count="3457" uniqueCount="833">
  <si>
    <t>S&amp;K OIL SALES — OPTIMIZER INPUT  (all calculations auto-update from Delivery_Log)</t>
  </si>
  <si>
    <t>Min Oil %</t>
  </si>
  <si>
    <t>Visit Window (days)</t>
  </si>
  <si>
    <t>Shift Min</t>
  </si>
  <si>
    <t>Svc Min/Stop</t>
  </si>
  <si>
    <t>■ Red=Critical(≤2d)  ■ Amber=Urgent(3–5d)  ■ Green=Normal(6–7d)  ■ Grey=Not needed  │  Blue italic = live formula pulling from Delivery_Log  │  Trend ▲INCREASING ▼DECREASING ●STABLE</t>
  </si>
  <si>
    <t>CLIENT &amp; LOCATION</t>
  </si>
  <si>
    <t>TANK &amp; CONSUMPTION</t>
  </si>
  <si>
    <t>LAST DELIVERY  ← from log</t>
  </si>
  <si>
    <t>CALCULATED</t>
  </si>
  <si>
    <t>TREND</t>
  </si>
  <si>
    <t>SCHEDULE</t>
  </si>
  <si>
    <t>ID</t>
  </si>
  <si>
    <t>Customer</t>
  </si>
  <si>
    <t>Zone</t>
  </si>
  <si>
    <t>Address</t>
  </si>
  <si>
    <t>Lat / Lon</t>
  </si>
  <si>
    <t>Tank (lbs)</t>
  </si>
  <si>
    <t>Avg Cons
(lbs/day)</t>
  </si>
  <si>
    <t>Product</t>
  </si>
  <si>
    <t>Last Delivery</t>
  </si>
  <si>
    <t>Days Since</t>
  </si>
  <si>
    <t>Est. Current
(lbs)</t>
  </si>
  <si>
    <t>Refill
(lbs)</t>
  </si>
  <si>
    <t>Days Until
Empty</t>
  </si>
  <si>
    <t>This Week?</t>
  </si>
  <si>
    <t>Trend</t>
  </si>
  <si>
    <t># Deliveries</t>
  </si>
  <si>
    <t>Priority</t>
  </si>
  <si>
    <t>Notes</t>
  </si>
  <si>
    <t>C001</t>
  </si>
  <si>
    <t>51ST - 0001 - 51ST AVE CAFE</t>
  </si>
  <si>
    <t>2</t>
  </si>
  <si>
    <t>insufficient data</t>
  </si>
  <si>
    <t>C002</t>
  </si>
  <si>
    <t>AJO ALS 1018</t>
  </si>
  <si>
    <t>STABLE</t>
  </si>
  <si>
    <t>C003</t>
  </si>
  <si>
    <t>ALL - 1063 - ALL AMERICAN MODERN SPORTS GRILL</t>
  </si>
  <si>
    <t>4</t>
  </si>
  <si>
    <t>C004</t>
  </si>
  <si>
    <t>AME - 1073 - AMELIO C ENTERPRISES, INC (CACTUS CANDY)</t>
  </si>
  <si>
    <t>C005</t>
  </si>
  <si>
    <t>ANG - 1054 - ANGRY CRAB SURPRISE</t>
  </si>
  <si>
    <t>1</t>
  </si>
  <si>
    <t>C006</t>
  </si>
  <si>
    <t>ANOVA</t>
  </si>
  <si>
    <t>INCREASING</t>
  </si>
  <si>
    <t>C007</t>
  </si>
  <si>
    <t>ARR79 - 1000 - ARRIBAS 79TH AVE.</t>
  </si>
  <si>
    <t>C008</t>
  </si>
  <si>
    <t>ARRC - 1001 - ARRIBAS CAMELBACK</t>
  </si>
  <si>
    <t>3</t>
  </si>
  <si>
    <t>C009</t>
  </si>
  <si>
    <t>ARRC - 1011 - ARRIBAS CHANDLER</t>
  </si>
  <si>
    <t>C010</t>
  </si>
  <si>
    <t>ARRC - 1014 - ARRIBA  GILBERT</t>
  </si>
  <si>
    <t>5</t>
  </si>
  <si>
    <t>C011</t>
  </si>
  <si>
    <t>ARRM - 1013 - ARRIBAS GOODYEAR</t>
  </si>
  <si>
    <t>C012</t>
  </si>
  <si>
    <t>ATL - 1081 - ATL WINGS ROOSEVELT</t>
  </si>
  <si>
    <t>C013</t>
  </si>
  <si>
    <t>ATL - 1083 - ATL WINGS MESA</t>
  </si>
  <si>
    <t>C014</t>
  </si>
  <si>
    <t>BAC - 19039 - BACKYARD GILBERT</t>
  </si>
  <si>
    <t>C015</t>
  </si>
  <si>
    <t>BAC - 2067 - BACKYARD - DESERT RIDGE</t>
  </si>
  <si>
    <t>C016</t>
  </si>
  <si>
    <t>BAJ - 2053 - BAJA JOES</t>
  </si>
  <si>
    <t>C017</t>
  </si>
  <si>
    <t>BAR - 2045 - BARRIO BREWING</t>
  </si>
  <si>
    <t>C018</t>
  </si>
  <si>
    <t>BEL - 2038 - BELLE'S NASHVILLE KITCHEN</t>
  </si>
  <si>
    <t>C019</t>
  </si>
  <si>
    <t>BOO - 2023 - BOOTY GOODYEAR</t>
  </si>
  <si>
    <t>C020</t>
  </si>
  <si>
    <t>BOOW - 2017 - BOOTY'S WATSON</t>
  </si>
  <si>
    <t>C021</t>
  </si>
  <si>
    <t>BOT - 2013 - BOTTLED BLONDE</t>
  </si>
  <si>
    <t>C022</t>
  </si>
  <si>
    <t>BRO - 2078 - BROTHER'S PIZZA INDIAN SCHOOL</t>
  </si>
  <si>
    <t>C023</t>
  </si>
  <si>
    <t>BRU - 2073 - BRUNCH SNOB</t>
  </si>
  <si>
    <t>C024</t>
  </si>
  <si>
    <t>BUR - 4038 - BURGERS &amp; BREWS GLENDALE</t>
  </si>
  <si>
    <t>C025</t>
  </si>
  <si>
    <t>CAR - 3063 - CARDINAL STADIUM</t>
  </si>
  <si>
    <t>DECREASING</t>
  </si>
  <si>
    <t>C026</t>
  </si>
  <si>
    <t>CAS - 3069 - CASA DE FALAFEL</t>
  </si>
  <si>
    <t>C027</t>
  </si>
  <si>
    <t>CHECK</t>
  </si>
  <si>
    <t>C028</t>
  </si>
  <si>
    <t>CRA - 3021 - JC FOOD TRADING/GLEN</t>
  </si>
  <si>
    <t>C029</t>
  </si>
  <si>
    <t>CRA - 3046 - JC FOOD TRADING /GOODYEAR</t>
  </si>
  <si>
    <t>C030</t>
  </si>
  <si>
    <t>CRA - 3065 - CRAFTED CUISINE</t>
  </si>
  <si>
    <t>C031</t>
  </si>
  <si>
    <t>CRO - 3064 - CROWNE PLAZA RESORT</t>
  </si>
  <si>
    <t>C032</t>
  </si>
  <si>
    <t>DAI - 4015A - DAIRY QUEEN BELL</t>
  </si>
  <si>
    <t>C033</t>
  </si>
  <si>
    <t>DAR - 4026 - DARUMA BY RIE</t>
  </si>
  <si>
    <t>C034</t>
  </si>
  <si>
    <t>DAR 4037 - DARUMA RAMEN AND BOWL</t>
  </si>
  <si>
    <t>C035</t>
  </si>
  <si>
    <t>DIL - 4009 - DILLONS BBQ</t>
  </si>
  <si>
    <t>C036</t>
  </si>
  <si>
    <t>DIL - 4025 - DILLON WESTERN TRAILS</t>
  </si>
  <si>
    <t>C037</t>
  </si>
  <si>
    <t>DIL- 4014 - DILLONS BAYOU</t>
  </si>
  <si>
    <t>C038</t>
  </si>
  <si>
    <t>DIL59 - 4010 - DILLONS 59TH AVE</t>
  </si>
  <si>
    <t>C039</t>
  </si>
  <si>
    <t>DIR - 4027 - DIRTWATER</t>
  </si>
  <si>
    <t>C040</t>
  </si>
  <si>
    <t>DUR - 4029 - DURVILL FOODS</t>
  </si>
  <si>
    <t>C041</t>
  </si>
  <si>
    <t>ECH - 5006 - ECHO 5 SPORTS BAR</t>
  </si>
  <si>
    <t>C042</t>
  </si>
  <si>
    <t>ELT - 5004 - EL TACO TOTE</t>
  </si>
  <si>
    <t>C043</t>
  </si>
  <si>
    <t>ENR - 5018 - ENROUTE COFFEE AND TEA</t>
  </si>
  <si>
    <t>C044</t>
  </si>
  <si>
    <t>FAT - 6101 - FATE BREWERY</t>
  </si>
  <si>
    <t>C045</t>
  </si>
  <si>
    <t>FAT - 6109 - FATE BREWING TEMPE</t>
  </si>
  <si>
    <t>C046</t>
  </si>
  <si>
    <t>FOU - 6077 - FOUR PEAKS BREWING</t>
  </si>
  <si>
    <t>C047</t>
  </si>
  <si>
    <t>FUN - 12047 - FUNKY FRIDAS</t>
  </si>
  <si>
    <t>C048</t>
  </si>
  <si>
    <t>GAR - 7001 - GARCIAS MEXICAN RESTAURANT</t>
  </si>
  <si>
    <t>C049</t>
  </si>
  <si>
    <t>GIL - 7002 - GILBERT PIZZA</t>
  </si>
  <si>
    <t>C050</t>
  </si>
  <si>
    <t>GLE - 7053 - GLENROSA</t>
  </si>
  <si>
    <t>C051</t>
  </si>
  <si>
    <t>GOL - 7052 - GOLD CANYON RESORT &amp; SPA</t>
  </si>
  <si>
    <t>C052</t>
  </si>
  <si>
    <t>HAR - 8031 - HAROLDS</t>
  </si>
  <si>
    <t>C053</t>
  </si>
  <si>
    <t>HOR - 8034 - HORNY TOAD</t>
  </si>
  <si>
    <t>C054</t>
  </si>
  <si>
    <t>HUN - 8005 - HUNGRY MONK</t>
  </si>
  <si>
    <t>C055</t>
  </si>
  <si>
    <t>JALS - 10001 - JALAPENOS INFERNO SCOTTS</t>
  </si>
  <si>
    <t>C056</t>
  </si>
  <si>
    <t>JIC - 10011 - JICKY JACKS</t>
  </si>
  <si>
    <t>C057</t>
  </si>
  <si>
    <t>KAR - 11005 - KARMA SUSHI</t>
  </si>
  <si>
    <t>C058</t>
  </si>
  <si>
    <t>KAR - 11014 - KARIBU RESTAURANT</t>
  </si>
  <si>
    <t>C059</t>
  </si>
  <si>
    <t>KOD - 11013 - K O'DONNELS SPORTS BAR &amp; GRILL</t>
  </si>
  <si>
    <t>C060</t>
  </si>
  <si>
    <t>KRI - 11016 - KRISPY KRUNCHY CHICKEN</t>
  </si>
  <si>
    <t>C061</t>
  </si>
  <si>
    <t>LA - 12053 - LA FIESTA CARNICERIA</t>
  </si>
  <si>
    <t>C062</t>
  </si>
  <si>
    <t>LIB - 2010 - LIBERTY TAVERN</t>
  </si>
  <si>
    <t>C063</t>
  </si>
  <si>
    <t>LIT - 12055 - LITTLE O'S CENTRAL</t>
  </si>
  <si>
    <t>C064</t>
  </si>
  <si>
    <t>LIV - 12048 - LIVING ROOM SCOTTSDALE</t>
  </si>
  <si>
    <t>C065</t>
  </si>
  <si>
    <t>LOC - 12025 - LOCO PATRON</t>
  </si>
  <si>
    <t>C066</t>
  </si>
  <si>
    <t>LON - 12050 - LONG WONG 35TH</t>
  </si>
  <si>
    <t>C067</t>
  </si>
  <si>
    <t>LON - 12051 - LONG WONG LOWER BUCKEYE</t>
  </si>
  <si>
    <t>C068</t>
  </si>
  <si>
    <t>LON75 - 12009 - LONG WONG 75/THOMAS</t>
  </si>
  <si>
    <t>C069</t>
  </si>
  <si>
    <t>MAN - 13057 - MANUEL CHANDLER</t>
  </si>
  <si>
    <t>C070</t>
  </si>
  <si>
    <t>MAN - 13069 - MANUEL SHEA</t>
  </si>
  <si>
    <t>C071</t>
  </si>
  <si>
    <t>MAN1 - 13012 - MANUEL MCDOWELL</t>
  </si>
  <si>
    <t>C072</t>
  </si>
  <si>
    <t>MAN3 - 13011 - MANUEL INDIAN SCHOOL</t>
  </si>
  <si>
    <t>C073</t>
  </si>
  <si>
    <t>MAN6 - 13009 - MANUEL BELL</t>
  </si>
  <si>
    <t>C074</t>
  </si>
  <si>
    <t>MAN7 - 13015 - MANUEL SOUTHERN</t>
  </si>
  <si>
    <t>C075</t>
  </si>
  <si>
    <t>MAN9 - 13014 - MANUEL SCOTTSDALE</t>
  </si>
  <si>
    <t>C076</t>
  </si>
  <si>
    <t>MANP - 13013 - MANUEL PEORIA</t>
  </si>
  <si>
    <t>C077</t>
  </si>
  <si>
    <t>MAS - 13086 - MASON'S FAMOUS LOBSTER ROLLS</t>
  </si>
  <si>
    <t>C078</t>
  </si>
  <si>
    <t>MTV - 13061 - MOUNTAIN VIEW PUB</t>
  </si>
  <si>
    <t>C079</t>
  </si>
  <si>
    <t>MVP - 2021 - MVP SPORTS BAR &amp; GRILL</t>
  </si>
  <si>
    <t>C080</t>
  </si>
  <si>
    <t>NEW - 14009 - NEW PENNY CAFE</t>
  </si>
  <si>
    <t>C081</t>
  </si>
  <si>
    <t>NOU - 14008 - NOURISH KITCHEN</t>
  </si>
  <si>
    <t>C082</t>
  </si>
  <si>
    <t>OHS - 15000 - OHSO INDIAN SCHOOL</t>
  </si>
  <si>
    <t>C083</t>
  </si>
  <si>
    <t>OHS - 15035 - OHSO GILBERT</t>
  </si>
  <si>
    <t>C084</t>
  </si>
  <si>
    <t>OHSH - 15001 - OHSO SCOTTSDALE</t>
  </si>
  <si>
    <t>C085</t>
  </si>
  <si>
    <t>OHST - 15007 - OHSO TATUM</t>
  </si>
  <si>
    <t>C086</t>
  </si>
  <si>
    <t>ORE - 15041 - OREGANO PIMA</t>
  </si>
  <si>
    <t>C087</t>
  </si>
  <si>
    <t>OREB - 15003 - OREGANO BELL</t>
  </si>
  <si>
    <t>C088</t>
  </si>
  <si>
    <t>OREB - 15016 - OREGANO SURPRISE</t>
  </si>
  <si>
    <t>C089</t>
  </si>
  <si>
    <t>OREC - 15020 - OREGANO CAMELBACK</t>
  </si>
  <si>
    <t>C090</t>
  </si>
  <si>
    <t>OREC - 15026 - OREGANO PARADISE VALLEY</t>
  </si>
  <si>
    <t>C091</t>
  </si>
  <si>
    <t>ORECC - 15002 - OREGANO CAVE CREEK</t>
  </si>
  <si>
    <t>C092</t>
  </si>
  <si>
    <t>OREE - 15025 - OREGANO ELLIOT</t>
  </si>
  <si>
    <t>C093</t>
  </si>
  <si>
    <t>OREG - 15024 - OREGANO GILBERT</t>
  </si>
  <si>
    <t>C094</t>
  </si>
  <si>
    <t>OREG - 15027 - OREGANO CHANDLER</t>
  </si>
  <si>
    <t>C095</t>
  </si>
  <si>
    <t>OREGANO CORP</t>
  </si>
  <si>
    <t>C096</t>
  </si>
  <si>
    <t>OREM - 15005 - OREGANO GOODYEAR</t>
  </si>
  <si>
    <t>C097</t>
  </si>
  <si>
    <t>OREM - 15009 - OREGANO QUEEN CREEK</t>
  </si>
  <si>
    <t>C098</t>
  </si>
  <si>
    <t>OREM - 15023 - OREGANO MESA</t>
  </si>
  <si>
    <t>C099</t>
  </si>
  <si>
    <t>ORES - 15015 - OREGANO SUPERSTITION</t>
  </si>
  <si>
    <t>C100</t>
  </si>
  <si>
    <t>ORES - 15018 - OREGANO SCOTTSDALE</t>
  </si>
  <si>
    <t>C101</t>
  </si>
  <si>
    <t>ORI - 15051 - ORIGEN GILBERT LLC</t>
  </si>
  <si>
    <t>C102</t>
  </si>
  <si>
    <t>PET44 - 16006 - PETES FISH 44TH ST</t>
  </si>
  <si>
    <t>C103</t>
  </si>
  <si>
    <t>PETA - 16007 - PETES FISH APACHE</t>
  </si>
  <si>
    <t>C104</t>
  </si>
  <si>
    <t>PETB - 16004 - PETES FISH BUCKEYE</t>
  </si>
  <si>
    <t>C105</t>
  </si>
  <si>
    <t>PETC - 16003 - PETES FISH CENTRAL</t>
  </si>
  <si>
    <t>C106</t>
  </si>
  <si>
    <t>PETG - 16008 - PETES FISH GLENDALE</t>
  </si>
  <si>
    <t>C107</t>
  </si>
  <si>
    <t>PETM - 16009 - PETES FISH MESA</t>
  </si>
  <si>
    <t>C108</t>
  </si>
  <si>
    <t>PETTOL - 16010 - PETES TOLLESON</t>
  </si>
  <si>
    <t>C109</t>
  </si>
  <si>
    <t>PETVB - 16005 - PETES FISH 26TH</t>
  </si>
  <si>
    <t>C110</t>
  </si>
  <si>
    <t>PIRA - 16019 - PIRATES ARIZONA AVE</t>
  </si>
  <si>
    <t>C111</t>
  </si>
  <si>
    <t>PIRL - 16018 - PIRATES MESA</t>
  </si>
  <si>
    <t>C112</t>
  </si>
  <si>
    <t>POP59 - 16015 - POPO BELL</t>
  </si>
  <si>
    <t>C113</t>
  </si>
  <si>
    <t>POPIS - 16014 - POPO INDIAN SCHOOL</t>
  </si>
  <si>
    <t>C114</t>
  </si>
  <si>
    <t>RAN - 18042 - RANCHO BAR 7</t>
  </si>
  <si>
    <t>C115</t>
  </si>
  <si>
    <t>RED - 18004 - RED WHITE BREW</t>
  </si>
  <si>
    <t>C116</t>
  </si>
  <si>
    <t>RED - 18031 - RED DEVIL SOUTHERN</t>
  </si>
  <si>
    <t>C117</t>
  </si>
  <si>
    <t>RED - 18051 - RED ZONE SPORTS GRILL</t>
  </si>
  <si>
    <t>C118</t>
  </si>
  <si>
    <t>REDB - 18003 - RED DEVIL BELL</t>
  </si>
  <si>
    <t>C119</t>
  </si>
  <si>
    <t>REDM - 18001 - RED DEVIL MCDOWELL</t>
  </si>
  <si>
    <t>C120</t>
  </si>
  <si>
    <t>ROA - 18036 - ROADRUNNER SALOON</t>
  </si>
  <si>
    <t>C121</t>
  </si>
  <si>
    <t>RUS - 18054 - RUSTY BUCKLE SALOON</t>
  </si>
  <si>
    <t>C122</t>
  </si>
  <si>
    <t>SAD - 19022 - SADDLE MOUNTAIN</t>
  </si>
  <si>
    <t>C123</t>
  </si>
  <si>
    <t>SAR - 19080 - SARDELLA'S LAKE PLEASANT</t>
  </si>
  <si>
    <t>C124</t>
  </si>
  <si>
    <t>SAR - 19081 - SARDELLA'S 19TH AVE</t>
  </si>
  <si>
    <t>C125</t>
  </si>
  <si>
    <t>SAR - 19082 - SARDELLA'S CACTUS</t>
  </si>
  <si>
    <t>C126</t>
  </si>
  <si>
    <t>SEI - 19089 - SEIDO SUSHI</t>
  </si>
  <si>
    <t>C127</t>
  </si>
  <si>
    <t>SHA - 19107 - SHARKO'S CATERING</t>
  </si>
  <si>
    <t>C128</t>
  </si>
  <si>
    <t>SOC - 19110 - SOCIAL TAP EATERY</t>
  </si>
  <si>
    <t>C129</t>
  </si>
  <si>
    <t>SOU - 19119 - SOUL FIRE TACOS</t>
  </si>
  <si>
    <t>C130</t>
  </si>
  <si>
    <t>STA - 19031 - STATE 48 BREWERY</t>
  </si>
  <si>
    <t>C131</t>
  </si>
  <si>
    <t>STA - 19033 - STATE 48 SCOTTSDALE</t>
  </si>
  <si>
    <t>C132</t>
  </si>
  <si>
    <t>STA - 19035 - STATE 48 GLENDALE</t>
  </si>
  <si>
    <t>C133</t>
  </si>
  <si>
    <t>STA - 19110 - STATE 48 HAPPY VALLEY</t>
  </si>
  <si>
    <t>C134</t>
  </si>
  <si>
    <t>SUG - 19077- SUGAR JAM</t>
  </si>
  <si>
    <t>C135</t>
  </si>
  <si>
    <t>SUN - 19117 - SUNSHINE BREAKFAST BAR TEMPE</t>
  </si>
  <si>
    <t>C136</t>
  </si>
  <si>
    <t>TAC - 20081 - TACO GUILD</t>
  </si>
  <si>
    <t>C137</t>
  </si>
  <si>
    <t>TAI - 20090 - TAILGATERS LAKE PLEASANT</t>
  </si>
  <si>
    <t>C138</t>
  </si>
  <si>
    <t>TAI - 20091 - TAILGATERS BELL SURPRISE</t>
  </si>
  <si>
    <t>C139</t>
  </si>
  <si>
    <t>TAI - 20092 - TAILGATERS ESTRELLA</t>
  </si>
  <si>
    <t>C140</t>
  </si>
  <si>
    <t>TAI - 20093 - TAILGATERS DYSART</t>
  </si>
  <si>
    <t>C141</t>
  </si>
  <si>
    <t>TAI - 20094 - TAILGATERS WATSON</t>
  </si>
  <si>
    <t>C142</t>
  </si>
  <si>
    <t>TAI - 20095 - TAILGATERS TATUM CAVE CR</t>
  </si>
  <si>
    <t>C143</t>
  </si>
  <si>
    <t>TAI - 20098 - IL PRIMO BELL CAVE CREEK</t>
  </si>
  <si>
    <t>C144</t>
  </si>
  <si>
    <t>TAP - 22006 - TAP HOUSE SPORTS GRILL</t>
  </si>
  <si>
    <t>C145</t>
  </si>
  <si>
    <t>THE - 20013 - THE VIG HAYDEN</t>
  </si>
  <si>
    <t>C146</t>
  </si>
  <si>
    <t>THE - 20014 - THE TACK ROOM</t>
  </si>
  <si>
    <t>C147</t>
  </si>
  <si>
    <t>THE - 20019 - THE PLACE</t>
  </si>
  <si>
    <t>C148</t>
  </si>
  <si>
    <t>THE - 20021 - THE VIG VAL VISTA</t>
  </si>
  <si>
    <t>C149</t>
  </si>
  <si>
    <t>THE - 20088 - THE VIG BELL</t>
  </si>
  <si>
    <t>C150</t>
  </si>
  <si>
    <t>THE- 20033 - THE HERMOSA INN</t>
  </si>
  <si>
    <t>C151</t>
  </si>
  <si>
    <t>TIM - 20051 - TIM FINNEGANS</t>
  </si>
  <si>
    <t>C152</t>
  </si>
  <si>
    <t>TON - 20077 - TONTO BAR AND GRILL</t>
  </si>
  <si>
    <t>C153</t>
  </si>
  <si>
    <t>UNC83 - 21001 - UNCLE SAMS PEORIA</t>
  </si>
  <si>
    <t>C154</t>
  </si>
  <si>
    <t>UNCS - 21002 - UNCLE SAMS PHOENIX</t>
  </si>
  <si>
    <t>C155</t>
  </si>
  <si>
    <t>USED OIL</t>
  </si>
  <si>
    <t>C156</t>
  </si>
  <si>
    <t>VIG - 20097 - THE VIG PARK WEST</t>
  </si>
  <si>
    <t>C157</t>
  </si>
  <si>
    <t>anova</t>
  </si>
  <si>
    <t>S&amp;K OIL SALES — DELIVERY LOG  ↓ Append new deliveries in date order</t>
  </si>
  <si>
    <t>Add rows in chronological order (oldest first). Optimizer_Input updates automatically. Do NOT re-sort.</t>
  </si>
  <si>
    <t>Date</t>
  </si>
  <si>
    <t>Zone Code</t>
  </si>
  <si>
    <t>Qty Delivered (lbs)</t>
  </si>
  <si>
    <t>Days Since Last</t>
  </si>
  <si>
    <t>Lbs/Day This Delivery</t>
  </si>
  <si>
    <t>Invoice #</t>
  </si>
  <si>
    <t>Running Avg Lbs/Day ←auto</t>
  </si>
  <si>
    <t>Name Check</t>
  </si>
  <si>
    <t>7825-1</t>
  </si>
  <si>
    <t>ANG - 1057 - ANGRY CRAB TUCSON</t>
  </si>
  <si>
    <t>BOO - 2016 - BOOTY'S SURPRISE</t>
  </si>
  <si>
    <t>CHA - 3056 - CHARLEYS AT THE LAKE</t>
  </si>
  <si>
    <t>OREL - 15033 - OREGANO LANDING</t>
  </si>
  <si>
    <t>OREO - 15028 - OREGANO TUCSON</t>
  </si>
  <si>
    <t>ORES - 15021 - OREGANO SPEEDWAY</t>
  </si>
  <si>
    <t>POP - 16051 - POPOS MCDOWELL</t>
  </si>
  <si>
    <t>7570-1</t>
  </si>
  <si>
    <t>LOT - 12021 - LOTUS LOUNGE</t>
  </si>
  <si>
    <t>ORE - 15032 - OREGANO COUNTRY</t>
  </si>
  <si>
    <t>ORER - 15004 - OREGANO FLAGSTAFF</t>
  </si>
  <si>
    <t xml:space="preserve"> </t>
  </si>
  <si>
    <t>PAL - 16052 - THE PALACE SALOON</t>
  </si>
  <si>
    <t>TAI - 20089 - TAILGATERS PRESCOTT</t>
  </si>
  <si>
    <t>COW - 3054 - COWBOY COOKIN</t>
  </si>
  <si>
    <t>PIR - 16027 - PIRATE CASA GRANDE</t>
  </si>
  <si>
    <t>JAY - 10012 - JAY TRAVEL CENTER</t>
  </si>
  <si>
    <t>N/A</t>
  </si>
  <si>
    <t>CRU - 3083 - CRUST - PEORIA</t>
  </si>
  <si>
    <t>LOV - 12062 - LOVEY'S ESSENCE - AVONDALE</t>
  </si>
  <si>
    <t>S&amp;K CLIENT LIST  —  Edit Address, Lat, Lon, Tank Size and Product here</t>
  </si>
  <si>
    <t>YELLOW columns = edit freely.  Changes here flow automatically into Optimizer_Input via VLOOKUP.  Customer name in col B must match Delivery_Log exactly.</t>
  </si>
  <si>
    <t>Customer Name</t>
  </si>
  <si>
    <t>Street Address</t>
  </si>
  <si>
    <t>City</t>
  </si>
  <si>
    <t>State</t>
  </si>
  <si>
    <t>Latitude</t>
  </si>
  <si>
    <t>Longitude</t>
  </si>
  <si>
    <t>Tank Size (lbs)</t>
  </si>
  <si>
    <t>2D</t>
  </si>
  <si>
    <t>5511 N 51St Ave</t>
  </si>
  <si>
    <t>Glendale</t>
  </si>
  <si>
    <t>AZ</t>
  </si>
  <si>
    <t>FRYERS CHOICE BLEND</t>
  </si>
  <si>
    <t>254-237-3350</t>
  </si>
  <si>
    <t>2C</t>
  </si>
  <si>
    <t>7458 W Bell Rd</t>
  </si>
  <si>
    <t>CANOLA OIL</t>
  </si>
  <si>
    <t>623-334-9899</t>
  </si>
  <si>
    <t>4C</t>
  </si>
  <si>
    <t>20751 N PIMA RD #105</t>
  </si>
  <si>
    <t>Scottsdale</t>
  </si>
  <si>
    <t>(480) 887-0652</t>
  </si>
  <si>
    <t>2656 N 37TH DR</t>
  </si>
  <si>
    <t>PHOENIX</t>
  </si>
  <si>
    <t>(602) 956-4833</t>
  </si>
  <si>
    <t>1C</t>
  </si>
  <si>
    <t>11340 W BELL RD SUITE 118</t>
  </si>
  <si>
    <t>SURPRISE</t>
  </si>
  <si>
    <t>(623) 248-9190</t>
  </si>
  <si>
    <t>17211 N 79Th Ave</t>
  </si>
  <si>
    <t>623-878-5777</t>
  </si>
  <si>
    <t>3D</t>
  </si>
  <si>
    <t>1812 E Camelback Rd</t>
  </si>
  <si>
    <t>Phoenix</t>
  </si>
  <si>
    <t>480-948-9969</t>
  </si>
  <si>
    <t>4F</t>
  </si>
  <si>
    <t>4649 E Chandler Blvd</t>
  </si>
  <si>
    <t>5F</t>
  </si>
  <si>
    <t>Gilbert</t>
  </si>
  <si>
    <t>480-899-7337</t>
  </si>
  <si>
    <t>1D</t>
  </si>
  <si>
    <t>15370 W McDowell Rd</t>
  </si>
  <si>
    <t>Goodyear</t>
  </si>
  <si>
    <t>623-223-1735</t>
  </si>
  <si>
    <t>330 E ROOSEVELT RD</t>
  </si>
  <si>
    <t>(602) 741-9554</t>
  </si>
  <si>
    <t>5D</t>
  </si>
  <si>
    <t>6837 E MAIN ST</t>
  </si>
  <si>
    <t>Mesa</t>
  </si>
  <si>
    <t>(480) 722-9464</t>
  </si>
  <si>
    <t>BACKYARD (SANDBAR) GILBERT</t>
  </si>
  <si>
    <t>480-822-6921</t>
  </si>
  <si>
    <t>21001 N Tatum Blvd</t>
  </si>
  <si>
    <t>480-585-5900</t>
  </si>
  <si>
    <t>1927 N Gilbert Road</t>
  </si>
  <si>
    <t>(480) 655-1828</t>
  </si>
  <si>
    <t>5803 S Sossaman Rd</t>
  </si>
  <si>
    <t>(480) 988-7171</t>
  </si>
  <si>
    <t>4D</t>
  </si>
  <si>
    <t>7212 E MAIN ST</t>
  </si>
  <si>
    <t>A Z</t>
  </si>
  <si>
    <t>(916) 730-3071</t>
  </si>
  <si>
    <t>13375 W MCDOWELL RD STE 101</t>
  </si>
  <si>
    <t>GOODYEAR</t>
  </si>
  <si>
    <t>999-999-9999</t>
  </si>
  <si>
    <t>1300 S Watson Rd Ste 109</t>
  </si>
  <si>
    <t>Buckeye</t>
  </si>
  <si>
    <t>623-386-3080</t>
  </si>
  <si>
    <t>7340 E Indian Plz</t>
  </si>
  <si>
    <t>480-970-1112</t>
  </si>
  <si>
    <t>3E</t>
  </si>
  <si>
    <t>10720 W Indian School Rd</t>
  </si>
  <si>
    <t>(602) 320-8496</t>
  </si>
  <si>
    <t>1920 W GERMANN RD</t>
  </si>
  <si>
    <t>CHANDLER</t>
  </si>
  <si>
    <t>(816) 803-1258</t>
  </si>
  <si>
    <t>6670 W CACTUS RD</t>
  </si>
  <si>
    <t>GLENDALE</t>
  </si>
  <si>
    <t>(623) 776-2266</t>
  </si>
  <si>
    <t>1 CARDINAL DR</t>
  </si>
  <si>
    <t>ARIZONA</t>
  </si>
  <si>
    <t>4920 W Thunderbird Rd</t>
  </si>
  <si>
    <t>(480) 689-0514</t>
  </si>
  <si>
    <t>CRAZY MIKES CHICKEN</t>
  </si>
  <si>
    <t>623-463-6881</t>
  </si>
  <si>
    <t>CRAZY MIKE'S GOODYEAR</t>
  </si>
  <si>
    <t>213-700-4092</t>
  </si>
  <si>
    <t>6736 E Avalon Dr</t>
  </si>
  <si>
    <t>(210) 529-1900</t>
  </si>
  <si>
    <t>One N San Marcos Pl</t>
  </si>
  <si>
    <t>Chandler</t>
  </si>
  <si>
    <t>Arizona</t>
  </si>
  <si>
    <t>(480) 812-0900</t>
  </si>
  <si>
    <t>3C</t>
  </si>
  <si>
    <t>3550 E BELL ROAD</t>
  </si>
  <si>
    <t>602-788-0261 (JACIE M</t>
  </si>
  <si>
    <t>4E</t>
  </si>
  <si>
    <t>1116 E DOBSON RD</t>
  </si>
  <si>
    <t>MESA</t>
  </si>
  <si>
    <t>(480) 590-7979</t>
  </si>
  <si>
    <t>2650 E UNIVERSITY DR</t>
  </si>
  <si>
    <t>(562) 760-8262</t>
  </si>
  <si>
    <t>16335 W Northern Ave</t>
  </si>
  <si>
    <t>Litchfield Pk</t>
  </si>
  <si>
    <t>623-535-4249</t>
  </si>
  <si>
    <t>1B</t>
  </si>
  <si>
    <t>37838 W GRAND AVE</t>
  </si>
  <si>
    <t>MORISTOWN</t>
  </si>
  <si>
    <t>623-521-0367</t>
  </si>
  <si>
    <t>2A</t>
  </si>
  <si>
    <t>40202 N 87Th Ave</t>
  </si>
  <si>
    <t>Peoria</t>
  </si>
  <si>
    <t>623-498-5427</t>
  </si>
  <si>
    <t>20585 N 59Th Ave</t>
  </si>
  <si>
    <t>623-979-5353</t>
  </si>
  <si>
    <t>5E</t>
  </si>
  <si>
    <t>586 W APACHE</t>
  </si>
  <si>
    <t>APACHE JUNCTION</t>
  </si>
  <si>
    <t>480-983-3478</t>
  </si>
  <si>
    <t>DURVILL FOODS</t>
  </si>
  <si>
    <t>ECHO 5 SPORTS BAR</t>
  </si>
  <si>
    <t>602-391-7707</t>
  </si>
  <si>
    <t>3464 W Camelback Rd</t>
  </si>
  <si>
    <t>602-866-8683</t>
  </si>
  <si>
    <t>15605 W ROOSEVELT ST</t>
  </si>
  <si>
    <t>(253) 359-7081</t>
  </si>
  <si>
    <t>1312 N SCOTTSDALE RD</t>
  </si>
  <si>
    <t>SCOTTSDALE</t>
  </si>
  <si>
    <t>480-656-9100</t>
  </si>
  <si>
    <t>201 E SOUTHERN AVE</t>
  </si>
  <si>
    <t>TEMPE</t>
  </si>
  <si>
    <t>1340 E 8Th St</t>
  </si>
  <si>
    <t>Tempe</t>
  </si>
  <si>
    <t>480-303-9967</t>
  </si>
  <si>
    <t>4910 E Indian School Rd</t>
  </si>
  <si>
    <t>(602) 955-0358</t>
  </si>
  <si>
    <t>2212 N 35Th Ave</t>
  </si>
  <si>
    <t>602-272-5584</t>
  </si>
  <si>
    <t>GILBERT PIZZA</t>
  </si>
  <si>
    <t>1415 N Mill Ave</t>
  </si>
  <si>
    <t>(480) 530-9880</t>
  </si>
  <si>
    <t>6100 S Kings Ranch Road</t>
  </si>
  <si>
    <t>Gold Canyon</t>
  </si>
  <si>
    <t>(480) 671-5533</t>
  </si>
  <si>
    <t>4A</t>
  </si>
  <si>
    <t>6895 E Cave Creek Rd</t>
  </si>
  <si>
    <t>Cave Creek</t>
  </si>
  <si>
    <t>6738 E Cave Creek Rd</t>
  </si>
  <si>
    <t>(480) 488-9542</t>
  </si>
  <si>
    <t>1760 W Chandler Blvd</t>
  </si>
  <si>
    <t>480-963-8000 - Jimmy</t>
  </si>
  <si>
    <t>4B</t>
  </si>
  <si>
    <t>JALAPENO'S INFERNO BISTRO</t>
  </si>
  <si>
    <t>480-585-6442</t>
  </si>
  <si>
    <t>9611 W CAMELBACK, STE 101</t>
  </si>
  <si>
    <t>6 E Route 66</t>
  </si>
  <si>
    <t>Flagstaff</t>
  </si>
  <si>
    <t>928-774-6100</t>
  </si>
  <si>
    <t>4935 W Glendale</t>
  </si>
  <si>
    <t>14850 N Northsight Blvd</t>
  </si>
  <si>
    <t>(480) 241-1533</t>
  </si>
  <si>
    <t>3501 WEST PEORIA AVE</t>
  </si>
  <si>
    <t>(602) 621-7062</t>
  </si>
  <si>
    <t>7707 W MC 85</t>
  </si>
  <si>
    <t>(623) 474-0088</t>
  </si>
  <si>
    <t>LIBERTY TAVERN</t>
  </si>
  <si>
    <t>8525 N CENTRAL AVE</t>
  </si>
  <si>
    <t>DARRELL (602) 803-1875</t>
  </si>
  <si>
    <t>20751 N Pima Rd</t>
  </si>
  <si>
    <t>(480) 404-7465</t>
  </si>
  <si>
    <t>14950 N NORTHSIGHT BLVD</t>
  </si>
  <si>
    <t>480-699-7271</t>
  </si>
  <si>
    <t>6260 S 35TH AVE</t>
  </si>
  <si>
    <t>(602) 268-3350</t>
  </si>
  <si>
    <t>2E</t>
  </si>
  <si>
    <t>7625 W LOWER BUCKEYE RD</t>
  </si>
  <si>
    <t>(623) 248-4165</t>
  </si>
  <si>
    <t>7415 W Thomas Rd</t>
  </si>
  <si>
    <t>623-247-5310</t>
  </si>
  <si>
    <t>4210 S Arizona Ave</t>
  </si>
  <si>
    <t>3131 E Shea Blvd</t>
  </si>
  <si>
    <t>MANUEL MCDOWELL</t>
  </si>
  <si>
    <t>623-435-3793</t>
  </si>
  <si>
    <t>2820 E Indian School Rd</t>
  </si>
  <si>
    <t>602-957-7540</t>
  </si>
  <si>
    <t>MANUEL BELL</t>
  </si>
  <si>
    <t>602-993-8778</t>
  </si>
  <si>
    <t>2350 E Southern Ave</t>
  </si>
  <si>
    <t>480-345-1961 Ext. 1</t>
  </si>
  <si>
    <t>8809 E Mountain View Rd</t>
  </si>
  <si>
    <t>480-661-1587</t>
  </si>
  <si>
    <t>MANUEL PEORIA</t>
  </si>
  <si>
    <t>623-979-3500</t>
  </si>
  <si>
    <t>15257 N Scottsdale Rd</t>
  </si>
  <si>
    <t>(646) 431-1315</t>
  </si>
  <si>
    <t>7033 E Cave Creek Rd</t>
  </si>
  <si>
    <t>(480) 575-7782</t>
  </si>
  <si>
    <t>980 E PECOS RD SUITE 5</t>
  </si>
  <si>
    <t>1E</t>
  </si>
  <si>
    <t>735 N 114TH AVE</t>
  </si>
  <si>
    <t>AVONDALE</t>
  </si>
  <si>
    <t>(623) 258-2546</t>
  </si>
  <si>
    <t>140 S. LINDON LN</t>
  </si>
  <si>
    <t>(480) 912-5143</t>
  </si>
  <si>
    <t>4900 E Indian School Rd</t>
  </si>
  <si>
    <t>602-955-0358</t>
  </si>
  <si>
    <t>OHSO GILBERT</t>
  </si>
  <si>
    <t>(602) 738-9894</t>
  </si>
  <si>
    <t>15681 N Hayden Rd Ste 112</t>
  </si>
  <si>
    <t>480-948-3159</t>
  </si>
  <si>
    <t>10810 N Tatum Blvd Ste 126</t>
  </si>
  <si>
    <t>UNKNOWN</t>
  </si>
  <si>
    <t>OREGANO</t>
  </si>
  <si>
    <t>6738 W Bell Rd</t>
  </si>
  <si>
    <t>623-223-1150</t>
  </si>
  <si>
    <t>16914 W Bell Rd</t>
  </si>
  <si>
    <t>Surprise</t>
  </si>
  <si>
    <t>1008 E Camelback Rd</t>
  </si>
  <si>
    <t>602-241-0707</t>
  </si>
  <si>
    <t>4602 E Cactus Rd</t>
  </si>
  <si>
    <t>602-482-0054</t>
  </si>
  <si>
    <t>37645 N Cave Creek Rd</t>
  </si>
  <si>
    <t>480-889-0386</t>
  </si>
  <si>
    <t>1475 W Elliot Rd</t>
  </si>
  <si>
    <t>480-966-0401</t>
  </si>
  <si>
    <t>328 N Gilbert Rd</t>
  </si>
  <si>
    <t>480-882-9336</t>
  </si>
  <si>
    <t>1960 W Germann Rd Ste 5 Bldg G</t>
  </si>
  <si>
    <t>480-265-4580</t>
  </si>
  <si>
    <t>15280 W Mcdowell Rd</t>
  </si>
  <si>
    <t>623-760-9588</t>
  </si>
  <si>
    <t>20677 E Maya Rd</t>
  </si>
  <si>
    <t>Queen Creek</t>
  </si>
  <si>
    <t>480-355-0750</t>
  </si>
  <si>
    <t>OREGANO MESA</t>
  </si>
  <si>
    <t>480-962-0036</t>
  </si>
  <si>
    <t>6821 E Superstition Springs Blvd</t>
  </si>
  <si>
    <t>3102 N Scottsdale Rd</t>
  </si>
  <si>
    <t>480-970-1860</t>
  </si>
  <si>
    <t>2472 S Recker Rd</t>
  </si>
  <si>
    <t>(480) 765-7873</t>
  </si>
  <si>
    <t>PETE'S 44TH ST</t>
  </si>
  <si>
    <t>602-840-0630</t>
  </si>
  <si>
    <t>1017 E Apache Blvd</t>
  </si>
  <si>
    <t>(602) 882-8145</t>
  </si>
  <si>
    <t>PETE'S BUCKEYE</t>
  </si>
  <si>
    <t>602-252-9341</t>
  </si>
  <si>
    <t>PETE'S CENTRAL</t>
  </si>
  <si>
    <t>602-268-1828</t>
  </si>
  <si>
    <t>5516 W Glendale Ave</t>
  </si>
  <si>
    <t>623-937-6001</t>
  </si>
  <si>
    <t>22 S Mesa Dr</t>
  </si>
  <si>
    <t>480-962-7992</t>
  </si>
  <si>
    <t>9309 W Van Buren St</t>
  </si>
  <si>
    <t>Tolleson</t>
  </si>
  <si>
    <t>623-936-3111</t>
  </si>
  <si>
    <t>PETE'S 26TH</t>
  </si>
  <si>
    <t>602-278-3351</t>
  </si>
  <si>
    <t>200 S Arizona Ave</t>
  </si>
  <si>
    <t>PIRATES MESA</t>
  </si>
  <si>
    <t>480-834-1288</t>
  </si>
  <si>
    <t>17037 N 59Th Ave</t>
  </si>
  <si>
    <t>602-354-7738</t>
  </si>
  <si>
    <t>6542 W Indian School Rd</t>
  </si>
  <si>
    <t>623-846-2636</t>
  </si>
  <si>
    <t>1A</t>
  </si>
  <si>
    <t>111 E Wickenburg Way</t>
  </si>
  <si>
    <t>Wickenburg</t>
  </si>
  <si>
    <t>(928) 684-2492</t>
  </si>
  <si>
    <t>6740 E MCDOWELL RD</t>
  </si>
  <si>
    <t>480-807-9393</t>
  </si>
  <si>
    <t>208 W SOUTHERN AVE</t>
  </si>
  <si>
    <t>8110 W UNION HILLS DR</t>
  </si>
  <si>
    <t>(731) 443-1553</t>
  </si>
  <si>
    <t>3004 E Bell Rd</t>
  </si>
  <si>
    <t>602-493-0211</t>
  </si>
  <si>
    <t>RED DEVIL MCDOWELL</t>
  </si>
  <si>
    <t>602-267-1036</t>
  </si>
  <si>
    <t>3A</t>
  </si>
  <si>
    <t>47801 N Black Canyon Hwy</t>
  </si>
  <si>
    <t>New River</t>
  </si>
  <si>
    <t>(480) 411-1111</t>
  </si>
  <si>
    <t>285 NORTH APACHE TRAIL</t>
  </si>
  <si>
    <t>(480) 899-2999</t>
  </si>
  <si>
    <t>SADDLE MOUNTAIN</t>
  </si>
  <si>
    <t>623-249-5520</t>
  </si>
  <si>
    <t>8278 W Lake Pleasant Pkwy</t>
  </si>
  <si>
    <t>(623) 561-9200</t>
  </si>
  <si>
    <t>18631 N 19Th Ave</t>
  </si>
  <si>
    <t>(623) 492-0550</t>
  </si>
  <si>
    <t>4212 W Cactus Rd</t>
  </si>
  <si>
    <t>4372 W. Olive Ave</t>
  </si>
  <si>
    <t>4522 North 26th Dr.</t>
  </si>
  <si>
    <t>(602) 242-2662</t>
  </si>
  <si>
    <t>4312 N Brown Ave</t>
  </si>
  <si>
    <t>(937) 776-6762</t>
  </si>
  <si>
    <t>15111 N HAYDEN RD #120</t>
  </si>
  <si>
    <t>(480) 225-4342</t>
  </si>
  <si>
    <t>13823 W BELL RD</t>
  </si>
  <si>
    <t>SUPRISE</t>
  </si>
  <si>
    <t>623-584-1095</t>
  </si>
  <si>
    <t>15600 N Hayden Rd</t>
  </si>
  <si>
    <t>6770 N SUNRISE BLVD G-100</t>
  </si>
  <si>
    <t>3B</t>
  </si>
  <si>
    <t>2530 W HAPPY VALLEY RD</t>
  </si>
  <si>
    <t>15111 N Hayden Rd Ste 170</t>
  </si>
  <si>
    <t>(480) 225-4242</t>
  </si>
  <si>
    <t>788 E BASELINE RD</t>
  </si>
  <si>
    <t>(480) 272-2388</t>
  </si>
  <si>
    <t>TACO GUILD</t>
  </si>
  <si>
    <t>10146 W LAKE PLEASANT PKWY</t>
  </si>
  <si>
    <t>PEORIA</t>
  </si>
  <si>
    <t>(623) 825-9999</t>
  </si>
  <si>
    <t>15529 W BELL RD</t>
  </si>
  <si>
    <t>(623) 544-1111</t>
  </si>
  <si>
    <t>530 N ESTRELLA PKWY</t>
  </si>
  <si>
    <t>(623) 533-6888</t>
  </si>
  <si>
    <t>5110 N DYSART RD</t>
  </si>
  <si>
    <t>LITCHFIELD PARK</t>
  </si>
  <si>
    <t>(623) 547-2227</t>
  </si>
  <si>
    <t>457 S WATSON RD</t>
  </si>
  <si>
    <t>BUCKEYE</t>
  </si>
  <si>
    <t>(623) 440-2222</t>
  </si>
  <si>
    <t>28234 N TATUM BLVD</t>
  </si>
  <si>
    <t>CAVE CREEK</t>
  </si>
  <si>
    <t>(480) 585-7777</t>
  </si>
  <si>
    <t>16880 N CAVE CREEK RD</t>
  </si>
  <si>
    <t>VENUE TAPROOM</t>
  </si>
  <si>
    <t>(623) 584-0255</t>
  </si>
  <si>
    <t>7345 N Via Paseo Del Sur</t>
  </si>
  <si>
    <t>(480) 758-5399</t>
  </si>
  <si>
    <t>10300 South Miller Road</t>
  </si>
  <si>
    <t>5171 W Bell Rd</t>
  </si>
  <si>
    <t>(602) 896-9929</t>
  </si>
  <si>
    <t>1744 S VAL VISTA DR</t>
  </si>
  <si>
    <t>10199 E BELL RD</t>
  </si>
  <si>
    <t>(480) 935-2949</t>
  </si>
  <si>
    <t>THE HERMOSA INN</t>
  </si>
  <si>
    <t>Paradise Vly</t>
  </si>
  <si>
    <t>602-955-8614</t>
  </si>
  <si>
    <t>TIM FINNEGANS</t>
  </si>
  <si>
    <t>602 875 8331</t>
  </si>
  <si>
    <t>5736 E RANCHO MANANA BLVD</t>
  </si>
  <si>
    <t>480-575-1916</t>
  </si>
  <si>
    <t>18913 N 83Rd Ave</t>
  </si>
  <si>
    <t>602-996-3511</t>
  </si>
  <si>
    <t>3217 E Shea Blvd</t>
  </si>
  <si>
    <t>9824 W NORTHERN AVE</t>
  </si>
  <si>
    <t>(602) 478-2414</t>
  </si>
  <si>
    <t>C158</t>
  </si>
  <si>
    <t>TU</t>
  </si>
  <si>
    <t>ANGRY CRAB TUCSON</t>
  </si>
  <si>
    <t>TUCSON</t>
  </si>
  <si>
    <t>602-403-0439</t>
  </si>
  <si>
    <t>C159</t>
  </si>
  <si>
    <t>15557 W BELL RD STE 405</t>
  </si>
  <si>
    <t>623-546-7757</t>
  </si>
  <si>
    <t>C160</t>
  </si>
  <si>
    <t>19260 N WESTBROOK PKWY</t>
  </si>
  <si>
    <t>(608) 235-2558</t>
  </si>
  <si>
    <t>C161</t>
  </si>
  <si>
    <t>W</t>
  </si>
  <si>
    <t>495 E WICKENBURG WAY</t>
  </si>
  <si>
    <t>(928) 684-3882</t>
  </si>
  <si>
    <t>C162</t>
  </si>
  <si>
    <t>25201 N WESTWING PKWY</t>
  </si>
  <si>
    <t>(480) 797-7823</t>
  </si>
  <si>
    <t>C163</t>
  </si>
  <si>
    <t>2500 Interstate 10 Business Loop</t>
  </si>
  <si>
    <t>SAN SIMON</t>
  </si>
  <si>
    <t>(520) 262-9358</t>
  </si>
  <si>
    <t>C164</t>
  </si>
  <si>
    <t>F</t>
  </si>
  <si>
    <t>106 N San Francisco St</t>
  </si>
  <si>
    <t>928-779-6971</t>
  </si>
  <si>
    <t>C165</t>
  </si>
  <si>
    <t>214 E. WESTERN AVE</t>
  </si>
  <si>
    <t>(623) 910-6861</t>
  </si>
  <si>
    <t>C166</t>
  </si>
  <si>
    <t>T</t>
  </si>
  <si>
    <t>980 N Country Club Dr</t>
  </si>
  <si>
    <t>C167</t>
  </si>
  <si>
    <t>4884 S Landing Way</t>
  </si>
  <si>
    <t>Tucson</t>
  </si>
  <si>
    <t>C168</t>
  </si>
  <si>
    <t>100 W Orange Grove Rd</t>
  </si>
  <si>
    <t>520-229-9999</t>
  </si>
  <si>
    <t>C169</t>
  </si>
  <si>
    <t>1061 S Plaza Way</t>
  </si>
  <si>
    <t>(928) 773-8600</t>
  </si>
  <si>
    <t>C170</t>
  </si>
  <si>
    <t>4900 E Speedway Blvd</t>
  </si>
  <si>
    <t>520-327-8955</t>
  </si>
  <si>
    <t>C171</t>
  </si>
  <si>
    <t>P</t>
  </si>
  <si>
    <t>120 S Montezuma St</t>
  </si>
  <si>
    <t>Prescott</t>
  </si>
  <si>
    <t>(428) 541-1996</t>
  </si>
  <si>
    <t>C172</t>
  </si>
  <si>
    <t>C</t>
  </si>
  <si>
    <t>818 N Pinal Ave</t>
  </si>
  <si>
    <t>Casa Grande</t>
  </si>
  <si>
    <t>520-836-2646</t>
  </si>
  <si>
    <t>C173</t>
  </si>
  <si>
    <t>15375 W MCDOWELL RD</t>
  </si>
  <si>
    <t>C174</t>
  </si>
  <si>
    <t>7160 E PAV WAY</t>
  </si>
  <si>
    <t>PRESCOTT VALLEY</t>
  </si>
  <si>
    <t>Client Time Windows — one row per (client, day) pair. Leave empty if no restrictions.</t>
  </si>
  <si>
    <t>Blank = client is open all shift. Add rows only for clients with restricted hours.</t>
  </si>
  <si>
    <t>Client_ID</t>
  </si>
  <si>
    <t>Day_of_Week</t>
  </si>
  <si>
    <t>Open_HHMM</t>
  </si>
  <si>
    <t>Close_HHMM</t>
  </si>
  <si>
    <t>EXAMPLE_C042</t>
  </si>
  <si>
    <t>Tue</t>
  </si>
  <si>
    <t>10:00</t>
  </si>
  <si>
    <t>14:00</t>
  </si>
  <si>
    <t>No deliveries during lunch rush (example — delete this row)</t>
  </si>
  <si>
    <t>Client Closures — date-range closures (vacations, renovations, etc.)</t>
  </si>
  <si>
    <t>Inclusive on both ends. Solver skips these clients on those days.</t>
  </si>
  <si>
    <t>Start_Date</t>
  </si>
  <si>
    <t>End_Date</t>
  </si>
  <si>
    <t>Reason</t>
  </si>
  <si>
    <t>2026-04-20</t>
  </si>
  <si>
    <t>2026-04-27</t>
  </si>
  <si>
    <t>Renovations (example — delete this row)</t>
  </si>
  <si>
    <t>Truck Configuration</t>
  </si>
  <si>
    <t>Truck_Name</t>
  </si>
  <si>
    <t>Capacity_lbs</t>
  </si>
  <si>
    <t>Pump_Rate_lbs_per_min</t>
  </si>
  <si>
    <t>Fixed_Setup_min</t>
  </si>
  <si>
    <t>Truck2</t>
  </si>
  <si>
    <t>Truck9</t>
  </si>
  <si>
    <t>Depot Configuration (key-value pairs)</t>
  </si>
  <si>
    <t>Key</t>
  </si>
  <si>
    <t>Value</t>
  </si>
  <si>
    <t>Depot_Lat</t>
  </si>
  <si>
    <t>Depot_Lon</t>
  </si>
  <si>
    <t>Shift_Start_HHMM</t>
  </si>
  <si>
    <t>06:00</t>
  </si>
  <si>
    <t>Shift_End_HHMM</t>
  </si>
  <si>
    <t>16:00</t>
  </si>
  <si>
    <t>Morning_Load_Min</t>
  </si>
  <si>
    <t>Evening_Unload_Min</t>
  </si>
  <si>
    <t>Work_Days</t>
  </si>
  <si>
    <t>Tue,Wed,Thu,Fri,Sat</t>
  </si>
  <si>
    <t>2855 S Market St, Gilbert, AZ 85295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</si>
</sst>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0.0"/>
    <numFmt numFmtId="166" formatCode="0.00000"/>
    <numFmt numFmtId="167" formatCode="yyyy\-mm\-dd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color rgb="FF1B5E20"/>
      <name val="Arial"/>
      <family val="2"/>
    </font>
    <font>
      <b/>
      <sz val="9"/>
      <color rgb="FF444444"/>
      <name val="Arial"/>
      <family val="2"/>
    </font>
    <font>
      <b/>
      <sz val="10"/>
      <name val="Arial"/>
      <family val="2"/>
    </font>
    <font>
      <i/>
      <sz val="8"/>
      <color rgb="FF555555"/>
      <name val="Arial"/>
      <family val="2"/>
    </font>
    <font>
      <b/>
      <sz val="8.5"/>
      <color rgb="FFFFFFFF"/>
      <name val="Arial"/>
      <family val="2"/>
    </font>
    <font>
      <sz val="9"/>
      <color rgb="FF666666"/>
      <name val="Arial"/>
      <family val="2"/>
    </font>
    <font>
      <i/>
      <sz val="9"/>
      <color rgb="FF0D47A1"/>
      <name val="Arial"/>
      <family val="2"/>
    </font>
    <font>
      <i/>
      <sz val="9"/>
      <color rgb="FF333333"/>
      <name val="Arial"/>
      <family val="2"/>
    </font>
    <font>
      <sz val="9"/>
      <color rgb="FF999999"/>
      <name val="Arial"/>
      <family val="2"/>
    </font>
    <font>
      <sz val="9"/>
      <color rgb="FF7B5200"/>
      <name val="Arial"/>
      <family val="2"/>
    </font>
    <font>
      <b/>
      <sz val="9"/>
      <color rgb="FF1B5E20"/>
      <name val="Arial"/>
      <family val="2"/>
    </font>
    <font>
      <b/>
      <sz val="9"/>
      <color rgb="FF8B0000"/>
      <name val="Arial"/>
      <family val="2"/>
    </font>
    <font>
      <i/>
      <sz val="9"/>
      <color rgb="FFBBBBBB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F5F8FF"/>
      </patternFill>
    </fill>
    <fill>
      <patternFill patternType="solid">
        <fgColor rgb="FFEECCE8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D4F0CC"/>
      </patternFill>
    </fill>
    <fill>
      <patternFill patternType="solid">
        <fgColor rgb="FFFCE8CC"/>
      </patternFill>
    </fill>
    <fill>
      <patternFill patternType="solid">
        <fgColor rgb="FFCCE8FF"/>
      </patternFill>
    </fill>
    <fill>
      <patternFill patternType="solid">
        <fgColor rgb="FFFFE8CC"/>
      </patternFill>
    </fill>
    <fill>
      <patternFill patternType="solid">
        <fgColor rgb="FFFFFFFF"/>
      </patternFill>
    </fill>
    <fill>
      <patternFill patternType="solid">
        <fgColor rgb="FFFAFAFF"/>
      </patternFill>
    </fill>
    <fill>
      <patternFill patternType="solid">
        <fgColor rgb="FFFFFF99"/>
      </patternFill>
    </fill>
    <fill>
      <patternFill patternType="solid">
        <fgColor rgb="FF2E6DA4"/>
      </patternFill>
    </fill>
    <fill>
      <patternFill patternType="solid">
        <fgColor rgb="FF8B4513"/>
      </patternFill>
    </fill>
    <fill>
      <patternFill patternType="solid">
        <fgColor rgb="FF4A4A4A"/>
      </patternFill>
    </fill>
    <fill>
      <patternFill patternType="solid">
        <fgColor rgb="FF2E7D32"/>
      </patternFill>
    </fill>
    <fill>
      <patternFill patternType="solid">
        <fgColor rgb="FF6A0572"/>
      </patternFill>
    </fill>
    <fill>
      <patternFill patternType="solid">
        <fgColor rgb="FFF8F8F8"/>
      </patternFill>
    </fill>
    <fill>
      <patternFill patternType="solid">
        <fgColor rgb="FFEEEEEE"/>
      </patternFill>
    </fill>
    <fill>
      <patternFill patternType="solid">
        <fgColor rgb="FFF0F8FF"/>
      </patternFill>
    </fill>
    <fill>
      <patternFill patternType="solid">
        <fgColor rgb="FFF0F0F0"/>
      </patternFill>
    </fill>
    <fill>
      <patternFill patternType="solid">
        <fgColor rgb="FFFFF3CD"/>
      </patternFill>
    </fill>
    <fill>
      <patternFill patternType="solid">
        <fgColor rgb="FFFFE0CC"/>
      </patternFill>
    </fill>
    <fill>
      <patternFill patternType="solid">
        <fgColor rgb="FFFFE0E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0C0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8" fillId="14" borderId="0" xfId="0" applyNumberFormat="1" applyFont="1" applyFill="1" applyAlignment="1">
      <alignment horizontal="center" vertical="center"/>
    </xf>
    <xf numFmtId="1" fontId="8" fillId="14" borderId="0" xfId="0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3" fontId="4" fillId="20" borderId="1" xfId="0" applyNumberFormat="1" applyFont="1" applyFill="1" applyBorder="1" applyAlignment="1">
      <alignment horizontal="center" vertical="center"/>
    </xf>
    <xf numFmtId="165" fontId="12" fillId="22" borderId="1" xfId="0" applyNumberFormat="1" applyFont="1" applyFill="1" applyBorder="1" applyAlignment="1">
      <alignment horizontal="center" vertical="center"/>
    </xf>
    <xf numFmtId="164" fontId="12" fillId="22" borderId="1" xfId="0" applyNumberFormat="1" applyFont="1" applyFill="1" applyBorder="1" applyAlignment="1">
      <alignment horizontal="center" vertical="center"/>
    </xf>
    <xf numFmtId="1" fontId="12" fillId="22" borderId="1" xfId="0" applyNumberFormat="1" applyFont="1" applyFill="1" applyBorder="1" applyAlignment="1">
      <alignment horizontal="center" vertical="center"/>
    </xf>
    <xf numFmtId="3" fontId="13" fillId="23" borderId="1" xfId="0" applyNumberFormat="1" applyFont="1" applyFill="1" applyBorder="1" applyAlignment="1">
      <alignment horizontal="center" vertical="center"/>
    </xf>
    <xf numFmtId="165" fontId="13" fillId="23" borderId="1" xfId="0" applyNumberFormat="1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left" vertical="center"/>
    </xf>
    <xf numFmtId="3" fontId="4" fillId="24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left" vertical="center"/>
    </xf>
    <xf numFmtId="3" fontId="4" fillId="26" borderId="1" xfId="0" applyNumberFormat="1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166" fontId="4" fillId="14" borderId="1" xfId="0" applyNumberFormat="1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left" vertical="center"/>
    </xf>
    <xf numFmtId="0" fontId="18" fillId="29" borderId="1" xfId="0" applyFont="1" applyFill="1" applyBorder="1" applyAlignment="1">
      <alignment horizontal="center" vertical="center"/>
    </xf>
    <xf numFmtId="3" fontId="4" fillId="12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67" fontId="4" fillId="12" borderId="1" xfId="0" applyNumberFormat="1" applyFont="1" applyFill="1" applyBorder="1" applyAlignment="1">
      <alignment horizontal="center" vertical="center"/>
    </xf>
    <xf numFmtId="167" fontId="4" fillId="1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1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167" fontId="0" fillId="0" borderId="0" xfId="0" applyNumberFormat="1"/>
    <xf numFmtId="1" fontId="4" fillId="4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12" borderId="1" xfId="0" applyNumberFormat="1" applyFont="1" applyFill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6FAF"/>
  </sheetPr>
  <dimension ref="A1:N5000"/>
  <sheetViews>
    <sheetView showGridLines="0" tabSelected="1" zoomScale="133" workbookViewId="0">
      <pane ySplit="3" topLeftCell="A1232" activePane="bottomLeft" state="frozen"/>
      <selection pane="bottomLeft" activeCell="B1243" sqref="B1243"/>
    </sheetView>
  </sheetViews>
  <sheetFormatPr baseColWidth="10" defaultColWidth="8.83203125" defaultRowHeight="15" x14ac:dyDescent="0.2"/>
  <cols>
    <col min="1" max="1" width="12" customWidth="1"/>
    <col min="2" max="2" width="44" customWidth="1"/>
    <col min="3" max="3" width="7" customWidth="1"/>
    <col min="4" max="4" width="10" customWidth="1"/>
    <col min="5" max="5" width="24" customWidth="1"/>
    <col min="6" max="6" width="12" customWidth="1"/>
    <col min="7" max="7" width="17" customWidth="1"/>
    <col min="8" max="8" width="15" customWidth="1"/>
    <col min="9" max="9" width="16" customWidth="1"/>
    <col min="10" max="10" width="12" customWidth="1"/>
    <col min="11" max="11" width="22" customWidth="1"/>
    <col min="12" max="12" width="20" customWidth="1"/>
    <col min="14" max="14" width="10.1640625" bestFit="1" customWidth="1"/>
  </cols>
  <sheetData>
    <row r="1" spans="1:12" ht="28" customHeight="1" x14ac:dyDescent="0.2">
      <c r="A1" s="63" t="s">
        <v>353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14" customHeight="1" x14ac:dyDescent="0.2">
      <c r="A2" s="61" t="s">
        <v>354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32" customHeight="1" x14ac:dyDescent="0.2">
      <c r="A3" s="1" t="s">
        <v>355</v>
      </c>
      <c r="B3" s="1" t="s">
        <v>13</v>
      </c>
      <c r="C3" s="1" t="s">
        <v>14</v>
      </c>
      <c r="D3" s="1" t="s">
        <v>356</v>
      </c>
      <c r="E3" s="1" t="s">
        <v>19</v>
      </c>
      <c r="F3" s="1" t="s">
        <v>17</v>
      </c>
      <c r="G3" s="1" t="s">
        <v>357</v>
      </c>
      <c r="H3" s="1" t="s">
        <v>358</v>
      </c>
      <c r="I3" s="1" t="s">
        <v>359</v>
      </c>
      <c r="J3" s="1" t="s">
        <v>360</v>
      </c>
      <c r="K3" s="1" t="s">
        <v>361</v>
      </c>
      <c r="L3" s="1" t="s">
        <v>362</v>
      </c>
    </row>
    <row r="4" spans="1:12" ht="14" customHeight="1" x14ac:dyDescent="0.2">
      <c r="A4" s="56">
        <v>45955</v>
      </c>
      <c r="B4" s="2" t="s">
        <v>41</v>
      </c>
      <c r="C4" s="3" t="str">
        <f>IF(B4="","",IFERROR(INDEX(Client_List!$C:$C,MATCH(B4,Client_List!$B:$B,0)),""))</f>
        <v>4</v>
      </c>
      <c r="D4" s="4" t="str">
        <f>IF(B4="","",IFERROR(INDEX(Client_List!$D:$D,MATCH(B4,Client_List!$B:$B,0)),""))</f>
        <v>4C</v>
      </c>
      <c r="E4" s="4" t="str">
        <f>IF(B4="","",IFERROR(INDEX(Client_List!$K:$K,MATCH(B4,Client_List!$B:$B,0)),""))</f>
        <v>CANOLA OIL</v>
      </c>
      <c r="F4" s="5">
        <f>IF(B4="","",IFERROR(INDEX(Client_List!$J:$J,MATCH(B4,Client_List!$B:$B,0)),""))</f>
        <v>2000</v>
      </c>
      <c r="G4" s="5">
        <v>1903</v>
      </c>
      <c r="H4" s="4">
        <f>IF(B4="","",IFERROR(A4-LOOKUP(2,1/($B3:$B$4=B4),$A3:$A$4),""))</f>
        <v>0</v>
      </c>
      <c r="I4" s="72" t="str">
        <f t="shared" ref="I4:I67" si="0">IF(B4="","",IFERROR(G4/H4,""))</f>
        <v/>
      </c>
      <c r="J4" s="4" t="s">
        <v>363</v>
      </c>
      <c r="K4" s="6" t="str">
        <f>IF(B4="","",IFERROR(AVERAGEIFS($I$4:$I4,$B$4:$B4,B4,$I$4:$I4,"&gt;"&amp;0),""))</f>
        <v/>
      </c>
      <c r="L4" s="4" t="str">
        <f>IF(B4="","",IF(ISNA(MATCH(B4,Client_List!$B:$B,0)),"⚠ NOT FOUND","✓"))</f>
        <v>✓</v>
      </c>
    </row>
    <row r="5" spans="1:12" ht="14" customHeight="1" x14ac:dyDescent="0.2">
      <c r="A5" s="57">
        <v>45965</v>
      </c>
      <c r="B5" s="7" t="s">
        <v>292</v>
      </c>
      <c r="C5" s="8" t="str">
        <f>IF(B5="","",IFERROR(INDEX(Client_List!$C:$C,MATCH(B5,Client_List!$B:$B,0)),""))</f>
        <v>3</v>
      </c>
      <c r="D5" s="9" t="str">
        <f>IF(B5="","",IFERROR(INDEX(Client_List!$D:$D,MATCH(B5,Client_List!$B:$B,0)),""))</f>
        <v>3D</v>
      </c>
      <c r="E5" s="9" t="str">
        <f>IF(B5="","",IFERROR(INDEX(Client_List!$K:$K,MATCH(B5,Client_List!$B:$B,0)),""))</f>
        <v>CANOLA OIL</v>
      </c>
      <c r="F5" s="10">
        <f>IF(B5="","",IFERROR(INDEX(Client_List!$J:$J,MATCH(B5,Client_List!$B:$B,0)),""))</f>
        <v>450</v>
      </c>
      <c r="G5" s="10">
        <v>228</v>
      </c>
      <c r="H5" s="9" t="str">
        <f>IF(B5="","",IFERROR(A5-LOOKUP(2,1/($B$4:$B4=B5),$A$4:$A4),""))</f>
        <v/>
      </c>
      <c r="I5" s="73" t="str">
        <f t="shared" si="0"/>
        <v/>
      </c>
      <c r="J5" s="9">
        <v>141811</v>
      </c>
      <c r="K5" s="6" t="str">
        <f>IF(B5="","",IFERROR(AVERAGEIFS($I$4:$I5,$B$4:$B5,B5,$I$4:$I5,"&gt;"&amp;0),""))</f>
        <v/>
      </c>
      <c r="L5" s="9" t="str">
        <f>IF(B5="","",IF(ISNA(MATCH(B5,Client_List!$B:$B,0)),"⚠ NOT FOUND","✓"))</f>
        <v>✓</v>
      </c>
    </row>
    <row r="6" spans="1:12" ht="14" customHeight="1" x14ac:dyDescent="0.2">
      <c r="A6" s="56">
        <v>46024</v>
      </c>
      <c r="B6" s="2" t="s">
        <v>63</v>
      </c>
      <c r="C6" s="11" t="str">
        <f>IF(B6="","",IFERROR(INDEX(Client_List!$C:$C,MATCH(B6,Client_List!$B:$B,0)),""))</f>
        <v>5</v>
      </c>
      <c r="D6" s="4" t="str">
        <f>IF(B6="","",IFERROR(INDEX(Client_List!$D:$D,MATCH(B6,Client_List!$B:$B,0)),""))</f>
        <v>5D</v>
      </c>
      <c r="E6" s="4" t="str">
        <f>IF(B6="","",IFERROR(INDEX(Client_List!$K:$K,MATCH(B6,Client_List!$B:$B,0)),""))</f>
        <v>CANOLA OIL</v>
      </c>
      <c r="F6" s="5">
        <f>IF(B6="","",IFERROR(INDEX(Client_List!$J:$J,MATCH(B6,Client_List!$B:$B,0)),""))</f>
        <v>425</v>
      </c>
      <c r="G6" s="5">
        <v>354</v>
      </c>
      <c r="H6" s="4" t="str">
        <f>IF(B6="","",IFERROR(A6-LOOKUP(2,1/($B$4:$B5=B6),$A$4:$A5),""))</f>
        <v/>
      </c>
      <c r="I6" s="72" t="str">
        <f t="shared" si="0"/>
        <v/>
      </c>
      <c r="J6" s="4">
        <v>140983</v>
      </c>
      <c r="K6" s="6" t="str">
        <f>IF(B6="","",IFERROR(AVERAGEIFS($I$4:$I6,$B$4:$B6,B6,$I$4:$I6,"&gt;"&amp;0),""))</f>
        <v/>
      </c>
      <c r="L6" s="4" t="str">
        <f>IF(B6="","",IF(ISNA(MATCH(B6,Client_List!$B:$B,0)),"⚠ NOT FOUND","✓"))</f>
        <v>✓</v>
      </c>
    </row>
    <row r="7" spans="1:12" ht="14" customHeight="1" x14ac:dyDescent="0.2">
      <c r="A7" s="57">
        <v>46024</v>
      </c>
      <c r="B7" s="7" t="s">
        <v>87</v>
      </c>
      <c r="C7" s="12" t="str">
        <f>IF(B7="","",IFERROR(INDEX(Client_List!$C:$C,MATCH(B7,Client_List!$B:$B,0)),""))</f>
        <v>2</v>
      </c>
      <c r="D7" s="9" t="str">
        <f>IF(B7="","",IFERROR(INDEX(Client_List!$D:$D,MATCH(B7,Client_List!$B:$B,0)),""))</f>
        <v>2D</v>
      </c>
      <c r="E7" s="9" t="str">
        <f>IF(B7="","",IFERROR(INDEX(Client_List!$K:$K,MATCH(B7,Client_List!$B:$B,0)),""))</f>
        <v>CANOLA OIL</v>
      </c>
      <c r="F7" s="10">
        <f>IF(B7="","",IFERROR(INDEX(Client_List!$J:$J,MATCH(B7,Client_List!$B:$B,0)),""))</f>
        <v>2500</v>
      </c>
      <c r="G7" s="10">
        <v>1596</v>
      </c>
      <c r="H7" s="9" t="str">
        <f>IF(B7="","",IFERROR(A7-LOOKUP(2,1/($B$4:$B6=B7),$A$4:$A6),""))</f>
        <v/>
      </c>
      <c r="I7" s="73" t="str">
        <f t="shared" si="0"/>
        <v/>
      </c>
      <c r="J7" s="9">
        <v>140988</v>
      </c>
      <c r="K7" s="6" t="str">
        <f>IF(B7="","",IFERROR(AVERAGEIFS($I$4:$I7,$B$4:$B7,B7,$I$4:$I7,"&gt;"&amp;0),""))</f>
        <v/>
      </c>
      <c r="L7" s="9" t="str">
        <f>IF(B7="","",IF(ISNA(MATCH(B7,Client_List!$B:$B,0)),"⚠ NOT FOUND","✓"))</f>
        <v>✓</v>
      </c>
    </row>
    <row r="8" spans="1:12" ht="14" customHeight="1" x14ac:dyDescent="0.2">
      <c r="A8" s="56">
        <v>46024</v>
      </c>
      <c r="B8" s="2" t="s">
        <v>106</v>
      </c>
      <c r="C8" s="3" t="str">
        <f>IF(B8="","",IFERROR(INDEX(Client_List!$C:$C,MATCH(B8,Client_List!$B:$B,0)),""))</f>
        <v>4</v>
      </c>
      <c r="D8" s="4" t="str">
        <f>IF(B8="","",IFERROR(INDEX(Client_List!$D:$D,MATCH(B8,Client_List!$B:$B,0)),""))</f>
        <v>4E</v>
      </c>
      <c r="E8" s="4" t="str">
        <f>IF(B8="","",IFERROR(INDEX(Client_List!$K:$K,MATCH(B8,Client_List!$B:$B,0)),""))</f>
        <v>CANOLA OIL</v>
      </c>
      <c r="F8" s="5">
        <f>IF(B8="","",IFERROR(INDEX(Client_List!$J:$J,MATCH(B8,Client_List!$B:$B,0)),""))</f>
        <v>350</v>
      </c>
      <c r="G8" s="5">
        <v>361</v>
      </c>
      <c r="H8" s="4" t="str">
        <f>IF(B8="","",IFERROR(A8-LOOKUP(2,1/($B$4:$B7=B8),$A$4:$A7),""))</f>
        <v/>
      </c>
      <c r="I8" s="72" t="str">
        <f t="shared" si="0"/>
        <v/>
      </c>
      <c r="J8" s="4">
        <v>140985</v>
      </c>
      <c r="K8" s="6" t="str">
        <f>IF(B8="","",IFERROR(AVERAGEIFS($I$4:$I8,$B$4:$B8,B8,$I$4:$I8,"&gt;"&amp;0),""))</f>
        <v/>
      </c>
      <c r="L8" s="4" t="str">
        <f>IF(B8="","",IF(ISNA(MATCH(B8,Client_List!$B:$B,0)),"⚠ NOT FOUND","✓"))</f>
        <v>✓</v>
      </c>
    </row>
    <row r="9" spans="1:12" ht="14" customHeight="1" x14ac:dyDescent="0.2">
      <c r="A9" s="57">
        <v>46024</v>
      </c>
      <c r="B9" s="7" t="s">
        <v>142</v>
      </c>
      <c r="C9" s="3" t="str">
        <f>IF(B9="","",IFERROR(INDEX(Client_List!$C:$C,MATCH(B9,Client_List!$B:$B,0)),""))</f>
        <v>4</v>
      </c>
      <c r="D9" s="9" t="str">
        <f>IF(B9="","",IFERROR(INDEX(Client_List!$D:$D,MATCH(B9,Client_List!$B:$B,0)),""))</f>
        <v>4A</v>
      </c>
      <c r="E9" s="9" t="str">
        <f>IF(B9="","",IFERROR(INDEX(Client_List!$K:$K,MATCH(B9,Client_List!$B:$B,0)),""))</f>
        <v>FRYERS CHOICE BLEND</v>
      </c>
      <c r="F9" s="10">
        <f>IF(B9="","",IFERROR(INDEX(Client_List!$J:$J,MATCH(B9,Client_List!$B:$B,0)),""))</f>
        <v>1050</v>
      </c>
      <c r="G9" s="10">
        <v>705</v>
      </c>
      <c r="H9" s="9" t="str">
        <f>IF(B9="","",IFERROR(A9-LOOKUP(2,1/($B$4:$B8=B9),$A$4:$A8),""))</f>
        <v/>
      </c>
      <c r="I9" s="73" t="str">
        <f t="shared" si="0"/>
        <v/>
      </c>
      <c r="J9" s="9">
        <v>140986</v>
      </c>
      <c r="K9" s="6" t="str">
        <f>IF(B9="","",IFERROR(AVERAGEIFS($I$4:$I9,$B$4:$B9,B9,$I$4:$I9,"&gt;"&amp;0),""))</f>
        <v/>
      </c>
      <c r="L9" s="9" t="str">
        <f>IF(B9="","",IF(ISNA(MATCH(B9,Client_List!$B:$B,0)),"⚠ NOT FOUND","✓"))</f>
        <v>✓</v>
      </c>
    </row>
    <row r="10" spans="1:12" ht="14" customHeight="1" x14ac:dyDescent="0.2">
      <c r="A10" s="56">
        <v>46024</v>
      </c>
      <c r="B10" s="2" t="s">
        <v>148</v>
      </c>
      <c r="C10" s="3" t="str">
        <f>IF(B10="","",IFERROR(INDEX(Client_List!$C:$C,MATCH(B10,Client_List!$B:$B,0)),""))</f>
        <v>4</v>
      </c>
      <c r="D10" s="4" t="str">
        <f>IF(B10="","",IFERROR(INDEX(Client_List!$D:$D,MATCH(B10,Client_List!$B:$B,0)),""))</f>
        <v>4B</v>
      </c>
      <c r="E10" s="4" t="str">
        <f>IF(B10="","",IFERROR(INDEX(Client_List!$K:$K,MATCH(B10,Client_List!$B:$B,0)),""))</f>
        <v>FRYERS CHOICE BLEND</v>
      </c>
      <c r="F10" s="5">
        <f>IF(B10="","",IFERROR(INDEX(Client_List!$J:$J,MATCH(B10,Client_List!$B:$B,0)),""))</f>
        <v>950</v>
      </c>
      <c r="G10" s="5">
        <v>882</v>
      </c>
      <c r="H10" s="4" t="str">
        <f>IF(B10="","",IFERROR(A10-LOOKUP(2,1/($B$4:$B9=B10),$A$4:$A9),""))</f>
        <v/>
      </c>
      <c r="I10" s="72" t="str">
        <f t="shared" si="0"/>
        <v/>
      </c>
      <c r="J10" s="4">
        <v>140987</v>
      </c>
      <c r="K10" s="6" t="str">
        <f>IF(B10="","",IFERROR(AVERAGEIFS($I$4:$I10,$B$4:$B10,B10,$I$4:$I10,"&gt;"&amp;0),""))</f>
        <v/>
      </c>
      <c r="L10" s="4" t="str">
        <f>IF(B10="","",IF(ISNA(MATCH(B10,Client_List!$B:$B,0)),"⚠ NOT FOUND","✓"))</f>
        <v>✓</v>
      </c>
    </row>
    <row r="11" spans="1:12" ht="14" customHeight="1" x14ac:dyDescent="0.2">
      <c r="A11" s="57">
        <v>46024</v>
      </c>
      <c r="B11" s="7" t="s">
        <v>200</v>
      </c>
      <c r="C11" s="3" t="str">
        <f>IF(B11="","",IFERROR(INDEX(Client_List!$C:$C,MATCH(B11,Client_List!$B:$B,0)),""))</f>
        <v>4</v>
      </c>
      <c r="D11" s="9" t="str">
        <f>IF(B11="","",IFERROR(INDEX(Client_List!$D:$D,MATCH(B11,Client_List!$B:$B,0)),""))</f>
        <v>4E</v>
      </c>
      <c r="E11" s="9" t="str">
        <f>IF(B11="","",IFERROR(INDEX(Client_List!$K:$K,MATCH(B11,Client_List!$B:$B,0)),""))</f>
        <v>CANOLA OIL</v>
      </c>
      <c r="F11" s="10">
        <f>IF(B11="","",IFERROR(INDEX(Client_List!$J:$J,MATCH(B11,Client_List!$B:$B,0)),""))</f>
        <v>2000</v>
      </c>
      <c r="G11" s="10">
        <v>1151</v>
      </c>
      <c r="H11" s="9" t="str">
        <f>IF(B11="","",IFERROR(A11-LOOKUP(2,1/($B$4:$B10=B11),$A$4:$A10),""))</f>
        <v/>
      </c>
      <c r="I11" s="73" t="str">
        <f t="shared" si="0"/>
        <v/>
      </c>
      <c r="J11" s="9">
        <v>140984</v>
      </c>
      <c r="K11" s="6" t="str">
        <f>IF(B11="","",IFERROR(AVERAGEIFS($I$4:$I11,$B$4:$B11,B11,$I$4:$I11,"&gt;"&amp;0),""))</f>
        <v/>
      </c>
      <c r="L11" s="9" t="str">
        <f>IF(B11="","",IF(ISNA(MATCH(B11,Client_List!$B:$B,0)),"⚠ NOT FOUND","✓"))</f>
        <v>✓</v>
      </c>
    </row>
    <row r="12" spans="1:12" ht="14" customHeight="1" x14ac:dyDescent="0.2">
      <c r="A12" s="56">
        <v>46024</v>
      </c>
      <c r="B12" s="2" t="s">
        <v>204</v>
      </c>
      <c r="C12" s="11" t="str">
        <f>IF(B12="","",IFERROR(INDEX(Client_List!$C:$C,MATCH(B12,Client_List!$B:$B,0)),""))</f>
        <v>5</v>
      </c>
      <c r="D12" s="4" t="str">
        <f>IF(B12="","",IFERROR(INDEX(Client_List!$D:$D,MATCH(B12,Client_List!$B:$B,0)),""))</f>
        <v>5E</v>
      </c>
      <c r="E12" s="4" t="str">
        <f>IF(B12="","",IFERROR(INDEX(Client_List!$K:$K,MATCH(B12,Client_List!$B:$B,0)),""))</f>
        <v>CANOLA OIL</v>
      </c>
      <c r="F12" s="5">
        <f>IF(B12="","",IFERROR(INDEX(Client_List!$J:$J,MATCH(B12,Client_List!$B:$B,0)),""))</f>
        <v>1800</v>
      </c>
      <c r="G12" s="5">
        <v>1401</v>
      </c>
      <c r="H12" s="4" t="str">
        <f>IF(B12="","",IFERROR(A12-LOOKUP(2,1/($B$4:$B11=B12),$A$4:$A11),""))</f>
        <v/>
      </c>
      <c r="I12" s="72" t="str">
        <f t="shared" si="0"/>
        <v/>
      </c>
      <c r="J12" s="4">
        <v>140981</v>
      </c>
      <c r="K12" s="6" t="str">
        <f>IF(B12="","",IFERROR(AVERAGEIFS($I$4:$I12,$B$4:$B12,B12,$I$4:$I12,"&gt;"&amp;0),""))</f>
        <v/>
      </c>
      <c r="L12" s="4" t="str">
        <f>IF(B12="","",IF(ISNA(MATCH(B12,Client_List!$B:$B,0)),"⚠ NOT FOUND","✓"))</f>
        <v>✓</v>
      </c>
    </row>
    <row r="13" spans="1:12" ht="14" customHeight="1" x14ac:dyDescent="0.2">
      <c r="A13" s="57">
        <v>46024</v>
      </c>
      <c r="B13" s="7" t="s">
        <v>254</v>
      </c>
      <c r="C13" s="12" t="str">
        <f>IF(B13="","",IFERROR(INDEX(Client_List!$C:$C,MATCH(B13,Client_List!$B:$B,0)),""))</f>
        <v>2</v>
      </c>
      <c r="D13" s="9" t="str">
        <f>IF(B13="","",IFERROR(INDEX(Client_List!$D:$D,MATCH(B13,Client_List!$B:$B,0)),""))</f>
        <v>2E</v>
      </c>
      <c r="E13" s="9" t="str">
        <f>IF(B13="","",IFERROR(INDEX(Client_List!$K:$K,MATCH(B13,Client_List!$B:$B,0)),""))</f>
        <v>FRYERS CHOICE BLEND</v>
      </c>
      <c r="F13" s="10">
        <f>IF(B13="","",IFERROR(INDEX(Client_List!$J:$J,MATCH(B13,Client_List!$B:$B,0)),""))</f>
        <v>1950</v>
      </c>
      <c r="G13" s="10">
        <v>1737</v>
      </c>
      <c r="H13" s="9" t="str">
        <f>IF(B13="","",IFERROR(A13-LOOKUP(2,1/($B$4:$B12=B13),$A$4:$A12),""))</f>
        <v/>
      </c>
      <c r="I13" s="73" t="str">
        <f t="shared" si="0"/>
        <v/>
      </c>
      <c r="J13" s="9">
        <v>140982</v>
      </c>
      <c r="K13" s="6" t="str">
        <f>IF(B13="","",IFERROR(AVERAGEIFS($I$4:$I13,$B$4:$B13,B13,$I$4:$I13,"&gt;"&amp;0),""))</f>
        <v/>
      </c>
      <c r="L13" s="9" t="str">
        <f>IF(B13="","",IF(ISNA(MATCH(B13,Client_List!$B:$B,0)),"⚠ NOT FOUND","✓"))</f>
        <v>✓</v>
      </c>
    </row>
    <row r="14" spans="1:12" ht="14" customHeight="1" x14ac:dyDescent="0.2">
      <c r="A14" s="56">
        <v>46025</v>
      </c>
      <c r="B14" s="2" t="s">
        <v>364</v>
      </c>
      <c r="C14" s="12">
        <f>IF(B14="","",IFERROR(INDEX(Client_List!$C:$C,MATCH(B14,Client_List!$B:$B,0)),""))</f>
        <v>0</v>
      </c>
      <c r="D14" s="4" t="str">
        <f>IF(B14="","",IFERROR(INDEX(Client_List!$D:$D,MATCH(B14,Client_List!$B:$B,0)),""))</f>
        <v>TU</v>
      </c>
      <c r="E14" s="4" t="str">
        <f>IF(B14="","",IFERROR(INDEX(Client_List!$K:$K,MATCH(B14,Client_List!$B:$B,0)),""))</f>
        <v>FRYERS CHOICE BLEND</v>
      </c>
      <c r="F14" s="5">
        <f>IF(B14="","",IFERROR(INDEX(Client_List!$J:$J,MATCH(B14,Client_List!$B:$B,0)),""))</f>
        <v>1000</v>
      </c>
      <c r="G14" s="5">
        <v>591</v>
      </c>
      <c r="H14" s="4" t="str">
        <f>IF(B14="","",IFERROR(A14-LOOKUP(2,1/($B$4:$B13=B14),$A$4:$A13),""))</f>
        <v/>
      </c>
      <c r="I14" s="72" t="str">
        <f t="shared" si="0"/>
        <v/>
      </c>
      <c r="J14" s="4">
        <v>141024</v>
      </c>
      <c r="K14" s="6" t="str">
        <f>IF(B14="","",IFERROR(AVERAGEIFS($I$4:$I14,$B$4:$B14,B14,$I$4:$I14,"&gt;"&amp;0),""))</f>
        <v/>
      </c>
      <c r="L14" s="4" t="str">
        <f>IF(B14="","",IF(ISNA(MATCH(B14,Client_List!$B:$B,0)),"⚠ NOT FOUND","✓"))</f>
        <v>✓</v>
      </c>
    </row>
    <row r="15" spans="1:12" ht="14" customHeight="1" x14ac:dyDescent="0.2">
      <c r="A15" s="57">
        <v>46025</v>
      </c>
      <c r="B15" s="7" t="s">
        <v>365</v>
      </c>
      <c r="C15" s="3">
        <f>IF(B15="","",IFERROR(INDEX(Client_List!$C:$C,MATCH(B15,Client_List!$B:$B,0)),""))</f>
        <v>0</v>
      </c>
      <c r="D15" s="9">
        <f>IF(B15="","",IFERROR(INDEX(Client_List!$D:$D,MATCH(B15,Client_List!$B:$B,0)),""))</f>
        <v>0</v>
      </c>
      <c r="E15" s="9" t="str">
        <f>IF(B15="","",IFERROR(INDEX(Client_List!$K:$K,MATCH(B15,Client_List!$B:$B,0)),""))</f>
        <v>CANOLA OIL</v>
      </c>
      <c r="F15" s="10">
        <f>IF(B15="","",IFERROR(INDEX(Client_List!$J:$J,MATCH(B15,Client_List!$B:$B,0)),""))</f>
        <v>700</v>
      </c>
      <c r="G15" s="10">
        <v>265</v>
      </c>
      <c r="H15" s="9" t="str">
        <f>IF(B15="","",IFERROR(A15-LOOKUP(2,1/($B$4:$B14=B15),$A$4:$A14),""))</f>
        <v/>
      </c>
      <c r="I15" s="73" t="str">
        <f t="shared" si="0"/>
        <v/>
      </c>
      <c r="J15" s="9">
        <v>141011</v>
      </c>
      <c r="K15" s="6" t="str">
        <f>IF(B15="","",IFERROR(AVERAGEIFS($I$4:$I15,$B$4:$B15,B15,$I$4:$I15,"&gt;"&amp;0),""))</f>
        <v/>
      </c>
      <c r="L15" s="9" t="str">
        <f>IF(B15="","",IF(ISNA(MATCH(B15,Client_List!$B:$B,0)),"⚠ NOT FOUND","✓"))</f>
        <v>✓</v>
      </c>
    </row>
    <row r="16" spans="1:12" ht="14" customHeight="1" x14ac:dyDescent="0.2">
      <c r="A16" s="56">
        <v>46025</v>
      </c>
      <c r="B16" s="2" t="s">
        <v>366</v>
      </c>
      <c r="C16" s="12" t="str">
        <f>IF(B16="","",IFERROR(INDEX(Client_List!$C:$C,MATCH(B16,Client_List!$B:$B,0)),""))</f>
        <v>2</v>
      </c>
      <c r="D16" s="4" t="str">
        <f>IF(B16="","",IFERROR(INDEX(Client_List!$D:$D,MATCH(B16,Client_List!$B:$B,0)),""))</f>
        <v>2C</v>
      </c>
      <c r="E16" s="4" t="str">
        <f>IF(B16="","",IFERROR(INDEX(Client_List!$K:$K,MATCH(B16,Client_List!$B:$B,0)),""))</f>
        <v>CANOLA OIL</v>
      </c>
      <c r="F16" s="5">
        <f>IF(B16="","",IFERROR(INDEX(Client_List!$J:$J,MATCH(B16,Client_List!$B:$B,0)),""))</f>
        <v>350</v>
      </c>
      <c r="G16" s="5">
        <v>223</v>
      </c>
      <c r="H16" s="4" t="str">
        <f>IF(B16="","",IFERROR(A16-LOOKUP(2,1/($B$4:$B15=B16),$A$4:$A15),""))</f>
        <v/>
      </c>
      <c r="I16" s="72" t="str">
        <f t="shared" si="0"/>
        <v/>
      </c>
      <c r="J16" s="4">
        <v>141010</v>
      </c>
      <c r="K16" s="6" t="str">
        <f>IF(B16="","",IFERROR(AVERAGEIFS($I$4:$I16,$B$4:$B16,B16,$I$4:$I16,"&gt;"&amp;0),""))</f>
        <v/>
      </c>
      <c r="L16" s="4" t="str">
        <f>IF(B16="","",IF(ISNA(MATCH(B16,Client_List!$B:$B,0)),"⚠ NOT FOUND","✓"))</f>
        <v>✓</v>
      </c>
    </row>
    <row r="17" spans="1:12" ht="14" customHeight="1" x14ac:dyDescent="0.2">
      <c r="A17" s="57">
        <v>46025</v>
      </c>
      <c r="B17" s="7" t="s">
        <v>114</v>
      </c>
      <c r="C17" s="13" t="str">
        <f>IF(B17="","",IFERROR(INDEX(Client_List!$C:$C,MATCH(B17,Client_List!$B:$B,0)),""))</f>
        <v>2</v>
      </c>
      <c r="D17" s="9" t="str">
        <f>IF(B17="","",IFERROR(INDEX(Client_List!$D:$D,MATCH(B17,Client_List!$B:$B,0)),""))</f>
        <v>2A</v>
      </c>
      <c r="E17" s="9" t="str">
        <f>IF(B17="","",IFERROR(INDEX(Client_List!$K:$K,MATCH(B17,Client_List!$B:$B,0)),""))</f>
        <v>FRYERS CHOICE BLEND</v>
      </c>
      <c r="F17" s="10">
        <f>IF(B17="","",IFERROR(INDEX(Client_List!$J:$J,MATCH(B17,Client_List!$B:$B,0)),""))</f>
        <v>500</v>
      </c>
      <c r="G17" s="10">
        <v>514</v>
      </c>
      <c r="H17" s="9" t="str">
        <f>IF(B17="","",IFERROR(A17-LOOKUP(2,1/($B$4:$B16=B17),$A$4:$A16),""))</f>
        <v/>
      </c>
      <c r="I17" s="73" t="str">
        <f t="shared" si="0"/>
        <v/>
      </c>
      <c r="J17" s="9">
        <v>141007</v>
      </c>
      <c r="K17" s="6" t="str">
        <f>IF(B17="","",IFERROR(AVERAGEIFS($I$4:$I17,$B$4:$B17,B17,$I$4:$I17,"&gt;"&amp;0),""))</f>
        <v/>
      </c>
      <c r="L17" s="9" t="str">
        <f>IF(B17="","",IF(ISNA(MATCH(B17,Client_List!$B:$B,0)),"⚠ NOT FOUND","✓"))</f>
        <v>✓</v>
      </c>
    </row>
    <row r="18" spans="1:12" ht="14" customHeight="1" x14ac:dyDescent="0.2">
      <c r="A18" s="56">
        <v>46025</v>
      </c>
      <c r="B18" s="2" t="s">
        <v>126</v>
      </c>
      <c r="C18" s="12" t="str">
        <f>IF(B18="","",IFERROR(INDEX(Client_List!$C:$C,MATCH(B18,Client_List!$B:$B,0)),""))</f>
        <v>4</v>
      </c>
      <c r="D18" s="4" t="str">
        <f>IF(B18="","",IFERROR(INDEX(Client_List!$D:$D,MATCH(B18,Client_List!$B:$B,0)),""))</f>
        <v>4D</v>
      </c>
      <c r="E18" s="4" t="str">
        <f>IF(B18="","",IFERROR(INDEX(Client_List!$K:$K,MATCH(B18,Client_List!$B:$B,0)),""))</f>
        <v>CANOLA OIL</v>
      </c>
      <c r="F18" s="5">
        <f>IF(B18="","",IFERROR(INDEX(Client_List!$J:$J,MATCH(B18,Client_List!$B:$B,0)),""))</f>
        <v>700</v>
      </c>
      <c r="G18" s="5">
        <v>569</v>
      </c>
      <c r="H18" s="4" t="str">
        <f>IF(B18="","",IFERROR(A18-LOOKUP(2,1/($B$4:$B17=B18),$A$4:$A17),""))</f>
        <v/>
      </c>
      <c r="I18" s="72" t="str">
        <f t="shared" si="0"/>
        <v/>
      </c>
      <c r="J18" s="4">
        <v>141013</v>
      </c>
      <c r="K18" s="6" t="str">
        <f>IF(B18="","",IFERROR(AVERAGEIFS($I$4:$I18,$B$4:$B18,B18,$I$4:$I18,"&gt;"&amp;0),""))</f>
        <v/>
      </c>
      <c r="L18" s="4" t="str">
        <f>IF(B18="","",IF(ISNA(MATCH(B18,Client_List!$B:$B,0)),"⚠ NOT FOUND","✓"))</f>
        <v>✓</v>
      </c>
    </row>
    <row r="19" spans="1:12" ht="14" customHeight="1" x14ac:dyDescent="0.2">
      <c r="A19" s="57">
        <v>46025</v>
      </c>
      <c r="B19" s="7" t="s">
        <v>367</v>
      </c>
      <c r="C19" s="8">
        <f>IF(B19="","",IFERROR(INDEX(Client_List!$C:$C,MATCH(B19,Client_List!$B:$B,0)),""))</f>
        <v>0</v>
      </c>
      <c r="D19" s="9" t="str">
        <f>IF(B19="","",IFERROR(INDEX(Client_List!$D:$D,MATCH(B19,Client_List!$B:$B,0)),""))</f>
        <v>T</v>
      </c>
      <c r="E19" s="9" t="str">
        <f>IF(B19="","",IFERROR(INDEX(Client_List!$K:$K,MATCH(B19,Client_List!$B:$B,0)),""))</f>
        <v>CANOLA OIL</v>
      </c>
      <c r="F19" s="10">
        <f>IF(B19="","",IFERROR(INDEX(Client_List!$J:$J,MATCH(B19,Client_List!$B:$B,0)),""))</f>
        <v>500</v>
      </c>
      <c r="G19" s="10">
        <v>327</v>
      </c>
      <c r="H19" s="9" t="str">
        <f>IF(B19="","",IFERROR(A19-LOOKUP(2,1/($B$4:$B18=B19),$A$4:$A18),""))</f>
        <v/>
      </c>
      <c r="I19" s="73" t="str">
        <f t="shared" si="0"/>
        <v/>
      </c>
      <c r="J19" s="9">
        <v>141023</v>
      </c>
      <c r="K19" s="6" t="str">
        <f>IF(B19="","",IFERROR(AVERAGEIFS($I$4:$I19,$B$4:$B19,B19,$I$4:$I19,"&gt;"&amp;0),""))</f>
        <v/>
      </c>
      <c r="L19" s="9" t="str">
        <f>IF(B19="","",IF(ISNA(MATCH(B19,Client_List!$B:$B,0)),"⚠ NOT FOUND","✓"))</f>
        <v>✓</v>
      </c>
    </row>
    <row r="20" spans="1:12" ht="14" customHeight="1" x14ac:dyDescent="0.2">
      <c r="A20" s="56">
        <v>46025</v>
      </c>
      <c r="B20" s="2" t="s">
        <v>368</v>
      </c>
      <c r="C20" s="3">
        <f>IF(B20="","",IFERROR(INDEX(Client_List!$C:$C,MATCH(B20,Client_List!$B:$B,0)),""))</f>
        <v>0</v>
      </c>
      <c r="D20" s="4" t="str">
        <f>IF(B20="","",IFERROR(INDEX(Client_List!$D:$D,MATCH(B20,Client_List!$B:$B,0)),""))</f>
        <v>TU</v>
      </c>
      <c r="E20" s="4" t="str">
        <f>IF(B20="","",IFERROR(INDEX(Client_List!$K:$K,MATCH(B20,Client_List!$B:$B,0)),""))</f>
        <v>CANOLA OIL</v>
      </c>
      <c r="F20" s="5">
        <f>IF(B20="","",IFERROR(INDEX(Client_List!$J:$J,MATCH(B20,Client_List!$B:$B,0)),""))</f>
        <v>950</v>
      </c>
      <c r="G20" s="5">
        <v>605</v>
      </c>
      <c r="H20" s="4" t="str">
        <f>IF(B20="","",IFERROR(A20-LOOKUP(2,1/($B$4:$B19=B20),$A$4:$A19),""))</f>
        <v/>
      </c>
      <c r="I20" s="72" t="str">
        <f t="shared" si="0"/>
        <v/>
      </c>
      <c r="J20" s="4">
        <v>141021</v>
      </c>
      <c r="K20" s="6" t="str">
        <f>IF(B20="","",IFERROR(AVERAGEIFS($I$4:$I20,$B$4:$B20,B20,$I$4:$I20,"&gt;"&amp;0),""))</f>
        <v/>
      </c>
      <c r="L20" s="4" t="str">
        <f>IF(B20="","",IF(ISNA(MATCH(B20,Client_List!$B:$B,0)),"⚠ NOT FOUND","✓"))</f>
        <v>✓</v>
      </c>
    </row>
    <row r="21" spans="1:12" ht="14" customHeight="1" x14ac:dyDescent="0.2">
      <c r="A21" s="57">
        <v>46025</v>
      </c>
      <c r="B21" s="7" t="s">
        <v>369</v>
      </c>
      <c r="C21" s="12">
        <f>IF(B21="","",IFERROR(INDEX(Client_List!$C:$C,MATCH(B21,Client_List!$B:$B,0)),""))</f>
        <v>0</v>
      </c>
      <c r="D21" s="9" t="str">
        <f>IF(B21="","",IFERROR(INDEX(Client_List!$D:$D,MATCH(B21,Client_List!$B:$B,0)),""))</f>
        <v>TU</v>
      </c>
      <c r="E21" s="9" t="str">
        <f>IF(B21="","",IFERROR(INDEX(Client_List!$K:$K,MATCH(B21,Client_List!$B:$B,0)),""))</f>
        <v>CANOLA OIL</v>
      </c>
      <c r="F21" s="10">
        <f>IF(B21="","",IFERROR(INDEX(Client_List!$J:$J,MATCH(B21,Client_List!$B:$B,0)),""))</f>
        <v>700</v>
      </c>
      <c r="G21" s="10">
        <v>272</v>
      </c>
      <c r="H21" s="9" t="str">
        <f>IF(B21="","",IFERROR(A21-LOOKUP(2,1/($B$4:$B20=B21),$A$4:$A20),""))</f>
        <v/>
      </c>
      <c r="I21" s="73" t="str">
        <f t="shared" si="0"/>
        <v/>
      </c>
      <c r="J21" s="9">
        <v>141022</v>
      </c>
      <c r="K21" s="6" t="str">
        <f>IF(B21="","",IFERROR(AVERAGEIFS($I$4:$I21,$B$4:$B21,B21,$I$4:$I21,"&gt;"&amp;0),""))</f>
        <v/>
      </c>
      <c r="L21" s="9" t="str">
        <f>IF(B21="","",IF(ISNA(MATCH(B21,Client_List!$B:$B,0)),"⚠ NOT FOUND","✓"))</f>
        <v>✓</v>
      </c>
    </row>
    <row r="22" spans="1:12" ht="14" customHeight="1" x14ac:dyDescent="0.2">
      <c r="A22" s="56">
        <v>46025</v>
      </c>
      <c r="B22" s="2" t="s">
        <v>264</v>
      </c>
      <c r="C22" s="11" t="str">
        <f>IF(B22="","",IFERROR(INDEX(Client_List!$C:$C,MATCH(B22,Client_List!$B:$B,0)),""))</f>
        <v>2</v>
      </c>
      <c r="D22" s="4" t="str">
        <f>IF(B22="","",IFERROR(INDEX(Client_List!$D:$D,MATCH(B22,Client_List!$B:$B,0)),""))</f>
        <v>2D</v>
      </c>
      <c r="E22" s="4" t="str">
        <f>IF(B22="","",IFERROR(INDEX(Client_List!$K:$K,MATCH(B22,Client_List!$B:$B,0)),""))</f>
        <v>FRYERS CHOICE BLEND</v>
      </c>
      <c r="F22" s="5">
        <f>IF(B22="","",IFERROR(INDEX(Client_List!$J:$J,MATCH(B22,Client_List!$B:$B,0)),""))</f>
        <v>1950</v>
      </c>
      <c r="G22" s="5">
        <v>1772</v>
      </c>
      <c r="H22" s="4" t="str">
        <f>IF(B22="","",IFERROR(A22-LOOKUP(2,1/($B$4:$B21=B22),$A$4:$A21),""))</f>
        <v/>
      </c>
      <c r="I22" s="72" t="str">
        <f t="shared" si="0"/>
        <v/>
      </c>
      <c r="J22" s="4">
        <v>141014</v>
      </c>
      <c r="K22" s="6" t="str">
        <f>IF(B22="","",IFERROR(AVERAGEIFS($I$4:$I22,$B$4:$B22,B22,$I$4:$I22,"&gt;"&amp;0),""))</f>
        <v/>
      </c>
      <c r="L22" s="4" t="str">
        <f>IF(B22="","",IF(ISNA(MATCH(B22,Client_List!$B:$B,0)),"⚠ NOT FOUND","✓"))</f>
        <v>✓</v>
      </c>
    </row>
    <row r="23" spans="1:12" ht="14" customHeight="1" x14ac:dyDescent="0.2">
      <c r="A23" s="57">
        <v>46025</v>
      </c>
      <c r="B23" s="7" t="s">
        <v>298</v>
      </c>
      <c r="C23" s="3" t="str">
        <f>IF(B23="","",IFERROR(INDEX(Client_List!$C:$C,MATCH(B23,Client_List!$B:$B,0)),""))</f>
        <v>1</v>
      </c>
      <c r="D23" s="9" t="str">
        <f>IF(B23="","",IFERROR(INDEX(Client_List!$D:$D,MATCH(B23,Client_List!$B:$B,0)),""))</f>
        <v>1C</v>
      </c>
      <c r="E23" s="9" t="str">
        <f>IF(B23="","",IFERROR(INDEX(Client_List!$K:$K,MATCH(B23,Client_List!$B:$B,0)),""))</f>
        <v>CANOLA OIL</v>
      </c>
      <c r="F23" s="10">
        <f>IF(B23="","",IFERROR(INDEX(Client_List!$J:$J,MATCH(B23,Client_List!$B:$B,0)),""))</f>
        <v>950</v>
      </c>
      <c r="G23" s="10">
        <v>620</v>
      </c>
      <c r="H23" s="9" t="str">
        <f>IF(B23="","",IFERROR(A23-LOOKUP(2,1/($B$4:$B22=B23),$A$4:$A22),""))</f>
        <v/>
      </c>
      <c r="I23" s="73" t="str">
        <f t="shared" si="0"/>
        <v/>
      </c>
      <c r="J23" s="9">
        <v>141012</v>
      </c>
      <c r="K23" s="6" t="str">
        <f>IF(B23="","",IFERROR(AVERAGEIFS($I$4:$I23,$B$4:$B23,B23,$I$4:$I23,"&gt;"&amp;0),""))</f>
        <v/>
      </c>
      <c r="L23" s="9" t="str">
        <f>IF(B23="","",IF(ISNA(MATCH(B23,Client_List!$B:$B,0)),"⚠ NOT FOUND","✓"))</f>
        <v>✓</v>
      </c>
    </row>
    <row r="24" spans="1:12" ht="14" customHeight="1" x14ac:dyDescent="0.2">
      <c r="A24" s="56">
        <v>46025</v>
      </c>
      <c r="B24" s="2" t="s">
        <v>344</v>
      </c>
      <c r="C24" s="3" t="str">
        <f>IF(B24="","",IFERROR(INDEX(Client_List!$C:$C,MATCH(B24,Client_List!$B:$B,0)),""))</f>
        <v>2</v>
      </c>
      <c r="D24" s="4" t="str">
        <f>IF(B24="","",IFERROR(INDEX(Client_List!$D:$D,MATCH(B24,Client_List!$B:$B,0)),""))</f>
        <v>2C</v>
      </c>
      <c r="E24" s="4" t="str">
        <f>IF(B24="","",IFERROR(INDEX(Client_List!$K:$K,MATCH(B24,Client_List!$B:$B,0)),""))</f>
        <v>FRYERS CHOICE BLEND</v>
      </c>
      <c r="F24" s="5">
        <f>IF(B24="","",IFERROR(INDEX(Client_List!$J:$J,MATCH(B24,Client_List!$B:$B,0)),""))</f>
        <v>1200</v>
      </c>
      <c r="G24" s="5">
        <v>731</v>
      </c>
      <c r="H24" s="4" t="str">
        <f>IF(B24="","",IFERROR(A24-LOOKUP(2,1/($B$4:$B23=B24),$A$4:$A23),""))</f>
        <v/>
      </c>
      <c r="I24" s="72" t="str">
        <f t="shared" si="0"/>
        <v/>
      </c>
      <c r="J24" s="4">
        <v>141008</v>
      </c>
      <c r="K24" s="6" t="str">
        <f>IF(B24="","",IFERROR(AVERAGEIFS($I$4:$I24,$B$4:$B24,B24,$I$4:$I24,"&gt;"&amp;0),""))</f>
        <v/>
      </c>
      <c r="L24" s="4" t="str">
        <f>IF(B24="","",IF(ISNA(MATCH(B24,Client_List!$B:$B,0)),"⚠ NOT FOUND","✓"))</f>
        <v>✓</v>
      </c>
    </row>
    <row r="25" spans="1:12" ht="14" customHeight="1" x14ac:dyDescent="0.2">
      <c r="A25" s="57">
        <v>46026</v>
      </c>
      <c r="B25" s="7" t="s">
        <v>256</v>
      </c>
      <c r="C25" s="8" t="str">
        <f>IF(B25="","",IFERROR(INDEX(Client_List!$C:$C,MATCH(B25,Client_List!$B:$B,0)),""))</f>
        <v>3</v>
      </c>
      <c r="D25" s="9" t="str">
        <f>IF(B25="","",IFERROR(INDEX(Client_List!$D:$D,MATCH(B25,Client_List!$B:$B,0)),""))</f>
        <v>3E</v>
      </c>
      <c r="E25" s="9" t="str">
        <f>IF(B25="","",IFERROR(INDEX(Client_List!$K:$K,MATCH(B25,Client_List!$B:$B,0)),""))</f>
        <v>FRYERS CHOICE BLEND</v>
      </c>
      <c r="F25" s="10">
        <f>IF(B25="","",IFERROR(INDEX(Client_List!$J:$J,MATCH(B25,Client_List!$B:$B,0)),""))</f>
        <v>950</v>
      </c>
      <c r="G25" s="10">
        <v>703</v>
      </c>
      <c r="H25" s="9" t="str">
        <f>IF(B25="","",IFERROR(A25-LOOKUP(2,1/($B$4:$B24=B25),$A$4:$A24),""))</f>
        <v/>
      </c>
      <c r="I25" s="73" t="str">
        <f t="shared" si="0"/>
        <v/>
      </c>
      <c r="J25" s="9">
        <v>141068</v>
      </c>
      <c r="K25" s="6" t="str">
        <f>IF(B25="","",IFERROR(AVERAGEIFS($I$4:$I25,$B$4:$B25,B25,$I$4:$I25,"&gt;"&amp;0),""))</f>
        <v/>
      </c>
      <c r="L25" s="9" t="str">
        <f>IF(B25="","",IF(ISNA(MATCH(B25,Client_List!$B:$B,0)),"⚠ NOT FOUND","✓"))</f>
        <v>✓</v>
      </c>
    </row>
    <row r="26" spans="1:12" ht="14" customHeight="1" x14ac:dyDescent="0.2">
      <c r="A26" s="56">
        <v>46026</v>
      </c>
      <c r="B26" s="2" t="s">
        <v>370</v>
      </c>
      <c r="C26" s="12" t="str">
        <f>IF(B26="","",IFERROR(INDEX(Client_List!$C:$C,MATCH(B26,Client_List!$B:$B,0)),""))</f>
        <v>1</v>
      </c>
      <c r="D26" s="4" t="str">
        <f>IF(B26="","",IFERROR(INDEX(Client_List!$D:$D,MATCH(B26,Client_List!$B:$B,0)),""))</f>
        <v>1D</v>
      </c>
      <c r="E26" s="4" t="str">
        <f>IF(B26="","",IFERROR(INDEX(Client_List!$K:$K,MATCH(B26,Client_List!$B:$B,0)),""))</f>
        <v>CANOLA OIL</v>
      </c>
      <c r="F26" s="5">
        <f>IF(B26="","",IFERROR(INDEX(Client_List!$J:$J,MATCH(B26,Client_List!$B:$B,0)),""))</f>
        <v>2000</v>
      </c>
      <c r="G26" s="5">
        <v>1507</v>
      </c>
      <c r="H26" s="4" t="str">
        <f>IF(B26="","",IFERROR(A26-LOOKUP(2,1/($B$4:$B25=B26),$A$4:$A25),""))</f>
        <v/>
      </c>
      <c r="I26" s="72" t="str">
        <f t="shared" si="0"/>
        <v/>
      </c>
      <c r="J26" s="4">
        <v>141069</v>
      </c>
      <c r="K26" s="6" t="str">
        <f>IF(B26="","",IFERROR(AVERAGEIFS($I$4:$I26,$B$4:$B26,B26,$I$4:$I26,"&gt;"&amp;0),""))</f>
        <v/>
      </c>
      <c r="L26" s="4" t="str">
        <f>IF(B26="","",IF(ISNA(MATCH(B26,Client_List!$B:$B,0)),"⚠ NOT FOUND","✓"))</f>
        <v>✓</v>
      </c>
    </row>
    <row r="27" spans="1:12" ht="14" customHeight="1" x14ac:dyDescent="0.2">
      <c r="A27" s="57">
        <v>46027</v>
      </c>
      <c r="B27" s="7" t="s">
        <v>54</v>
      </c>
      <c r="C27" s="3" t="str">
        <f>IF(B27="","",IFERROR(INDEX(Client_List!$C:$C,MATCH(B27,Client_List!$B:$B,0)),""))</f>
        <v>4</v>
      </c>
      <c r="D27" s="9" t="str">
        <f>IF(B27="","",IFERROR(INDEX(Client_List!$D:$D,MATCH(B27,Client_List!$B:$B,0)),""))</f>
        <v>4F</v>
      </c>
      <c r="E27" s="9" t="str">
        <f>IF(B27="","",IFERROR(INDEX(Client_List!$K:$K,MATCH(B27,Client_List!$B:$B,0)),""))</f>
        <v>CANOLA OIL</v>
      </c>
      <c r="F27" s="10">
        <f>IF(B27="","",IFERROR(INDEX(Client_List!$J:$J,MATCH(B27,Client_List!$B:$B,0)),""))</f>
        <v>1000</v>
      </c>
      <c r="G27" s="10">
        <v>949</v>
      </c>
      <c r="H27" s="9" t="str">
        <f>IF(B27="","",IFERROR(A27-LOOKUP(2,1/($B$4:$B26=B27),$A$4:$A26),""))</f>
        <v/>
      </c>
      <c r="I27" s="73" t="str">
        <f t="shared" si="0"/>
        <v/>
      </c>
      <c r="J27" s="9">
        <v>141082</v>
      </c>
      <c r="K27" s="6" t="str">
        <f>IF(B27="","",IFERROR(AVERAGEIFS($I$4:$I27,$B$4:$B27,B27,$I$4:$I27,"&gt;"&amp;0),""))</f>
        <v/>
      </c>
      <c r="L27" s="9" t="str">
        <f>IF(B27="","",IF(ISNA(MATCH(B27,Client_List!$B:$B,0)),"⚠ NOT FOUND","✓"))</f>
        <v>✓</v>
      </c>
    </row>
    <row r="28" spans="1:12" ht="14" customHeight="1" x14ac:dyDescent="0.2">
      <c r="A28" s="56">
        <v>46027</v>
      </c>
      <c r="B28" s="2" t="s">
        <v>94</v>
      </c>
      <c r="C28" s="8" t="str">
        <f>IF(B28="","",IFERROR(INDEX(Client_List!$C:$C,MATCH(B28,Client_List!$B:$B,0)),""))</f>
        <v>2</v>
      </c>
      <c r="D28" s="4" t="str">
        <f>IF(B28="","",IFERROR(INDEX(Client_List!$D:$D,MATCH(B28,Client_List!$B:$B,0)),""))</f>
        <v>2C</v>
      </c>
      <c r="E28" s="4" t="str">
        <f>IF(B28="","",IFERROR(INDEX(Client_List!$K:$K,MATCH(B28,Client_List!$B:$B,0)),""))</f>
        <v>CANOLA OIL</v>
      </c>
      <c r="F28" s="5">
        <f>IF(B28="","",IFERROR(INDEX(Client_List!$J:$J,MATCH(B28,Client_List!$B:$B,0)),""))</f>
        <v>450</v>
      </c>
      <c r="G28" s="5">
        <v>291</v>
      </c>
      <c r="H28" s="4" t="str">
        <f>IF(B28="","",IFERROR(A28-LOOKUP(2,1/($B$4:$B27=B28),$A$4:$A27),""))</f>
        <v/>
      </c>
      <c r="I28" s="72" t="str">
        <f t="shared" si="0"/>
        <v/>
      </c>
      <c r="J28" s="4">
        <v>141075</v>
      </c>
      <c r="K28" s="6" t="str">
        <f>IF(B28="","",IFERROR(AVERAGEIFS($I$4:$I28,$B$4:$B28,B28,$I$4:$I28,"&gt;"&amp;0),""))</f>
        <v/>
      </c>
      <c r="L28" s="4" t="str">
        <f>IF(B28="","",IF(ISNA(MATCH(B28,Client_List!$B:$B,0)),"⚠ NOT FOUND","✓"))</f>
        <v>✓</v>
      </c>
    </row>
    <row r="29" spans="1:12" ht="14" customHeight="1" x14ac:dyDescent="0.2">
      <c r="A29" s="57">
        <v>46027</v>
      </c>
      <c r="B29" s="7" t="s">
        <v>120</v>
      </c>
      <c r="C29" s="12" t="str">
        <f>IF(B29="","",IFERROR(INDEX(Client_List!$C:$C,MATCH(B29,Client_List!$B:$B,0)),""))</f>
        <v>5</v>
      </c>
      <c r="D29" s="9" t="str">
        <f>IF(B29="","",IFERROR(INDEX(Client_List!$D:$D,MATCH(B29,Client_List!$B:$B,0)),""))</f>
        <v>5D</v>
      </c>
      <c r="E29" s="9" t="str">
        <f>IF(B29="","",IFERROR(INDEX(Client_List!$K:$K,MATCH(B29,Client_List!$B:$B,0)),""))</f>
        <v>FRYERS CHOICE BLEND</v>
      </c>
      <c r="F29" s="10">
        <f>IF(B29="","",IFERROR(INDEX(Client_List!$J:$J,MATCH(B29,Client_List!$B:$B,0)),""))</f>
        <v>450</v>
      </c>
      <c r="G29" s="10">
        <v>406</v>
      </c>
      <c r="H29" s="9" t="str">
        <f>IF(B29="","",IFERROR(A29-LOOKUP(2,1/($B$4:$B28=B29),$A$4:$A28),""))</f>
        <v/>
      </c>
      <c r="I29" s="73" t="str">
        <f t="shared" si="0"/>
        <v/>
      </c>
      <c r="J29" s="9">
        <v>141090</v>
      </c>
      <c r="K29" s="6" t="str">
        <f>IF(B29="","",IFERROR(AVERAGEIFS($I$4:$I29,$B$4:$B29,B29,$I$4:$I29,"&gt;"&amp;0),""))</f>
        <v/>
      </c>
      <c r="L29" s="9" t="str">
        <f>IF(B29="","",IF(ISNA(MATCH(B29,Client_List!$B:$B,0)),"⚠ NOT FOUND","✓"))</f>
        <v>✓</v>
      </c>
    </row>
    <row r="30" spans="1:12" ht="14" customHeight="1" x14ac:dyDescent="0.2">
      <c r="A30" s="56">
        <v>46027</v>
      </c>
      <c r="B30" s="2" t="s">
        <v>130</v>
      </c>
      <c r="C30" s="11" t="str">
        <f>IF(B30="","",IFERROR(INDEX(Client_List!$C:$C,MATCH(B30,Client_List!$B:$B,0)),""))</f>
        <v>4</v>
      </c>
      <c r="D30" s="4" t="str">
        <f>IF(B30="","",IFERROR(INDEX(Client_List!$D:$D,MATCH(B30,Client_List!$B:$B,0)),""))</f>
        <v>4E</v>
      </c>
      <c r="E30" s="4" t="str">
        <f>IF(B30="","",IFERROR(INDEX(Client_List!$K:$K,MATCH(B30,Client_List!$B:$B,0)),""))</f>
        <v>FRYERS CHOICE BLEND</v>
      </c>
      <c r="F30" s="5">
        <f>IF(B30="","",IFERROR(INDEX(Client_List!$J:$J,MATCH(B30,Client_List!$B:$B,0)),""))</f>
        <v>2500</v>
      </c>
      <c r="G30" s="5">
        <v>1513</v>
      </c>
      <c r="H30" s="4" t="str">
        <f>IF(B30="","",IFERROR(A30-LOOKUP(2,1/($B$4:$B29=B30),$A$4:$A29),""))</f>
        <v/>
      </c>
      <c r="I30" s="72" t="str">
        <f t="shared" si="0"/>
        <v/>
      </c>
      <c r="J30" s="4">
        <v>141085</v>
      </c>
      <c r="K30" s="6" t="str">
        <f>IF(B30="","",IFERROR(AVERAGEIFS($I$4:$I30,$B$4:$B30,B30,$I$4:$I30,"&gt;"&amp;0),""))</f>
        <v/>
      </c>
      <c r="L30" s="4" t="str">
        <f>IF(B30="","",IF(ISNA(MATCH(B30,Client_List!$B:$B,0)),"⚠ NOT FOUND","✓"))</f>
        <v>✓</v>
      </c>
    </row>
    <row r="31" spans="1:12" ht="14" customHeight="1" x14ac:dyDescent="0.2">
      <c r="A31" s="57">
        <v>46027</v>
      </c>
      <c r="B31" s="7" t="s">
        <v>142</v>
      </c>
      <c r="C31" s="8" t="str">
        <f>IF(B31="","",IFERROR(INDEX(Client_List!$C:$C,MATCH(B31,Client_List!$B:$B,0)),""))</f>
        <v>4</v>
      </c>
      <c r="D31" s="9" t="str">
        <f>IF(B31="","",IFERROR(INDEX(Client_List!$D:$D,MATCH(B31,Client_List!$B:$B,0)),""))</f>
        <v>4A</v>
      </c>
      <c r="E31" s="9" t="str">
        <f>IF(B31="","",IFERROR(INDEX(Client_List!$K:$K,MATCH(B31,Client_List!$B:$B,0)),""))</f>
        <v>FRYERS CHOICE BLEND</v>
      </c>
      <c r="F31" s="10">
        <f>IF(B31="","",IFERROR(INDEX(Client_List!$J:$J,MATCH(B31,Client_List!$B:$B,0)),""))</f>
        <v>1050</v>
      </c>
      <c r="G31" s="10">
        <v>762</v>
      </c>
      <c r="H31" s="9">
        <f>IF(B31="","",IFERROR(A31-LOOKUP(2,1/($B$4:$B30=B31),$A$4:$A30),""))</f>
        <v>3</v>
      </c>
      <c r="I31" s="73">
        <f t="shared" si="0"/>
        <v>254</v>
      </c>
      <c r="J31" s="9">
        <v>141080</v>
      </c>
      <c r="K31" s="6">
        <f>IF(B31="","",IFERROR(AVERAGEIFS($I$4:$I31,$B$4:$B31,B31,$I$4:$I31,"&gt;"&amp;0),""))</f>
        <v>254</v>
      </c>
      <c r="L31" s="9" t="str">
        <f>IF(B31="","",IF(ISNA(MATCH(B31,Client_List!$B:$B,0)),"⚠ NOT FOUND","✓"))</f>
        <v>✓</v>
      </c>
    </row>
    <row r="32" spans="1:12" ht="14" customHeight="1" x14ac:dyDescent="0.2">
      <c r="A32" s="56">
        <v>46027</v>
      </c>
      <c r="B32" s="2" t="s">
        <v>162</v>
      </c>
      <c r="C32" s="8" t="str">
        <f>IF(B32="","",IFERROR(INDEX(Client_List!$C:$C,MATCH(B32,Client_List!$B:$B,0)),""))</f>
        <v>3</v>
      </c>
      <c r="D32" s="4" t="str">
        <f>IF(B32="","",IFERROR(INDEX(Client_List!$D:$D,MATCH(B32,Client_List!$B:$B,0)),""))</f>
        <v>3E</v>
      </c>
      <c r="E32" s="4" t="str">
        <f>IF(B32="","",IFERROR(INDEX(Client_List!$K:$K,MATCH(B32,Client_List!$B:$B,0)),""))</f>
        <v>CANOLA OIL</v>
      </c>
      <c r="F32" s="5">
        <f>IF(B32="","",IFERROR(INDEX(Client_List!$J:$J,MATCH(B32,Client_List!$B:$B,0)),""))</f>
        <v>500</v>
      </c>
      <c r="G32" s="5">
        <v>507</v>
      </c>
      <c r="H32" s="4" t="str">
        <f>IF(B32="","",IFERROR(A32-LOOKUP(2,1/($B$4:$B31=B32),$A$4:$A31),""))</f>
        <v/>
      </c>
      <c r="I32" s="72" t="str">
        <f t="shared" si="0"/>
        <v/>
      </c>
      <c r="J32" s="4">
        <v>141072</v>
      </c>
      <c r="K32" s="6" t="str">
        <f>IF(B32="","",IFERROR(AVERAGEIFS($I$4:$I32,$B$4:$B32,B32,$I$4:$I32,"&gt;"&amp;0),""))</f>
        <v/>
      </c>
      <c r="L32" s="4" t="str">
        <f>IF(B32="","",IF(ISNA(MATCH(B32,Client_List!$B:$B,0)),"⚠ NOT FOUND","✓"))</f>
        <v>✓</v>
      </c>
    </row>
    <row r="33" spans="1:12" ht="14" customHeight="1" x14ac:dyDescent="0.2">
      <c r="A33" s="57">
        <v>46027</v>
      </c>
      <c r="B33" s="7" t="s">
        <v>190</v>
      </c>
      <c r="C33" s="8" t="str">
        <f>IF(B33="","",IFERROR(INDEX(Client_List!$C:$C,MATCH(B33,Client_List!$B:$B,0)),""))</f>
        <v>2</v>
      </c>
      <c r="D33" s="9" t="str">
        <f>IF(B33="","",IFERROR(INDEX(Client_List!$D:$D,MATCH(B33,Client_List!$B:$B,0)),""))</f>
        <v>2C</v>
      </c>
      <c r="E33" s="9" t="str">
        <f>IF(B33="","",IFERROR(INDEX(Client_List!$K:$K,MATCH(B33,Client_List!$B:$B,0)),""))</f>
        <v>CANOLA OIL</v>
      </c>
      <c r="F33" s="10">
        <f>IF(B33="","",IFERROR(INDEX(Client_List!$J:$J,MATCH(B33,Client_List!$B:$B,0)),""))</f>
        <v>1050</v>
      </c>
      <c r="G33" s="10">
        <v>898</v>
      </c>
      <c r="H33" s="9" t="str">
        <f>IF(B33="","",IFERROR(A33-LOOKUP(2,1/($B$4:$B32=B33),$A$4:$A32),""))</f>
        <v/>
      </c>
      <c r="I33" s="73" t="str">
        <f t="shared" si="0"/>
        <v/>
      </c>
      <c r="J33" s="9">
        <v>141077</v>
      </c>
      <c r="K33" s="6" t="str">
        <f>IF(B33="","",IFERROR(AVERAGEIFS($I$4:$I33,$B$4:$B33,B33,$I$4:$I33,"&gt;"&amp;0),""))</f>
        <v/>
      </c>
      <c r="L33" s="9" t="str">
        <f>IF(B33="","",IF(ISNA(MATCH(B33,Client_List!$B:$B,0)),"⚠ NOT FOUND","✓"))</f>
        <v>✓</v>
      </c>
    </row>
    <row r="34" spans="1:12" ht="14" customHeight="1" x14ac:dyDescent="0.2">
      <c r="A34" s="56">
        <v>46027</v>
      </c>
      <c r="B34" s="2" t="s">
        <v>194</v>
      </c>
      <c r="C34" s="11" t="str">
        <f>IF(B34="","",IFERROR(INDEX(Client_List!$C:$C,MATCH(B34,Client_List!$B:$B,0)),""))</f>
        <v>4</v>
      </c>
      <c r="D34" s="4" t="str">
        <f>IF(B34="","",IFERROR(INDEX(Client_List!$D:$D,MATCH(B34,Client_List!$B:$B,0)),""))</f>
        <v>4A</v>
      </c>
      <c r="E34" s="4" t="str">
        <f>IF(B34="","",IFERROR(INDEX(Client_List!$K:$K,MATCH(B34,Client_List!$B:$B,0)),""))</f>
        <v>FRYERS CHOICE BLEND</v>
      </c>
      <c r="F34" s="5">
        <f>IF(B34="","",IFERROR(INDEX(Client_List!$J:$J,MATCH(B34,Client_List!$B:$B,0)),""))</f>
        <v>620</v>
      </c>
      <c r="G34" s="5">
        <v>457</v>
      </c>
      <c r="H34" s="4" t="str">
        <f>IF(B34="","",IFERROR(A34-LOOKUP(2,1/($B$4:$B33=B34),$A$4:$A33),""))</f>
        <v/>
      </c>
      <c r="I34" s="72" t="str">
        <f t="shared" si="0"/>
        <v/>
      </c>
      <c r="J34" s="4">
        <v>141074</v>
      </c>
      <c r="K34" s="6" t="str">
        <f>IF(B34="","",IFERROR(AVERAGEIFS($I$4:$I34,$B$4:$B34,B34,$I$4:$I34,"&gt;"&amp;0),""))</f>
        <v/>
      </c>
      <c r="L34" s="4" t="str">
        <f>IF(B34="","",IF(ISNA(MATCH(B34,Client_List!$B:$B,0)),"⚠ NOT FOUND","✓"))</f>
        <v>✓</v>
      </c>
    </row>
    <row r="35" spans="1:12" ht="14" customHeight="1" x14ac:dyDescent="0.2">
      <c r="A35" s="57">
        <v>46027</v>
      </c>
      <c r="B35" s="7" t="s">
        <v>246</v>
      </c>
      <c r="C35" s="8" t="str">
        <f>IF(B35="","",IFERROR(INDEX(Client_List!$C:$C,MATCH(B35,Client_List!$B:$B,0)),""))</f>
        <v>3</v>
      </c>
      <c r="D35" s="9" t="str">
        <f>IF(B35="","",IFERROR(INDEX(Client_List!$D:$D,MATCH(B35,Client_List!$B:$B,0)),""))</f>
        <v>3E</v>
      </c>
      <c r="E35" s="9" t="str">
        <f>IF(B35="","",IFERROR(INDEX(Client_List!$K:$K,MATCH(B35,Client_List!$B:$B,0)),""))</f>
        <v>FRYERS CHOICE BLEND</v>
      </c>
      <c r="F35" s="10">
        <f>IF(B35="","",IFERROR(INDEX(Client_List!$J:$J,MATCH(B35,Client_List!$B:$B,0)),""))</f>
        <v>950</v>
      </c>
      <c r="G35" s="10">
        <v>438</v>
      </c>
      <c r="H35" s="9" t="str">
        <f>IF(B35="","",IFERROR(A35-LOOKUP(2,1/($B$4:$B34=B35),$A$4:$A34),""))</f>
        <v/>
      </c>
      <c r="I35" s="73" t="str">
        <f t="shared" si="0"/>
        <v/>
      </c>
      <c r="J35" s="9">
        <v>141088</v>
      </c>
      <c r="K35" s="6" t="str">
        <f>IF(B35="","",IFERROR(AVERAGEIFS($I$4:$I35,$B$4:$B35,B35,$I$4:$I35,"&gt;"&amp;0),""))</f>
        <v/>
      </c>
      <c r="L35" s="9" t="str">
        <f>IF(B35="","",IF(ISNA(MATCH(B35,Client_List!$B:$B,0)),"⚠ NOT FOUND","✓"))</f>
        <v>✓</v>
      </c>
    </row>
    <row r="36" spans="1:12" ht="14" customHeight="1" x14ac:dyDescent="0.2">
      <c r="A36" s="56">
        <v>46027</v>
      </c>
      <c r="B36" s="2" t="s">
        <v>250</v>
      </c>
      <c r="C36" s="13" t="str">
        <f>IF(B36="","",IFERROR(INDEX(Client_List!$C:$C,MATCH(B36,Client_List!$B:$B,0)),""))</f>
        <v>2</v>
      </c>
      <c r="D36" s="4" t="str">
        <f>IF(B36="","",IFERROR(INDEX(Client_List!$D:$D,MATCH(B36,Client_List!$B:$B,0)),""))</f>
        <v>2D</v>
      </c>
      <c r="E36" s="4" t="str">
        <f>IF(B36="","",IFERROR(INDEX(Client_List!$K:$K,MATCH(B36,Client_List!$B:$B,0)),""))</f>
        <v>FRYERS CHOICE BLEND</v>
      </c>
      <c r="F36" s="5">
        <f>IF(B36="","",IFERROR(INDEX(Client_List!$J:$J,MATCH(B36,Client_List!$B:$B,0)),""))</f>
        <v>950</v>
      </c>
      <c r="G36" s="5">
        <v>715</v>
      </c>
      <c r="H36" s="4" t="str">
        <f>IF(B36="","",IFERROR(A36-LOOKUP(2,1/($B$4:$B35=B36),$A$4:$A35),""))</f>
        <v/>
      </c>
      <c r="I36" s="72" t="str">
        <f t="shared" si="0"/>
        <v/>
      </c>
      <c r="J36" s="4">
        <v>141076</v>
      </c>
      <c r="K36" s="6" t="str">
        <f>IF(B36="","",IFERROR(AVERAGEIFS($I$4:$I36,$B$4:$B36,B36,$I$4:$I36,"&gt;"&amp;0),""))</f>
        <v/>
      </c>
      <c r="L36" s="4" t="str">
        <f>IF(B36="","",IF(ISNA(MATCH(B36,Client_List!$B:$B,0)),"⚠ NOT FOUND","✓"))</f>
        <v>✓</v>
      </c>
    </row>
    <row r="37" spans="1:12" ht="14" customHeight="1" x14ac:dyDescent="0.2">
      <c r="A37" s="57">
        <v>46027</v>
      </c>
      <c r="B37" s="7" t="s">
        <v>268</v>
      </c>
      <c r="C37" s="8" t="str">
        <f>IF(B37="","",IFERROR(INDEX(Client_List!$C:$C,MATCH(B37,Client_List!$B:$B,0)),""))</f>
        <v>5</v>
      </c>
      <c r="D37" s="9" t="str">
        <f>IF(B37="","",IFERROR(INDEX(Client_List!$D:$D,MATCH(B37,Client_List!$B:$B,0)),""))</f>
        <v>5D</v>
      </c>
      <c r="E37" s="9" t="str">
        <f>IF(B37="","",IFERROR(INDEX(Client_List!$K:$K,MATCH(B37,Client_List!$B:$B,0)),""))</f>
        <v>CANOLA OIL</v>
      </c>
      <c r="F37" s="10">
        <f>IF(B37="","",IFERROR(INDEX(Client_List!$J:$J,MATCH(B37,Client_List!$B:$B,0)),""))</f>
        <v>660</v>
      </c>
      <c r="G37" s="10">
        <v>669</v>
      </c>
      <c r="H37" s="9" t="str">
        <f>IF(B37="","",IFERROR(A37-LOOKUP(2,1/($B$4:$B36=B37),$A$4:$A36),""))</f>
        <v/>
      </c>
      <c r="I37" s="73" t="str">
        <f t="shared" si="0"/>
        <v/>
      </c>
      <c r="J37" s="9">
        <v>141092</v>
      </c>
      <c r="K37" s="6" t="str">
        <f>IF(B37="","",IFERROR(AVERAGEIFS($I$4:$I37,$B$4:$B37,B37,$I$4:$I37,"&gt;"&amp;0),""))</f>
        <v/>
      </c>
      <c r="L37" s="9" t="str">
        <f>IF(B37="","",IF(ISNA(MATCH(B37,Client_List!$B:$B,0)),"⚠ NOT FOUND","✓"))</f>
        <v>✓</v>
      </c>
    </row>
    <row r="38" spans="1:12" ht="14" customHeight="1" x14ac:dyDescent="0.2">
      <c r="A38" s="56">
        <v>46027</v>
      </c>
      <c r="B38" s="2" t="s">
        <v>270</v>
      </c>
      <c r="C38" s="13" t="str">
        <f>IF(B38="","",IFERROR(INDEX(Client_List!$C:$C,MATCH(B38,Client_List!$B:$B,0)),""))</f>
        <v>3</v>
      </c>
      <c r="D38" s="4" t="str">
        <f>IF(B38="","",IFERROR(INDEX(Client_List!$D:$D,MATCH(B38,Client_List!$B:$B,0)),""))</f>
        <v>3D</v>
      </c>
      <c r="E38" s="4" t="str">
        <f>IF(B38="","",IFERROR(INDEX(Client_List!$K:$K,MATCH(B38,Client_List!$B:$B,0)),""))</f>
        <v>FRYERS CHOICE BLEND</v>
      </c>
      <c r="F38" s="5">
        <f>IF(B38="","",IFERROR(INDEX(Client_List!$J:$J,MATCH(B38,Client_List!$B:$B,0)),""))</f>
        <v>660</v>
      </c>
      <c r="G38" s="5">
        <v>507</v>
      </c>
      <c r="H38" s="4" t="str">
        <f>IF(B38="","",IFERROR(A38-LOOKUP(2,1/($B$4:$B37=B38),$A$4:$A37),""))</f>
        <v/>
      </c>
      <c r="I38" s="72" t="str">
        <f t="shared" si="0"/>
        <v/>
      </c>
      <c r="J38" s="4">
        <v>141083</v>
      </c>
      <c r="K38" s="6" t="str">
        <f>IF(B38="","",IFERROR(AVERAGEIFS($I$4:$I38,$B$4:$B38,B38,$I$4:$I38,"&gt;"&amp;0),""))</f>
        <v/>
      </c>
      <c r="L38" s="4" t="str">
        <f>IF(B38="","",IF(ISNA(MATCH(B38,Client_List!$B:$B,0)),"⚠ NOT FOUND","✓"))</f>
        <v>✓</v>
      </c>
    </row>
    <row r="39" spans="1:12" ht="14" customHeight="1" x14ac:dyDescent="0.2">
      <c r="A39" s="57">
        <v>46027</v>
      </c>
      <c r="B39" s="7" t="s">
        <v>274</v>
      </c>
      <c r="C39" s="13" t="str">
        <f>IF(B39="","",IFERROR(INDEX(Client_List!$C:$C,MATCH(B39,Client_List!$B:$B,0)),""))</f>
        <v>3</v>
      </c>
      <c r="D39" s="9" t="str">
        <f>IF(B39="","",IFERROR(INDEX(Client_List!$D:$D,MATCH(B39,Client_List!$B:$B,0)),""))</f>
        <v>3C</v>
      </c>
      <c r="E39" s="9" t="str">
        <f>IF(B39="","",IFERROR(INDEX(Client_List!$K:$K,MATCH(B39,Client_List!$B:$B,0)),""))</f>
        <v>FRYERS CHOICE BLEND</v>
      </c>
      <c r="F39" s="10">
        <f>IF(B39="","",IFERROR(INDEX(Client_List!$J:$J,MATCH(B39,Client_List!$B:$B,0)),""))</f>
        <v>450</v>
      </c>
      <c r="G39" s="10">
        <v>337</v>
      </c>
      <c r="H39" s="9" t="str">
        <f>IF(B39="","",IFERROR(A39-LOOKUP(2,1/($B$4:$B38=B39),$A$4:$A38),""))</f>
        <v/>
      </c>
      <c r="I39" s="73" t="str">
        <f t="shared" si="0"/>
        <v/>
      </c>
      <c r="J39" s="9">
        <v>141079</v>
      </c>
      <c r="K39" s="6" t="str">
        <f>IF(B39="","",IFERROR(AVERAGEIFS($I$4:$I39,$B$4:$B39,B39,$I$4:$I39,"&gt;"&amp;0),""))</f>
        <v/>
      </c>
      <c r="L39" s="9" t="str">
        <f>IF(B39="","",IF(ISNA(MATCH(B39,Client_List!$B:$B,0)),"⚠ NOT FOUND","✓"))</f>
        <v>✓</v>
      </c>
    </row>
    <row r="40" spans="1:12" ht="14" customHeight="1" x14ac:dyDescent="0.2">
      <c r="A40" s="56">
        <v>46027</v>
      </c>
      <c r="B40" s="2" t="s">
        <v>276</v>
      </c>
      <c r="C40" s="13" t="str">
        <f>IF(B40="","",IFERROR(INDEX(Client_List!$C:$C,MATCH(B40,Client_List!$B:$B,0)),""))</f>
        <v>3</v>
      </c>
      <c r="D40" s="4" t="str">
        <f>IF(B40="","",IFERROR(INDEX(Client_List!$D:$D,MATCH(B40,Client_List!$B:$B,0)),""))</f>
        <v>3D</v>
      </c>
      <c r="E40" s="4" t="str">
        <f>IF(B40="","",IFERROR(INDEX(Client_List!$K:$K,MATCH(B40,Client_List!$B:$B,0)),""))</f>
        <v>FRYERS CHOICE BLEND</v>
      </c>
      <c r="F40" s="5">
        <f>IF(B40="","",IFERROR(INDEX(Client_List!$J:$J,MATCH(B40,Client_List!$B:$B,0)),""))</f>
        <v>950</v>
      </c>
      <c r="G40" s="5">
        <v>268</v>
      </c>
      <c r="H40" s="4" t="str">
        <f>IF(B40="","",IFERROR(A40-LOOKUP(2,1/($B$4:$B39=B40),$A$4:$A39),""))</f>
        <v/>
      </c>
      <c r="I40" s="72" t="str">
        <f t="shared" si="0"/>
        <v/>
      </c>
      <c r="J40" s="4">
        <v>141067</v>
      </c>
      <c r="K40" s="6" t="str">
        <f>IF(B40="","",IFERROR(AVERAGEIFS($I$4:$I40,$B$4:$B40,B40,$I$4:$I40,"&gt;"&amp;0),""))</f>
        <v/>
      </c>
      <c r="L40" s="4" t="str">
        <f>IF(B40="","",IF(ISNA(MATCH(B40,Client_List!$B:$B,0)),"⚠ NOT FOUND","✓"))</f>
        <v>✓</v>
      </c>
    </row>
    <row r="41" spans="1:12" ht="14" customHeight="1" x14ac:dyDescent="0.2">
      <c r="A41" s="57">
        <v>46027</v>
      </c>
      <c r="B41" s="7" t="s">
        <v>280</v>
      </c>
      <c r="C41" s="13" t="str">
        <f>IF(B41="","",IFERROR(INDEX(Client_List!$C:$C,MATCH(B41,Client_List!$B:$B,0)),""))</f>
        <v>5</v>
      </c>
      <c r="D41" s="9" t="str">
        <f>IF(B41="","",IFERROR(INDEX(Client_List!$D:$D,MATCH(B41,Client_List!$B:$B,0)),""))</f>
        <v>5E</v>
      </c>
      <c r="E41" s="9" t="str">
        <f>IF(B41="","",IFERROR(INDEX(Client_List!$K:$K,MATCH(B41,Client_List!$B:$B,0)),""))</f>
        <v>CANOLA OIL</v>
      </c>
      <c r="F41" s="10">
        <f>IF(B41="","",IFERROR(INDEX(Client_List!$J:$J,MATCH(B41,Client_List!$B:$B,0)),""))</f>
        <v>1050</v>
      </c>
      <c r="G41" s="10">
        <v>1128</v>
      </c>
      <c r="H41" s="9" t="str">
        <f>IF(B41="","",IFERROR(A41-LOOKUP(2,1/($B$4:$B40=B41),$A$4:$A40),""))</f>
        <v/>
      </c>
      <c r="I41" s="73" t="str">
        <f t="shared" si="0"/>
        <v/>
      </c>
      <c r="J41" s="9">
        <v>141091</v>
      </c>
      <c r="K41" s="6" t="str">
        <f>IF(B41="","",IFERROR(AVERAGEIFS($I$4:$I41,$B$4:$B41,B41,$I$4:$I41,"&gt;"&amp;0),""))</f>
        <v/>
      </c>
      <c r="L41" s="9" t="str">
        <f>IF(B41="","",IF(ISNA(MATCH(B41,Client_List!$B:$B,0)),"⚠ NOT FOUND","✓"))</f>
        <v>✓</v>
      </c>
    </row>
    <row r="42" spans="1:12" ht="14" customHeight="1" x14ac:dyDescent="0.2">
      <c r="A42" s="56">
        <v>46027</v>
      </c>
      <c r="B42" s="2" t="s">
        <v>308</v>
      </c>
      <c r="C42" s="13" t="str">
        <f>IF(B42="","",IFERROR(INDEX(Client_List!$C:$C,MATCH(B42,Client_List!$B:$B,0)),""))</f>
        <v>3</v>
      </c>
      <c r="D42" s="4" t="str">
        <f>IF(B42="","",IFERROR(INDEX(Client_List!$D:$D,MATCH(B42,Client_List!$B:$B,0)),""))</f>
        <v>3C</v>
      </c>
      <c r="E42" s="4" t="str">
        <f>IF(B42="","",IFERROR(INDEX(Client_List!$K:$K,MATCH(B42,Client_List!$B:$B,0)),""))</f>
        <v>FRYERS CHOICE BLEND</v>
      </c>
      <c r="F42" s="5">
        <f>IF(B42="","",IFERROR(INDEX(Client_List!$J:$J,MATCH(B42,Client_List!$B:$B,0)),""))</f>
        <v>500</v>
      </c>
      <c r="G42" s="5">
        <v>357</v>
      </c>
      <c r="H42" s="4" t="str">
        <f>IF(B42="","",IFERROR(A42-LOOKUP(2,1/($B$4:$B41=B42),$A$4:$A41),""))</f>
        <v/>
      </c>
      <c r="I42" s="72" t="str">
        <f t="shared" si="0"/>
        <v/>
      </c>
      <c r="J42" s="4">
        <v>141084</v>
      </c>
      <c r="K42" s="6" t="str">
        <f>IF(B42="","",IFERROR(AVERAGEIFS($I$4:$I42,$B$4:$B42,B42,$I$4:$I42,"&gt;"&amp;0),""))</f>
        <v/>
      </c>
      <c r="L42" s="4" t="str">
        <f>IF(B42="","",IF(ISNA(MATCH(B42,Client_List!$B:$B,0)),"⚠ NOT FOUND","✓"))</f>
        <v>✓</v>
      </c>
    </row>
    <row r="43" spans="1:12" ht="14" customHeight="1" x14ac:dyDescent="0.2">
      <c r="A43" s="57">
        <v>46028</v>
      </c>
      <c r="B43" s="7" t="s">
        <v>43</v>
      </c>
      <c r="C43" s="3" t="str">
        <f>IF(B43="","",IFERROR(INDEX(Client_List!$C:$C,MATCH(B43,Client_List!$B:$B,0)),""))</f>
        <v>1</v>
      </c>
      <c r="D43" s="9" t="str">
        <f>IF(B43="","",IFERROR(INDEX(Client_List!$D:$D,MATCH(B43,Client_List!$B:$B,0)),""))</f>
        <v>1C</v>
      </c>
      <c r="E43" s="9" t="str">
        <f>IF(B43="","",IFERROR(INDEX(Client_List!$K:$K,MATCH(B43,Client_List!$B:$B,0)),""))</f>
        <v>FRYERS CHOICE BLEND</v>
      </c>
      <c r="F43" s="10">
        <f>IF(B43="","",IFERROR(INDEX(Client_List!$J:$J,MATCH(B43,Client_List!$B:$B,0)),""))</f>
        <v>620</v>
      </c>
      <c r="G43" s="10">
        <v>522</v>
      </c>
      <c r="H43" s="9" t="str">
        <f>IF(B43="","",IFERROR(A43-LOOKUP(2,1/($B$4:$B42=B43),$A$4:$A42),""))</f>
        <v/>
      </c>
      <c r="I43" s="73" t="str">
        <f t="shared" si="0"/>
        <v/>
      </c>
      <c r="J43" s="9">
        <v>141117</v>
      </c>
      <c r="K43" s="6" t="str">
        <f>IF(B43="","",IFERROR(AVERAGEIFS($I$4:$I43,$B$4:$B43,B43,$I$4:$I43,"&gt;"&amp;0),""))</f>
        <v/>
      </c>
      <c r="L43" s="9" t="str">
        <f>IF(B43="","",IF(ISNA(MATCH(B43,Client_List!$B:$B,0)),"⚠ NOT FOUND","✓"))</f>
        <v>✓</v>
      </c>
    </row>
    <row r="44" spans="1:12" ht="14" customHeight="1" x14ac:dyDescent="0.2">
      <c r="A44" s="56">
        <v>46028</v>
      </c>
      <c r="B44" s="2" t="s">
        <v>51</v>
      </c>
      <c r="C44" s="13" t="str">
        <f>IF(B44="","",IFERROR(INDEX(Client_List!$C:$C,MATCH(B44,Client_List!$B:$B,0)),""))</f>
        <v>3</v>
      </c>
      <c r="D44" s="4" t="str">
        <f>IF(B44="","",IFERROR(INDEX(Client_List!$D:$D,MATCH(B44,Client_List!$B:$B,0)),""))</f>
        <v>3D</v>
      </c>
      <c r="E44" s="4" t="str">
        <f>IF(B44="","",IFERROR(INDEX(Client_List!$K:$K,MATCH(B44,Client_List!$B:$B,0)),""))</f>
        <v>CANOLA OIL</v>
      </c>
      <c r="F44" s="5">
        <f>IF(B44="","",IFERROR(INDEX(Client_List!$J:$J,MATCH(B44,Client_List!$B:$B,0)),""))</f>
        <v>700</v>
      </c>
      <c r="G44" s="5">
        <v>814</v>
      </c>
      <c r="H44" s="4" t="str">
        <f>IF(B44="","",IFERROR(A44-LOOKUP(2,1/($B$4:$B43=B44),$A$4:$A43),""))</f>
        <v/>
      </c>
      <c r="I44" s="72" t="str">
        <f t="shared" si="0"/>
        <v/>
      </c>
      <c r="J44" s="4">
        <v>141053</v>
      </c>
      <c r="K44" s="6" t="str">
        <f>IF(B44="","",IFERROR(AVERAGEIFS($I$4:$I44,$B$4:$B44,B44,$I$4:$I44,"&gt;"&amp;0),""))</f>
        <v/>
      </c>
      <c r="L44" s="4" t="str">
        <f>IF(B44="","",IF(ISNA(MATCH(B44,Client_List!$B:$B,0)),"⚠ NOT FOUND","✓"))</f>
        <v>✓</v>
      </c>
    </row>
    <row r="45" spans="1:12" ht="14" customHeight="1" x14ac:dyDescent="0.2">
      <c r="A45" s="57">
        <v>46028</v>
      </c>
      <c r="B45" s="7" t="s">
        <v>59</v>
      </c>
      <c r="C45" s="12" t="str">
        <f>IF(B45="","",IFERROR(INDEX(Client_List!$C:$C,MATCH(B45,Client_List!$B:$B,0)),""))</f>
        <v>1</v>
      </c>
      <c r="D45" s="9" t="str">
        <f>IF(B45="","",IFERROR(INDEX(Client_List!$D:$D,MATCH(B45,Client_List!$B:$B,0)),""))</f>
        <v>1D</v>
      </c>
      <c r="E45" s="9" t="str">
        <f>IF(B45="","",IFERROR(INDEX(Client_List!$K:$K,MATCH(B45,Client_List!$B:$B,0)),""))</f>
        <v>CANOLA OIL</v>
      </c>
      <c r="F45" s="10">
        <f>IF(B45="","",IFERROR(INDEX(Client_List!$J:$J,MATCH(B45,Client_List!$B:$B,0)),""))</f>
        <v>900</v>
      </c>
      <c r="G45" s="10">
        <v>904</v>
      </c>
      <c r="H45" s="9" t="str">
        <f>IF(B45="","",IFERROR(A45-LOOKUP(2,1/($B$4:$B44=B45),$A$4:$A44),""))</f>
        <v/>
      </c>
      <c r="I45" s="73" t="str">
        <f t="shared" si="0"/>
        <v/>
      </c>
      <c r="J45" s="9">
        <v>141126</v>
      </c>
      <c r="K45" s="6" t="str">
        <f>IF(B45="","",IFERROR(AVERAGEIFS($I$4:$I45,$B$4:$B45,B45,$I$4:$I45,"&gt;"&amp;0),""))</f>
        <v/>
      </c>
      <c r="L45" s="9" t="str">
        <f>IF(B45="","",IF(ISNA(MATCH(B45,Client_List!$B:$B,0)),"⚠ NOT FOUND","✓"))</f>
        <v>✓</v>
      </c>
    </row>
    <row r="46" spans="1:12" ht="14" customHeight="1" x14ac:dyDescent="0.2">
      <c r="A46" s="56">
        <v>46028</v>
      </c>
      <c r="B46" s="2" t="s">
        <v>75</v>
      </c>
      <c r="C46" s="13" t="str">
        <f>IF(B46="","",IFERROR(INDEX(Client_List!$C:$C,MATCH(B46,Client_List!$B:$B,0)),""))</f>
        <v>1</v>
      </c>
      <c r="D46" s="4" t="str">
        <f>IF(B46="","",IFERROR(INDEX(Client_List!$D:$D,MATCH(B46,Client_List!$B:$B,0)),""))</f>
        <v>1D</v>
      </c>
      <c r="E46" s="4" t="str">
        <f>IF(B46="","",IFERROR(INDEX(Client_List!$K:$K,MATCH(B46,Client_List!$B:$B,0)),""))</f>
        <v>CANOLA OIL</v>
      </c>
      <c r="F46" s="5">
        <f>IF(B46="","",IFERROR(INDEX(Client_List!$J:$J,MATCH(B46,Client_List!$B:$B,0)),""))</f>
        <v>620</v>
      </c>
      <c r="G46" s="5">
        <v>705</v>
      </c>
      <c r="H46" s="4" t="str">
        <f>IF(B46="","",IFERROR(A46-LOOKUP(2,1/($B$4:$B45=B46),$A$4:$A45),""))</f>
        <v/>
      </c>
      <c r="I46" s="72" t="str">
        <f t="shared" si="0"/>
        <v/>
      </c>
      <c r="J46" s="4">
        <v>141123</v>
      </c>
      <c r="K46" s="6" t="str">
        <f>IF(B46="","",IFERROR(AVERAGEIFS($I$4:$I46,$B$4:$B46,B46,$I$4:$I46,"&gt;"&amp;0),""))</f>
        <v/>
      </c>
      <c r="L46" s="4" t="str">
        <f>IF(B46="","",IF(ISNA(MATCH(B46,Client_List!$B:$B,0)),"⚠ NOT FOUND","✓"))</f>
        <v>✓</v>
      </c>
    </row>
    <row r="47" spans="1:12" ht="14" customHeight="1" x14ac:dyDescent="0.2">
      <c r="A47" s="57">
        <v>46028</v>
      </c>
      <c r="B47" s="7" t="s">
        <v>77</v>
      </c>
      <c r="C47" s="3" t="str">
        <f>IF(B47="","",IFERROR(INDEX(Client_List!$C:$C,MATCH(B47,Client_List!$B:$B,0)),""))</f>
        <v>1</v>
      </c>
      <c r="D47" s="9" t="str">
        <f>IF(B47="","",IFERROR(INDEX(Client_List!$D:$D,MATCH(B47,Client_List!$B:$B,0)),""))</f>
        <v>1D</v>
      </c>
      <c r="E47" s="9" t="str">
        <f>IF(B47="","",IFERROR(INDEX(Client_List!$K:$K,MATCH(B47,Client_List!$B:$B,0)),""))</f>
        <v>CANOLA OIL</v>
      </c>
      <c r="F47" s="10">
        <f>IF(B47="","",IFERROR(INDEX(Client_List!$J:$J,MATCH(B47,Client_List!$B:$B,0)),""))</f>
        <v>620</v>
      </c>
      <c r="G47" s="10">
        <v>433</v>
      </c>
      <c r="H47" s="9" t="str">
        <f>IF(B47="","",IFERROR(A47-LOOKUP(2,1/($B$4:$B46=B47),$A$4:$A46),""))</f>
        <v/>
      </c>
      <c r="I47" s="73" t="str">
        <f t="shared" si="0"/>
        <v/>
      </c>
      <c r="J47" s="9">
        <v>141119</v>
      </c>
      <c r="K47" s="6" t="str">
        <f>IF(B47="","",IFERROR(AVERAGEIFS($I$4:$I47,$B$4:$B47,B47,$I$4:$I47,"&gt;"&amp;0),""))</f>
        <v/>
      </c>
      <c r="L47" s="9" t="str">
        <f>IF(B47="","",IF(ISNA(MATCH(B47,Client_List!$B:$B,0)),"⚠ NOT FOUND","✓"))</f>
        <v>✓</v>
      </c>
    </row>
    <row r="48" spans="1:12" ht="14" customHeight="1" x14ac:dyDescent="0.2">
      <c r="A48" s="56">
        <v>46028</v>
      </c>
      <c r="B48" s="2" t="s">
        <v>110</v>
      </c>
      <c r="C48" s="11" t="str">
        <f>IF(B48="","",IFERROR(INDEX(Client_List!$C:$C,MATCH(B48,Client_List!$B:$B,0)),""))</f>
        <v>1</v>
      </c>
      <c r="D48" s="4" t="str">
        <f>IF(B48="","",IFERROR(INDEX(Client_List!$D:$D,MATCH(B48,Client_List!$B:$B,0)),""))</f>
        <v>1B</v>
      </c>
      <c r="E48" s="4" t="str">
        <f>IF(B48="","",IFERROR(INDEX(Client_List!$K:$K,MATCH(B48,Client_List!$B:$B,0)),""))</f>
        <v>FRYERS CHOICE BLEND</v>
      </c>
      <c r="F48" s="5">
        <f>IF(B48="","",IFERROR(INDEX(Client_List!$J:$J,MATCH(B48,Client_List!$B:$B,0)),""))</f>
        <v>1050</v>
      </c>
      <c r="G48" s="5">
        <v>863</v>
      </c>
      <c r="H48" s="4" t="str">
        <f>IF(B48="","",IFERROR(A48-LOOKUP(2,1/($B$4:$B47=B48),$A$4:$A47),""))</f>
        <v/>
      </c>
      <c r="I48" s="72" t="str">
        <f t="shared" si="0"/>
        <v/>
      </c>
      <c r="J48" s="4">
        <v>141118</v>
      </c>
      <c r="K48" s="6" t="str">
        <f>IF(B48="","",IFERROR(AVERAGEIFS($I$4:$I48,$B$4:$B48,B48,$I$4:$I48,"&gt;"&amp;0),""))</f>
        <v/>
      </c>
      <c r="L48" s="4" t="str">
        <f>IF(B48="","",IF(ISNA(MATCH(B48,Client_List!$B:$B,0)),"⚠ NOT FOUND","✓"))</f>
        <v>✓</v>
      </c>
    </row>
    <row r="49" spans="1:12" ht="14" customHeight="1" x14ac:dyDescent="0.2">
      <c r="A49" s="57">
        <v>46028</v>
      </c>
      <c r="B49" s="7" t="s">
        <v>124</v>
      </c>
      <c r="C49" s="11" t="str">
        <f>IF(B49="","",IFERROR(INDEX(Client_List!$C:$C,MATCH(B49,Client_List!$B:$B,0)),""))</f>
        <v>1</v>
      </c>
      <c r="D49" s="9" t="str">
        <f>IF(B49="","",IFERROR(INDEX(Client_List!$D:$D,MATCH(B49,Client_List!$B:$B,0)),""))</f>
        <v>1D</v>
      </c>
      <c r="E49" s="9" t="str">
        <f>IF(B49="","",IFERROR(INDEX(Client_List!$K:$K,MATCH(B49,Client_List!$B:$B,0)),""))</f>
        <v>CANOLA OIL</v>
      </c>
      <c r="F49" s="10">
        <f>IF(B49="","",IFERROR(INDEX(Client_List!$J:$J,MATCH(B49,Client_List!$B:$B,0)),""))</f>
        <v>350</v>
      </c>
      <c r="G49" s="10">
        <v>286</v>
      </c>
      <c r="H49" s="9" t="str">
        <f>IF(B49="","",IFERROR(A49-LOOKUP(2,1/($B$4:$B48=B49),$A$4:$A48),""))</f>
        <v/>
      </c>
      <c r="I49" s="73" t="str">
        <f t="shared" si="0"/>
        <v/>
      </c>
      <c r="J49" s="9">
        <v>141124</v>
      </c>
      <c r="K49" s="6" t="str">
        <f>IF(B49="","",IFERROR(AVERAGEIFS($I$4:$I49,$B$4:$B49,B49,$I$4:$I49,"&gt;"&amp;0),""))</f>
        <v/>
      </c>
      <c r="L49" s="9" t="str">
        <f>IF(B49="","",IF(ISNA(MATCH(B49,Client_List!$B:$B,0)),"⚠ NOT FOUND","✓"))</f>
        <v>✓</v>
      </c>
    </row>
    <row r="50" spans="1:12" ht="14" customHeight="1" x14ac:dyDescent="0.2">
      <c r="A50" s="56">
        <v>46028</v>
      </c>
      <c r="B50" s="2" t="s">
        <v>128</v>
      </c>
      <c r="C50" s="3" t="str">
        <f>IF(B50="","",IFERROR(INDEX(Client_List!$C:$C,MATCH(B50,Client_List!$B:$B,0)),""))</f>
        <v>4</v>
      </c>
      <c r="D50" s="4" t="str">
        <f>IF(B50="","",IFERROR(INDEX(Client_List!$D:$D,MATCH(B50,Client_List!$B:$B,0)),""))</f>
        <v>4E</v>
      </c>
      <c r="E50" s="4" t="str">
        <f>IF(B50="","",IFERROR(INDEX(Client_List!$K:$K,MATCH(B50,Client_List!$B:$B,0)),""))</f>
        <v>CANOLA OIL</v>
      </c>
      <c r="F50" s="5">
        <f>IF(B50="","",IFERROR(INDEX(Client_List!$J:$J,MATCH(B50,Client_List!$B:$B,0)),""))</f>
        <v>700</v>
      </c>
      <c r="G50" s="5">
        <v>445</v>
      </c>
      <c r="H50" s="4" t="str">
        <f>IF(B50="","",IFERROR(A50-LOOKUP(2,1/($B$4:$B49=B50),$A$4:$A49),""))</f>
        <v/>
      </c>
      <c r="I50" s="72" t="str">
        <f t="shared" si="0"/>
        <v/>
      </c>
      <c r="J50" s="4">
        <v>141051</v>
      </c>
      <c r="K50" s="6" t="str">
        <f>IF(B50="","",IFERROR(AVERAGEIFS($I$4:$I50,$B$4:$B50,B50,$I$4:$I50,"&gt;"&amp;0),""))</f>
        <v/>
      </c>
      <c r="L50" s="4" t="str">
        <f>IF(B50="","",IF(ISNA(MATCH(B50,Client_List!$B:$B,0)),"⚠ NOT FOUND","✓"))</f>
        <v>✓</v>
      </c>
    </row>
    <row r="51" spans="1:12" ht="14" customHeight="1" x14ac:dyDescent="0.2">
      <c r="A51" s="57">
        <v>46028</v>
      </c>
      <c r="B51" s="7" t="s">
        <v>282</v>
      </c>
      <c r="C51" s="3" t="str">
        <f>IF(B51="","",IFERROR(INDEX(Client_List!$C:$C,MATCH(B51,Client_List!$B:$B,0)),""))</f>
        <v>1</v>
      </c>
      <c r="D51" s="9" t="str">
        <f>IF(B51="","",IFERROR(INDEX(Client_List!$D:$D,MATCH(B51,Client_List!$B:$B,0)),""))</f>
        <v>1E</v>
      </c>
      <c r="E51" s="9" t="str">
        <f>IF(B51="","",IFERROR(INDEX(Client_List!$K:$K,MATCH(B51,Client_List!$B:$B,0)),""))</f>
        <v>FRYERS CHOICE BLEND</v>
      </c>
      <c r="F51" s="10">
        <f>IF(B51="","",IFERROR(INDEX(Client_List!$J:$J,MATCH(B51,Client_List!$B:$B,0)),""))</f>
        <v>1100</v>
      </c>
      <c r="G51" s="10">
        <v>920</v>
      </c>
      <c r="H51" s="9" t="str">
        <f>IF(B51="","",IFERROR(A51-LOOKUP(2,1/($B$4:$B50=B51),$A$4:$A50),""))</f>
        <v/>
      </c>
      <c r="I51" s="73" t="str">
        <f t="shared" si="0"/>
        <v/>
      </c>
      <c r="J51" s="9">
        <v>141125</v>
      </c>
      <c r="K51" s="6" t="str">
        <f>IF(B51="","",IFERROR(AVERAGEIFS($I$4:$I51,$B$4:$B51,B51,$I$4:$I51,"&gt;"&amp;0),""))</f>
        <v/>
      </c>
      <c r="L51" s="9" t="str">
        <f>IF(B51="","",IF(ISNA(MATCH(B51,Client_List!$B:$B,0)),"⚠ NOT FOUND","✓"))</f>
        <v>✓</v>
      </c>
    </row>
    <row r="52" spans="1:12" ht="14" customHeight="1" x14ac:dyDescent="0.2">
      <c r="A52" s="56">
        <v>46028</v>
      </c>
      <c r="B52" s="2" t="s">
        <v>318</v>
      </c>
      <c r="C52" s="11" t="str">
        <f>IF(B52="","",IFERROR(INDEX(Client_List!$C:$C,MATCH(B52,Client_List!$B:$B,0)),""))</f>
        <v>2</v>
      </c>
      <c r="D52" s="4" t="str">
        <f>IF(B52="","",IFERROR(INDEX(Client_List!$D:$D,MATCH(B52,Client_List!$B:$B,0)),""))</f>
        <v>2D</v>
      </c>
      <c r="E52" s="4" t="str">
        <f>IF(B52="","",IFERROR(INDEX(Client_List!$K:$K,MATCH(B52,Client_List!$B:$B,0)),""))</f>
        <v>FRYERS CHOICE BLEND</v>
      </c>
      <c r="F52" s="5">
        <f>IF(B52="","",IFERROR(INDEX(Client_List!$J:$J,MATCH(B52,Client_List!$B:$B,0)),""))</f>
        <v>1050</v>
      </c>
      <c r="G52" s="5">
        <v>987</v>
      </c>
      <c r="H52" s="4" t="str">
        <f>IF(B52="","",IFERROR(A52-LOOKUP(2,1/($B$4:$B51=B52),$A$4:$A51),""))</f>
        <v/>
      </c>
      <c r="I52" s="72" t="str">
        <f t="shared" si="0"/>
        <v/>
      </c>
      <c r="J52" s="4">
        <v>141122</v>
      </c>
      <c r="K52" s="6" t="str">
        <f>IF(B52="","",IFERROR(AVERAGEIFS($I$4:$I52,$B$4:$B52,B52,$I$4:$I52,"&gt;"&amp;0),""))</f>
        <v/>
      </c>
      <c r="L52" s="4" t="str">
        <f>IF(B52="","",IF(ISNA(MATCH(B52,Client_List!$B:$B,0)),"⚠ NOT FOUND","✓"))</f>
        <v>✓</v>
      </c>
    </row>
    <row r="53" spans="1:12" ht="14" customHeight="1" x14ac:dyDescent="0.2">
      <c r="A53" s="57">
        <v>46028</v>
      </c>
      <c r="B53" s="7" t="s">
        <v>330</v>
      </c>
      <c r="C53" s="3" t="str">
        <f>IF(B53="","",IFERROR(INDEX(Client_List!$C:$C,MATCH(B53,Client_List!$B:$B,0)),""))</f>
        <v>1</v>
      </c>
      <c r="D53" s="9" t="str">
        <f>IF(B53="","",IFERROR(INDEX(Client_List!$D:$D,MATCH(B53,Client_List!$B:$B,0)),""))</f>
        <v>1E</v>
      </c>
      <c r="E53" s="9" t="str">
        <f>IF(B53="","",IFERROR(INDEX(Client_List!$K:$K,MATCH(B53,Client_List!$B:$B,0)),""))</f>
        <v>CANOLA OIL</v>
      </c>
      <c r="F53" s="10">
        <f>IF(B53="","",IFERROR(INDEX(Client_List!$J:$J,MATCH(B53,Client_List!$B:$B,0)),""))</f>
        <v>1050</v>
      </c>
      <c r="G53" s="10">
        <v>925</v>
      </c>
      <c r="H53" s="9" t="str">
        <f>IF(B53="","",IFERROR(A53-LOOKUP(2,1/($B$4:$B52=B53),$A$4:$A52),""))</f>
        <v/>
      </c>
      <c r="I53" s="73" t="str">
        <f t="shared" si="0"/>
        <v/>
      </c>
      <c r="J53" s="9">
        <v>141120</v>
      </c>
      <c r="K53" s="6" t="str">
        <f>IF(B53="","",IFERROR(AVERAGEIFS($I$4:$I53,$B$4:$B53,B53,$I$4:$I53,"&gt;"&amp;0),""))</f>
        <v/>
      </c>
      <c r="L53" s="9" t="str">
        <f>IF(B53="","",IF(ISNA(MATCH(B53,Client_List!$B:$B,0)),"⚠ NOT FOUND","✓"))</f>
        <v>✓</v>
      </c>
    </row>
    <row r="54" spans="1:12" ht="14" customHeight="1" x14ac:dyDescent="0.2">
      <c r="A54" s="56">
        <v>46029</v>
      </c>
      <c r="B54" s="2" t="s">
        <v>38</v>
      </c>
      <c r="C54" s="8" t="str">
        <f>IF(B54="","",IFERROR(INDEX(Client_List!$C:$C,MATCH(B54,Client_List!$B:$B,0)),""))</f>
        <v>4</v>
      </c>
      <c r="D54" s="4" t="str">
        <f>IF(B54="","",IFERROR(INDEX(Client_List!$D:$D,MATCH(B54,Client_List!$B:$B,0)),""))</f>
        <v>4C</v>
      </c>
      <c r="E54" s="4" t="str">
        <f>IF(B54="","",IFERROR(INDEX(Client_List!$K:$K,MATCH(B54,Client_List!$B:$B,0)),""))</f>
        <v>CANOLA OIL</v>
      </c>
      <c r="F54" s="5">
        <f>IF(B54="","",IFERROR(INDEX(Client_List!$J:$J,MATCH(B54,Client_List!$B:$B,0)),""))</f>
        <v>900</v>
      </c>
      <c r="G54" s="5">
        <v>853</v>
      </c>
      <c r="H54" s="4" t="str">
        <f>IF(B54="","",IFERROR(A54-LOOKUP(2,1/($B$4:$B53=B54),$A$4:$A53),""))</f>
        <v/>
      </c>
      <c r="I54" s="72" t="str">
        <f t="shared" si="0"/>
        <v/>
      </c>
      <c r="J54" s="4">
        <v>141141</v>
      </c>
      <c r="K54" s="6" t="str">
        <f>IF(B54="","",IFERROR(AVERAGEIFS($I$4:$I54,$B$4:$B54,B54,$I$4:$I54,"&gt;"&amp;0),""))</f>
        <v/>
      </c>
      <c r="L54" s="4" t="str">
        <f>IF(B54="","",IF(ISNA(MATCH(B54,Client_List!$B:$B,0)),"⚠ NOT FOUND","✓"))</f>
        <v>✓</v>
      </c>
    </row>
    <row r="55" spans="1:12" ht="14" customHeight="1" x14ac:dyDescent="0.2">
      <c r="A55" s="57">
        <v>46029</v>
      </c>
      <c r="B55" s="7" t="s">
        <v>63</v>
      </c>
      <c r="C55" s="3" t="str">
        <f>IF(B55="","",IFERROR(INDEX(Client_List!$C:$C,MATCH(B55,Client_List!$B:$B,0)),""))</f>
        <v>5</v>
      </c>
      <c r="D55" s="9" t="str">
        <f>IF(B55="","",IFERROR(INDEX(Client_List!$D:$D,MATCH(B55,Client_List!$B:$B,0)),""))</f>
        <v>5D</v>
      </c>
      <c r="E55" s="9" t="str">
        <f>IF(B55="","",IFERROR(INDEX(Client_List!$K:$K,MATCH(B55,Client_List!$B:$B,0)),""))</f>
        <v>CANOLA OIL</v>
      </c>
      <c r="F55" s="10">
        <f>IF(B55="","",IFERROR(INDEX(Client_List!$J:$J,MATCH(B55,Client_List!$B:$B,0)),""))</f>
        <v>425</v>
      </c>
      <c r="G55" s="10">
        <v>181</v>
      </c>
      <c r="H55" s="9">
        <f>IF(B55="","",IFERROR(A55-LOOKUP(2,1/($B$4:$B54=B55),$A$4:$A54),""))</f>
        <v>5</v>
      </c>
      <c r="I55" s="73">
        <f t="shared" si="0"/>
        <v>36.200000000000003</v>
      </c>
      <c r="J55" s="9">
        <v>141138</v>
      </c>
      <c r="K55" s="6">
        <f>IF(B55="","",IFERROR(AVERAGEIFS($I$4:$I55,$B$4:$B55,B55,$I$4:$I55,"&gt;"&amp;0),""))</f>
        <v>36.200000000000003</v>
      </c>
      <c r="L55" s="9" t="str">
        <f>IF(B55="","",IF(ISNA(MATCH(B55,Client_List!$B:$B,0)),"⚠ NOT FOUND","✓"))</f>
        <v>✓</v>
      </c>
    </row>
    <row r="56" spans="1:12" ht="14" customHeight="1" x14ac:dyDescent="0.2">
      <c r="A56" s="56">
        <v>46029</v>
      </c>
      <c r="B56" s="2" t="s">
        <v>71</v>
      </c>
      <c r="C56" s="3" t="str">
        <f>IF(B56="","",IFERROR(INDEX(Client_List!$C:$C,MATCH(B56,Client_List!$B:$B,0)),""))</f>
        <v>5</v>
      </c>
      <c r="D56" s="4" t="str">
        <f>IF(B56="","",IFERROR(INDEX(Client_List!$D:$D,MATCH(B56,Client_List!$B:$B,0)),""))</f>
        <v>5F</v>
      </c>
      <c r="E56" s="4" t="str">
        <f>IF(B56="","",IFERROR(INDEX(Client_List!$K:$K,MATCH(B56,Client_List!$B:$B,0)),""))</f>
        <v>CANOLA OIL</v>
      </c>
      <c r="F56" s="5">
        <f>IF(B56="","",IFERROR(INDEX(Client_List!$J:$J,MATCH(B56,Client_List!$B:$B,0)),""))</f>
        <v>350</v>
      </c>
      <c r="G56" s="5">
        <v>232</v>
      </c>
      <c r="H56" s="4" t="str">
        <f>IF(B56="","",IFERROR(A56-LOOKUP(2,1/($B$4:$B55=B56),$A$4:$A55),""))</f>
        <v/>
      </c>
      <c r="I56" s="72" t="str">
        <f t="shared" si="0"/>
        <v/>
      </c>
      <c r="J56" s="4">
        <v>141136</v>
      </c>
      <c r="K56" s="6" t="str">
        <f>IF(B56="","",IFERROR(AVERAGEIFS($I$4:$I56,$B$4:$B56,B56,$I$4:$I56,"&gt;"&amp;0),""))</f>
        <v/>
      </c>
      <c r="L56" s="4" t="str">
        <f>IF(B56="","",IF(ISNA(MATCH(B56,Client_List!$B:$B,0)),"⚠ NOT FOUND","✓"))</f>
        <v>✓</v>
      </c>
    </row>
    <row r="57" spans="1:12" ht="14" customHeight="1" x14ac:dyDescent="0.2">
      <c r="A57" s="57">
        <v>46029</v>
      </c>
      <c r="B57" s="7" t="s">
        <v>83</v>
      </c>
      <c r="C57" s="11" t="str">
        <f>IF(B57="","",IFERROR(INDEX(Client_List!$C:$C,MATCH(B57,Client_List!$B:$B,0)),""))</f>
        <v>4</v>
      </c>
      <c r="D57" s="9" t="str">
        <f>IF(B57="","",IFERROR(INDEX(Client_List!$D:$D,MATCH(B57,Client_List!$B:$B,0)),""))</f>
        <v>4D</v>
      </c>
      <c r="E57" s="9" t="str">
        <f>IF(B57="","",IFERROR(INDEX(Client_List!$K:$K,MATCH(B57,Client_List!$B:$B,0)),""))</f>
        <v>FRYERS CHOICE BLEND</v>
      </c>
      <c r="F57" s="10">
        <f>IF(B57="","",IFERROR(INDEX(Client_List!$J:$J,MATCH(B57,Client_List!$B:$B,0)),""))</f>
        <v>350</v>
      </c>
      <c r="G57" s="10">
        <v>315</v>
      </c>
      <c r="H57" s="9" t="str">
        <f>IF(B57="","",IFERROR(A57-LOOKUP(2,1/($B$4:$B56=B57),$A$4:$A56),""))</f>
        <v/>
      </c>
      <c r="I57" s="73" t="str">
        <f t="shared" si="0"/>
        <v/>
      </c>
      <c r="J57" s="9">
        <v>141134</v>
      </c>
      <c r="K57" s="6" t="str">
        <f>IF(B57="","",IFERROR(AVERAGEIFS($I$4:$I57,$B$4:$B57,B57,$I$4:$I57,"&gt;"&amp;0),""))</f>
        <v/>
      </c>
      <c r="L57" s="9" t="str">
        <f>IF(B57="","",IF(ISNA(MATCH(B57,Client_List!$B:$B,0)),"⚠ NOT FOUND","✓"))</f>
        <v>✓</v>
      </c>
    </row>
    <row r="58" spans="1:12" ht="14" customHeight="1" x14ac:dyDescent="0.2">
      <c r="A58" s="56">
        <v>46029</v>
      </c>
      <c r="B58" s="2" t="s">
        <v>118</v>
      </c>
      <c r="C58" s="11" t="str">
        <f>IF(B58="","",IFERROR(INDEX(Client_List!$C:$C,MATCH(B58,Client_List!$B:$B,0)),""))</f>
        <v>4</v>
      </c>
      <c r="D58" s="4" t="str">
        <f>IF(B58="","",IFERROR(INDEX(Client_List!$D:$D,MATCH(B58,Client_List!$B:$B,0)),""))</f>
        <v>4E</v>
      </c>
      <c r="E58" s="4" t="str">
        <f>IF(B58="","",IFERROR(INDEX(Client_List!$K:$K,MATCH(B58,Client_List!$B:$B,0)),""))</f>
        <v>CANOLA OIL</v>
      </c>
      <c r="F58" s="5">
        <f>IF(B58="","",IFERROR(INDEX(Client_List!$J:$J,MATCH(B58,Client_List!$B:$B,0)),""))</f>
        <v>2500</v>
      </c>
      <c r="G58" s="5">
        <v>1900</v>
      </c>
      <c r="H58" s="4" t="str">
        <f>IF(B58="","",IFERROR(A58-LOOKUP(2,1/($B$4:$B57=B58),$A$4:$A57),""))</f>
        <v/>
      </c>
      <c r="I58" s="72" t="str">
        <f t="shared" si="0"/>
        <v/>
      </c>
      <c r="J58" s="4" t="s">
        <v>371</v>
      </c>
      <c r="K58" s="6" t="str">
        <f>IF(B58="","",IFERROR(AVERAGEIFS($I$4:$I58,$B$4:$B58,B58,$I$4:$I58,"&gt;"&amp;0),""))</f>
        <v/>
      </c>
      <c r="L58" s="4" t="str">
        <f>IF(B58="","",IF(ISNA(MATCH(B58,Client_List!$B:$B,0)),"⚠ NOT FOUND","✓"))</f>
        <v>✓</v>
      </c>
    </row>
    <row r="59" spans="1:12" ht="14" customHeight="1" x14ac:dyDescent="0.2">
      <c r="A59" s="57">
        <v>46029</v>
      </c>
      <c r="B59" s="7" t="s">
        <v>136</v>
      </c>
      <c r="C59" s="3" t="str">
        <f>IF(B59="","",IFERROR(INDEX(Client_List!$C:$C,MATCH(B59,Client_List!$B:$B,0)),""))</f>
        <v>5</v>
      </c>
      <c r="D59" s="9" t="str">
        <f>IF(B59="","",IFERROR(INDEX(Client_List!$D:$D,MATCH(B59,Client_List!$B:$B,0)),""))</f>
        <v>5F</v>
      </c>
      <c r="E59" s="9" t="str">
        <f>IF(B59="","",IFERROR(INDEX(Client_List!$K:$K,MATCH(B59,Client_List!$B:$B,0)),""))</f>
        <v>FRYERS CHOICE BLEND</v>
      </c>
      <c r="F59" s="10">
        <f>IF(B59="","",IFERROR(INDEX(Client_List!$J:$J,MATCH(B59,Client_List!$B:$B,0)),""))</f>
        <v>480</v>
      </c>
      <c r="G59" s="10">
        <v>318</v>
      </c>
      <c r="H59" s="9" t="str">
        <f>IF(B59="","",IFERROR(A59-LOOKUP(2,1/($B$4:$B58=B59),$A$4:$A58),""))</f>
        <v/>
      </c>
      <c r="I59" s="73" t="str">
        <f t="shared" si="0"/>
        <v/>
      </c>
      <c r="J59" s="9">
        <v>141131</v>
      </c>
      <c r="K59" s="6" t="str">
        <f>IF(B59="","",IFERROR(AVERAGEIFS($I$4:$I59,$B$4:$B59,B59,$I$4:$I59,"&gt;"&amp;0),""))</f>
        <v/>
      </c>
      <c r="L59" s="9" t="str">
        <f>IF(B59="","",IF(ISNA(MATCH(B59,Client_List!$B:$B,0)),"⚠ NOT FOUND","✓"))</f>
        <v>✓</v>
      </c>
    </row>
    <row r="60" spans="1:12" ht="14" customHeight="1" x14ac:dyDescent="0.2">
      <c r="A60" s="56">
        <v>46029</v>
      </c>
      <c r="B60" s="2" t="s">
        <v>144</v>
      </c>
      <c r="C60" s="3" t="str">
        <f>IF(B60="","",IFERROR(INDEX(Client_List!$C:$C,MATCH(B60,Client_List!$B:$B,0)),""))</f>
        <v>4</v>
      </c>
      <c r="D60" s="4" t="str">
        <f>IF(B60="","",IFERROR(INDEX(Client_List!$D:$D,MATCH(B60,Client_List!$B:$B,0)),""))</f>
        <v>4A</v>
      </c>
      <c r="E60" s="4" t="str">
        <f>IF(B60="","",IFERROR(INDEX(Client_List!$K:$K,MATCH(B60,Client_List!$B:$B,0)),""))</f>
        <v>FRYERS CHOICE BLEND</v>
      </c>
      <c r="F60" s="5">
        <f>IF(B60="","",IFERROR(INDEX(Client_List!$J:$J,MATCH(B60,Client_List!$B:$B,0)),""))</f>
        <v>900</v>
      </c>
      <c r="G60" s="5">
        <v>684</v>
      </c>
      <c r="H60" s="4" t="str">
        <f>IF(B60="","",IFERROR(A60-LOOKUP(2,1/($B$4:$B59=B60),$A$4:$A59),""))</f>
        <v/>
      </c>
      <c r="I60" s="72" t="str">
        <f t="shared" si="0"/>
        <v/>
      </c>
      <c r="J60" s="4">
        <v>141142</v>
      </c>
      <c r="K60" s="6" t="str">
        <f>IF(B60="","",IFERROR(AVERAGEIFS($I$4:$I60,$B$4:$B60,B60,$I$4:$I60,"&gt;"&amp;0),""))</f>
        <v/>
      </c>
      <c r="L60" s="4" t="str">
        <f>IF(B60="","",IF(ISNA(MATCH(B60,Client_List!$B:$B,0)),"⚠ NOT FOUND","✓"))</f>
        <v>✓</v>
      </c>
    </row>
    <row r="61" spans="1:12" ht="14" customHeight="1" x14ac:dyDescent="0.2">
      <c r="A61" s="57">
        <v>46029</v>
      </c>
      <c r="B61" s="7" t="s">
        <v>182</v>
      </c>
      <c r="C61" s="11" t="str">
        <f>IF(B61="","",IFERROR(INDEX(Client_List!$C:$C,MATCH(B61,Client_List!$B:$B,0)),""))</f>
        <v>3</v>
      </c>
      <c r="D61" s="9" t="str">
        <f>IF(B61="","",IFERROR(INDEX(Client_List!$D:$D,MATCH(B61,Client_List!$B:$B,0)),""))</f>
        <v>3D</v>
      </c>
      <c r="E61" s="9" t="str">
        <f>IF(B61="","",IFERROR(INDEX(Client_List!$K:$K,MATCH(B61,Client_List!$B:$B,0)),""))</f>
        <v>CANOLA OIL</v>
      </c>
      <c r="F61" s="10">
        <f>IF(B61="","",IFERROR(INDEX(Client_List!$J:$J,MATCH(B61,Client_List!$B:$B,0)),""))</f>
        <v>1000</v>
      </c>
      <c r="G61" s="10">
        <v>686</v>
      </c>
      <c r="H61" s="9" t="str">
        <f>IF(B61="","",IFERROR(A61-LOOKUP(2,1/($B$4:$B60=B61),$A$4:$A60),""))</f>
        <v/>
      </c>
      <c r="I61" s="73" t="str">
        <f t="shared" si="0"/>
        <v/>
      </c>
      <c r="J61" s="9">
        <v>141135</v>
      </c>
      <c r="K61" s="6" t="str">
        <f>IF(B61="","",IFERROR(AVERAGEIFS($I$4:$I61,$B$4:$B61,B61,$I$4:$I61,"&gt;"&amp;0),""))</f>
        <v/>
      </c>
      <c r="L61" s="9" t="str">
        <f>IF(B61="","",IF(ISNA(MATCH(B61,Client_List!$B:$B,0)),"⚠ NOT FOUND","✓"))</f>
        <v>✓</v>
      </c>
    </row>
    <row r="62" spans="1:12" ht="14" customHeight="1" x14ac:dyDescent="0.2">
      <c r="A62" s="56">
        <v>46029</v>
      </c>
      <c r="B62" s="2" t="s">
        <v>196</v>
      </c>
      <c r="C62" s="3" t="str">
        <f>IF(B62="","",IFERROR(INDEX(Client_List!$C:$C,MATCH(B62,Client_List!$B:$B,0)),""))</f>
        <v>4</v>
      </c>
      <c r="D62" s="4" t="str">
        <f>IF(B62="","",IFERROR(INDEX(Client_List!$D:$D,MATCH(B62,Client_List!$B:$B,0)),""))</f>
        <v>4F</v>
      </c>
      <c r="E62" s="4" t="str">
        <f>IF(B62="","",IFERROR(INDEX(Client_List!$K:$K,MATCH(B62,Client_List!$B:$B,0)),""))</f>
        <v>FRYERS CHOICE BLEND</v>
      </c>
      <c r="F62" s="5">
        <f>IF(B62="","",IFERROR(INDEX(Client_List!$J:$J,MATCH(B62,Client_List!$B:$B,0)),""))</f>
        <v>620</v>
      </c>
      <c r="G62" s="5">
        <v>511</v>
      </c>
      <c r="H62" s="4" t="str">
        <f>IF(B62="","",IFERROR(A62-LOOKUP(2,1/($B$4:$B61=B62),$A$4:$A61),""))</f>
        <v/>
      </c>
      <c r="I62" s="72" t="str">
        <f t="shared" si="0"/>
        <v/>
      </c>
      <c r="J62" s="4">
        <v>141133</v>
      </c>
      <c r="K62" s="6" t="str">
        <f>IF(B62="","",IFERROR(AVERAGEIFS($I$4:$I62,$B$4:$B62,B62,$I$4:$I62,"&gt;"&amp;0),""))</f>
        <v/>
      </c>
      <c r="L62" s="4" t="str">
        <f>IF(B62="","",IF(ISNA(MATCH(B62,Client_List!$B:$B,0)),"⚠ NOT FOUND","✓"))</f>
        <v>✓</v>
      </c>
    </row>
    <row r="63" spans="1:12" ht="14" customHeight="1" x14ac:dyDescent="0.2">
      <c r="A63" s="57">
        <v>46029</v>
      </c>
      <c r="B63" s="7" t="s">
        <v>202</v>
      </c>
      <c r="C63" s="12" t="str">
        <f>IF(B63="","",IFERROR(INDEX(Client_List!$C:$C,MATCH(B63,Client_List!$B:$B,0)),""))</f>
        <v>4</v>
      </c>
      <c r="D63" s="9" t="str">
        <f>IF(B63="","",IFERROR(INDEX(Client_List!$D:$D,MATCH(B63,Client_List!$B:$B,0)),""))</f>
        <v>4D</v>
      </c>
      <c r="E63" s="9" t="str">
        <f>IF(B63="","",IFERROR(INDEX(Client_List!$K:$K,MATCH(B63,Client_List!$B:$B,0)),""))</f>
        <v>CANOLA OIL</v>
      </c>
      <c r="F63" s="10">
        <f>IF(B63="","",IFERROR(INDEX(Client_List!$J:$J,MATCH(B63,Client_List!$B:$B,0)),""))</f>
        <v>1050</v>
      </c>
      <c r="G63" s="10">
        <v>823</v>
      </c>
      <c r="H63" s="9" t="str">
        <f>IF(B63="","",IFERROR(A63-LOOKUP(2,1/($B$4:$B62=B63),$A$4:$A62),""))</f>
        <v/>
      </c>
      <c r="I63" s="73" t="str">
        <f t="shared" si="0"/>
        <v/>
      </c>
      <c r="J63" s="9">
        <v>141129</v>
      </c>
      <c r="K63" s="6" t="str">
        <f>IF(B63="","",IFERROR(AVERAGEIFS($I$4:$I63,$B$4:$B63,B63,$I$4:$I63,"&gt;"&amp;0),""))</f>
        <v/>
      </c>
      <c r="L63" s="9" t="str">
        <f>IF(B63="","",IF(ISNA(MATCH(B63,Client_List!$B:$B,0)),"⚠ NOT FOUND","✓"))</f>
        <v>✓</v>
      </c>
    </row>
    <row r="64" spans="1:12" ht="14" customHeight="1" x14ac:dyDescent="0.2">
      <c r="A64" s="56">
        <v>46029</v>
      </c>
      <c r="B64" s="2" t="s">
        <v>232</v>
      </c>
      <c r="C64" s="13" t="str">
        <f>IF(B64="","",IFERROR(INDEX(Client_List!$C:$C,MATCH(B64,Client_List!$B:$B,0)),""))</f>
        <v>5</v>
      </c>
      <c r="D64" s="4" t="str">
        <f>IF(B64="","",IFERROR(INDEX(Client_List!$D:$D,MATCH(B64,Client_List!$B:$B,0)),""))</f>
        <v>5F</v>
      </c>
      <c r="E64" s="4" t="str">
        <f>IF(B64="","",IFERROR(INDEX(Client_List!$K:$K,MATCH(B64,Client_List!$B:$B,0)),""))</f>
        <v>CANOLA OIL</v>
      </c>
      <c r="F64" s="5">
        <f>IF(B64="","",IFERROR(INDEX(Client_List!$J:$J,MATCH(B64,Client_List!$B:$B,0)),""))</f>
        <v>500</v>
      </c>
      <c r="G64" s="5">
        <v>434</v>
      </c>
      <c r="H64" s="4" t="str">
        <f>IF(B64="","",IFERROR(A64-LOOKUP(2,1/($B$4:$B63=B64),$A$4:$A63),""))</f>
        <v/>
      </c>
      <c r="I64" s="72" t="str">
        <f t="shared" si="0"/>
        <v/>
      </c>
      <c r="J64" s="4">
        <v>141128</v>
      </c>
      <c r="K64" s="6" t="str">
        <f>IF(B64="","",IFERROR(AVERAGEIFS($I$4:$I64,$B$4:$B64,B64,$I$4:$I64,"&gt;"&amp;0),""))</f>
        <v/>
      </c>
      <c r="L64" s="4" t="str">
        <f>IF(B64="","",IF(ISNA(MATCH(B64,Client_List!$B:$B,0)),"⚠ NOT FOUND","✓"))</f>
        <v>✓</v>
      </c>
    </row>
    <row r="65" spans="1:12" ht="14" customHeight="1" x14ac:dyDescent="0.2">
      <c r="A65" s="57">
        <v>46029</v>
      </c>
      <c r="B65" s="7" t="s">
        <v>236</v>
      </c>
      <c r="C65" s="13" t="str">
        <f>IF(B65="","",IFERROR(INDEX(Client_List!$C:$C,MATCH(B65,Client_List!$B:$B,0)),""))</f>
        <v>5</v>
      </c>
      <c r="D65" s="9" t="str">
        <f>IF(B65="","",IFERROR(INDEX(Client_List!$D:$D,MATCH(B65,Client_List!$B:$B,0)),""))</f>
        <v>5E</v>
      </c>
      <c r="E65" s="9" t="str">
        <f>IF(B65="","",IFERROR(INDEX(Client_List!$K:$K,MATCH(B65,Client_List!$B:$B,0)),""))</f>
        <v>CANOLA OIL</v>
      </c>
      <c r="F65" s="10">
        <f>IF(B65="","",IFERROR(INDEX(Client_List!$J:$J,MATCH(B65,Client_List!$B:$B,0)),""))</f>
        <v>500</v>
      </c>
      <c r="G65" s="10">
        <v>441</v>
      </c>
      <c r="H65" s="9" t="str">
        <f>IF(B65="","",IFERROR(A65-LOOKUP(2,1/($B$4:$B64=B65),$A$4:$A64),""))</f>
        <v/>
      </c>
      <c r="I65" s="73" t="str">
        <f t="shared" si="0"/>
        <v/>
      </c>
      <c r="J65" s="9">
        <v>141137</v>
      </c>
      <c r="K65" s="6" t="str">
        <f>IF(B65="","",IFERROR(AVERAGEIFS($I$4:$I65,$B$4:$B65,B65,$I$4:$I65,"&gt;"&amp;0),""))</f>
        <v/>
      </c>
      <c r="L65" s="9" t="str">
        <f>IF(B65="","",IF(ISNA(MATCH(B65,Client_List!$B:$B,0)),"⚠ NOT FOUND","✓"))</f>
        <v>✓</v>
      </c>
    </row>
    <row r="66" spans="1:12" ht="14" customHeight="1" x14ac:dyDescent="0.2">
      <c r="A66" s="56">
        <v>46029</v>
      </c>
      <c r="B66" s="2" t="s">
        <v>242</v>
      </c>
      <c r="C66" s="3" t="str">
        <f>IF(B66="","",IFERROR(INDEX(Client_List!$C:$C,MATCH(B66,Client_List!$B:$B,0)),""))</f>
        <v>4</v>
      </c>
      <c r="D66" s="4" t="str">
        <f>IF(B66="","",IFERROR(INDEX(Client_List!$D:$D,MATCH(B66,Client_List!$B:$B,0)),""))</f>
        <v>4D</v>
      </c>
      <c r="E66" s="4" t="str">
        <f>IF(B66="","",IFERROR(INDEX(Client_List!$K:$K,MATCH(B66,Client_List!$B:$B,0)),""))</f>
        <v>FRYERS CHOICE BLEND</v>
      </c>
      <c r="F66" s="5">
        <f>IF(B66="","",IFERROR(INDEX(Client_List!$J:$J,MATCH(B66,Client_List!$B:$B,0)),""))</f>
        <v>950</v>
      </c>
      <c r="G66" s="5">
        <v>872</v>
      </c>
      <c r="H66" s="4" t="str">
        <f>IF(B66="","",IFERROR(A66-LOOKUP(2,1/($B$4:$B65=B66),$A$4:$A65),""))</f>
        <v/>
      </c>
      <c r="I66" s="72" t="str">
        <f t="shared" si="0"/>
        <v/>
      </c>
      <c r="J66" s="4">
        <v>141130</v>
      </c>
      <c r="K66" s="6" t="str">
        <f>IF(B66="","",IFERROR(AVERAGEIFS($I$4:$I66,$B$4:$B66,B66,$I$4:$I66,"&gt;"&amp;0),""))</f>
        <v/>
      </c>
      <c r="L66" s="4" t="str">
        <f>IF(B66="","",IF(ISNA(MATCH(B66,Client_List!$B:$B,0)),"⚠ NOT FOUND","✓"))</f>
        <v>✓</v>
      </c>
    </row>
    <row r="67" spans="1:12" ht="14" customHeight="1" x14ac:dyDescent="0.2">
      <c r="A67" s="57">
        <v>46029</v>
      </c>
      <c r="B67" s="7" t="s">
        <v>258</v>
      </c>
      <c r="C67" s="12" t="str">
        <f>IF(B67="","",IFERROR(INDEX(Client_List!$C:$C,MATCH(B67,Client_List!$B:$B,0)),""))</f>
        <v>4</v>
      </c>
      <c r="D67" s="9" t="str">
        <f>IF(B67="","",IFERROR(INDEX(Client_List!$D:$D,MATCH(B67,Client_List!$B:$B,0)),""))</f>
        <v>4F</v>
      </c>
      <c r="E67" s="9" t="str">
        <f>IF(B67="","",IFERROR(INDEX(Client_List!$K:$K,MATCH(B67,Client_List!$B:$B,0)),""))</f>
        <v>FRYERS CHOICE BLEND</v>
      </c>
      <c r="F67" s="10">
        <f>IF(B67="","",IFERROR(INDEX(Client_List!$J:$J,MATCH(B67,Client_List!$B:$B,0)),""))</f>
        <v>950</v>
      </c>
      <c r="G67" s="10">
        <v>661</v>
      </c>
      <c r="H67" s="9" t="str">
        <f>IF(B67="","",IFERROR(A67-LOOKUP(2,1/($B$4:$B66=B67),$A$4:$A66),""))</f>
        <v/>
      </c>
      <c r="I67" s="73" t="str">
        <f t="shared" si="0"/>
        <v/>
      </c>
      <c r="J67" s="9">
        <v>141132</v>
      </c>
      <c r="K67" s="6" t="str">
        <f>IF(B67="","",IFERROR(AVERAGEIFS($I$4:$I67,$B$4:$B67,B67,$I$4:$I67,"&gt;"&amp;0),""))</f>
        <v/>
      </c>
      <c r="L67" s="9" t="str">
        <f>IF(B67="","",IF(ISNA(MATCH(B67,Client_List!$B:$B,0)),"⚠ NOT FOUND","✓"))</f>
        <v>✓</v>
      </c>
    </row>
    <row r="68" spans="1:12" ht="14" customHeight="1" x14ac:dyDescent="0.2">
      <c r="A68" s="56">
        <v>46029</v>
      </c>
      <c r="B68" s="2" t="s">
        <v>260</v>
      </c>
      <c r="C68" s="8" t="str">
        <f>IF(B68="","",IFERROR(INDEX(Client_List!$C:$C,MATCH(B68,Client_List!$B:$B,0)),""))</f>
        <v>5</v>
      </c>
      <c r="D68" s="4" t="str">
        <f>IF(B68="","",IFERROR(INDEX(Client_List!$D:$D,MATCH(B68,Client_List!$B:$B,0)),""))</f>
        <v>5E</v>
      </c>
      <c r="E68" s="4" t="str">
        <f>IF(B68="","",IFERROR(INDEX(Client_List!$K:$K,MATCH(B68,Client_List!$B:$B,0)),""))</f>
        <v>FRYERS CHOICE BLEND</v>
      </c>
      <c r="F68" s="5">
        <f>IF(B68="","",IFERROR(INDEX(Client_List!$J:$J,MATCH(B68,Client_List!$B:$B,0)),""))</f>
        <v>950</v>
      </c>
      <c r="G68" s="5">
        <v>668</v>
      </c>
      <c r="H68" s="4" t="str">
        <f>IF(B68="","",IFERROR(A68-LOOKUP(2,1/($B$4:$B67=B68),$A$4:$A67),""))</f>
        <v/>
      </c>
      <c r="I68" s="72" t="str">
        <f t="shared" ref="I68:I131" si="1">IF(B68="","",IFERROR(G68/H68,""))</f>
        <v/>
      </c>
      <c r="J68" s="4">
        <v>141139</v>
      </c>
      <c r="K68" s="6" t="str">
        <f>IF(B68="","",IFERROR(AVERAGEIFS($I$4:$I68,$B$4:$B68,B68,$I$4:$I68,"&gt;"&amp;0),""))</f>
        <v/>
      </c>
      <c r="L68" s="4" t="str">
        <f>IF(B68="","",IF(ISNA(MATCH(B68,Client_List!$B:$B,0)),"⚠ NOT FOUND","✓"))</f>
        <v>✓</v>
      </c>
    </row>
    <row r="69" spans="1:12" ht="14" customHeight="1" x14ac:dyDescent="0.2">
      <c r="A69" s="57">
        <v>46029</v>
      </c>
      <c r="B69" s="7" t="s">
        <v>336</v>
      </c>
      <c r="C69" s="12" t="str">
        <f>IF(B69="","",IFERROR(INDEX(Client_List!$C:$C,MATCH(B69,Client_List!$B:$B,0)),""))</f>
        <v>4</v>
      </c>
      <c r="D69" s="9" t="str">
        <f>IF(B69="","",IFERROR(INDEX(Client_List!$D:$D,MATCH(B69,Client_List!$B:$B,0)),""))</f>
        <v>4D</v>
      </c>
      <c r="E69" s="9" t="str">
        <f>IF(B69="","",IFERROR(INDEX(Client_List!$K:$K,MATCH(B69,Client_List!$B:$B,0)),""))</f>
        <v>CANOLA OIL</v>
      </c>
      <c r="F69" s="10">
        <f>IF(B69="","",IFERROR(INDEX(Client_List!$J:$J,MATCH(B69,Client_List!$B:$B,0)),""))</f>
        <v>1050</v>
      </c>
      <c r="G69" s="10">
        <v>979</v>
      </c>
      <c r="H69" s="9" t="str">
        <f>IF(B69="","",IFERROR(A69-LOOKUP(2,1/($B$4:$B68=B69),$A$4:$A68),""))</f>
        <v/>
      </c>
      <c r="I69" s="73" t="str">
        <f t="shared" si="1"/>
        <v/>
      </c>
      <c r="J69" s="9">
        <v>141140</v>
      </c>
      <c r="K69" s="6" t="str">
        <f>IF(B69="","",IFERROR(AVERAGEIFS($I$4:$I69,$B$4:$B69,B69,$I$4:$I69,"&gt;"&amp;0),""))</f>
        <v/>
      </c>
      <c r="L69" s="9" t="str">
        <f>IF(B69="","",IF(ISNA(MATCH(B69,Client_List!$B:$B,0)),"⚠ NOT FOUND","✓"))</f>
        <v>✓</v>
      </c>
    </row>
    <row r="70" spans="1:12" ht="14" customHeight="1" x14ac:dyDescent="0.2">
      <c r="A70" s="56">
        <v>46030</v>
      </c>
      <c r="B70" s="2" t="s">
        <v>35</v>
      </c>
      <c r="C70" s="3" t="str">
        <f>IF(B70="","",IFERROR(INDEX(Client_List!$C:$C,MATCH(B70,Client_List!$B:$B,0)),""))</f>
        <v>2</v>
      </c>
      <c r="D70" s="4" t="str">
        <f>IF(B70="","",IFERROR(INDEX(Client_List!$D:$D,MATCH(B70,Client_List!$B:$B,0)),""))</f>
        <v>2C</v>
      </c>
      <c r="E70" s="4" t="str">
        <f>IF(B70="","",IFERROR(INDEX(Client_List!$K:$K,MATCH(B70,Client_List!$B:$B,0)),""))</f>
        <v>CANOLA OIL</v>
      </c>
      <c r="F70" s="5">
        <f>IF(B70="","",IFERROR(INDEX(Client_List!$J:$J,MATCH(B70,Client_List!$B:$B,0)),""))</f>
        <v>950</v>
      </c>
      <c r="G70" s="5">
        <v>631</v>
      </c>
      <c r="H70" s="4" t="str">
        <f>IF(B70="","",IFERROR(A70-LOOKUP(2,1/($B$4:$B69=B70),$A$4:$A69),""))</f>
        <v/>
      </c>
      <c r="I70" s="72" t="str">
        <f t="shared" si="1"/>
        <v/>
      </c>
      <c r="J70" s="4">
        <v>141184</v>
      </c>
      <c r="K70" s="6" t="str">
        <f>IF(B70="","",IFERROR(AVERAGEIFS($I$4:$I70,$B$4:$B70,B70,$I$4:$I70,"&gt;"&amp;0),""))</f>
        <v/>
      </c>
      <c r="L70" s="4" t="str">
        <f>IF(B70="","",IF(ISNA(MATCH(B70,Client_List!$B:$B,0)),"⚠ NOT FOUND","✓"))</f>
        <v>✓</v>
      </c>
    </row>
    <row r="71" spans="1:12" ht="14" customHeight="1" x14ac:dyDescent="0.2">
      <c r="A71" s="57">
        <v>46030</v>
      </c>
      <c r="B71" s="7" t="s">
        <v>108</v>
      </c>
      <c r="C71" s="12" t="str">
        <f>IF(B71="","",IFERROR(INDEX(Client_List!$C:$C,MATCH(B71,Client_List!$B:$B,0)),""))</f>
        <v>1</v>
      </c>
      <c r="D71" s="9" t="str">
        <f>IF(B71="","",IFERROR(INDEX(Client_List!$D:$D,MATCH(B71,Client_List!$B:$B,0)),""))</f>
        <v>1D</v>
      </c>
      <c r="E71" s="9" t="str">
        <f>IF(B71="","",IFERROR(INDEX(Client_List!$K:$K,MATCH(B71,Client_List!$B:$B,0)),""))</f>
        <v>FRYERS CHOICE BLEND</v>
      </c>
      <c r="F71" s="10">
        <f>IF(B71="","",IFERROR(INDEX(Client_List!$J:$J,MATCH(B71,Client_List!$B:$B,0)),""))</f>
        <v>1050</v>
      </c>
      <c r="G71" s="10">
        <v>686</v>
      </c>
      <c r="H71" s="9" t="str">
        <f>IF(B71="","",IFERROR(A71-LOOKUP(2,1/($B$4:$B70=B71),$A$4:$A70),""))</f>
        <v/>
      </c>
      <c r="I71" s="73" t="str">
        <f t="shared" si="1"/>
        <v/>
      </c>
      <c r="J71" s="9">
        <v>141181</v>
      </c>
      <c r="K71" s="6" t="str">
        <f>IF(B71="","",IFERROR(AVERAGEIFS($I$4:$I71,$B$4:$B71,B71,$I$4:$I71,"&gt;"&amp;0),""))</f>
        <v/>
      </c>
      <c r="L71" s="9" t="str">
        <f>IF(B71="","",IF(ISNA(MATCH(B71,Client_List!$B:$B,0)),"⚠ NOT FOUND","✓"))</f>
        <v>✓</v>
      </c>
    </row>
    <row r="72" spans="1:12" ht="14" customHeight="1" x14ac:dyDescent="0.2">
      <c r="A72" s="56">
        <v>46030</v>
      </c>
      <c r="B72" s="2" t="s">
        <v>180</v>
      </c>
      <c r="C72" s="12" t="str">
        <f>IF(B72="","",IFERROR(INDEX(Client_List!$C:$C,MATCH(B72,Client_List!$B:$B,0)),""))</f>
        <v>1</v>
      </c>
      <c r="D72" s="4" t="str">
        <f>IF(B72="","",IFERROR(INDEX(Client_List!$D:$D,MATCH(B72,Client_List!$B:$B,0)),""))</f>
        <v>1D</v>
      </c>
      <c r="E72" s="4" t="str">
        <f>IF(B72="","",IFERROR(INDEX(Client_List!$K:$K,MATCH(B72,Client_List!$B:$B,0)),""))</f>
        <v>CANOLA OIL</v>
      </c>
      <c r="F72" s="5">
        <f>IF(B72="","",IFERROR(INDEX(Client_List!$J:$J,MATCH(B72,Client_List!$B:$B,0)),""))</f>
        <v>950</v>
      </c>
      <c r="G72" s="5">
        <v>518</v>
      </c>
      <c r="H72" s="4" t="str">
        <f>IF(B72="","",IFERROR(A72-LOOKUP(2,1/($B$4:$B71=B72),$A$4:$A71),""))</f>
        <v/>
      </c>
      <c r="I72" s="72" t="str">
        <f t="shared" si="1"/>
        <v/>
      </c>
      <c r="J72" s="4">
        <v>141180</v>
      </c>
      <c r="K72" s="6" t="str">
        <f>IF(B72="","",IFERROR(AVERAGEIFS($I$4:$I72,$B$4:$B72,B72,$I$4:$I72,"&gt;"&amp;0),""))</f>
        <v/>
      </c>
      <c r="L72" s="4" t="str">
        <f>IF(B72="","",IF(ISNA(MATCH(B72,Client_List!$B:$B,0)),"⚠ NOT FOUND","✓"))</f>
        <v>✓</v>
      </c>
    </row>
    <row r="73" spans="1:12" ht="14" customHeight="1" x14ac:dyDescent="0.2">
      <c r="A73" s="57">
        <v>46030</v>
      </c>
      <c r="B73" s="7" t="s">
        <v>188</v>
      </c>
      <c r="C73" s="13" t="str">
        <f>IF(B73="","",IFERROR(INDEX(Client_List!$C:$C,MATCH(B73,Client_List!$B:$B,0)),""))</f>
        <v>4</v>
      </c>
      <c r="D73" s="9" t="str">
        <f>IF(B73="","",IFERROR(INDEX(Client_List!$D:$D,MATCH(B73,Client_List!$B:$B,0)),""))</f>
        <v>4C</v>
      </c>
      <c r="E73" s="9" t="str">
        <f>IF(B73="","",IFERROR(INDEX(Client_List!$K:$K,MATCH(B73,Client_List!$B:$B,0)),""))</f>
        <v>CANOLA OIL</v>
      </c>
      <c r="F73" s="10">
        <f>IF(B73="","",IFERROR(INDEX(Client_List!$J:$J,MATCH(B73,Client_List!$B:$B,0)),""))</f>
        <v>900</v>
      </c>
      <c r="G73" s="10">
        <v>804</v>
      </c>
      <c r="H73" s="9" t="str">
        <f>IF(B73="","",IFERROR(A73-LOOKUP(2,1/($B$4:$B72=B73),$A$4:$A72),""))</f>
        <v/>
      </c>
      <c r="I73" s="73" t="str">
        <f t="shared" si="1"/>
        <v/>
      </c>
      <c r="J73" s="9">
        <v>141188</v>
      </c>
      <c r="K73" s="6" t="str">
        <f>IF(B73="","",IFERROR(AVERAGEIFS($I$4:$I73,$B$4:$B73,B73,$I$4:$I73,"&gt;"&amp;0),""))</f>
        <v/>
      </c>
      <c r="L73" s="9" t="str">
        <f>IF(B73="","",IF(ISNA(MATCH(B73,Client_List!$B:$B,0)),"⚠ NOT FOUND","✓"))</f>
        <v>✓</v>
      </c>
    </row>
    <row r="74" spans="1:12" ht="14" customHeight="1" x14ac:dyDescent="0.2">
      <c r="A74" s="56">
        <v>46030</v>
      </c>
      <c r="B74" s="2" t="s">
        <v>284</v>
      </c>
      <c r="C74" s="3" t="str">
        <f>IF(B74="","",IFERROR(INDEX(Client_List!$C:$C,MATCH(B74,Client_List!$B:$B,0)),""))</f>
        <v>2</v>
      </c>
      <c r="D74" s="4" t="str">
        <f>IF(B74="","",IFERROR(INDEX(Client_List!$D:$D,MATCH(B74,Client_List!$B:$B,0)),""))</f>
        <v>2C</v>
      </c>
      <c r="E74" s="4" t="str">
        <f>IF(B74="","",IFERROR(INDEX(Client_List!$K:$K,MATCH(B74,Client_List!$B:$B,0)),""))</f>
        <v>CANOLA OIL</v>
      </c>
      <c r="F74" s="5">
        <f>IF(B74="","",IFERROR(INDEX(Client_List!$J:$J,MATCH(B74,Client_List!$B:$B,0)),""))</f>
        <v>620</v>
      </c>
      <c r="G74" s="5">
        <v>393</v>
      </c>
      <c r="H74" s="4" t="str">
        <f>IF(B74="","",IFERROR(A74-LOOKUP(2,1/($B$4:$B73=B74),$A$4:$A73),""))</f>
        <v/>
      </c>
      <c r="I74" s="72" t="str">
        <f t="shared" si="1"/>
        <v/>
      </c>
      <c r="J74" s="4">
        <v>141182</v>
      </c>
      <c r="K74" s="6" t="str">
        <f>IF(B74="","",IFERROR(AVERAGEIFS($I$4:$I74,$B$4:$B74,B74,$I$4:$I74,"&gt;"&amp;0),""))</f>
        <v/>
      </c>
      <c r="L74" s="4" t="str">
        <f>IF(B74="","",IF(ISNA(MATCH(B74,Client_List!$B:$B,0)),"⚠ NOT FOUND","✓"))</f>
        <v>✓</v>
      </c>
    </row>
    <row r="75" spans="1:12" ht="14" customHeight="1" x14ac:dyDescent="0.2">
      <c r="A75" s="57">
        <v>46030</v>
      </c>
      <c r="B75" s="7" t="s">
        <v>286</v>
      </c>
      <c r="C75" s="8" t="str">
        <f>IF(B75="","",IFERROR(INDEX(Client_List!$C:$C,MATCH(B75,Client_List!$B:$B,0)),""))</f>
        <v>3</v>
      </c>
      <c r="D75" s="9" t="str">
        <f>IF(B75="","",IFERROR(INDEX(Client_List!$D:$D,MATCH(B75,Client_List!$B:$B,0)),""))</f>
        <v>3C</v>
      </c>
      <c r="E75" s="9" t="str">
        <f>IF(B75="","",IFERROR(INDEX(Client_List!$K:$K,MATCH(B75,Client_List!$B:$B,0)),""))</f>
        <v>CANOLA OIL</v>
      </c>
      <c r="F75" s="10">
        <f>IF(B75="","",IFERROR(INDEX(Client_List!$J:$J,MATCH(B75,Client_List!$B:$B,0)),""))</f>
        <v>620</v>
      </c>
      <c r="G75" s="10">
        <v>416</v>
      </c>
      <c r="H75" s="9" t="str">
        <f>IF(B75="","",IFERROR(A75-LOOKUP(2,1/($B$4:$B74=B75),$A$4:$A74),""))</f>
        <v/>
      </c>
      <c r="I75" s="73" t="str">
        <f t="shared" si="1"/>
        <v/>
      </c>
      <c r="J75" s="9">
        <v>141189</v>
      </c>
      <c r="K75" s="6" t="str">
        <f>IF(B75="","",IFERROR(AVERAGEIFS($I$4:$I75,$B$4:$B75,B75,$I$4:$I75,"&gt;"&amp;0),""))</f>
        <v/>
      </c>
      <c r="L75" s="9" t="str">
        <f>IF(B75="","",IF(ISNA(MATCH(B75,Client_List!$B:$B,0)),"⚠ NOT FOUND","✓"))</f>
        <v>✓</v>
      </c>
    </row>
    <row r="76" spans="1:12" ht="14" customHeight="1" x14ac:dyDescent="0.2">
      <c r="A76" s="56">
        <v>46030</v>
      </c>
      <c r="B76" s="2" t="s">
        <v>302</v>
      </c>
      <c r="C76" s="8" t="str">
        <f>IF(B76="","",IFERROR(INDEX(Client_List!$C:$C,MATCH(B76,Client_List!$B:$B,0)),""))</f>
        <v>2</v>
      </c>
      <c r="D76" s="4" t="str">
        <f>IF(B76="","",IFERROR(INDEX(Client_List!$D:$D,MATCH(B76,Client_List!$B:$B,0)),""))</f>
        <v>2D</v>
      </c>
      <c r="E76" s="4" t="str">
        <f>IF(B76="","",IFERROR(INDEX(Client_List!$K:$K,MATCH(B76,Client_List!$B:$B,0)),""))</f>
        <v>CANOLA OIL</v>
      </c>
      <c r="F76" s="5">
        <f>IF(B76="","",IFERROR(INDEX(Client_List!$J:$J,MATCH(B76,Client_List!$B:$B,0)),""))</f>
        <v>350</v>
      </c>
      <c r="G76" s="5">
        <v>333</v>
      </c>
      <c r="H76" s="4" t="str">
        <f>IF(B76="","",IFERROR(A76-LOOKUP(2,1/($B$4:$B75=B76),$A$4:$A75),""))</f>
        <v/>
      </c>
      <c r="I76" s="72" t="str">
        <f t="shared" si="1"/>
        <v/>
      </c>
      <c r="J76" s="4">
        <v>141179</v>
      </c>
      <c r="K76" s="6" t="str">
        <f>IF(B76="","",IFERROR(AVERAGEIFS($I$4:$I76,$B$4:$B76,B76,$I$4:$I76,"&gt;"&amp;0),""))</f>
        <v/>
      </c>
      <c r="L76" s="4" t="str">
        <f>IF(B76="","",IF(ISNA(MATCH(B76,Client_List!$B:$B,0)),"⚠ NOT FOUND","✓"))</f>
        <v>✓</v>
      </c>
    </row>
    <row r="77" spans="1:12" ht="14" customHeight="1" x14ac:dyDescent="0.2">
      <c r="A77" s="57">
        <v>46030</v>
      </c>
      <c r="B77" s="7" t="s">
        <v>306</v>
      </c>
      <c r="C77" s="8" t="str">
        <f>IF(B77="","",IFERROR(INDEX(Client_List!$C:$C,MATCH(B77,Client_List!$B:$B,0)),""))</f>
        <v>4</v>
      </c>
      <c r="D77" s="9" t="str">
        <f>IF(B77="","",IFERROR(INDEX(Client_List!$D:$D,MATCH(B77,Client_List!$B:$B,0)),""))</f>
        <v>4C</v>
      </c>
      <c r="E77" s="9" t="str">
        <f>IF(B77="","",IFERROR(INDEX(Client_List!$K:$K,MATCH(B77,Client_List!$B:$B,0)),""))</f>
        <v>FRYERS CHOICE BLEND</v>
      </c>
      <c r="F77" s="10">
        <f>IF(B77="","",IFERROR(INDEX(Client_List!$J:$J,MATCH(B77,Client_List!$B:$B,0)),""))</f>
        <v>1050</v>
      </c>
      <c r="G77" s="10">
        <v>865</v>
      </c>
      <c r="H77" s="9" t="str">
        <f>IF(B77="","",IFERROR(A77-LOOKUP(2,1/($B$4:$B76=B77),$A$4:$A76),""))</f>
        <v/>
      </c>
      <c r="I77" s="73" t="str">
        <f t="shared" si="1"/>
        <v/>
      </c>
      <c r="J77" s="9">
        <v>141187</v>
      </c>
      <c r="K77" s="6" t="str">
        <f>IF(B77="","",IFERROR(AVERAGEIFS($I$4:$I77,$B$4:$B77,B77,$I$4:$I77,"&gt;"&amp;0),""))</f>
        <v/>
      </c>
      <c r="L77" s="9" t="str">
        <f>IF(B77="","",IF(ISNA(MATCH(B77,Client_List!$B:$B,0)),"⚠ NOT FOUND","✓"))</f>
        <v>✓</v>
      </c>
    </row>
    <row r="78" spans="1:12" ht="14" customHeight="1" x14ac:dyDescent="0.2">
      <c r="A78" s="56">
        <v>46030</v>
      </c>
      <c r="B78" s="2" t="s">
        <v>332</v>
      </c>
      <c r="C78" s="13" t="str">
        <f>IF(B78="","",IFERROR(INDEX(Client_List!$C:$C,MATCH(B78,Client_List!$B:$B,0)),""))</f>
        <v>2</v>
      </c>
      <c r="D78" s="4" t="str">
        <f>IF(B78="","",IFERROR(INDEX(Client_List!$D:$D,MATCH(B78,Client_List!$B:$B,0)),""))</f>
        <v>2C</v>
      </c>
      <c r="E78" s="4" t="str">
        <f>IF(B78="","",IFERROR(INDEX(Client_List!$K:$K,MATCH(B78,Client_List!$B:$B,0)),""))</f>
        <v>CANOLA OIL</v>
      </c>
      <c r="F78" s="5">
        <f>IF(B78="","",IFERROR(INDEX(Client_List!$J:$J,MATCH(B78,Client_List!$B:$B,0)),""))</f>
        <v>1050</v>
      </c>
      <c r="G78" s="5">
        <v>595</v>
      </c>
      <c r="H78" s="4" t="str">
        <f>IF(B78="","",IFERROR(A78-LOOKUP(2,1/($B$4:$B77=B78),$A$4:$A77),""))</f>
        <v/>
      </c>
      <c r="I78" s="72" t="str">
        <f t="shared" si="1"/>
        <v/>
      </c>
      <c r="J78" s="4">
        <v>141186</v>
      </c>
      <c r="K78" s="6" t="str">
        <f>IF(B78="","",IFERROR(AVERAGEIFS($I$4:$I78,$B$4:$B78,B78,$I$4:$I78,"&gt;"&amp;0),""))</f>
        <v/>
      </c>
      <c r="L78" s="4" t="str">
        <f>IF(B78="","",IF(ISNA(MATCH(B78,Client_List!$B:$B,0)),"⚠ NOT FOUND","✓"))</f>
        <v>✓</v>
      </c>
    </row>
    <row r="79" spans="1:12" ht="14" customHeight="1" x14ac:dyDescent="0.2">
      <c r="A79" s="57">
        <v>46030</v>
      </c>
      <c r="B79" s="7" t="s">
        <v>340</v>
      </c>
      <c r="C79" s="12" t="str">
        <f>IF(B79="","",IFERROR(INDEX(Client_List!$C:$C,MATCH(B79,Client_List!$B:$B,0)),""))</f>
        <v>2</v>
      </c>
      <c r="D79" s="9" t="str">
        <f>IF(B79="","",IFERROR(INDEX(Client_List!$D:$D,MATCH(B79,Client_List!$B:$B,0)),""))</f>
        <v>2C</v>
      </c>
      <c r="E79" s="9" t="str">
        <f>IF(B79="","",IFERROR(INDEX(Client_List!$K:$K,MATCH(B79,Client_List!$B:$B,0)),""))</f>
        <v>FRYERS CHOICE BLEND</v>
      </c>
      <c r="F79" s="10">
        <f>IF(B79="","",IFERROR(INDEX(Client_List!$J:$J,MATCH(B79,Client_List!$B:$B,0)),""))</f>
        <v>300</v>
      </c>
      <c r="G79" s="10">
        <v>289</v>
      </c>
      <c r="H79" s="9" t="str">
        <f>IF(B79="","",IFERROR(A79-LOOKUP(2,1/($B$4:$B78=B79),$A$4:$A78),""))</f>
        <v/>
      </c>
      <c r="I79" s="73" t="str">
        <f t="shared" si="1"/>
        <v/>
      </c>
      <c r="J79" s="9">
        <v>141185</v>
      </c>
      <c r="K79" s="6" t="str">
        <f>IF(B79="","",IFERROR(AVERAGEIFS($I$4:$I79,$B$4:$B79,B79,$I$4:$I79,"&gt;"&amp;0),""))</f>
        <v/>
      </c>
      <c r="L79" s="9" t="str">
        <f>IF(B79="","",IF(ISNA(MATCH(B79,Client_List!$B:$B,0)),"⚠ NOT FOUND","✓"))</f>
        <v>✓</v>
      </c>
    </row>
    <row r="80" spans="1:12" ht="14" customHeight="1" x14ac:dyDescent="0.2">
      <c r="A80" s="56">
        <v>46031</v>
      </c>
      <c r="B80" s="2" t="s">
        <v>67</v>
      </c>
      <c r="C80" s="13" t="str">
        <f>IF(B80="","",IFERROR(INDEX(Client_List!$C:$C,MATCH(B80,Client_List!$B:$B,0)),""))</f>
        <v>5</v>
      </c>
      <c r="D80" s="4" t="str">
        <f>IF(B80="","",IFERROR(INDEX(Client_List!$D:$D,MATCH(B80,Client_List!$B:$B,0)),""))</f>
        <v>5F</v>
      </c>
      <c r="E80" s="4" t="str">
        <f>IF(B80="","",IFERROR(INDEX(Client_List!$K:$K,MATCH(B80,Client_List!$B:$B,0)),""))</f>
        <v>CANOLA OIL</v>
      </c>
      <c r="F80" s="5">
        <f>IF(B80="","",IFERROR(INDEX(Client_List!$J:$J,MATCH(B80,Client_List!$B:$B,0)),""))</f>
        <v>950</v>
      </c>
      <c r="G80" s="5">
        <v>789</v>
      </c>
      <c r="H80" s="4" t="str">
        <f>IF(B80="","",IFERROR(A80-LOOKUP(2,1/($B$4:$B79=B80),$A$4:$A79),""))</f>
        <v/>
      </c>
      <c r="I80" s="72" t="str">
        <f t="shared" si="1"/>
        <v/>
      </c>
      <c r="J80" s="4">
        <v>141201</v>
      </c>
      <c r="K80" s="6" t="str">
        <f>IF(B80="","",IFERROR(AVERAGEIFS($I$4:$I80,$B$4:$B80,B80,$I$4:$I80,"&gt;"&amp;0),""))</f>
        <v/>
      </c>
      <c r="L80" s="4" t="str">
        <f>IF(B80="","",IF(ISNA(MATCH(B80,Client_List!$B:$B,0)),"⚠ NOT FOUND","✓"))</f>
        <v>✓</v>
      </c>
    </row>
    <row r="81" spans="1:12" ht="14" customHeight="1" x14ac:dyDescent="0.2">
      <c r="A81" s="57">
        <v>46031</v>
      </c>
      <c r="B81" s="7" t="s">
        <v>365</v>
      </c>
      <c r="C81" s="3">
        <f>IF(B81="","",IFERROR(INDEX(Client_List!$C:$C,MATCH(B81,Client_List!$B:$B,0)),""))</f>
        <v>0</v>
      </c>
      <c r="D81" s="9">
        <f>IF(B81="","",IFERROR(INDEX(Client_List!$D:$D,MATCH(B81,Client_List!$B:$B,0)),""))</f>
        <v>0</v>
      </c>
      <c r="E81" s="9" t="str">
        <f>IF(B81="","",IFERROR(INDEX(Client_List!$K:$K,MATCH(B81,Client_List!$B:$B,0)),""))</f>
        <v>CANOLA OIL</v>
      </c>
      <c r="F81" s="10">
        <f>IF(B81="","",IFERROR(INDEX(Client_List!$J:$J,MATCH(B81,Client_List!$B:$B,0)),""))</f>
        <v>700</v>
      </c>
      <c r="G81" s="10">
        <v>274</v>
      </c>
      <c r="H81" s="9">
        <f>IF(B81="","",IFERROR(A81-LOOKUP(2,1/($B$4:$B80=B81),$A$4:$A80),""))</f>
        <v>6</v>
      </c>
      <c r="I81" s="73">
        <f t="shared" si="1"/>
        <v>45.666666666666664</v>
      </c>
      <c r="J81" s="9">
        <v>141204</v>
      </c>
      <c r="K81" s="6">
        <f>IF(B81="","",IFERROR(AVERAGEIFS($I$4:$I81,$B$4:$B81,B81,$I$4:$I81,"&gt;"&amp;0),""))</f>
        <v>45.666666666666664</v>
      </c>
      <c r="L81" s="9" t="str">
        <f>IF(B81="","",IF(ISNA(MATCH(B81,Client_List!$B:$B,0)),"⚠ NOT FOUND","✓"))</f>
        <v>✓</v>
      </c>
    </row>
    <row r="82" spans="1:12" ht="14" customHeight="1" x14ac:dyDescent="0.2">
      <c r="A82" s="56">
        <v>46031</v>
      </c>
      <c r="B82" s="2" t="s">
        <v>102</v>
      </c>
      <c r="C82" s="12" t="str">
        <f>IF(B82="","",IFERROR(INDEX(Client_List!$C:$C,MATCH(B82,Client_List!$B:$B,0)),""))</f>
        <v>3</v>
      </c>
      <c r="D82" s="4" t="str">
        <f>IF(B82="","",IFERROR(INDEX(Client_List!$D:$D,MATCH(B82,Client_List!$B:$B,0)),""))</f>
        <v>3C</v>
      </c>
      <c r="E82" s="4" t="str">
        <f>IF(B82="","",IFERROR(INDEX(Client_List!$K:$K,MATCH(B82,Client_List!$B:$B,0)),""))</f>
        <v>CANOLA OIL</v>
      </c>
      <c r="F82" s="5">
        <f>IF(B82="","",IFERROR(INDEX(Client_List!$J:$J,MATCH(B82,Client_List!$B:$B,0)),""))</f>
        <v>500</v>
      </c>
      <c r="G82" s="5">
        <v>480</v>
      </c>
      <c r="H82" s="4" t="str">
        <f>IF(B82="","",IFERROR(A82-LOOKUP(2,1/($B$4:$B81=B82),$A$4:$A81),""))</f>
        <v/>
      </c>
      <c r="I82" s="72" t="str">
        <f t="shared" si="1"/>
        <v/>
      </c>
      <c r="J82" s="4">
        <v>141200</v>
      </c>
      <c r="K82" s="6" t="str">
        <f>IF(B82="","",IFERROR(AVERAGEIFS($I$4:$I82,$B$4:$B82,B82,$I$4:$I82,"&gt;"&amp;0),""))</f>
        <v/>
      </c>
      <c r="L82" s="4" t="str">
        <f>IF(B82="","",IF(ISNA(MATCH(B82,Client_List!$B:$B,0)),"⚠ NOT FOUND","✓"))</f>
        <v>✓</v>
      </c>
    </row>
    <row r="83" spans="1:12" ht="14" customHeight="1" x14ac:dyDescent="0.2">
      <c r="A83" s="57">
        <v>46031</v>
      </c>
      <c r="B83" s="7" t="s">
        <v>134</v>
      </c>
      <c r="C83" s="3" t="str">
        <f>IF(B83="","",IFERROR(INDEX(Client_List!$C:$C,MATCH(B83,Client_List!$B:$B,0)),""))</f>
        <v>3</v>
      </c>
      <c r="D83" s="9" t="str">
        <f>IF(B83="","",IFERROR(INDEX(Client_List!$D:$D,MATCH(B83,Client_List!$B:$B,0)),""))</f>
        <v>3D</v>
      </c>
      <c r="E83" s="9" t="str">
        <f>IF(B83="","",IFERROR(INDEX(Client_List!$K:$K,MATCH(B83,Client_List!$B:$B,0)),""))</f>
        <v>CANOLA OIL</v>
      </c>
      <c r="F83" s="10">
        <f>IF(B83="","",IFERROR(INDEX(Client_List!$J:$J,MATCH(B83,Client_List!$B:$B,0)),""))</f>
        <v>1850</v>
      </c>
      <c r="G83" s="10">
        <v>1347</v>
      </c>
      <c r="H83" s="9" t="str">
        <f>IF(B83="","",IFERROR(A83-LOOKUP(2,1/($B$4:$B82=B83),$A$4:$A82),""))</f>
        <v/>
      </c>
      <c r="I83" s="73" t="str">
        <f t="shared" si="1"/>
        <v/>
      </c>
      <c r="J83" s="9">
        <v>141193</v>
      </c>
      <c r="K83" s="6" t="str">
        <f>IF(B83="","",IFERROR(AVERAGEIFS($I$4:$I83,$B$4:$B83,B83,$I$4:$I83,"&gt;"&amp;0),""))</f>
        <v/>
      </c>
      <c r="L83" s="9" t="str">
        <f>IF(B83="","",IF(ISNA(MATCH(B83,Client_List!$B:$B,0)),"⚠ NOT FOUND","✓"))</f>
        <v>✓</v>
      </c>
    </row>
    <row r="84" spans="1:12" ht="14" customHeight="1" x14ac:dyDescent="0.2">
      <c r="A84" s="56">
        <v>46031</v>
      </c>
      <c r="B84" s="2" t="s">
        <v>184</v>
      </c>
      <c r="C84" s="3" t="str">
        <f>IF(B84="","",IFERROR(INDEX(Client_List!$C:$C,MATCH(B84,Client_List!$B:$B,0)),""))</f>
        <v>3</v>
      </c>
      <c r="D84" s="4" t="str">
        <f>IF(B84="","",IFERROR(INDEX(Client_List!$D:$D,MATCH(B84,Client_List!$B:$B,0)),""))</f>
        <v>3C</v>
      </c>
      <c r="E84" s="4" t="str">
        <f>IF(B84="","",IFERROR(INDEX(Client_List!$K:$K,MATCH(B84,Client_List!$B:$B,0)),""))</f>
        <v>CANOLA OIL</v>
      </c>
      <c r="F84" s="5">
        <f>IF(B84="","",IFERROR(INDEX(Client_List!$J:$J,MATCH(B84,Client_List!$B:$B,0)),""))</f>
        <v>1050</v>
      </c>
      <c r="G84" s="5">
        <v>832</v>
      </c>
      <c r="H84" s="4" t="str">
        <f>IF(B84="","",IFERROR(A84-LOOKUP(2,1/($B$4:$B83=B84),$A$4:$A83),""))</f>
        <v/>
      </c>
      <c r="I84" s="72" t="str">
        <f t="shared" si="1"/>
        <v/>
      </c>
      <c r="J84" s="4">
        <v>141202</v>
      </c>
      <c r="K84" s="6" t="str">
        <f>IF(B84="","",IFERROR(AVERAGEIFS($I$4:$I84,$B$4:$B84,B84,$I$4:$I84,"&gt;"&amp;0),""))</f>
        <v/>
      </c>
      <c r="L84" s="4" t="str">
        <f>IF(B84="","",IF(ISNA(MATCH(B84,Client_List!$B:$B,0)),"⚠ NOT FOUND","✓"))</f>
        <v>✓</v>
      </c>
    </row>
    <row r="85" spans="1:12" ht="14" customHeight="1" x14ac:dyDescent="0.2">
      <c r="A85" s="57">
        <v>46031</v>
      </c>
      <c r="B85" s="7" t="s">
        <v>214</v>
      </c>
      <c r="C85" s="3" t="str">
        <f>IF(B85="","",IFERROR(INDEX(Client_List!$C:$C,MATCH(B85,Client_List!$B:$B,0)),""))</f>
        <v>1</v>
      </c>
      <c r="D85" s="9" t="str">
        <f>IF(B85="","",IFERROR(INDEX(Client_List!$D:$D,MATCH(B85,Client_List!$B:$B,0)),""))</f>
        <v>1C</v>
      </c>
      <c r="E85" s="9" t="str">
        <f>IF(B85="","",IFERROR(INDEX(Client_List!$K:$K,MATCH(B85,Client_List!$B:$B,0)),""))</f>
        <v>CANOLA OIL</v>
      </c>
      <c r="F85" s="10">
        <f>IF(B85="","",IFERROR(INDEX(Client_List!$J:$J,MATCH(B85,Client_List!$B:$B,0)),""))</f>
        <v>630</v>
      </c>
      <c r="G85" s="10">
        <v>340</v>
      </c>
      <c r="H85" s="9" t="str">
        <f>IF(B85="","",IFERROR(A85-LOOKUP(2,1/($B$4:$B84=B85),$A$4:$A84),""))</f>
        <v/>
      </c>
      <c r="I85" s="73" t="str">
        <f t="shared" si="1"/>
        <v/>
      </c>
      <c r="J85" s="9">
        <v>141205</v>
      </c>
      <c r="K85" s="6" t="str">
        <f>IF(B85="","",IFERROR(AVERAGEIFS($I$4:$I85,$B$4:$B85,B85,$I$4:$I85,"&gt;"&amp;0),""))</f>
        <v/>
      </c>
      <c r="L85" s="9" t="str">
        <f>IF(B85="","",IF(ISNA(MATCH(B85,Client_List!$B:$B,0)),"⚠ NOT FOUND","✓"))</f>
        <v>✓</v>
      </c>
    </row>
    <row r="86" spans="1:12" ht="14" customHeight="1" x14ac:dyDescent="0.2">
      <c r="A86" s="56">
        <v>46031</v>
      </c>
      <c r="B86" s="2" t="s">
        <v>262</v>
      </c>
      <c r="C86" s="3" t="str">
        <f>IF(B86="","",IFERROR(INDEX(Client_List!$C:$C,MATCH(B86,Client_List!$B:$B,0)),""))</f>
        <v>2</v>
      </c>
      <c r="D86" s="4" t="str">
        <f>IF(B86="","",IFERROR(INDEX(Client_List!$D:$D,MATCH(B86,Client_List!$B:$B,0)),""))</f>
        <v>2C</v>
      </c>
      <c r="E86" s="4" t="str">
        <f>IF(B86="","",IFERROR(INDEX(Client_List!$K:$K,MATCH(B86,Client_List!$B:$B,0)),""))</f>
        <v>CANOLA OIL</v>
      </c>
      <c r="F86" s="5">
        <f>IF(B86="","",IFERROR(INDEX(Client_List!$J:$J,MATCH(B86,Client_List!$B:$B,0)),""))</f>
        <v>1950</v>
      </c>
      <c r="G86" s="5">
        <v>1514</v>
      </c>
      <c r="H86" s="4" t="str">
        <f>IF(B86="","",IFERROR(A86-LOOKUP(2,1/($B$4:$B85=B86),$A$4:$A85),""))</f>
        <v/>
      </c>
      <c r="I86" s="72" t="str">
        <f t="shared" si="1"/>
        <v/>
      </c>
      <c r="J86" s="4">
        <v>141203</v>
      </c>
      <c r="K86" s="6" t="str">
        <f>IF(B86="","",IFERROR(AVERAGEIFS($I$4:$I86,$B$4:$B86,B86,$I$4:$I86,"&gt;"&amp;0),""))</f>
        <v/>
      </c>
      <c r="L86" s="4" t="str">
        <f>IF(B86="","",IF(ISNA(MATCH(B86,Client_List!$B:$B,0)),"⚠ NOT FOUND","✓"))</f>
        <v>✓</v>
      </c>
    </row>
    <row r="87" spans="1:12" ht="14" customHeight="1" x14ac:dyDescent="0.2">
      <c r="A87" s="57">
        <v>46031</v>
      </c>
      <c r="B87" s="7" t="s">
        <v>326</v>
      </c>
      <c r="C87" s="3" t="str">
        <f>IF(B87="","",IFERROR(INDEX(Client_List!$C:$C,MATCH(B87,Client_List!$B:$B,0)),""))</f>
        <v>1</v>
      </c>
      <c r="D87" s="9" t="str">
        <f>IF(B87="","",IFERROR(INDEX(Client_List!$D:$D,MATCH(B87,Client_List!$B:$B,0)),""))</f>
        <v>1C</v>
      </c>
      <c r="E87" s="9" t="str">
        <f>IF(B87="","",IFERROR(INDEX(Client_List!$K:$K,MATCH(B87,Client_List!$B:$B,0)),""))</f>
        <v>FRYERS CHOICE BLEND</v>
      </c>
      <c r="F87" s="10">
        <f>IF(B87="","",IFERROR(INDEX(Client_List!$J:$J,MATCH(B87,Client_List!$B:$B,0)),""))</f>
        <v>950</v>
      </c>
      <c r="G87" s="10">
        <v>676</v>
      </c>
      <c r="H87" s="9" t="str">
        <f>IF(B87="","",IFERROR(A87-LOOKUP(2,1/($B$4:$B86=B87),$A$4:$A86),""))</f>
        <v/>
      </c>
      <c r="I87" s="73" t="str">
        <f t="shared" si="1"/>
        <v/>
      </c>
      <c r="J87" s="9">
        <v>141206</v>
      </c>
      <c r="K87" s="6" t="str">
        <f>IF(B87="","",IFERROR(AVERAGEIFS($I$4:$I87,$B$4:$B87,B87,$I$4:$I87,"&gt;"&amp;0),""))</f>
        <v/>
      </c>
      <c r="L87" s="9" t="str">
        <f>IF(B87="","",IF(ISNA(MATCH(B87,Client_List!$B:$B,0)),"⚠ NOT FOUND","✓"))</f>
        <v>✓</v>
      </c>
    </row>
    <row r="88" spans="1:12" ht="14" customHeight="1" x14ac:dyDescent="0.2">
      <c r="A88" s="56">
        <v>46032</v>
      </c>
      <c r="B88" s="2" t="s">
        <v>152</v>
      </c>
      <c r="C88" s="11" t="str">
        <f>IF(B88="","",IFERROR(INDEX(Client_List!$C:$C,MATCH(B88,Client_List!$B:$B,0)),""))</f>
        <v>4</v>
      </c>
      <c r="D88" s="4" t="str">
        <f>IF(B88="","",IFERROR(INDEX(Client_List!$D:$D,MATCH(B88,Client_List!$B:$B,0)),""))</f>
        <v>4B</v>
      </c>
      <c r="E88" s="4" t="str">
        <f>IF(B88="","",IFERROR(INDEX(Client_List!$K:$K,MATCH(B88,Client_List!$B:$B,0)),""))</f>
        <v>CANOLA OIL</v>
      </c>
      <c r="F88" s="5">
        <f>IF(B88="","",IFERROR(INDEX(Client_List!$J:$J,MATCH(B88,Client_List!$B:$B,0)),""))</f>
        <v>950</v>
      </c>
      <c r="G88" s="5">
        <v>639</v>
      </c>
      <c r="H88" s="4" t="str">
        <f>IF(B88="","",IFERROR(A88-LOOKUP(2,1/($B$4:$B87=B88),$A$4:$A87),""))</f>
        <v/>
      </c>
      <c r="I88" s="72" t="str">
        <f t="shared" si="1"/>
        <v/>
      </c>
      <c r="J88" s="4">
        <v>141241</v>
      </c>
      <c r="K88" s="6" t="str">
        <f>IF(B88="","",IFERROR(AVERAGEIFS($I$4:$I88,$B$4:$B88,B88,$I$4:$I88,"&gt;"&amp;0),""))</f>
        <v/>
      </c>
      <c r="L88" s="4" t="str">
        <f>IF(B88="","",IF(ISNA(MATCH(B88,Client_List!$B:$B,0)),"⚠ NOT FOUND","✓"))</f>
        <v>✓</v>
      </c>
    </row>
    <row r="89" spans="1:12" ht="14" customHeight="1" x14ac:dyDescent="0.2">
      <c r="A89" s="57">
        <v>46032</v>
      </c>
      <c r="B89" s="7" t="s">
        <v>372</v>
      </c>
      <c r="C89" s="13">
        <f>IF(B89="","",IFERROR(INDEX(Client_List!$C:$C,MATCH(B89,Client_List!$B:$B,0)),""))</f>
        <v>0</v>
      </c>
      <c r="D89" s="9" t="str">
        <f>IF(B89="","",IFERROR(INDEX(Client_List!$D:$D,MATCH(B89,Client_List!$B:$B,0)),""))</f>
        <v>F</v>
      </c>
      <c r="E89" s="9" t="str">
        <f>IF(B89="","",IFERROR(INDEX(Client_List!$K:$K,MATCH(B89,Client_List!$B:$B,0)),""))</f>
        <v>CANOLA OIL</v>
      </c>
      <c r="F89" s="10">
        <f>IF(B89="","",IFERROR(INDEX(Client_List!$J:$J,MATCH(B89,Client_List!$B:$B,0)),""))</f>
        <v>700</v>
      </c>
      <c r="G89" s="10">
        <v>348</v>
      </c>
      <c r="H89" s="9" t="str">
        <f>IF(B89="","",IFERROR(A89-LOOKUP(2,1/($B$4:$B88=B89),$A$4:$A88),""))</f>
        <v/>
      </c>
      <c r="I89" s="73" t="str">
        <f t="shared" si="1"/>
        <v/>
      </c>
      <c r="J89" s="9">
        <v>141245</v>
      </c>
      <c r="K89" s="6" t="str">
        <f>IF(B89="","",IFERROR(AVERAGEIFS($I$4:$I89,$B$4:$B89,B89,$I$4:$I89,"&gt;"&amp;0),""))</f>
        <v/>
      </c>
      <c r="L89" s="9" t="str">
        <f>IF(B89="","",IF(ISNA(MATCH(B89,Client_List!$B:$B,0)),"⚠ NOT FOUND","✓"))</f>
        <v>✓</v>
      </c>
    </row>
    <row r="90" spans="1:12" ht="14" customHeight="1" x14ac:dyDescent="0.2">
      <c r="A90" s="56">
        <v>46032</v>
      </c>
      <c r="B90" s="2" t="s">
        <v>373</v>
      </c>
      <c r="C90" s="12">
        <f>IF(B90="","",IFERROR(INDEX(Client_List!$C:$C,MATCH(B90,Client_List!$B:$B,0)),""))</f>
        <v>0</v>
      </c>
      <c r="D90" s="4" t="str">
        <f>IF(B90="","",IFERROR(INDEX(Client_List!$D:$D,MATCH(B90,Client_List!$B:$B,0)),""))</f>
        <v>T</v>
      </c>
      <c r="E90" s="4" t="str">
        <f>IF(B90="","",IFERROR(INDEX(Client_List!$K:$K,MATCH(B90,Client_List!$B:$B,0)),""))</f>
        <v>CANOLA OIL</v>
      </c>
      <c r="F90" s="5">
        <f>IF(B90="","",IFERROR(INDEX(Client_List!$J:$J,MATCH(B90,Client_List!$B:$B,0)),""))</f>
        <v>950</v>
      </c>
      <c r="G90" s="5">
        <v>632</v>
      </c>
      <c r="H90" s="4" t="str">
        <f>IF(B90="","",IFERROR(A90-LOOKUP(2,1/($B$4:$B89=B90),$A$4:$A89),""))</f>
        <v/>
      </c>
      <c r="I90" s="72" t="str">
        <f t="shared" si="1"/>
        <v/>
      </c>
      <c r="J90" s="4">
        <v>141242</v>
      </c>
      <c r="K90" s="6" t="str">
        <f>IF(B90="","",IFERROR(AVERAGEIFS($I$4:$I90,$B$4:$B90,B90,$I$4:$I90,"&gt;"&amp;0),""))</f>
        <v/>
      </c>
      <c r="L90" s="4" t="str">
        <f>IF(B90="","",IF(ISNA(MATCH(B90,Client_List!$B:$B,0)),"⚠ NOT FOUND","✓"))</f>
        <v>✓</v>
      </c>
    </row>
    <row r="91" spans="1:12" ht="14" customHeight="1" x14ac:dyDescent="0.2">
      <c r="A91" s="57">
        <v>46032</v>
      </c>
      <c r="B91" s="7" t="s">
        <v>374</v>
      </c>
      <c r="C91" s="3">
        <f>IF(B91="","",IFERROR(INDEX(Client_List!$C:$C,MATCH(B91,Client_List!$B:$B,0)),""))</f>
        <v>0</v>
      </c>
      <c r="D91" s="9" t="str">
        <f>IF(B91="","",IFERROR(INDEX(Client_List!$D:$D,MATCH(B91,Client_List!$B:$B,0)),""))</f>
        <v>F</v>
      </c>
      <c r="E91" s="9" t="str">
        <f>IF(B91="","",IFERROR(INDEX(Client_List!$K:$K,MATCH(B91,Client_List!$B:$B,0)),""))</f>
        <v>CANOLA OIL</v>
      </c>
      <c r="F91" s="10">
        <f>IF(B91="","",IFERROR(INDEX(Client_List!$J:$J,MATCH(B91,Client_List!$B:$B,0)),""))</f>
        <v>700</v>
      </c>
      <c r="G91" s="10">
        <v>386</v>
      </c>
      <c r="H91" s="9" t="str">
        <f>IF(B91="","",IFERROR(A91-LOOKUP(2,1/($B$4:$B90=B91),$A$4:$A90),""))</f>
        <v/>
      </c>
      <c r="I91" s="73" t="str">
        <f t="shared" si="1"/>
        <v/>
      </c>
      <c r="J91" s="9">
        <v>141246</v>
      </c>
      <c r="K91" s="6" t="str">
        <f>IF(B91="","",IFERROR(AVERAGEIFS($I$4:$I91,$B$4:$B91,B91,$I$4:$I91,"&gt;"&amp;0),""))</f>
        <v/>
      </c>
      <c r="L91" s="9" t="str">
        <f>IF(B91="","",IF(ISNA(MATCH(B91,Client_List!$B:$B,0)),"⚠ NOT FOUND","✓"))</f>
        <v>✓</v>
      </c>
    </row>
    <row r="92" spans="1:12" ht="14" customHeight="1" x14ac:dyDescent="0.2">
      <c r="A92" s="56">
        <v>46033</v>
      </c>
      <c r="B92" s="2" t="s">
        <v>49</v>
      </c>
      <c r="C92" s="3" t="str">
        <f>IF(B92="","",IFERROR(INDEX(Client_List!$C:$C,MATCH(B92,Client_List!$B:$B,0)),""))</f>
        <v>2</v>
      </c>
      <c r="D92" s="4" t="str">
        <f>IF(B92="","",IFERROR(INDEX(Client_List!$D:$D,MATCH(B92,Client_List!$B:$B,0)),""))</f>
        <v>2C</v>
      </c>
      <c r="E92" s="4" t="str">
        <f>IF(B92="","",IFERROR(INDEX(Client_List!$K:$K,MATCH(B92,Client_List!$B:$B,0)),""))</f>
        <v>CANOLA OIL</v>
      </c>
      <c r="F92" s="5">
        <f>IF(B92="","",IFERROR(INDEX(Client_List!$J:$J,MATCH(B92,Client_List!$B:$B,0)),""))</f>
        <v>950</v>
      </c>
      <c r="G92" s="5">
        <v>938</v>
      </c>
      <c r="H92" s="4" t="str">
        <f>IF(B92="","",IFERROR(A92-LOOKUP(2,1/($B$4:$B91=B92),$A$4:$A91),""))</f>
        <v/>
      </c>
      <c r="I92" s="72" t="str">
        <f t="shared" si="1"/>
        <v/>
      </c>
      <c r="J92" s="4" t="s">
        <v>375</v>
      </c>
      <c r="K92" s="6" t="str">
        <f>IF(B92="","",IFERROR(AVERAGEIFS($I$4:$I92,$B$4:$B92,B92,$I$4:$I92,"&gt;"&amp;0),""))</f>
        <v/>
      </c>
      <c r="L92" s="4" t="str">
        <f>IF(B92="","",IF(ISNA(MATCH(B92,Client_List!$B:$B,0)),"⚠ NOT FOUND","✓"))</f>
        <v>✓</v>
      </c>
    </row>
    <row r="93" spans="1:12" ht="14" customHeight="1" x14ac:dyDescent="0.2">
      <c r="A93" s="57">
        <v>46033</v>
      </c>
      <c r="B93" s="7" t="s">
        <v>104</v>
      </c>
      <c r="C93" s="3" t="str">
        <f>IF(B93="","",IFERROR(INDEX(Client_List!$C:$C,MATCH(B93,Client_List!$B:$B,0)),""))</f>
        <v>4</v>
      </c>
      <c r="D93" s="9" t="str">
        <f>IF(B93="","",IFERROR(INDEX(Client_List!$D:$D,MATCH(B93,Client_List!$B:$B,0)),""))</f>
        <v>4E</v>
      </c>
      <c r="E93" s="9" t="str">
        <f>IF(B93="","",IFERROR(INDEX(Client_List!$K:$K,MATCH(B93,Client_List!$B:$B,0)),""))</f>
        <v>CANOLA OIL</v>
      </c>
      <c r="F93" s="10">
        <f>IF(B93="","",IFERROR(INDEX(Client_List!$J:$J,MATCH(B93,Client_List!$B:$B,0)),""))</f>
        <v>350</v>
      </c>
      <c r="G93" s="10">
        <v>336</v>
      </c>
      <c r="H93" s="9" t="str">
        <f>IF(B93="","",IFERROR(A93-LOOKUP(2,1/($B$4:$B92=B93),$A$4:$A92),""))</f>
        <v/>
      </c>
      <c r="I93" s="73" t="str">
        <f t="shared" si="1"/>
        <v/>
      </c>
      <c r="J93" s="9">
        <v>141276</v>
      </c>
      <c r="K93" s="6" t="str">
        <f>IF(B93="","",IFERROR(AVERAGEIFS($I$4:$I93,$B$4:$B93,B93,$I$4:$I93,"&gt;"&amp;0),""))</f>
        <v/>
      </c>
      <c r="L93" s="9" t="str">
        <f>IF(B93="","",IF(ISNA(MATCH(B93,Client_List!$B:$B,0)),"⚠ NOT FOUND","✓"))</f>
        <v>✓</v>
      </c>
    </row>
    <row r="94" spans="1:12" ht="14" customHeight="1" x14ac:dyDescent="0.2">
      <c r="A94" s="56">
        <v>46033</v>
      </c>
      <c r="B94" s="2" t="s">
        <v>126</v>
      </c>
      <c r="C94" s="3" t="str">
        <f>IF(B94="","",IFERROR(INDEX(Client_List!$C:$C,MATCH(B94,Client_List!$B:$B,0)),""))</f>
        <v>4</v>
      </c>
      <c r="D94" s="4" t="str">
        <f>IF(B94="","",IFERROR(INDEX(Client_List!$D:$D,MATCH(B94,Client_List!$B:$B,0)),""))</f>
        <v>4D</v>
      </c>
      <c r="E94" s="4" t="str">
        <f>IF(B94="","",IFERROR(INDEX(Client_List!$K:$K,MATCH(B94,Client_List!$B:$B,0)),""))</f>
        <v>CANOLA OIL</v>
      </c>
      <c r="F94" s="5">
        <f>IF(B94="","",IFERROR(INDEX(Client_List!$J:$J,MATCH(B94,Client_List!$B:$B,0)),""))</f>
        <v>700</v>
      </c>
      <c r="G94" s="5">
        <v>611</v>
      </c>
      <c r="H94" s="4">
        <f>IF(B94="","",IFERROR(A94-LOOKUP(2,1/($B$4:$B93=B94),$A$4:$A93),""))</f>
        <v>8</v>
      </c>
      <c r="I94" s="72">
        <f t="shared" si="1"/>
        <v>76.375</v>
      </c>
      <c r="J94" s="4">
        <v>141211</v>
      </c>
      <c r="K94" s="6">
        <f>IF(B94="","",IFERROR(AVERAGEIFS($I$4:$I94,$B$4:$B94,B94,$I$4:$I94,"&gt;"&amp;0),""))</f>
        <v>76.375</v>
      </c>
      <c r="L94" s="4" t="str">
        <f>IF(B94="","",IF(ISNA(MATCH(B94,Client_List!$B:$B,0)),"⚠ NOT FOUND","✓"))</f>
        <v>✓</v>
      </c>
    </row>
    <row r="95" spans="1:12" ht="14" customHeight="1" x14ac:dyDescent="0.2">
      <c r="A95" s="57">
        <v>46033</v>
      </c>
      <c r="B95" s="7" t="s">
        <v>146</v>
      </c>
      <c r="C95" s="3" t="str">
        <f>IF(B95="","",IFERROR(INDEX(Client_List!$C:$C,MATCH(B95,Client_List!$B:$B,0)),""))</f>
        <v>4</v>
      </c>
      <c r="D95" s="9" t="str">
        <f>IF(B95="","",IFERROR(INDEX(Client_List!$D:$D,MATCH(B95,Client_List!$B:$B,0)),""))</f>
        <v>4F</v>
      </c>
      <c r="E95" s="9" t="str">
        <f>IF(B95="","",IFERROR(INDEX(Client_List!$K:$K,MATCH(B95,Client_List!$B:$B,0)),""))</f>
        <v>CANOLA OIL</v>
      </c>
      <c r="F95" s="10">
        <f>IF(B95="","",IFERROR(INDEX(Client_List!$J:$J,MATCH(B95,Client_List!$B:$B,0)),""))</f>
        <v>950</v>
      </c>
      <c r="G95" s="10">
        <v>915</v>
      </c>
      <c r="H95" s="9" t="str">
        <f>IF(B95="","",IFERROR(A95-LOOKUP(2,1/($B$4:$B94=B95),$A$4:$A94),""))</f>
        <v/>
      </c>
      <c r="I95" s="73" t="str">
        <f t="shared" si="1"/>
        <v/>
      </c>
      <c r="J95" s="9">
        <v>141270</v>
      </c>
      <c r="K95" s="6" t="str">
        <f>IF(B95="","",IFERROR(AVERAGEIFS($I$4:$I95,$B$4:$B95,B95,$I$4:$I95,"&gt;"&amp;0),""))</f>
        <v/>
      </c>
      <c r="L95" s="9" t="str">
        <f>IF(B95="","",IF(ISNA(MATCH(B95,Client_List!$B:$B,0)),"⚠ NOT FOUND","✓"))</f>
        <v>✓</v>
      </c>
    </row>
    <row r="96" spans="1:12" ht="14" customHeight="1" x14ac:dyDescent="0.2">
      <c r="A96" s="56">
        <v>46033</v>
      </c>
      <c r="B96" s="2" t="s">
        <v>186</v>
      </c>
      <c r="C96" s="12" t="str">
        <f>IF(B96="","",IFERROR(INDEX(Client_List!$C:$C,MATCH(B96,Client_List!$B:$B,0)),""))</f>
        <v>4</v>
      </c>
      <c r="D96" s="4" t="str">
        <f>IF(B96="","",IFERROR(INDEX(Client_List!$D:$D,MATCH(B96,Client_List!$B:$B,0)),""))</f>
        <v>4E</v>
      </c>
      <c r="E96" s="4" t="str">
        <f>IF(B96="","",IFERROR(INDEX(Client_List!$K:$K,MATCH(B96,Client_List!$B:$B,0)),""))</f>
        <v>CANOLA OIL</v>
      </c>
      <c r="F96" s="5">
        <f>IF(B96="","",IFERROR(INDEX(Client_List!$J:$J,MATCH(B96,Client_List!$B:$B,0)),""))</f>
        <v>950</v>
      </c>
      <c r="G96" s="5">
        <v>911</v>
      </c>
      <c r="H96" s="4" t="str">
        <f>IF(B96="","",IFERROR(A96-LOOKUP(2,1/($B$4:$B95=B96),$A$4:$A95),""))</f>
        <v/>
      </c>
      <c r="I96" s="72" t="str">
        <f t="shared" si="1"/>
        <v/>
      </c>
      <c r="J96" s="4">
        <v>141275</v>
      </c>
      <c r="K96" s="6" t="str">
        <f>IF(B96="","",IFERROR(AVERAGEIFS($I$4:$I96,$B$4:$B96,B96,$I$4:$I96,"&gt;"&amp;0),""))</f>
        <v/>
      </c>
      <c r="L96" s="4" t="str">
        <f>IF(B96="","",IF(ISNA(MATCH(B96,Client_List!$B:$B,0)),"⚠ NOT FOUND","✓"))</f>
        <v>✓</v>
      </c>
    </row>
    <row r="97" spans="1:12" ht="14" customHeight="1" x14ac:dyDescent="0.2">
      <c r="A97" s="57">
        <v>46033</v>
      </c>
      <c r="B97" s="7" t="s">
        <v>324</v>
      </c>
      <c r="C97" s="12" t="str">
        <f>IF(B97="","",IFERROR(INDEX(Client_List!$C:$C,MATCH(B97,Client_List!$B:$B,0)),""))</f>
        <v>4</v>
      </c>
      <c r="D97" s="9" t="str">
        <f>IF(B97="","",IFERROR(INDEX(Client_List!$D:$D,MATCH(B97,Client_List!$B:$B,0)),""))</f>
        <v>4B</v>
      </c>
      <c r="E97" s="9" t="str">
        <f>IF(B97="","",IFERROR(INDEX(Client_List!$K:$K,MATCH(B97,Client_List!$B:$B,0)),""))</f>
        <v>CANOLA OIL</v>
      </c>
      <c r="F97" s="10">
        <f>IF(B97="","",IFERROR(INDEX(Client_List!$J:$J,MATCH(B97,Client_List!$B:$B,0)),""))</f>
        <v>1050</v>
      </c>
      <c r="G97" s="10">
        <v>150</v>
      </c>
      <c r="H97" s="9" t="str">
        <f>IF(B97="","",IFERROR(A97-LOOKUP(2,1/($B$4:$B96=B97),$A$4:$A96),""))</f>
        <v/>
      </c>
      <c r="I97" s="73" t="str">
        <f t="shared" si="1"/>
        <v/>
      </c>
      <c r="J97" s="9">
        <v>141274</v>
      </c>
      <c r="K97" s="6" t="str">
        <f>IF(B97="","",IFERROR(AVERAGEIFS($I$4:$I97,$B$4:$B97,B97,$I$4:$I97,"&gt;"&amp;0),""))</f>
        <v/>
      </c>
      <c r="L97" s="9" t="str">
        <f>IF(B97="","",IF(ISNA(MATCH(B97,Client_List!$B:$B,0)),"⚠ NOT FOUND","✓"))</f>
        <v>✓</v>
      </c>
    </row>
    <row r="98" spans="1:12" ht="14" customHeight="1" x14ac:dyDescent="0.2">
      <c r="A98" s="56">
        <v>46033</v>
      </c>
      <c r="B98" s="2" t="s">
        <v>334</v>
      </c>
      <c r="C98" s="3" t="str">
        <f>IF(B98="","",IFERROR(INDEX(Client_List!$C:$C,MATCH(B98,Client_List!$B:$B,0)),""))</f>
        <v>5</v>
      </c>
      <c r="D98" s="4" t="str">
        <f>IF(B98="","",IFERROR(INDEX(Client_List!$D:$D,MATCH(B98,Client_List!$B:$B,0)),""))</f>
        <v>5E</v>
      </c>
      <c r="E98" s="4" t="str">
        <f>IF(B98="","",IFERROR(INDEX(Client_List!$K:$K,MATCH(B98,Client_List!$B:$B,0)),""))</f>
        <v>CANOLA OIL</v>
      </c>
      <c r="F98" s="5">
        <f>IF(B98="","",IFERROR(INDEX(Client_List!$J:$J,MATCH(B98,Client_List!$B:$B,0)),""))</f>
        <v>1050</v>
      </c>
      <c r="G98" s="5">
        <v>1005</v>
      </c>
      <c r="H98" s="4" t="str">
        <f>IF(B98="","",IFERROR(A98-LOOKUP(2,1/($B$4:$B97=B98),$A$4:$A97),""))</f>
        <v/>
      </c>
      <c r="I98" s="72" t="str">
        <f t="shared" si="1"/>
        <v/>
      </c>
      <c r="J98" s="4">
        <v>141271</v>
      </c>
      <c r="K98" s="6" t="str">
        <f>IF(B98="","",IFERROR(AVERAGEIFS($I$4:$I98,$B$4:$B98,B98,$I$4:$I98,"&gt;"&amp;0),""))</f>
        <v/>
      </c>
      <c r="L98" s="4" t="str">
        <f>IF(B98="","",IF(ISNA(MATCH(B98,Client_List!$B:$B,0)),"⚠ NOT FOUND","✓"))</f>
        <v>✓</v>
      </c>
    </row>
    <row r="99" spans="1:12" ht="14" customHeight="1" x14ac:dyDescent="0.2">
      <c r="A99" s="57">
        <v>46035</v>
      </c>
      <c r="B99" s="7" t="s">
        <v>75</v>
      </c>
      <c r="C99" s="13" t="str">
        <f>IF(B99="","",IFERROR(INDEX(Client_List!$C:$C,MATCH(B99,Client_List!$B:$B,0)),""))</f>
        <v>1</v>
      </c>
      <c r="D99" s="9" t="str">
        <f>IF(B99="","",IFERROR(INDEX(Client_List!$D:$D,MATCH(B99,Client_List!$B:$B,0)),""))</f>
        <v>1D</v>
      </c>
      <c r="E99" s="9" t="str">
        <f>IF(B99="","",IFERROR(INDEX(Client_List!$K:$K,MATCH(B99,Client_List!$B:$B,0)),""))</f>
        <v>CANOLA OIL</v>
      </c>
      <c r="F99" s="10">
        <f>IF(B99="","",IFERROR(INDEX(Client_List!$J:$J,MATCH(B99,Client_List!$B:$B,0)),""))</f>
        <v>620</v>
      </c>
      <c r="G99" s="10">
        <v>690</v>
      </c>
      <c r="H99" s="9">
        <f>IF(B99="","",IFERROR(A99-LOOKUP(2,1/($B$4:$B98=B99),$A$4:$A98),""))</f>
        <v>7</v>
      </c>
      <c r="I99" s="73">
        <f t="shared" si="1"/>
        <v>98.571428571428569</v>
      </c>
      <c r="J99" s="9">
        <v>141328</v>
      </c>
      <c r="K99" s="6">
        <f>IF(B99="","",IFERROR(AVERAGEIFS($I$4:$I99,$B$4:$B99,B99,$I$4:$I99,"&gt;"&amp;0),""))</f>
        <v>98.571428571428569</v>
      </c>
      <c r="L99" s="9" t="str">
        <f>IF(B99="","",IF(ISNA(MATCH(B99,Client_List!$B:$B,0)),"⚠ NOT FOUND","✓"))</f>
        <v>✓</v>
      </c>
    </row>
    <row r="100" spans="1:12" ht="14" customHeight="1" x14ac:dyDescent="0.2">
      <c r="A100" s="56">
        <v>46035</v>
      </c>
      <c r="B100" s="2" t="s">
        <v>90</v>
      </c>
      <c r="C100" s="12" t="str">
        <f>IF(B100="","",IFERROR(INDEX(Client_List!$C:$C,MATCH(B100,Client_List!$B:$B,0)),""))</f>
        <v>2</v>
      </c>
      <c r="D100" s="4" t="str">
        <f>IF(B100="","",IFERROR(INDEX(Client_List!$D:$D,MATCH(B100,Client_List!$B:$B,0)),""))</f>
        <v>2C</v>
      </c>
      <c r="E100" s="4" t="str">
        <f>IF(B100="","",IFERROR(INDEX(Client_List!$K:$K,MATCH(B100,Client_List!$B:$B,0)),""))</f>
        <v>CANOLA OIL</v>
      </c>
      <c r="F100" s="5">
        <f>IF(B100="","",IFERROR(INDEX(Client_List!$J:$J,MATCH(B100,Client_List!$B:$B,0)),""))</f>
        <v>1000</v>
      </c>
      <c r="G100" s="5">
        <v>1079</v>
      </c>
      <c r="H100" s="4" t="str">
        <f>IF(B100="","",IFERROR(A100-LOOKUP(2,1/($B$4:$B99=B100),$A$4:$A99),""))</f>
        <v/>
      </c>
      <c r="I100" s="72" t="str">
        <f t="shared" si="1"/>
        <v/>
      </c>
      <c r="J100" s="4">
        <v>141329</v>
      </c>
      <c r="K100" s="6" t="str">
        <f>IF(B100="","",IFERROR(AVERAGEIFS($I$4:$I100,$B$4:$B100,B100,$I$4:$I100,"&gt;"&amp;0),""))</f>
        <v/>
      </c>
      <c r="L100" s="4" t="str">
        <f>IF(B100="","",IF(ISNA(MATCH(B100,Client_List!$B:$B,0)),"⚠ NOT FOUND","✓"))</f>
        <v>✓</v>
      </c>
    </row>
    <row r="101" spans="1:12" ht="14" customHeight="1" x14ac:dyDescent="0.2">
      <c r="A101" s="57">
        <v>46035</v>
      </c>
      <c r="B101" s="7" t="s">
        <v>142</v>
      </c>
      <c r="C101" s="12" t="str">
        <f>IF(B101="","",IFERROR(INDEX(Client_List!$C:$C,MATCH(B101,Client_List!$B:$B,0)),""))</f>
        <v>4</v>
      </c>
      <c r="D101" s="9" t="str">
        <f>IF(B101="","",IFERROR(INDEX(Client_List!$D:$D,MATCH(B101,Client_List!$B:$B,0)),""))</f>
        <v>4A</v>
      </c>
      <c r="E101" s="9" t="str">
        <f>IF(B101="","",IFERROR(INDEX(Client_List!$K:$K,MATCH(B101,Client_List!$B:$B,0)),""))</f>
        <v>FRYERS CHOICE BLEND</v>
      </c>
      <c r="F101" s="10">
        <f>IF(B101="","",IFERROR(INDEX(Client_List!$J:$J,MATCH(B101,Client_List!$B:$B,0)),""))</f>
        <v>1050</v>
      </c>
      <c r="G101" s="10">
        <v>1167</v>
      </c>
      <c r="H101" s="9">
        <f>IF(B101="","",IFERROR(A101-LOOKUP(2,1/($B$4:$B100=B101),$A$4:$A100),""))</f>
        <v>8</v>
      </c>
      <c r="I101" s="73">
        <f t="shared" si="1"/>
        <v>145.875</v>
      </c>
      <c r="J101" s="9">
        <v>141334</v>
      </c>
      <c r="K101" s="6">
        <f>IF(B101="","",IFERROR(AVERAGEIFS($I$4:$I101,$B$4:$B101,B101,$I$4:$I101,"&gt;"&amp;0),""))</f>
        <v>199.9375</v>
      </c>
      <c r="L101" s="9" t="str">
        <f>IF(B101="","",IF(ISNA(MATCH(B101,Client_List!$B:$B,0)),"⚠ NOT FOUND","✓"))</f>
        <v>✓</v>
      </c>
    </row>
    <row r="102" spans="1:12" ht="14" customHeight="1" x14ac:dyDescent="0.2">
      <c r="A102" s="56">
        <v>46035</v>
      </c>
      <c r="B102" s="2" t="s">
        <v>144</v>
      </c>
      <c r="C102" s="8" t="str">
        <f>IF(B102="","",IFERROR(INDEX(Client_List!$C:$C,MATCH(B102,Client_List!$B:$B,0)),""))</f>
        <v>4</v>
      </c>
      <c r="D102" s="4" t="str">
        <f>IF(B102="","",IFERROR(INDEX(Client_List!$D:$D,MATCH(B102,Client_List!$B:$B,0)),""))</f>
        <v>4A</v>
      </c>
      <c r="E102" s="4" t="str">
        <f>IF(B102="","",IFERROR(INDEX(Client_List!$K:$K,MATCH(B102,Client_List!$B:$B,0)),""))</f>
        <v>FRYERS CHOICE BLEND</v>
      </c>
      <c r="F102" s="5">
        <f>IF(B102="","",IFERROR(INDEX(Client_List!$J:$J,MATCH(B102,Client_List!$B:$B,0)),""))</f>
        <v>900</v>
      </c>
      <c r="G102" s="5">
        <v>373</v>
      </c>
      <c r="H102" s="4">
        <f>IF(B102="","",IFERROR(A102-LOOKUP(2,1/($B$4:$B101=B102),$A$4:$A101),""))</f>
        <v>6</v>
      </c>
      <c r="I102" s="72">
        <f t="shared" si="1"/>
        <v>62.166666666666664</v>
      </c>
      <c r="J102" s="4">
        <v>141335</v>
      </c>
      <c r="K102" s="6">
        <f>IF(B102="","",IFERROR(AVERAGEIFS($I$4:$I102,$B$4:$B102,B102,$I$4:$I102,"&gt;"&amp;0),""))</f>
        <v>62.166666666666664</v>
      </c>
      <c r="L102" s="4" t="str">
        <f>IF(B102="","",IF(ISNA(MATCH(B102,Client_List!$B:$B,0)),"⚠ NOT FOUND","✓"))</f>
        <v>✓</v>
      </c>
    </row>
    <row r="103" spans="1:12" ht="14" customHeight="1" x14ac:dyDescent="0.2">
      <c r="A103" s="57">
        <v>46035</v>
      </c>
      <c r="B103" s="7" t="s">
        <v>148</v>
      </c>
      <c r="C103" s="13" t="str">
        <f>IF(B103="","",IFERROR(INDEX(Client_List!$C:$C,MATCH(B103,Client_List!$B:$B,0)),""))</f>
        <v>4</v>
      </c>
      <c r="D103" s="9" t="str">
        <f>IF(B103="","",IFERROR(INDEX(Client_List!$D:$D,MATCH(B103,Client_List!$B:$B,0)),""))</f>
        <v>4B</v>
      </c>
      <c r="E103" s="9" t="str">
        <f>IF(B103="","",IFERROR(INDEX(Client_List!$K:$K,MATCH(B103,Client_List!$B:$B,0)),""))</f>
        <v>FRYERS CHOICE BLEND</v>
      </c>
      <c r="F103" s="10">
        <f>IF(B103="","",IFERROR(INDEX(Client_List!$J:$J,MATCH(B103,Client_List!$B:$B,0)),""))</f>
        <v>950</v>
      </c>
      <c r="G103" s="10">
        <v>911</v>
      </c>
      <c r="H103" s="9">
        <f>IF(B103="","",IFERROR(A103-LOOKUP(2,1/($B$4:$B102=B103),$A$4:$A102),""))</f>
        <v>11</v>
      </c>
      <c r="I103" s="73">
        <f t="shared" si="1"/>
        <v>82.818181818181813</v>
      </c>
      <c r="J103" s="9">
        <v>141333</v>
      </c>
      <c r="K103" s="6">
        <f>IF(B103="","",IFERROR(AVERAGEIFS($I$4:$I103,$B$4:$B103,B103,$I$4:$I103,"&gt;"&amp;0),""))</f>
        <v>82.818181818181813</v>
      </c>
      <c r="L103" s="9" t="str">
        <f>IF(B103="","",IF(ISNA(MATCH(B103,Client_List!$B:$B,0)),"⚠ NOT FOUND","✓"))</f>
        <v>✓</v>
      </c>
    </row>
    <row r="104" spans="1:12" ht="14" customHeight="1" x14ac:dyDescent="0.2">
      <c r="A104" s="56">
        <v>46035</v>
      </c>
      <c r="B104" s="2" t="s">
        <v>156</v>
      </c>
      <c r="C104" s="13" t="str">
        <f>IF(B104="","",IFERROR(INDEX(Client_List!$C:$C,MATCH(B104,Client_List!$B:$B,0)),""))</f>
        <v>4</v>
      </c>
      <c r="D104" s="4" t="str">
        <f>IF(B104="","",IFERROR(INDEX(Client_List!$D:$D,MATCH(B104,Client_List!$B:$B,0)),""))</f>
        <v>4B</v>
      </c>
      <c r="E104" s="4" t="str">
        <f>IF(B104="","",IFERROR(INDEX(Client_List!$K:$K,MATCH(B104,Client_List!$B:$B,0)),""))</f>
        <v>CANOLA OIL</v>
      </c>
      <c r="F104" s="5">
        <f>IF(B104="","",IFERROR(INDEX(Client_List!$J:$J,MATCH(B104,Client_List!$B:$B,0)),""))</f>
        <v>1050</v>
      </c>
      <c r="G104" s="5">
        <v>1037</v>
      </c>
      <c r="H104" s="4" t="str">
        <f>IF(B104="","",IFERROR(A104-LOOKUP(2,1/($B$4:$B103=B104),$A$4:$A103),""))</f>
        <v/>
      </c>
      <c r="I104" s="72" t="str">
        <f t="shared" si="1"/>
        <v/>
      </c>
      <c r="J104" s="4">
        <v>141319</v>
      </c>
      <c r="K104" s="6" t="str">
        <f>IF(B104="","",IFERROR(AVERAGEIFS($I$4:$I104,$B$4:$B104,B104,$I$4:$I104,"&gt;"&amp;0),""))</f>
        <v/>
      </c>
      <c r="L104" s="4" t="str">
        <f>IF(B104="","",IF(ISNA(MATCH(B104,Client_List!$B:$B,0)),"⚠ NOT FOUND","✓"))</f>
        <v>✓</v>
      </c>
    </row>
    <row r="105" spans="1:12" ht="14" customHeight="1" x14ac:dyDescent="0.2">
      <c r="A105" s="57">
        <v>46035</v>
      </c>
      <c r="B105" s="7" t="s">
        <v>168</v>
      </c>
      <c r="C105" s="3" t="str">
        <f>IF(B105="","",IFERROR(INDEX(Client_List!$C:$C,MATCH(B105,Client_List!$B:$B,0)),""))</f>
        <v>4</v>
      </c>
      <c r="D105" s="9" t="str">
        <f>IF(B105="","",IFERROR(INDEX(Client_List!$D:$D,MATCH(B105,Client_List!$B:$B,0)),""))</f>
        <v>4B</v>
      </c>
      <c r="E105" s="9" t="str">
        <f>IF(B105="","",IFERROR(INDEX(Client_List!$K:$K,MATCH(B105,Client_List!$B:$B,0)),""))</f>
        <v>FRYERS CHOICE BLEND</v>
      </c>
      <c r="F105" s="10">
        <f>IF(B105="","",IFERROR(INDEX(Client_List!$J:$J,MATCH(B105,Client_List!$B:$B,0)),""))</f>
        <v>620</v>
      </c>
      <c r="G105" s="10">
        <v>612</v>
      </c>
      <c r="H105" s="9" t="str">
        <f>IF(B105="","",IFERROR(A105-LOOKUP(2,1/($B$4:$B104=B105),$A$4:$A104),""))</f>
        <v/>
      </c>
      <c r="I105" s="73" t="str">
        <f t="shared" si="1"/>
        <v/>
      </c>
      <c r="J105" s="9">
        <v>141330</v>
      </c>
      <c r="K105" s="6" t="str">
        <f>IF(B105="","",IFERROR(AVERAGEIFS($I$4:$I105,$B$4:$B105,B105,$I$4:$I105,"&gt;"&amp;0),""))</f>
        <v/>
      </c>
      <c r="L105" s="9" t="str">
        <f>IF(B105="","",IF(ISNA(MATCH(B105,Client_List!$B:$B,0)),"⚠ NOT FOUND","✓"))</f>
        <v>✓</v>
      </c>
    </row>
    <row r="106" spans="1:12" ht="14" customHeight="1" x14ac:dyDescent="0.2">
      <c r="A106" s="56">
        <v>46035</v>
      </c>
      <c r="B106" s="2" t="s">
        <v>172</v>
      </c>
      <c r="C106" s="12" t="str">
        <f>IF(B106="","",IFERROR(INDEX(Client_List!$C:$C,MATCH(B106,Client_List!$B:$B,0)),""))</f>
        <v>2</v>
      </c>
      <c r="D106" s="4" t="str">
        <f>IF(B106="","",IFERROR(INDEX(Client_List!$D:$D,MATCH(B106,Client_List!$B:$B,0)),""))</f>
        <v>2E</v>
      </c>
      <c r="E106" s="4" t="str">
        <f>IF(B106="","",IFERROR(INDEX(Client_List!$K:$K,MATCH(B106,Client_List!$B:$B,0)),""))</f>
        <v>CANOLA OIL</v>
      </c>
      <c r="F106" s="5">
        <f>IF(B106="","",IFERROR(INDEX(Client_List!$J:$J,MATCH(B106,Client_List!$B:$B,0)),""))</f>
        <v>1050</v>
      </c>
      <c r="G106" s="5">
        <v>1011</v>
      </c>
      <c r="H106" s="4" t="str">
        <f>IF(B106="","",IFERROR(A106-LOOKUP(2,1/($B$4:$B105=B106),$A$4:$A105),""))</f>
        <v/>
      </c>
      <c r="I106" s="72" t="str">
        <f t="shared" si="1"/>
        <v/>
      </c>
      <c r="J106" s="4">
        <v>141331</v>
      </c>
      <c r="K106" s="6" t="str">
        <f>IF(B106="","",IFERROR(AVERAGEIFS($I$4:$I106,$B$4:$B106,B106,$I$4:$I106,"&gt;"&amp;0),""))</f>
        <v/>
      </c>
      <c r="L106" s="4" t="str">
        <f>IF(B106="","",IF(ISNA(MATCH(B106,Client_List!$B:$B,0)),"⚠ NOT FOUND","✓"))</f>
        <v>✓</v>
      </c>
    </row>
    <row r="107" spans="1:12" ht="14" customHeight="1" x14ac:dyDescent="0.2">
      <c r="A107" s="57">
        <v>46035</v>
      </c>
      <c r="B107" s="7" t="s">
        <v>190</v>
      </c>
      <c r="C107" s="3" t="str">
        <f>IF(B107="","",IFERROR(INDEX(Client_List!$C:$C,MATCH(B107,Client_List!$B:$B,0)),""))</f>
        <v>2</v>
      </c>
      <c r="D107" s="9" t="str">
        <f>IF(B107="","",IFERROR(INDEX(Client_List!$D:$D,MATCH(B107,Client_List!$B:$B,0)),""))</f>
        <v>2C</v>
      </c>
      <c r="E107" s="9" t="str">
        <f>IF(B107="","",IFERROR(INDEX(Client_List!$K:$K,MATCH(B107,Client_List!$B:$B,0)),""))</f>
        <v>CANOLA OIL</v>
      </c>
      <c r="F107" s="10">
        <f>IF(B107="","",IFERROR(INDEX(Client_List!$J:$J,MATCH(B107,Client_List!$B:$B,0)),""))</f>
        <v>1050</v>
      </c>
      <c r="G107" s="10">
        <v>891</v>
      </c>
      <c r="H107" s="9">
        <f>IF(B107="","",IFERROR(A107-LOOKUP(2,1/($B$4:$B106=B107),$A$4:$A106),""))</f>
        <v>8</v>
      </c>
      <c r="I107" s="73">
        <f t="shared" si="1"/>
        <v>111.375</v>
      </c>
      <c r="J107" s="9">
        <v>141336</v>
      </c>
      <c r="K107" s="6">
        <f>IF(B107="","",IFERROR(AVERAGEIFS($I$4:$I107,$B$4:$B107,B107,$I$4:$I107,"&gt;"&amp;0),""))</f>
        <v>111.375</v>
      </c>
      <c r="L107" s="9" t="str">
        <f>IF(B107="","",IF(ISNA(MATCH(B107,Client_List!$B:$B,0)),"⚠ NOT FOUND","✓"))</f>
        <v>✓</v>
      </c>
    </row>
    <row r="108" spans="1:12" ht="14" customHeight="1" x14ac:dyDescent="0.2">
      <c r="A108" s="56">
        <v>46035</v>
      </c>
      <c r="B108" s="2" t="s">
        <v>220</v>
      </c>
      <c r="C108" s="8" t="str">
        <f>IF(B108="","",IFERROR(INDEX(Client_List!$C:$C,MATCH(B108,Client_List!$B:$B,0)),""))</f>
        <v>4</v>
      </c>
      <c r="D108" s="4" t="str">
        <f>IF(B108="","",IFERROR(INDEX(Client_List!$D:$D,MATCH(B108,Client_List!$B:$B,0)),""))</f>
        <v>4A</v>
      </c>
      <c r="E108" s="4" t="str">
        <f>IF(B108="","",IFERROR(INDEX(Client_List!$K:$K,MATCH(B108,Client_List!$B:$B,0)),""))</f>
        <v>CANOLA OIL</v>
      </c>
      <c r="F108" s="5">
        <f>IF(B108="","",IFERROR(INDEX(Client_List!$J:$J,MATCH(B108,Client_List!$B:$B,0)),""))</f>
        <v>480</v>
      </c>
      <c r="G108" s="5">
        <v>482</v>
      </c>
      <c r="H108" s="4" t="str">
        <f>IF(B108="","",IFERROR(A108-LOOKUP(2,1/($B$4:$B107=B108),$A$4:$A107),""))</f>
        <v/>
      </c>
      <c r="I108" s="72" t="str">
        <f t="shared" si="1"/>
        <v/>
      </c>
      <c r="J108" s="4">
        <v>141321</v>
      </c>
      <c r="K108" s="6" t="str">
        <f>IF(B108="","",IFERROR(AVERAGEIFS($I$4:$I108,$B$4:$B108,B108,$I$4:$I108,"&gt;"&amp;0),""))</f>
        <v/>
      </c>
      <c r="L108" s="4" t="str">
        <f>IF(B108="","",IF(ISNA(MATCH(B108,Client_List!$B:$B,0)),"⚠ NOT FOUND","✓"))</f>
        <v>✓</v>
      </c>
    </row>
    <row r="109" spans="1:12" ht="14" customHeight="1" x14ac:dyDescent="0.2">
      <c r="A109" s="57">
        <v>46035</v>
      </c>
      <c r="B109" s="7" t="s">
        <v>230</v>
      </c>
      <c r="C109" s="12" t="str">
        <f>IF(B109="","",IFERROR(INDEX(Client_List!$C:$C,MATCH(B109,Client_List!$B:$B,0)),""))</f>
        <v>1</v>
      </c>
      <c r="D109" s="9" t="str">
        <f>IF(B109="","",IFERROR(INDEX(Client_List!$D:$D,MATCH(B109,Client_List!$B:$B,0)),""))</f>
        <v>1D</v>
      </c>
      <c r="E109" s="9" t="str">
        <f>IF(B109="","",IFERROR(INDEX(Client_List!$K:$K,MATCH(B109,Client_List!$B:$B,0)),""))</f>
        <v>CANOLA OIL</v>
      </c>
      <c r="F109" s="10">
        <f>IF(B109="","",IFERROR(INDEX(Client_List!$J:$J,MATCH(B109,Client_List!$B:$B,0)),""))</f>
        <v>660</v>
      </c>
      <c r="G109" s="10">
        <v>648</v>
      </c>
      <c r="H109" s="9" t="str">
        <f>IF(B109="","",IFERROR(A109-LOOKUP(2,1/($B$4:$B108=B109),$A$4:$A108),""))</f>
        <v/>
      </c>
      <c r="I109" s="73" t="str">
        <f t="shared" si="1"/>
        <v/>
      </c>
      <c r="J109" s="9">
        <v>141332</v>
      </c>
      <c r="K109" s="6" t="str">
        <f>IF(B109="","",IFERROR(AVERAGEIFS($I$4:$I109,$B$4:$B109,B109,$I$4:$I109,"&gt;"&amp;0),""))</f>
        <v/>
      </c>
      <c r="L109" s="9" t="str">
        <f>IF(B109="","",IF(ISNA(MATCH(B109,Client_List!$B:$B,0)),"⚠ NOT FOUND","✓"))</f>
        <v>✓</v>
      </c>
    </row>
    <row r="110" spans="1:12" ht="14" customHeight="1" x14ac:dyDescent="0.2">
      <c r="A110" s="56">
        <v>46035</v>
      </c>
      <c r="B110" s="2" t="s">
        <v>250</v>
      </c>
      <c r="C110" s="3" t="str">
        <f>IF(B110="","",IFERROR(INDEX(Client_List!$C:$C,MATCH(B110,Client_List!$B:$B,0)),""))</f>
        <v>2</v>
      </c>
      <c r="D110" s="4" t="str">
        <f>IF(B110="","",IFERROR(INDEX(Client_List!$D:$D,MATCH(B110,Client_List!$B:$B,0)),""))</f>
        <v>2D</v>
      </c>
      <c r="E110" s="4" t="str">
        <f>IF(B110="","",IFERROR(INDEX(Client_List!$K:$K,MATCH(B110,Client_List!$B:$B,0)),""))</f>
        <v>FRYERS CHOICE BLEND</v>
      </c>
      <c r="F110" s="5">
        <f>IF(B110="","",IFERROR(INDEX(Client_List!$J:$J,MATCH(B110,Client_List!$B:$B,0)),""))</f>
        <v>950</v>
      </c>
      <c r="G110" s="5">
        <v>919</v>
      </c>
      <c r="H110" s="4">
        <f>IF(B110="","",IFERROR(A110-LOOKUP(2,1/($B$4:$B109=B110),$A$4:$A109),""))</f>
        <v>8</v>
      </c>
      <c r="I110" s="72">
        <f t="shared" si="1"/>
        <v>114.875</v>
      </c>
      <c r="J110" s="4">
        <v>141326</v>
      </c>
      <c r="K110" s="6">
        <f>IF(B110="","",IFERROR(AVERAGEIFS($I$4:$I110,$B$4:$B110,B110,$I$4:$I110,"&gt;"&amp;0),""))</f>
        <v>114.875</v>
      </c>
      <c r="L110" s="4" t="str">
        <f>IF(B110="","",IF(ISNA(MATCH(B110,Client_List!$B:$B,0)),"⚠ NOT FOUND","✓"))</f>
        <v>✓</v>
      </c>
    </row>
    <row r="111" spans="1:12" ht="14" customHeight="1" x14ac:dyDescent="0.2">
      <c r="A111" s="57">
        <v>46035</v>
      </c>
      <c r="B111" s="7" t="s">
        <v>254</v>
      </c>
      <c r="C111" s="8" t="str">
        <f>IF(B111="","",IFERROR(INDEX(Client_List!$C:$C,MATCH(B111,Client_List!$B:$B,0)),""))</f>
        <v>2</v>
      </c>
      <c r="D111" s="9" t="str">
        <f>IF(B111="","",IFERROR(INDEX(Client_List!$D:$D,MATCH(B111,Client_List!$B:$B,0)),""))</f>
        <v>2E</v>
      </c>
      <c r="E111" s="9" t="str">
        <f>IF(B111="","",IFERROR(INDEX(Client_List!$K:$K,MATCH(B111,Client_List!$B:$B,0)),""))</f>
        <v>FRYERS CHOICE BLEND</v>
      </c>
      <c r="F111" s="10">
        <f>IF(B111="","",IFERROR(INDEX(Client_List!$J:$J,MATCH(B111,Client_List!$B:$B,0)),""))</f>
        <v>1950</v>
      </c>
      <c r="G111" s="10">
        <v>1115</v>
      </c>
      <c r="H111" s="9">
        <f>IF(B111="","",IFERROR(A111-LOOKUP(2,1/($B$4:$B110=B111),$A$4:$A110),""))</f>
        <v>11</v>
      </c>
      <c r="I111" s="73">
        <f t="shared" si="1"/>
        <v>101.36363636363636</v>
      </c>
      <c r="J111" s="9">
        <v>141325</v>
      </c>
      <c r="K111" s="6">
        <f>IF(B111="","",IFERROR(AVERAGEIFS($I$4:$I111,$B$4:$B111,B111,$I$4:$I111,"&gt;"&amp;0),""))</f>
        <v>101.36363636363636</v>
      </c>
      <c r="L111" s="9" t="str">
        <f>IF(B111="","",IF(ISNA(MATCH(B111,Client_List!$B:$B,0)),"⚠ NOT FOUND","✓"))</f>
        <v>✓</v>
      </c>
    </row>
    <row r="112" spans="1:12" ht="14" customHeight="1" x14ac:dyDescent="0.2">
      <c r="A112" s="56">
        <v>46035</v>
      </c>
      <c r="B112" s="2" t="s">
        <v>256</v>
      </c>
      <c r="C112" s="3" t="str">
        <f>IF(B112="","",IFERROR(INDEX(Client_List!$C:$C,MATCH(B112,Client_List!$B:$B,0)),""))</f>
        <v>3</v>
      </c>
      <c r="D112" s="4" t="str">
        <f>IF(B112="","",IFERROR(INDEX(Client_List!$D:$D,MATCH(B112,Client_List!$B:$B,0)),""))</f>
        <v>3E</v>
      </c>
      <c r="E112" s="4" t="str">
        <f>IF(B112="","",IFERROR(INDEX(Client_List!$K:$K,MATCH(B112,Client_List!$B:$B,0)),""))</f>
        <v>FRYERS CHOICE BLEND</v>
      </c>
      <c r="F112" s="5">
        <f>IF(B112="","",IFERROR(INDEX(Client_List!$J:$J,MATCH(B112,Client_List!$B:$B,0)),""))</f>
        <v>950</v>
      </c>
      <c r="G112" s="5">
        <v>788</v>
      </c>
      <c r="H112" s="4">
        <f>IF(B112="","",IFERROR(A112-LOOKUP(2,1/($B$4:$B111=B112),$A$4:$A111),""))</f>
        <v>9</v>
      </c>
      <c r="I112" s="72">
        <f t="shared" si="1"/>
        <v>87.555555555555557</v>
      </c>
      <c r="J112" s="4">
        <v>141322</v>
      </c>
      <c r="K112" s="6">
        <f>IF(B112="","",IFERROR(AVERAGEIFS($I$4:$I112,$B$4:$B112,B112,$I$4:$I112,"&gt;"&amp;0),""))</f>
        <v>87.555555555555557</v>
      </c>
      <c r="L112" s="4" t="str">
        <f>IF(B112="","",IF(ISNA(MATCH(B112,Client_List!$B:$B,0)),"⚠ NOT FOUND","✓"))</f>
        <v>✓</v>
      </c>
    </row>
    <row r="113" spans="1:12" ht="14" customHeight="1" x14ac:dyDescent="0.2">
      <c r="A113" s="57">
        <v>46035</v>
      </c>
      <c r="B113" s="7" t="s">
        <v>314</v>
      </c>
      <c r="C113" s="8" t="str">
        <f>IF(B113="","",IFERROR(INDEX(Client_List!$C:$C,MATCH(B113,Client_List!$B:$B,0)),""))</f>
        <v>1</v>
      </c>
      <c r="D113" s="9" t="str">
        <f>IF(B113="","",IFERROR(INDEX(Client_List!$D:$D,MATCH(B113,Client_List!$B:$B,0)),""))</f>
        <v>1C</v>
      </c>
      <c r="E113" s="9" t="str">
        <f>IF(B113="","",IFERROR(INDEX(Client_List!$K:$K,MATCH(B113,Client_List!$B:$B,0)),""))</f>
        <v>CANOLA OIL</v>
      </c>
      <c r="F113" s="10">
        <f>IF(B113="","",IFERROR(INDEX(Client_List!$J:$J,MATCH(B113,Client_List!$B:$B,0)),""))</f>
        <v>1050</v>
      </c>
      <c r="G113" s="10">
        <v>976</v>
      </c>
      <c r="H113" s="9" t="str">
        <f>IF(B113="","",IFERROR(A113-LOOKUP(2,1/($B$4:$B112=B113),$A$4:$A112),""))</f>
        <v/>
      </c>
      <c r="I113" s="73" t="str">
        <f t="shared" si="1"/>
        <v/>
      </c>
      <c r="J113" s="9">
        <v>141318</v>
      </c>
      <c r="K113" s="6" t="str">
        <f>IF(B113="","",IFERROR(AVERAGEIFS($I$4:$I113,$B$4:$B113,B113,$I$4:$I113,"&gt;"&amp;0),""))</f>
        <v/>
      </c>
      <c r="L113" s="9" t="str">
        <f>IF(B113="","",IF(ISNA(MATCH(B113,Client_List!$B:$B,0)),"⚠ NOT FOUND","✓"))</f>
        <v>✓</v>
      </c>
    </row>
    <row r="114" spans="1:12" ht="14" customHeight="1" x14ac:dyDescent="0.2">
      <c r="A114" s="56">
        <v>46035</v>
      </c>
      <c r="B114" s="2" t="s">
        <v>316</v>
      </c>
      <c r="C114" s="3" t="str">
        <f>IF(B114="","",IFERROR(INDEX(Client_List!$C:$C,MATCH(B114,Client_List!$B:$B,0)),""))</f>
        <v>1</v>
      </c>
      <c r="D114" s="4" t="str">
        <f>IF(B114="","",IFERROR(INDEX(Client_List!$D:$D,MATCH(B114,Client_List!$B:$B,0)),""))</f>
        <v>1E</v>
      </c>
      <c r="E114" s="4" t="str">
        <f>IF(B114="","",IFERROR(INDEX(Client_List!$K:$K,MATCH(B114,Client_List!$B:$B,0)),""))</f>
        <v>CANOLA OIL</v>
      </c>
      <c r="F114" s="5">
        <f>IF(B114="","",IFERROR(INDEX(Client_List!$J:$J,MATCH(B114,Client_List!$B:$B,0)),""))</f>
        <v>1050</v>
      </c>
      <c r="G114" s="5">
        <v>1096</v>
      </c>
      <c r="H114" s="4" t="str">
        <f>IF(B114="","",IFERROR(A114-LOOKUP(2,1/($B$4:$B113=B114),$A$4:$A113),""))</f>
        <v/>
      </c>
      <c r="I114" s="72" t="str">
        <f t="shared" si="1"/>
        <v/>
      </c>
      <c r="J114" s="4">
        <v>141320</v>
      </c>
      <c r="K114" s="6" t="str">
        <f>IF(B114="","",IFERROR(AVERAGEIFS($I$4:$I114,$B$4:$B114,B114,$I$4:$I114,"&gt;"&amp;0),""))</f>
        <v/>
      </c>
      <c r="L114" s="4" t="str">
        <f>IF(B114="","",IF(ISNA(MATCH(B114,Client_List!$B:$B,0)),"⚠ NOT FOUND","✓"))</f>
        <v>✓</v>
      </c>
    </row>
    <row r="115" spans="1:12" ht="14" customHeight="1" x14ac:dyDescent="0.2">
      <c r="A115" s="57">
        <v>46035</v>
      </c>
      <c r="B115" s="7" t="s">
        <v>324</v>
      </c>
      <c r="C115" s="11" t="str">
        <f>IF(B115="","",IFERROR(INDEX(Client_List!$C:$C,MATCH(B115,Client_List!$B:$B,0)),""))</f>
        <v>4</v>
      </c>
      <c r="D115" s="9" t="str">
        <f>IF(B115="","",IFERROR(INDEX(Client_List!$D:$D,MATCH(B115,Client_List!$B:$B,0)),""))</f>
        <v>4B</v>
      </c>
      <c r="E115" s="9" t="str">
        <f>IF(B115="","",IFERROR(INDEX(Client_List!$K:$K,MATCH(B115,Client_List!$B:$B,0)),""))</f>
        <v>CANOLA OIL</v>
      </c>
      <c r="F115" s="10">
        <f>IF(B115="","",IFERROR(INDEX(Client_List!$J:$J,MATCH(B115,Client_List!$B:$B,0)),""))</f>
        <v>1050</v>
      </c>
      <c r="G115" s="10">
        <v>1023</v>
      </c>
      <c r="H115" s="9">
        <f>IF(B115="","",IFERROR(A115-LOOKUP(2,1/($B$4:$B114=B115),$A$4:$A114),""))</f>
        <v>2</v>
      </c>
      <c r="I115" s="73">
        <f t="shared" si="1"/>
        <v>511.5</v>
      </c>
      <c r="J115" s="9">
        <v>141324</v>
      </c>
      <c r="K115" s="6">
        <f>IF(B115="","",IFERROR(AVERAGEIFS($I$4:$I115,$B$4:$B115,B115,$I$4:$I115,"&gt;"&amp;0),""))</f>
        <v>511.5</v>
      </c>
      <c r="L115" s="9" t="str">
        <f>IF(B115="","",IF(ISNA(MATCH(B115,Client_List!$B:$B,0)),"⚠ NOT FOUND","✓"))</f>
        <v>✓</v>
      </c>
    </row>
    <row r="116" spans="1:12" ht="14" customHeight="1" x14ac:dyDescent="0.2">
      <c r="A116" s="56">
        <v>46035</v>
      </c>
      <c r="B116" s="2" t="s">
        <v>350</v>
      </c>
      <c r="C116" s="8" t="str">
        <f>IF(B116="","",IFERROR(INDEX(Client_List!$C:$C,MATCH(B116,Client_List!$B:$B,0)),""))</f>
        <v>2</v>
      </c>
      <c r="D116" s="4" t="str">
        <f>IF(B116="","",IFERROR(INDEX(Client_List!$D:$D,MATCH(B116,Client_List!$B:$B,0)),""))</f>
        <v>2D</v>
      </c>
      <c r="E116" s="4" t="str">
        <f>IF(B116="","",IFERROR(INDEX(Client_List!$K:$K,MATCH(B116,Client_List!$B:$B,0)),""))</f>
        <v>CANOLA OIL</v>
      </c>
      <c r="F116" s="5">
        <f>IF(B116="","",IFERROR(INDEX(Client_List!$J:$J,MATCH(B116,Client_List!$B:$B,0)),""))</f>
        <v>1050</v>
      </c>
      <c r="G116" s="5">
        <v>964</v>
      </c>
      <c r="H116" s="4" t="str">
        <f>IF(B116="","",IFERROR(A116-LOOKUP(2,1/($B$4:$B115=B116),$A$4:$A115),""))</f>
        <v/>
      </c>
      <c r="I116" s="72" t="str">
        <f t="shared" si="1"/>
        <v/>
      </c>
      <c r="J116" s="4">
        <v>141327</v>
      </c>
      <c r="K116" s="6" t="str">
        <f>IF(B116="","",IFERROR(AVERAGEIFS($I$4:$I116,$B$4:$B116,B116,$I$4:$I116,"&gt;"&amp;0),""))</f>
        <v/>
      </c>
      <c r="L116" s="4" t="str">
        <f>IF(B116="","",IF(ISNA(MATCH(B116,Client_List!$B:$B,0)),"⚠ NOT FOUND","✓"))</f>
        <v>✓</v>
      </c>
    </row>
    <row r="117" spans="1:12" ht="14" customHeight="1" x14ac:dyDescent="0.2">
      <c r="A117" s="57">
        <v>46036</v>
      </c>
      <c r="B117" s="7" t="s">
        <v>73</v>
      </c>
      <c r="C117" s="3" t="str">
        <f>IF(B117="","",IFERROR(INDEX(Client_List!$C:$C,MATCH(B117,Client_List!$B:$B,0)),""))</f>
        <v>4</v>
      </c>
      <c r="D117" s="9" t="str">
        <f>IF(B117="","",IFERROR(INDEX(Client_List!$D:$D,MATCH(B117,Client_List!$B:$B,0)),""))</f>
        <v>4D</v>
      </c>
      <c r="E117" s="9" t="str">
        <f>IF(B117="","",IFERROR(INDEX(Client_List!$K:$K,MATCH(B117,Client_List!$B:$B,0)),""))</f>
        <v>CANOLA OIL</v>
      </c>
      <c r="F117" s="10">
        <f>IF(B117="","",IFERROR(INDEX(Client_List!$J:$J,MATCH(B117,Client_List!$B:$B,0)),""))</f>
        <v>620</v>
      </c>
      <c r="G117" s="10">
        <v>614</v>
      </c>
      <c r="H117" s="9" t="str">
        <f>IF(B117="","",IFERROR(A117-LOOKUP(2,1/($B$4:$B116=B117),$A$4:$A116),""))</f>
        <v/>
      </c>
      <c r="I117" s="73" t="str">
        <f t="shared" si="1"/>
        <v/>
      </c>
      <c r="J117" s="9">
        <v>141358</v>
      </c>
      <c r="K117" s="6" t="str">
        <f>IF(B117="","",IFERROR(AVERAGEIFS($I$4:$I117,$B$4:$B117,B117,$I$4:$I117,"&gt;"&amp;0),""))</f>
        <v/>
      </c>
      <c r="L117" s="9" t="str">
        <f>IF(B117="","",IF(ISNA(MATCH(B117,Client_List!$B:$B,0)),"⚠ NOT FOUND","✓"))</f>
        <v>✓</v>
      </c>
    </row>
    <row r="118" spans="1:12" ht="14" customHeight="1" x14ac:dyDescent="0.2">
      <c r="A118" s="56">
        <v>46036</v>
      </c>
      <c r="B118" s="2" t="s">
        <v>81</v>
      </c>
      <c r="C118" s="3" t="str">
        <f>IF(B118="","",IFERROR(INDEX(Client_List!$C:$C,MATCH(B118,Client_List!$B:$B,0)),""))</f>
        <v>3</v>
      </c>
      <c r="D118" s="4" t="str">
        <f>IF(B118="","",IFERROR(INDEX(Client_List!$D:$D,MATCH(B118,Client_List!$B:$B,0)),""))</f>
        <v>3E</v>
      </c>
      <c r="E118" s="4" t="str">
        <f>IF(B118="","",IFERROR(INDEX(Client_List!$K:$K,MATCH(B118,Client_List!$B:$B,0)),""))</f>
        <v>CANOLA OIL</v>
      </c>
      <c r="F118" s="5">
        <f>IF(B118="","",IFERROR(INDEX(Client_List!$J:$J,MATCH(B118,Client_List!$B:$B,0)),""))</f>
        <v>350</v>
      </c>
      <c r="G118" s="5">
        <v>316</v>
      </c>
      <c r="H118" s="4" t="str">
        <f>IF(B118="","",IFERROR(A118-LOOKUP(2,1/($B$4:$B117=B118),$A$4:$A117),""))</f>
        <v/>
      </c>
      <c r="I118" s="72" t="str">
        <f t="shared" si="1"/>
        <v/>
      </c>
      <c r="J118" s="4">
        <v>141337</v>
      </c>
      <c r="K118" s="6" t="str">
        <f>IF(B118="","",IFERROR(AVERAGEIFS($I$4:$I118,$B$4:$B118,B118,$I$4:$I118,"&gt;"&amp;0),""))</f>
        <v/>
      </c>
      <c r="L118" s="4" t="str">
        <f>IF(B118="","",IF(ISNA(MATCH(B118,Client_List!$B:$B,0)),"⚠ NOT FOUND","✓"))</f>
        <v>✓</v>
      </c>
    </row>
    <row r="119" spans="1:12" ht="14" customHeight="1" x14ac:dyDescent="0.2">
      <c r="A119" s="57">
        <v>46036</v>
      </c>
      <c r="B119" s="7" t="s">
        <v>87</v>
      </c>
      <c r="C119" s="8" t="str">
        <f>IF(B119="","",IFERROR(INDEX(Client_List!$C:$C,MATCH(B119,Client_List!$B:$B,0)),""))</f>
        <v>2</v>
      </c>
      <c r="D119" s="9" t="str">
        <f>IF(B119="","",IFERROR(INDEX(Client_List!$D:$D,MATCH(B119,Client_List!$B:$B,0)),""))</f>
        <v>2D</v>
      </c>
      <c r="E119" s="9" t="str">
        <f>IF(B119="","",IFERROR(INDEX(Client_List!$K:$K,MATCH(B119,Client_List!$B:$B,0)),""))</f>
        <v>CANOLA OIL</v>
      </c>
      <c r="F119" s="10">
        <f>IF(B119="","",IFERROR(INDEX(Client_List!$J:$J,MATCH(B119,Client_List!$B:$B,0)),""))</f>
        <v>2500</v>
      </c>
      <c r="G119" s="10">
        <v>1361</v>
      </c>
      <c r="H119" s="9">
        <f>IF(B119="","",IFERROR(A119-LOOKUP(2,1/($B$4:$B118=B119),$A$4:$A118),""))</f>
        <v>12</v>
      </c>
      <c r="I119" s="73">
        <f t="shared" si="1"/>
        <v>113.41666666666667</v>
      </c>
      <c r="J119" s="9">
        <v>141338</v>
      </c>
      <c r="K119" s="6">
        <f>IF(B119="","",IFERROR(AVERAGEIFS($I$4:$I119,$B$4:$B119,B119,$I$4:$I119,"&gt;"&amp;0),""))</f>
        <v>113.41666666666667</v>
      </c>
      <c r="L119" s="9" t="str">
        <f>IF(B119="","",IF(ISNA(MATCH(B119,Client_List!$B:$B,0)),"⚠ NOT FOUND","✓"))</f>
        <v>✓</v>
      </c>
    </row>
    <row r="120" spans="1:12" ht="14" customHeight="1" x14ac:dyDescent="0.2">
      <c r="A120" s="56">
        <v>46036</v>
      </c>
      <c r="B120" s="2" t="s">
        <v>128</v>
      </c>
      <c r="C120" s="8" t="str">
        <f>IF(B120="","",IFERROR(INDEX(Client_List!$C:$C,MATCH(B120,Client_List!$B:$B,0)),""))</f>
        <v>4</v>
      </c>
      <c r="D120" s="4" t="str">
        <f>IF(B120="","",IFERROR(INDEX(Client_List!$D:$D,MATCH(B120,Client_List!$B:$B,0)),""))</f>
        <v>4E</v>
      </c>
      <c r="E120" s="4" t="str">
        <f>IF(B120="","",IFERROR(INDEX(Client_List!$K:$K,MATCH(B120,Client_List!$B:$B,0)),""))</f>
        <v>CANOLA OIL</v>
      </c>
      <c r="F120" s="5">
        <f>IF(B120="","",IFERROR(INDEX(Client_List!$J:$J,MATCH(B120,Client_List!$B:$B,0)),""))</f>
        <v>700</v>
      </c>
      <c r="G120" s="5">
        <v>521</v>
      </c>
      <c r="H120" s="4">
        <f>IF(B120="","",IFERROR(A120-LOOKUP(2,1/($B$4:$B119=B120),$A$4:$A119),""))</f>
        <v>8</v>
      </c>
      <c r="I120" s="72">
        <f t="shared" si="1"/>
        <v>65.125</v>
      </c>
      <c r="J120" s="4">
        <v>141356</v>
      </c>
      <c r="K120" s="6">
        <f>IF(B120="","",IFERROR(AVERAGEIFS($I$4:$I120,$B$4:$B120,B120,$I$4:$I120,"&gt;"&amp;0),""))</f>
        <v>65.125</v>
      </c>
      <c r="L120" s="4" t="str">
        <f>IF(B120="","",IF(ISNA(MATCH(B120,Client_List!$B:$B,0)),"⚠ NOT FOUND","✓"))</f>
        <v>✓</v>
      </c>
    </row>
    <row r="121" spans="1:12" ht="14" customHeight="1" x14ac:dyDescent="0.2">
      <c r="A121" s="57">
        <v>46036</v>
      </c>
      <c r="B121" s="7" t="s">
        <v>132</v>
      </c>
      <c r="C121" s="3" t="str">
        <f>IF(B121="","",IFERROR(INDEX(Client_List!$C:$C,MATCH(B121,Client_List!$B:$B,0)),""))</f>
        <v>3</v>
      </c>
      <c r="D121" s="9" t="str">
        <f>IF(B121="","",IFERROR(INDEX(Client_List!$D:$D,MATCH(B121,Client_List!$B:$B,0)),""))</f>
        <v>3C</v>
      </c>
      <c r="E121" s="9" t="str">
        <f>IF(B121="","",IFERROR(INDEX(Client_List!$K:$K,MATCH(B121,Client_List!$B:$B,0)),""))</f>
        <v>CANOLA OIL</v>
      </c>
      <c r="F121" s="10">
        <f>IF(B121="","",IFERROR(INDEX(Client_List!$J:$J,MATCH(B121,Client_List!$B:$B,0)),""))</f>
        <v>630</v>
      </c>
      <c r="G121" s="10">
        <v>632</v>
      </c>
      <c r="H121" s="9" t="str">
        <f>IF(B121="","",IFERROR(A121-LOOKUP(2,1/($B$4:$B120=B121),$A$4:$A120),""))</f>
        <v/>
      </c>
      <c r="I121" s="73" t="str">
        <f t="shared" si="1"/>
        <v/>
      </c>
      <c r="J121" s="9">
        <v>141351</v>
      </c>
      <c r="K121" s="6" t="str">
        <f>IF(B121="","",IFERROR(AVERAGEIFS($I$4:$I121,$B$4:$B121,B121,$I$4:$I121,"&gt;"&amp;0),""))</f>
        <v/>
      </c>
      <c r="L121" s="9" t="str">
        <f>IF(B121="","",IF(ISNA(MATCH(B121,Client_List!$B:$B,0)),"⚠ NOT FOUND","✓"))</f>
        <v>✓</v>
      </c>
    </row>
    <row r="122" spans="1:12" ht="14" customHeight="1" x14ac:dyDescent="0.2">
      <c r="A122" s="56">
        <v>46036</v>
      </c>
      <c r="B122" s="2" t="s">
        <v>138</v>
      </c>
      <c r="C122" s="8" t="str">
        <f>IF(B122="","",IFERROR(INDEX(Client_List!$C:$C,MATCH(B122,Client_List!$B:$B,0)),""))</f>
        <v>4</v>
      </c>
      <c r="D122" s="4" t="str">
        <f>IF(B122="","",IFERROR(INDEX(Client_List!$D:$D,MATCH(B122,Client_List!$B:$B,0)),""))</f>
        <v>4E</v>
      </c>
      <c r="E122" s="4" t="str">
        <f>IF(B122="","",IFERROR(INDEX(Client_List!$K:$K,MATCH(B122,Client_List!$B:$B,0)),""))</f>
        <v>CANOLA OIL</v>
      </c>
      <c r="F122" s="5">
        <f>IF(B122="","",IFERROR(INDEX(Client_List!$J:$J,MATCH(B122,Client_List!$B:$B,0)),""))</f>
        <v>350</v>
      </c>
      <c r="G122" s="5">
        <v>362</v>
      </c>
      <c r="H122" s="4" t="str">
        <f>IF(B122="","",IFERROR(A122-LOOKUP(2,1/($B$4:$B121=B122),$A$4:$A121),""))</f>
        <v/>
      </c>
      <c r="I122" s="72" t="str">
        <f t="shared" si="1"/>
        <v/>
      </c>
      <c r="J122" s="4">
        <v>141361</v>
      </c>
      <c r="K122" s="6" t="str">
        <f>IF(B122="","",IFERROR(AVERAGEIFS($I$4:$I122,$B$4:$B122,B122,$I$4:$I122,"&gt;"&amp;0),""))</f>
        <v/>
      </c>
      <c r="L122" s="4" t="str">
        <f>IF(B122="","",IF(ISNA(MATCH(B122,Client_List!$B:$B,0)),"⚠ NOT FOUND","✓"))</f>
        <v>✓</v>
      </c>
    </row>
    <row r="123" spans="1:12" ht="14" customHeight="1" x14ac:dyDescent="0.2">
      <c r="A123" s="57">
        <v>46036</v>
      </c>
      <c r="B123" s="7" t="s">
        <v>164</v>
      </c>
      <c r="C123" s="8" t="str">
        <f>IF(B123="","",IFERROR(INDEX(Client_List!$C:$C,MATCH(B123,Client_List!$B:$B,0)),""))</f>
        <v>3</v>
      </c>
      <c r="D123" s="9" t="str">
        <f>IF(B123="","",IFERROR(INDEX(Client_List!$D:$D,MATCH(B123,Client_List!$B:$B,0)),""))</f>
        <v>3E</v>
      </c>
      <c r="E123" s="9" t="str">
        <f>IF(B123="","",IFERROR(INDEX(Client_List!$K:$K,MATCH(B123,Client_List!$B:$B,0)),""))</f>
        <v>CANOLA OIL</v>
      </c>
      <c r="F123" s="10">
        <f>IF(B123="","",IFERROR(INDEX(Client_List!$J:$J,MATCH(B123,Client_List!$B:$B,0)),""))</f>
        <v>1050</v>
      </c>
      <c r="G123" s="10">
        <v>1045</v>
      </c>
      <c r="H123" s="9" t="str">
        <f>IF(B123="","",IFERROR(A123-LOOKUP(2,1/($B$4:$B122=B123),$A$4:$A122),""))</f>
        <v/>
      </c>
      <c r="I123" s="73" t="str">
        <f t="shared" si="1"/>
        <v/>
      </c>
      <c r="J123" s="9">
        <v>141346</v>
      </c>
      <c r="K123" s="6" t="str">
        <f>IF(B123="","",IFERROR(AVERAGEIFS($I$4:$I123,$B$4:$B123,B123,$I$4:$I123,"&gt;"&amp;0),""))</f>
        <v/>
      </c>
      <c r="L123" s="9" t="str">
        <f>IF(B123="","",IF(ISNA(MATCH(B123,Client_List!$B:$B,0)),"⚠ NOT FOUND","✓"))</f>
        <v>✓</v>
      </c>
    </row>
    <row r="124" spans="1:12" ht="14" customHeight="1" x14ac:dyDescent="0.2">
      <c r="A124" s="56">
        <v>46036</v>
      </c>
      <c r="B124" s="2" t="s">
        <v>176</v>
      </c>
      <c r="C124" s="3" t="str">
        <f>IF(B124="","",IFERROR(INDEX(Client_List!$C:$C,MATCH(B124,Client_List!$B:$B,0)),""))</f>
        <v>4</v>
      </c>
      <c r="D124" s="4" t="str">
        <f>IF(B124="","",IFERROR(INDEX(Client_List!$D:$D,MATCH(B124,Client_List!$B:$B,0)),""))</f>
        <v>4F</v>
      </c>
      <c r="E124" s="4" t="str">
        <f>IF(B124="","",IFERROR(INDEX(Client_List!$K:$K,MATCH(B124,Client_List!$B:$B,0)),""))</f>
        <v>CANOLA OIL</v>
      </c>
      <c r="F124" s="5">
        <f>IF(B124="","",IFERROR(INDEX(Client_List!$J:$J,MATCH(B124,Client_List!$B:$B,0)),""))</f>
        <v>950</v>
      </c>
      <c r="G124" s="5">
        <v>938</v>
      </c>
      <c r="H124" s="4" t="str">
        <f>IF(B124="","",IFERROR(A124-LOOKUP(2,1/($B$4:$B123=B124),$A$4:$A123),""))</f>
        <v/>
      </c>
      <c r="I124" s="72" t="str">
        <f t="shared" si="1"/>
        <v/>
      </c>
      <c r="J124" s="4">
        <v>141355</v>
      </c>
      <c r="K124" s="6" t="str">
        <f>IF(B124="","",IFERROR(AVERAGEIFS($I$4:$I124,$B$4:$B124,B124,$I$4:$I124,"&gt;"&amp;0),""))</f>
        <v/>
      </c>
      <c r="L124" s="4" t="str">
        <f>IF(B124="","",IF(ISNA(MATCH(B124,Client_List!$B:$B,0)),"⚠ NOT FOUND","✓"))</f>
        <v>✓</v>
      </c>
    </row>
    <row r="125" spans="1:12" ht="14" customHeight="1" x14ac:dyDescent="0.2">
      <c r="A125" s="57">
        <v>46036</v>
      </c>
      <c r="B125" s="7" t="s">
        <v>204</v>
      </c>
      <c r="C125" s="3" t="str">
        <f>IF(B125="","",IFERROR(INDEX(Client_List!$C:$C,MATCH(B125,Client_List!$B:$B,0)),""))</f>
        <v>5</v>
      </c>
      <c r="D125" s="9" t="str">
        <f>IF(B125="","",IFERROR(INDEX(Client_List!$D:$D,MATCH(B125,Client_List!$B:$B,0)),""))</f>
        <v>5E</v>
      </c>
      <c r="E125" s="9" t="str">
        <f>IF(B125="","",IFERROR(INDEX(Client_List!$K:$K,MATCH(B125,Client_List!$B:$B,0)),""))</f>
        <v>CANOLA OIL</v>
      </c>
      <c r="F125" s="10">
        <f>IF(B125="","",IFERROR(INDEX(Client_List!$J:$J,MATCH(B125,Client_List!$B:$B,0)),""))</f>
        <v>1800</v>
      </c>
      <c r="G125" s="10">
        <v>1433</v>
      </c>
      <c r="H125" s="9">
        <f>IF(B125="","",IFERROR(A125-LOOKUP(2,1/($B$4:$B124=B125),$A$4:$A124),""))</f>
        <v>12</v>
      </c>
      <c r="I125" s="73">
        <f t="shared" si="1"/>
        <v>119.41666666666667</v>
      </c>
      <c r="J125" s="9">
        <v>141360</v>
      </c>
      <c r="K125" s="6">
        <f>IF(B125="","",IFERROR(AVERAGEIFS($I$4:$I125,$B$4:$B125,B125,$I$4:$I125,"&gt;"&amp;0),""))</f>
        <v>119.41666666666667</v>
      </c>
      <c r="L125" s="9" t="str">
        <f>IF(B125="","",IF(ISNA(MATCH(B125,Client_List!$B:$B,0)),"⚠ NOT FOUND","✓"))</f>
        <v>✓</v>
      </c>
    </row>
    <row r="126" spans="1:12" ht="14" customHeight="1" x14ac:dyDescent="0.2">
      <c r="A126" s="56">
        <v>46036</v>
      </c>
      <c r="B126" s="2" t="s">
        <v>216</v>
      </c>
      <c r="C126" s="11" t="str">
        <f>IF(B126="","",IFERROR(INDEX(Client_List!$C:$C,MATCH(B126,Client_List!$B:$B,0)),""))</f>
        <v>3</v>
      </c>
      <c r="D126" s="4" t="str">
        <f>IF(B126="","",IFERROR(INDEX(Client_List!$D:$D,MATCH(B126,Client_List!$B:$B,0)),""))</f>
        <v>3D</v>
      </c>
      <c r="E126" s="4" t="str">
        <f>IF(B126="","",IFERROR(INDEX(Client_List!$K:$K,MATCH(B126,Client_List!$B:$B,0)),""))</f>
        <v>CANOLA OIL</v>
      </c>
      <c r="F126" s="5">
        <f>IF(B126="","",IFERROR(INDEX(Client_List!$J:$J,MATCH(B126,Client_List!$B:$B,0)),""))</f>
        <v>450</v>
      </c>
      <c r="G126" s="5">
        <v>452</v>
      </c>
      <c r="H126" s="4" t="str">
        <f>IF(B126="","",IFERROR(A126-LOOKUP(2,1/($B$4:$B125=B126),$A$4:$A125),""))</f>
        <v/>
      </c>
      <c r="I126" s="72" t="str">
        <f t="shared" si="1"/>
        <v/>
      </c>
      <c r="J126" s="4">
        <v>141350</v>
      </c>
      <c r="K126" s="6" t="str">
        <f>IF(B126="","",IFERROR(AVERAGEIFS($I$4:$I126,$B$4:$B126,B126,$I$4:$I126,"&gt;"&amp;0),""))</f>
        <v/>
      </c>
      <c r="L126" s="4" t="str">
        <f>IF(B126="","",IF(ISNA(MATCH(B126,Client_List!$B:$B,0)),"⚠ NOT FOUND","✓"))</f>
        <v>✓</v>
      </c>
    </row>
    <row r="127" spans="1:12" ht="14" customHeight="1" x14ac:dyDescent="0.2">
      <c r="A127" s="57">
        <v>46036</v>
      </c>
      <c r="B127" s="7" t="s">
        <v>234</v>
      </c>
      <c r="C127" s="11" t="str">
        <f>IF(B127="","",IFERROR(INDEX(Client_List!$C:$C,MATCH(B127,Client_List!$B:$B,0)),""))</f>
        <v>4</v>
      </c>
      <c r="D127" s="9" t="str">
        <f>IF(B127="","",IFERROR(INDEX(Client_List!$D:$D,MATCH(B127,Client_List!$B:$B,0)),""))</f>
        <v>4E</v>
      </c>
      <c r="E127" s="9" t="str">
        <f>IF(B127="","",IFERROR(INDEX(Client_List!$K:$K,MATCH(B127,Client_List!$B:$B,0)),""))</f>
        <v>CANOLA OIL</v>
      </c>
      <c r="F127" s="10">
        <f>IF(B127="","",IFERROR(INDEX(Client_List!$J:$J,MATCH(B127,Client_List!$B:$B,0)),""))</f>
        <v>630</v>
      </c>
      <c r="G127" s="10">
        <v>314</v>
      </c>
      <c r="H127" s="9" t="str">
        <f>IF(B127="","",IFERROR(A127-LOOKUP(2,1/($B$4:$B126=B127),$A$4:$A126),""))</f>
        <v/>
      </c>
      <c r="I127" s="73" t="str">
        <f t="shared" si="1"/>
        <v/>
      </c>
      <c r="J127" s="9">
        <v>141357</v>
      </c>
      <c r="K127" s="6" t="str">
        <f>IF(B127="","",IFERROR(AVERAGEIFS($I$4:$I127,$B$4:$B127,B127,$I$4:$I127,"&gt;"&amp;0),""))</f>
        <v/>
      </c>
      <c r="L127" s="9" t="str">
        <f>IF(B127="","",IF(ISNA(MATCH(B127,Client_List!$B:$B,0)),"⚠ NOT FOUND","✓"))</f>
        <v>✓</v>
      </c>
    </row>
    <row r="128" spans="1:12" ht="14" customHeight="1" x14ac:dyDescent="0.2">
      <c r="A128" s="56">
        <v>46036</v>
      </c>
      <c r="B128" s="2" t="s">
        <v>244</v>
      </c>
      <c r="C128" s="11" t="str">
        <f>IF(B128="","",IFERROR(INDEX(Client_List!$C:$C,MATCH(B128,Client_List!$B:$B,0)),""))</f>
        <v>4</v>
      </c>
      <c r="D128" s="4" t="str">
        <f>IF(B128="","",IFERROR(INDEX(Client_List!$D:$D,MATCH(B128,Client_List!$B:$B,0)),""))</f>
        <v>4E</v>
      </c>
      <c r="E128" s="4" t="str">
        <f>IF(B128="","",IFERROR(INDEX(Client_List!$K:$K,MATCH(B128,Client_List!$B:$B,0)),""))</f>
        <v>FRYERS CHOICE BLEND</v>
      </c>
      <c r="F128" s="5">
        <f>IF(B128="","",IFERROR(INDEX(Client_List!$J:$J,MATCH(B128,Client_List!$B:$B,0)),""))</f>
        <v>950</v>
      </c>
      <c r="G128" s="5">
        <v>841</v>
      </c>
      <c r="H128" s="4" t="str">
        <f>IF(B128="","",IFERROR(A128-LOOKUP(2,1/($B$4:$B127=B128),$A$4:$A127),""))</f>
        <v/>
      </c>
      <c r="I128" s="72" t="str">
        <f t="shared" si="1"/>
        <v/>
      </c>
      <c r="J128" s="4">
        <v>141352</v>
      </c>
      <c r="K128" s="6" t="str">
        <f>IF(B128="","",IFERROR(AVERAGEIFS($I$4:$I128,$B$4:$B128,B128,$I$4:$I128,"&gt;"&amp;0),""))</f>
        <v/>
      </c>
      <c r="L128" s="4" t="str">
        <f>IF(B128="","",IF(ISNA(MATCH(B128,Client_List!$B:$B,0)),"⚠ NOT FOUND","✓"))</f>
        <v>✓</v>
      </c>
    </row>
    <row r="129" spans="1:12" ht="14" customHeight="1" x14ac:dyDescent="0.2">
      <c r="A129" s="57">
        <v>46036</v>
      </c>
      <c r="B129" s="7" t="s">
        <v>246</v>
      </c>
      <c r="C129" s="11" t="str">
        <f>IF(B129="","",IFERROR(INDEX(Client_List!$C:$C,MATCH(B129,Client_List!$B:$B,0)),""))</f>
        <v>3</v>
      </c>
      <c r="D129" s="9" t="str">
        <f>IF(B129="","",IFERROR(INDEX(Client_List!$D:$D,MATCH(B129,Client_List!$B:$B,0)),""))</f>
        <v>3E</v>
      </c>
      <c r="E129" s="9" t="str">
        <f>IF(B129="","",IFERROR(INDEX(Client_List!$K:$K,MATCH(B129,Client_List!$B:$B,0)),""))</f>
        <v>FRYERS CHOICE BLEND</v>
      </c>
      <c r="F129" s="10">
        <f>IF(B129="","",IFERROR(INDEX(Client_List!$J:$J,MATCH(B129,Client_List!$B:$B,0)),""))</f>
        <v>950</v>
      </c>
      <c r="G129" s="10">
        <v>561</v>
      </c>
      <c r="H129" s="9">
        <f>IF(B129="","",IFERROR(A129-LOOKUP(2,1/($B$4:$B128=B129),$A$4:$A128),""))</f>
        <v>9</v>
      </c>
      <c r="I129" s="73">
        <f t="shared" si="1"/>
        <v>62.333333333333336</v>
      </c>
      <c r="J129" s="9">
        <v>141345</v>
      </c>
      <c r="K129" s="6">
        <f>IF(B129="","",IFERROR(AVERAGEIFS($I$4:$I129,$B$4:$B129,B129,$I$4:$I129,"&gt;"&amp;0),""))</f>
        <v>62.333333333333336</v>
      </c>
      <c r="L129" s="9" t="str">
        <f>IF(B129="","",IF(ISNA(MATCH(B129,Client_List!$B:$B,0)),"⚠ NOT FOUND","✓"))</f>
        <v>✓</v>
      </c>
    </row>
    <row r="130" spans="1:12" ht="14" customHeight="1" x14ac:dyDescent="0.2">
      <c r="A130" s="56">
        <v>46036</v>
      </c>
      <c r="B130" s="2" t="s">
        <v>248</v>
      </c>
      <c r="C130" s="11" t="str">
        <f>IF(B130="","",IFERROR(INDEX(Client_List!$C:$C,MATCH(B130,Client_List!$B:$B,0)),""))</f>
        <v>3</v>
      </c>
      <c r="D130" s="4" t="str">
        <f>IF(B130="","",IFERROR(INDEX(Client_List!$D:$D,MATCH(B130,Client_List!$B:$B,0)),""))</f>
        <v>3E</v>
      </c>
      <c r="E130" s="4" t="str">
        <f>IF(B130="","",IFERROR(INDEX(Client_List!$K:$K,MATCH(B130,Client_List!$B:$B,0)),""))</f>
        <v>FRYERS CHOICE BLEND</v>
      </c>
      <c r="F130" s="5">
        <f>IF(B130="","",IFERROR(INDEX(Client_List!$J:$J,MATCH(B130,Client_List!$B:$B,0)),""))</f>
        <v>950</v>
      </c>
      <c r="G130" s="5">
        <v>776</v>
      </c>
      <c r="H130" s="4" t="str">
        <f>IF(B130="","",IFERROR(A130-LOOKUP(2,1/($B$4:$B129=B130),$A$4:$A129),""))</f>
        <v/>
      </c>
      <c r="I130" s="72" t="str">
        <f t="shared" si="1"/>
        <v/>
      </c>
      <c r="J130" s="4">
        <v>141344</v>
      </c>
      <c r="K130" s="6" t="str">
        <f>IF(B130="","",IFERROR(AVERAGEIFS($I$4:$I130,$B$4:$B130,B130,$I$4:$I130,"&gt;"&amp;0),""))</f>
        <v/>
      </c>
      <c r="L130" s="4" t="str">
        <f>IF(B130="","",IF(ISNA(MATCH(B130,Client_List!$B:$B,0)),"⚠ NOT FOUND","✓"))</f>
        <v>✓</v>
      </c>
    </row>
    <row r="131" spans="1:12" ht="14" customHeight="1" x14ac:dyDescent="0.2">
      <c r="A131" s="57">
        <v>46036</v>
      </c>
      <c r="B131" s="7" t="s">
        <v>252</v>
      </c>
      <c r="C131" s="11" t="str">
        <f>IF(B131="","",IFERROR(INDEX(Client_List!$C:$C,MATCH(B131,Client_List!$B:$B,0)),""))</f>
        <v>4</v>
      </c>
      <c r="D131" s="9" t="str">
        <f>IF(B131="","",IFERROR(INDEX(Client_List!$D:$D,MATCH(B131,Client_List!$B:$B,0)),""))</f>
        <v>4E</v>
      </c>
      <c r="E131" s="9" t="str">
        <f>IF(B131="","",IFERROR(INDEX(Client_List!$K:$K,MATCH(B131,Client_List!$B:$B,0)),""))</f>
        <v>FRYERS CHOICE BLEND</v>
      </c>
      <c r="F131" s="10">
        <f>IF(B131="","",IFERROR(INDEX(Client_List!$J:$J,MATCH(B131,Client_List!$B:$B,0)),""))</f>
        <v>1950</v>
      </c>
      <c r="G131" s="10">
        <v>1930</v>
      </c>
      <c r="H131" s="9" t="str">
        <f>IF(B131="","",IFERROR(A131-LOOKUP(2,1/($B$4:$B130=B131),$A$4:$A130),""))</f>
        <v/>
      </c>
      <c r="I131" s="73" t="str">
        <f t="shared" si="1"/>
        <v/>
      </c>
      <c r="J131" s="9">
        <v>141354</v>
      </c>
      <c r="K131" s="6" t="str">
        <f>IF(B131="","",IFERROR(AVERAGEIFS($I$4:$I131,$B$4:$B131,B131,$I$4:$I131,"&gt;"&amp;0),""))</f>
        <v/>
      </c>
      <c r="L131" s="9" t="str">
        <f>IF(B131="","",IF(ISNA(MATCH(B131,Client_List!$B:$B,0)),"⚠ NOT FOUND","✓"))</f>
        <v>✓</v>
      </c>
    </row>
    <row r="132" spans="1:12" ht="14" customHeight="1" x14ac:dyDescent="0.2">
      <c r="A132" s="56">
        <v>46036</v>
      </c>
      <c r="B132" s="2" t="s">
        <v>276</v>
      </c>
      <c r="C132" s="3" t="str">
        <f>IF(B132="","",IFERROR(INDEX(Client_List!$C:$C,MATCH(B132,Client_List!$B:$B,0)),""))</f>
        <v>3</v>
      </c>
      <c r="D132" s="4" t="str">
        <f>IF(B132="","",IFERROR(INDEX(Client_List!$D:$D,MATCH(B132,Client_List!$B:$B,0)),""))</f>
        <v>3D</v>
      </c>
      <c r="E132" s="4" t="str">
        <f>IF(B132="","",IFERROR(INDEX(Client_List!$K:$K,MATCH(B132,Client_List!$B:$B,0)),""))</f>
        <v>FRYERS CHOICE BLEND</v>
      </c>
      <c r="F132" s="5">
        <f>IF(B132="","",IFERROR(INDEX(Client_List!$J:$J,MATCH(B132,Client_List!$B:$B,0)),""))</f>
        <v>950</v>
      </c>
      <c r="G132" s="5">
        <v>901</v>
      </c>
      <c r="H132" s="4">
        <f>IF(B132="","",IFERROR(A132-LOOKUP(2,1/($B$4:$B131=B132),$A$4:$A131),""))</f>
        <v>9</v>
      </c>
      <c r="I132" s="72">
        <f t="shared" ref="I132:I195" si="2">IF(B132="","",IFERROR(G132/H132,""))</f>
        <v>100.11111111111111</v>
      </c>
      <c r="J132" s="4">
        <v>141340</v>
      </c>
      <c r="K132" s="6">
        <f>IF(B132="","",IFERROR(AVERAGEIFS($I$4:$I132,$B$4:$B132,B132,$I$4:$I132,"&gt;"&amp;0),""))</f>
        <v>100.11111111111111</v>
      </c>
      <c r="L132" s="4" t="str">
        <f>IF(B132="","",IF(ISNA(MATCH(B132,Client_List!$B:$B,0)),"⚠ NOT FOUND","✓"))</f>
        <v>✓</v>
      </c>
    </row>
    <row r="133" spans="1:12" ht="14" customHeight="1" x14ac:dyDescent="0.2">
      <c r="A133" s="57">
        <v>46036</v>
      </c>
      <c r="B133" s="7" t="s">
        <v>288</v>
      </c>
      <c r="C133" s="3" t="str">
        <f>IF(B133="","",IFERROR(INDEX(Client_List!$C:$C,MATCH(B133,Client_List!$B:$B,0)),""))</f>
        <v>3</v>
      </c>
      <c r="D133" s="9" t="str">
        <f>IF(B133="","",IFERROR(INDEX(Client_List!$D:$D,MATCH(B133,Client_List!$B:$B,0)),""))</f>
        <v>3C</v>
      </c>
      <c r="E133" s="9" t="str">
        <f>IF(B133="","",IFERROR(INDEX(Client_List!$K:$K,MATCH(B133,Client_List!$B:$B,0)),""))</f>
        <v>CANOLA OIL</v>
      </c>
      <c r="F133" s="10">
        <f>IF(B133="","",IFERROR(INDEX(Client_List!$J:$J,MATCH(B133,Client_List!$B:$B,0)),""))</f>
        <v>620</v>
      </c>
      <c r="G133" s="10">
        <v>616</v>
      </c>
      <c r="H133" s="9" t="str">
        <f>IF(B133="","",IFERROR(A133-LOOKUP(2,1/($B$4:$B132=B133),$A$4:$A132),""))</f>
        <v/>
      </c>
      <c r="I133" s="73" t="str">
        <f t="shared" si="2"/>
        <v/>
      </c>
      <c r="J133" s="9">
        <v>141339</v>
      </c>
      <c r="K133" s="6" t="str">
        <f>IF(B133="","",IFERROR(AVERAGEIFS($I$4:$I133,$B$4:$B133,B133,$I$4:$I133,"&gt;"&amp;0),""))</f>
        <v/>
      </c>
      <c r="L133" s="9" t="str">
        <f>IF(B133="","",IF(ISNA(MATCH(B133,Client_List!$B:$B,0)),"⚠ NOT FOUND","✓"))</f>
        <v>✓</v>
      </c>
    </row>
    <row r="134" spans="1:12" ht="14" customHeight="1" x14ac:dyDescent="0.2">
      <c r="A134" s="56">
        <v>46036</v>
      </c>
      <c r="B134" s="2" t="s">
        <v>328</v>
      </c>
      <c r="C134" s="12" t="str">
        <f>IF(B134="","",IFERROR(INDEX(Client_List!$C:$C,MATCH(B134,Client_List!$B:$B,0)),""))</f>
        <v>4</v>
      </c>
      <c r="D134" s="4" t="str">
        <f>IF(B134="","",IFERROR(INDEX(Client_List!$D:$D,MATCH(B134,Client_List!$B:$B,0)),""))</f>
        <v>4C</v>
      </c>
      <c r="E134" s="4" t="str">
        <f>IF(B134="","",IFERROR(INDEX(Client_List!$K:$K,MATCH(B134,Client_List!$B:$B,0)),""))</f>
        <v>CANOLA OIL</v>
      </c>
      <c r="F134" s="5">
        <f>IF(B134="","",IFERROR(INDEX(Client_List!$J:$J,MATCH(B134,Client_List!$B:$B,0)),""))</f>
        <v>1050</v>
      </c>
      <c r="G134" s="5">
        <v>1051</v>
      </c>
      <c r="H134" s="4" t="str">
        <f>IF(B134="","",IFERROR(A134-LOOKUP(2,1/($B$4:$B133=B134),$A$4:$A133),""))</f>
        <v/>
      </c>
      <c r="I134" s="72" t="str">
        <f t="shared" si="2"/>
        <v/>
      </c>
      <c r="J134" s="4">
        <v>141359</v>
      </c>
      <c r="K134" s="6" t="str">
        <f>IF(B134="","",IFERROR(AVERAGEIFS($I$4:$I134,$B$4:$B134,B134,$I$4:$I134,"&gt;"&amp;0),""))</f>
        <v/>
      </c>
      <c r="L134" s="4" t="str">
        <f>IF(B134="","",IF(ISNA(MATCH(B134,Client_List!$B:$B,0)),"⚠ NOT FOUND","✓"))</f>
        <v>✓</v>
      </c>
    </row>
    <row r="135" spans="1:12" ht="14" customHeight="1" x14ac:dyDescent="0.2">
      <c r="A135" s="57">
        <v>46036</v>
      </c>
      <c r="B135" s="7" t="s">
        <v>342</v>
      </c>
      <c r="C135" s="11" t="str">
        <f>IF(B135="","",IFERROR(INDEX(Client_List!$C:$C,MATCH(B135,Client_List!$B:$B,0)),""))</f>
        <v>4</v>
      </c>
      <c r="D135" s="9" t="str">
        <f>IF(B135="","",IFERROR(INDEX(Client_List!$D:$D,MATCH(B135,Client_List!$B:$B,0)),""))</f>
        <v>4A</v>
      </c>
      <c r="E135" s="9" t="str">
        <f>IF(B135="","",IFERROR(INDEX(Client_List!$K:$K,MATCH(B135,Client_List!$B:$B,0)),""))</f>
        <v>FRYERS CHOICE BLEND</v>
      </c>
      <c r="F135" s="10">
        <f>IF(B135="","",IFERROR(INDEX(Client_List!$J:$J,MATCH(B135,Client_List!$B:$B,0)),""))</f>
        <v>630</v>
      </c>
      <c r="G135" s="10">
        <v>652</v>
      </c>
      <c r="H135" s="9" t="str">
        <f>IF(B135="","",IFERROR(A135-LOOKUP(2,1/($B$4:$B134=B135),$A$4:$A134),""))</f>
        <v/>
      </c>
      <c r="I135" s="73" t="str">
        <f t="shared" si="2"/>
        <v/>
      </c>
      <c r="J135" s="9">
        <v>141376</v>
      </c>
      <c r="K135" s="6" t="str">
        <f>IF(B135="","",IFERROR(AVERAGEIFS($I$4:$I135,$B$4:$B135,B135,$I$4:$I135,"&gt;"&amp;0),""))</f>
        <v/>
      </c>
      <c r="L135" s="9" t="str">
        <f>IF(B135="","",IF(ISNA(MATCH(B135,Client_List!$B:$B,0)),"⚠ NOT FOUND","✓"))</f>
        <v>✓</v>
      </c>
    </row>
    <row r="136" spans="1:12" ht="14" customHeight="1" x14ac:dyDescent="0.2">
      <c r="A136" s="56">
        <v>46037</v>
      </c>
      <c r="B136" s="2" t="s">
        <v>56</v>
      </c>
      <c r="C136" s="8" t="str">
        <f>IF(B136="","",IFERROR(INDEX(Client_List!$C:$C,MATCH(B136,Client_List!$B:$B,0)),""))</f>
        <v>5</v>
      </c>
      <c r="D136" s="4" t="str">
        <f>IF(B136="","",IFERROR(INDEX(Client_List!$D:$D,MATCH(B136,Client_List!$B:$B,0)),""))</f>
        <v>5F</v>
      </c>
      <c r="E136" s="4" t="str">
        <f>IF(B136="","",IFERROR(INDEX(Client_List!$K:$K,MATCH(B136,Client_List!$B:$B,0)),""))</f>
        <v>CANOLA OIL</v>
      </c>
      <c r="F136" s="5">
        <f>IF(B136="","",IFERROR(INDEX(Client_List!$J:$J,MATCH(B136,Client_List!$B:$B,0)),""))</f>
        <v>900</v>
      </c>
      <c r="G136" s="5">
        <v>1059</v>
      </c>
      <c r="H136" s="4" t="str">
        <f>IF(B136="","",IFERROR(A136-LOOKUP(2,1/($B$4:$B135=B136),$A$4:$A135),""))</f>
        <v/>
      </c>
      <c r="I136" s="72" t="str">
        <f t="shared" si="2"/>
        <v/>
      </c>
      <c r="J136" s="4">
        <v>141402</v>
      </c>
      <c r="K136" s="6" t="str">
        <f>IF(B136="","",IFERROR(AVERAGEIFS($I$4:$I136,$B$4:$B136,B136,$I$4:$I136,"&gt;"&amp;0),""))</f>
        <v/>
      </c>
      <c r="L136" s="4" t="str">
        <f>IF(B136="","",IF(ISNA(MATCH(B136,Client_List!$B:$B,0)),"⚠ NOT FOUND","✓"))</f>
        <v>✓</v>
      </c>
    </row>
    <row r="137" spans="1:12" ht="14" customHeight="1" x14ac:dyDescent="0.2">
      <c r="A137" s="57">
        <v>46037</v>
      </c>
      <c r="B137" s="7" t="s">
        <v>63</v>
      </c>
      <c r="C137" s="13" t="str">
        <f>IF(B137="","",IFERROR(INDEX(Client_List!$C:$C,MATCH(B137,Client_List!$B:$B,0)),""))</f>
        <v>5</v>
      </c>
      <c r="D137" s="9" t="str">
        <f>IF(B137="","",IFERROR(INDEX(Client_List!$D:$D,MATCH(B137,Client_List!$B:$B,0)),""))</f>
        <v>5D</v>
      </c>
      <c r="E137" s="9" t="str">
        <f>IF(B137="","",IFERROR(INDEX(Client_List!$K:$K,MATCH(B137,Client_List!$B:$B,0)),""))</f>
        <v>CANOLA OIL</v>
      </c>
      <c r="F137" s="10">
        <f>IF(B137="","",IFERROR(INDEX(Client_List!$J:$J,MATCH(B137,Client_List!$B:$B,0)),""))</f>
        <v>425</v>
      </c>
      <c r="G137" s="10">
        <v>227</v>
      </c>
      <c r="H137" s="9">
        <f>IF(B137="","",IFERROR(A137-LOOKUP(2,1/($B$4:$B136=B137),$A$4:$A136),""))</f>
        <v>8</v>
      </c>
      <c r="I137" s="73">
        <f t="shared" si="2"/>
        <v>28.375</v>
      </c>
      <c r="J137" s="9">
        <v>141403</v>
      </c>
      <c r="K137" s="6">
        <f>IF(B137="","",IFERROR(AVERAGEIFS($I$4:$I137,$B$4:$B137,B137,$I$4:$I137,"&gt;"&amp;0),""))</f>
        <v>32.287500000000001</v>
      </c>
      <c r="L137" s="9" t="str">
        <f>IF(B137="","",IF(ISNA(MATCH(B137,Client_List!$B:$B,0)),"⚠ NOT FOUND","✓"))</f>
        <v>✓</v>
      </c>
    </row>
    <row r="138" spans="1:12" ht="14" customHeight="1" x14ac:dyDescent="0.2">
      <c r="A138" s="56">
        <v>46037</v>
      </c>
      <c r="B138" s="2" t="s">
        <v>65</v>
      </c>
      <c r="C138" s="11" t="str">
        <f>IF(B138="","",IFERROR(INDEX(Client_List!$C:$C,MATCH(B138,Client_List!$B:$B,0)),""))</f>
        <v>5</v>
      </c>
      <c r="D138" s="4" t="str">
        <f>IF(B138="","",IFERROR(INDEX(Client_List!$D:$D,MATCH(B138,Client_List!$B:$B,0)),""))</f>
        <v>5F</v>
      </c>
      <c r="E138" s="4" t="str">
        <f>IF(B138="","",IFERROR(INDEX(Client_List!$K:$K,MATCH(B138,Client_List!$B:$B,0)),""))</f>
        <v>FRYERS CHOICE BLEND</v>
      </c>
      <c r="F138" s="5">
        <f>IF(B138="","",IFERROR(INDEX(Client_List!$J:$J,MATCH(B138,Client_List!$B:$B,0)),""))</f>
        <v>1050</v>
      </c>
      <c r="G138" s="5">
        <v>912</v>
      </c>
      <c r="H138" s="4" t="str">
        <f>IF(B138="","",IFERROR(A138-LOOKUP(2,1/($B$4:$B137=B138),$A$4:$A137),""))</f>
        <v/>
      </c>
      <c r="I138" s="72" t="str">
        <f t="shared" si="2"/>
        <v/>
      </c>
      <c r="J138" s="4">
        <v>141401</v>
      </c>
      <c r="K138" s="6" t="str">
        <f>IF(B138="","",IFERROR(AVERAGEIFS($I$4:$I138,$B$4:$B138,B138,$I$4:$I138,"&gt;"&amp;0),""))</f>
        <v/>
      </c>
      <c r="L138" s="4" t="str">
        <f>IF(B138="","",IF(ISNA(MATCH(B138,Client_List!$B:$B,0)),"⚠ NOT FOUND","✓"))</f>
        <v>✓</v>
      </c>
    </row>
    <row r="139" spans="1:12" ht="14" customHeight="1" x14ac:dyDescent="0.2">
      <c r="A139" s="57">
        <v>46037</v>
      </c>
      <c r="B139" s="7" t="s">
        <v>69</v>
      </c>
      <c r="C139" s="13" t="str">
        <f>IF(B139="","",IFERROR(INDEX(Client_List!$C:$C,MATCH(B139,Client_List!$B:$B,0)),""))</f>
        <v>5</v>
      </c>
      <c r="D139" s="9" t="str">
        <f>IF(B139="","",IFERROR(INDEX(Client_List!$D:$D,MATCH(B139,Client_List!$B:$B,0)),""))</f>
        <v>5D</v>
      </c>
      <c r="E139" s="9" t="str">
        <f>IF(B139="","",IFERROR(INDEX(Client_List!$K:$K,MATCH(B139,Client_List!$B:$B,0)),""))</f>
        <v>CANOLA OIL</v>
      </c>
      <c r="F139" s="10">
        <f>IF(B139="","",IFERROR(INDEX(Client_List!$J:$J,MATCH(B139,Client_List!$B:$B,0)),""))</f>
        <v>1050</v>
      </c>
      <c r="G139" s="10">
        <v>1051</v>
      </c>
      <c r="H139" s="9" t="str">
        <f>IF(B139="","",IFERROR(A139-LOOKUP(2,1/($B$4:$B138=B139),$A$4:$A138),""))</f>
        <v/>
      </c>
      <c r="I139" s="73" t="str">
        <f t="shared" si="2"/>
        <v/>
      </c>
      <c r="J139" s="9">
        <v>141400</v>
      </c>
      <c r="K139" s="6" t="str">
        <f>IF(B139="","",IFERROR(AVERAGEIFS($I$4:$I139,$B$4:$B139,B139,$I$4:$I139,"&gt;"&amp;0),""))</f>
        <v/>
      </c>
      <c r="L139" s="9" t="str">
        <f>IF(B139="","",IF(ISNA(MATCH(B139,Client_List!$B:$B,0)),"⚠ NOT FOUND","✓"))</f>
        <v>✓</v>
      </c>
    </row>
    <row r="140" spans="1:12" ht="14" customHeight="1" x14ac:dyDescent="0.2">
      <c r="A140" s="56">
        <v>46037</v>
      </c>
      <c r="B140" s="2" t="s">
        <v>116</v>
      </c>
      <c r="C140" s="3" t="str">
        <f>IF(B140="","",IFERROR(INDEX(Client_List!$C:$C,MATCH(B140,Client_List!$B:$B,0)),""))</f>
        <v>5</v>
      </c>
      <c r="D140" s="4" t="str">
        <f>IF(B140="","",IFERROR(INDEX(Client_List!$D:$D,MATCH(B140,Client_List!$B:$B,0)),""))</f>
        <v>5E</v>
      </c>
      <c r="E140" s="4" t="str">
        <f>IF(B140="","",IFERROR(INDEX(Client_List!$K:$K,MATCH(B140,Client_List!$B:$B,0)),""))</f>
        <v>FRYERS CHOICE BLEND</v>
      </c>
      <c r="F140" s="5">
        <f>IF(B140="","",IFERROR(INDEX(Client_List!$J:$J,MATCH(B140,Client_List!$B:$B,0)),""))</f>
        <v>900</v>
      </c>
      <c r="G140" s="5">
        <v>683</v>
      </c>
      <c r="H140" s="4" t="str">
        <f>IF(B140="","",IFERROR(A140-LOOKUP(2,1/($B$4:$B139=B140),$A$4:$A139),""))</f>
        <v/>
      </c>
      <c r="I140" s="72" t="str">
        <f t="shared" si="2"/>
        <v/>
      </c>
      <c r="J140" s="4">
        <v>141388</v>
      </c>
      <c r="K140" s="6" t="str">
        <f>IF(B140="","",IFERROR(AVERAGEIFS($I$4:$I140,$B$4:$B140,B140,$I$4:$I140,"&gt;"&amp;0),""))</f>
        <v/>
      </c>
      <c r="L140" s="4" t="str">
        <f>IF(B140="","",IF(ISNA(MATCH(B140,Client_List!$B:$B,0)),"⚠ NOT FOUND","✓"))</f>
        <v>✓</v>
      </c>
    </row>
    <row r="141" spans="1:12" ht="14" customHeight="1" x14ac:dyDescent="0.2">
      <c r="A141" s="57">
        <v>46037</v>
      </c>
      <c r="B141" s="7" t="s">
        <v>120</v>
      </c>
      <c r="C141" s="12" t="str">
        <f>IF(B141="","",IFERROR(INDEX(Client_List!$C:$C,MATCH(B141,Client_List!$B:$B,0)),""))</f>
        <v>5</v>
      </c>
      <c r="D141" s="9" t="str">
        <f>IF(B141="","",IFERROR(INDEX(Client_List!$D:$D,MATCH(B141,Client_List!$B:$B,0)),""))</f>
        <v>5D</v>
      </c>
      <c r="E141" s="9" t="str">
        <f>IF(B141="","",IFERROR(INDEX(Client_List!$K:$K,MATCH(B141,Client_List!$B:$B,0)),""))</f>
        <v>FRYERS CHOICE BLEND</v>
      </c>
      <c r="F141" s="10">
        <f>IF(B141="","",IFERROR(INDEX(Client_List!$J:$J,MATCH(B141,Client_List!$B:$B,0)),""))</f>
        <v>450</v>
      </c>
      <c r="G141" s="10">
        <v>317</v>
      </c>
      <c r="H141" s="9">
        <f>IF(B141="","",IFERROR(A141-LOOKUP(2,1/($B$4:$B140=B141),$A$4:$A140),""))</f>
        <v>10</v>
      </c>
      <c r="I141" s="73">
        <f t="shared" si="2"/>
        <v>31.7</v>
      </c>
      <c r="J141" s="9">
        <v>141404</v>
      </c>
      <c r="K141" s="6">
        <f>IF(B141="","",IFERROR(AVERAGEIFS($I$4:$I141,$B$4:$B141,B141,$I$4:$I141,"&gt;"&amp;0),""))</f>
        <v>31.7</v>
      </c>
      <c r="L141" s="9" t="str">
        <f>IF(B141="","",IF(ISNA(MATCH(B141,Client_List!$B:$B,0)),"⚠ NOT FOUND","✓"))</f>
        <v>✓</v>
      </c>
    </row>
    <row r="142" spans="1:12" ht="14" customHeight="1" x14ac:dyDescent="0.2">
      <c r="A142" s="56">
        <v>46037</v>
      </c>
      <c r="B142" s="2" t="s">
        <v>140</v>
      </c>
      <c r="C142" s="12" t="str">
        <f>IF(B142="","",IFERROR(INDEX(Client_List!$C:$C,MATCH(B142,Client_List!$B:$B,0)),""))</f>
        <v>5</v>
      </c>
      <c r="D142" s="4" t="str">
        <f>IF(B142="","",IFERROR(INDEX(Client_List!$D:$D,MATCH(B142,Client_List!$B:$B,0)),""))</f>
        <v>5E</v>
      </c>
      <c r="E142" s="4" t="str">
        <f>IF(B142="","",IFERROR(INDEX(Client_List!$K:$K,MATCH(B142,Client_List!$B:$B,0)),""))</f>
        <v>CANOLA OIL</v>
      </c>
      <c r="F142" s="5">
        <f>IF(B142="","",IFERROR(INDEX(Client_List!$J:$J,MATCH(B142,Client_List!$B:$B,0)),""))</f>
        <v>350</v>
      </c>
      <c r="G142" s="5">
        <v>368</v>
      </c>
      <c r="H142" s="4" t="str">
        <f>IF(B142="","",IFERROR(A142-LOOKUP(2,1/($B$4:$B141=B142),$A$4:$A141),""))</f>
        <v/>
      </c>
      <c r="I142" s="72" t="str">
        <f t="shared" si="2"/>
        <v/>
      </c>
      <c r="J142" s="4">
        <v>141397</v>
      </c>
      <c r="K142" s="6" t="str">
        <f>IF(B142="","",IFERROR(AVERAGEIFS($I$4:$I142,$B$4:$B142,B142,$I$4:$I142,"&gt;"&amp;0),""))</f>
        <v/>
      </c>
      <c r="L142" s="4" t="str">
        <f>IF(B142="","",IF(ISNA(MATCH(B142,Client_List!$B:$B,0)),"⚠ NOT FOUND","✓"))</f>
        <v>✓</v>
      </c>
    </row>
    <row r="143" spans="1:12" ht="14" customHeight="1" x14ac:dyDescent="0.2">
      <c r="A143" s="57">
        <v>46037</v>
      </c>
      <c r="B143" s="7" t="s">
        <v>206</v>
      </c>
      <c r="C143" s="3" t="str">
        <f>IF(B143="","",IFERROR(INDEX(Client_List!$C:$C,MATCH(B143,Client_List!$B:$B,0)),""))</f>
        <v>4</v>
      </c>
      <c r="D143" s="9" t="str">
        <f>IF(B143="","",IFERROR(INDEX(Client_List!$D:$D,MATCH(B143,Client_List!$B:$B,0)),""))</f>
        <v>4C</v>
      </c>
      <c r="E143" s="9" t="str">
        <f>IF(B143="","",IFERROR(INDEX(Client_List!$K:$K,MATCH(B143,Client_List!$B:$B,0)),""))</f>
        <v>CANOLA OIL</v>
      </c>
      <c r="F143" s="10">
        <f>IF(B143="","",IFERROR(INDEX(Client_List!$J:$J,MATCH(B143,Client_List!$B:$B,0)),""))</f>
        <v>1050</v>
      </c>
      <c r="G143" s="10">
        <v>1000</v>
      </c>
      <c r="H143" s="9" t="str">
        <f>IF(B143="","",IFERROR(A143-LOOKUP(2,1/($B$4:$B142=B143),$A$4:$A142),""))</f>
        <v/>
      </c>
      <c r="I143" s="73" t="str">
        <f t="shared" si="2"/>
        <v/>
      </c>
      <c r="J143" s="9">
        <v>141406</v>
      </c>
      <c r="K143" s="6" t="str">
        <f>IF(B143="","",IFERROR(AVERAGEIFS($I$4:$I143,$B$4:$B143,B143,$I$4:$I143,"&gt;"&amp;0),""))</f>
        <v/>
      </c>
      <c r="L143" s="9" t="str">
        <f>IF(B143="","",IF(ISNA(MATCH(B143,Client_List!$B:$B,0)),"⚠ NOT FOUND","✓"))</f>
        <v>✓</v>
      </c>
    </row>
    <row r="144" spans="1:12" ht="14" customHeight="1" x14ac:dyDescent="0.2">
      <c r="A144" s="56">
        <v>46037</v>
      </c>
      <c r="B144" s="2" t="s">
        <v>376</v>
      </c>
      <c r="C144" s="8">
        <f>IF(B144="","",IFERROR(INDEX(Client_List!$C:$C,MATCH(B144,Client_List!$B:$B,0)),""))</f>
        <v>0</v>
      </c>
      <c r="D144" s="4" t="str">
        <f>IF(B144="","",IFERROR(INDEX(Client_List!$D:$D,MATCH(B144,Client_List!$B:$B,0)),""))</f>
        <v>P</v>
      </c>
      <c r="E144" s="4" t="str">
        <f>IF(B144="","",IFERROR(INDEX(Client_List!$K:$K,MATCH(B144,Client_List!$B:$B,0)),""))</f>
        <v>CANOLA OIL</v>
      </c>
      <c r="F144" s="5">
        <f>IF(B144="","",IFERROR(INDEX(Client_List!$J:$J,MATCH(B144,Client_List!$B:$B,0)),""))</f>
        <v>1800</v>
      </c>
      <c r="G144" s="5">
        <v>883</v>
      </c>
      <c r="H144" s="4" t="str">
        <f>IF(B144="","",IFERROR(A144-LOOKUP(2,1/($B$4:$B143=B144),$A$4:$A143),""))</f>
        <v/>
      </c>
      <c r="I144" s="72" t="str">
        <f t="shared" si="2"/>
        <v/>
      </c>
      <c r="J144" s="4">
        <v>141391</v>
      </c>
      <c r="K144" s="6" t="str">
        <f>IF(B144="","",IFERROR(AVERAGEIFS($I$4:$I144,$B$4:$B144,B144,$I$4:$I144,"&gt;"&amp;0),""))</f>
        <v/>
      </c>
      <c r="L144" s="4" t="str">
        <f>IF(B144="","",IF(ISNA(MATCH(B144,Client_List!$B:$B,0)),"⚠ NOT FOUND","✓"))</f>
        <v>✓</v>
      </c>
    </row>
    <row r="145" spans="1:12" ht="14" customHeight="1" x14ac:dyDescent="0.2">
      <c r="A145" s="57">
        <v>46037</v>
      </c>
      <c r="B145" s="7" t="s">
        <v>264</v>
      </c>
      <c r="C145" s="11" t="str">
        <f>IF(B145="","",IFERROR(INDEX(Client_List!$C:$C,MATCH(B145,Client_List!$B:$B,0)),""))</f>
        <v>2</v>
      </c>
      <c r="D145" s="9" t="str">
        <f>IF(B145="","",IFERROR(INDEX(Client_List!$D:$D,MATCH(B145,Client_List!$B:$B,0)),""))</f>
        <v>2D</v>
      </c>
      <c r="E145" s="9" t="str">
        <f>IF(B145="","",IFERROR(INDEX(Client_List!$K:$K,MATCH(B145,Client_List!$B:$B,0)),""))</f>
        <v>FRYERS CHOICE BLEND</v>
      </c>
      <c r="F145" s="10">
        <f>IF(B145="","",IFERROR(INDEX(Client_List!$J:$J,MATCH(B145,Client_List!$B:$B,0)),""))</f>
        <v>1950</v>
      </c>
      <c r="G145" s="10">
        <v>1196</v>
      </c>
      <c r="H145" s="9">
        <f>IF(B145="","",IFERROR(A145-LOOKUP(2,1/($B$4:$B144=B145),$A$4:$A144),""))</f>
        <v>12</v>
      </c>
      <c r="I145" s="73">
        <f t="shared" si="2"/>
        <v>99.666666666666671</v>
      </c>
      <c r="J145" s="9">
        <v>141399</v>
      </c>
      <c r="K145" s="6">
        <f>IF(B145="","",IFERROR(AVERAGEIFS($I$4:$I145,$B$4:$B145,B145,$I$4:$I145,"&gt;"&amp;0),""))</f>
        <v>99.666666666666671</v>
      </c>
      <c r="L145" s="9" t="str">
        <f>IF(B145="","",IF(ISNA(MATCH(B145,Client_List!$B:$B,0)),"⚠ NOT FOUND","✓"))</f>
        <v>✓</v>
      </c>
    </row>
    <row r="146" spans="1:12" ht="14" customHeight="1" x14ac:dyDescent="0.2">
      <c r="A146" s="56">
        <v>46037</v>
      </c>
      <c r="B146" s="2" t="s">
        <v>268</v>
      </c>
      <c r="C146" s="3" t="str">
        <f>IF(B146="","",IFERROR(INDEX(Client_List!$C:$C,MATCH(B146,Client_List!$B:$B,0)),""))</f>
        <v>5</v>
      </c>
      <c r="D146" s="4" t="str">
        <f>IF(B146="","",IFERROR(INDEX(Client_List!$D:$D,MATCH(B146,Client_List!$B:$B,0)),""))</f>
        <v>5D</v>
      </c>
      <c r="E146" s="4" t="str">
        <f>IF(B146="","",IFERROR(INDEX(Client_List!$K:$K,MATCH(B146,Client_List!$B:$B,0)),""))</f>
        <v>CANOLA OIL</v>
      </c>
      <c r="F146" s="5">
        <f>IF(B146="","",IFERROR(INDEX(Client_List!$J:$J,MATCH(B146,Client_List!$B:$B,0)),""))</f>
        <v>660</v>
      </c>
      <c r="G146" s="5">
        <v>500</v>
      </c>
      <c r="H146" s="4">
        <f>IF(B146="","",IFERROR(A146-LOOKUP(2,1/($B$4:$B145=B146),$A$4:$A145),""))</f>
        <v>10</v>
      </c>
      <c r="I146" s="72">
        <f t="shared" si="2"/>
        <v>50</v>
      </c>
      <c r="J146" s="4">
        <v>141405</v>
      </c>
      <c r="K146" s="6">
        <f>IF(B146="","",IFERROR(AVERAGEIFS($I$4:$I146,$B$4:$B146,B146,$I$4:$I146,"&gt;"&amp;0),""))</f>
        <v>50</v>
      </c>
      <c r="L146" s="4" t="str">
        <f>IF(B146="","",IF(ISNA(MATCH(B146,Client_List!$B:$B,0)),"⚠ NOT FOUND","✓"))</f>
        <v>✓</v>
      </c>
    </row>
    <row r="147" spans="1:12" ht="14" customHeight="1" x14ac:dyDescent="0.2">
      <c r="A147" s="57">
        <v>46037</v>
      </c>
      <c r="B147" s="7" t="s">
        <v>278</v>
      </c>
      <c r="C147" s="11" t="str">
        <f>IF(B147="","",IFERROR(INDEX(Client_List!$C:$C,MATCH(B147,Client_List!$B:$B,0)),""))</f>
        <v>3</v>
      </c>
      <c r="D147" s="9" t="str">
        <f>IF(B147="","",IFERROR(INDEX(Client_List!$D:$D,MATCH(B147,Client_List!$B:$B,0)),""))</f>
        <v>3A</v>
      </c>
      <c r="E147" s="9" t="str">
        <f>IF(B147="","",IFERROR(INDEX(Client_List!$K:$K,MATCH(B147,Client_List!$B:$B,0)),""))</f>
        <v>CANOLA OIL</v>
      </c>
      <c r="F147" s="10">
        <f>IF(B147="","",IFERROR(INDEX(Client_List!$J:$J,MATCH(B147,Client_List!$B:$B,0)),""))</f>
        <v>1850</v>
      </c>
      <c r="G147" s="10">
        <v>1565</v>
      </c>
      <c r="H147" s="9" t="str">
        <f>IF(B147="","",IFERROR(A147-LOOKUP(2,1/($B$4:$B146=B147),$A$4:$A146),""))</f>
        <v/>
      </c>
      <c r="I147" s="73" t="str">
        <f t="shared" si="2"/>
        <v/>
      </c>
      <c r="J147" s="9">
        <v>141389</v>
      </c>
      <c r="K147" s="6" t="str">
        <f>IF(B147="","",IFERROR(AVERAGEIFS($I$4:$I147,$B$4:$B147,B147,$I$4:$I147,"&gt;"&amp;0),""))</f>
        <v/>
      </c>
      <c r="L147" s="9" t="str">
        <f>IF(B147="","",IF(ISNA(MATCH(B147,Client_List!$B:$B,0)),"⚠ NOT FOUND","✓"))</f>
        <v>✓</v>
      </c>
    </row>
    <row r="148" spans="1:12" ht="14" customHeight="1" x14ac:dyDescent="0.2">
      <c r="A148" s="56">
        <v>46037</v>
      </c>
      <c r="B148" s="2" t="s">
        <v>377</v>
      </c>
      <c r="C148" s="3">
        <f>IF(B148="","",IFERROR(INDEX(Client_List!$C:$C,MATCH(B148,Client_List!$B:$B,0)),""))</f>
        <v>0</v>
      </c>
      <c r="D148" s="4" t="str">
        <f>IF(B148="","",IFERROR(INDEX(Client_List!$D:$D,MATCH(B148,Client_List!$B:$B,0)),""))</f>
        <v>P</v>
      </c>
      <c r="E148" s="4" t="str">
        <f>IF(B148="","",IFERROR(INDEX(Client_List!$K:$K,MATCH(B148,Client_List!$B:$B,0)),""))</f>
        <v>CANOLA OIL</v>
      </c>
      <c r="F148" s="5">
        <f>IF(B148="","",IFERROR(INDEX(Client_List!$J:$J,MATCH(B148,Client_List!$B:$B,0)),""))</f>
        <v>1050</v>
      </c>
      <c r="G148" s="5">
        <v>909</v>
      </c>
      <c r="H148" s="4" t="str">
        <f>IF(B148="","",IFERROR(A148-LOOKUP(2,1/($B$4:$B147=B148),$A$4:$A147),""))</f>
        <v/>
      </c>
      <c r="I148" s="72" t="str">
        <f t="shared" si="2"/>
        <v/>
      </c>
      <c r="J148" s="4">
        <v>141390</v>
      </c>
      <c r="K148" s="6" t="str">
        <f>IF(B148="","",IFERROR(AVERAGEIFS($I$4:$I148,$B$4:$B148,B148,$I$4:$I148,"&gt;"&amp;0),""))</f>
        <v/>
      </c>
      <c r="L148" s="4" t="str">
        <f>IF(B148="","",IF(ISNA(MATCH(B148,Client_List!$B:$B,0)),"⚠ NOT FOUND","✓"))</f>
        <v>✓</v>
      </c>
    </row>
    <row r="149" spans="1:12" ht="14" customHeight="1" x14ac:dyDescent="0.2">
      <c r="A149" s="57">
        <v>46038</v>
      </c>
      <c r="B149" s="7" t="s">
        <v>71</v>
      </c>
      <c r="C149" s="11" t="str">
        <f>IF(B149="","",IFERROR(INDEX(Client_List!$C:$C,MATCH(B149,Client_List!$B:$B,0)),""))</f>
        <v>5</v>
      </c>
      <c r="D149" s="9" t="str">
        <f>IF(B149="","",IFERROR(INDEX(Client_List!$D:$D,MATCH(B149,Client_List!$B:$B,0)),""))</f>
        <v>5F</v>
      </c>
      <c r="E149" s="9" t="str">
        <f>IF(B149="","",IFERROR(INDEX(Client_List!$K:$K,MATCH(B149,Client_List!$B:$B,0)),""))</f>
        <v>CANOLA OIL</v>
      </c>
      <c r="F149" s="10">
        <f>IF(B149="","",IFERROR(INDEX(Client_List!$J:$J,MATCH(B149,Client_List!$B:$B,0)),""))</f>
        <v>350</v>
      </c>
      <c r="G149" s="10">
        <v>188</v>
      </c>
      <c r="H149" s="9">
        <f>IF(B149="","",IFERROR(A149-LOOKUP(2,1/($B$4:$B148=B149),$A$4:$A148),""))</f>
        <v>9</v>
      </c>
      <c r="I149" s="73">
        <f t="shared" si="2"/>
        <v>20.888888888888889</v>
      </c>
      <c r="J149" s="9">
        <v>141445</v>
      </c>
      <c r="K149" s="6">
        <f>IF(B149="","",IFERROR(AVERAGEIFS($I$4:$I149,$B$4:$B149,B149,$I$4:$I149,"&gt;"&amp;0),""))</f>
        <v>20.888888888888889</v>
      </c>
      <c r="L149" s="9" t="str">
        <f>IF(B149="","",IF(ISNA(MATCH(B149,Client_List!$B:$B,0)),"⚠ NOT FOUND","✓"))</f>
        <v>✓</v>
      </c>
    </row>
    <row r="150" spans="1:12" ht="14" customHeight="1" x14ac:dyDescent="0.2">
      <c r="A150" s="56">
        <v>46038</v>
      </c>
      <c r="B150" s="2" t="s">
        <v>365</v>
      </c>
      <c r="C150" s="3">
        <f>IF(B150="","",IFERROR(INDEX(Client_List!$C:$C,MATCH(B150,Client_List!$B:$B,0)),""))</f>
        <v>0</v>
      </c>
      <c r="D150" s="4">
        <f>IF(B150="","",IFERROR(INDEX(Client_List!$D:$D,MATCH(B150,Client_List!$B:$B,0)),""))</f>
        <v>0</v>
      </c>
      <c r="E150" s="4" t="str">
        <f>IF(B150="","",IFERROR(INDEX(Client_List!$K:$K,MATCH(B150,Client_List!$B:$B,0)),""))</f>
        <v>CANOLA OIL</v>
      </c>
      <c r="F150" s="5">
        <f>IF(B150="","",IFERROR(INDEX(Client_List!$J:$J,MATCH(B150,Client_List!$B:$B,0)),""))</f>
        <v>700</v>
      </c>
      <c r="G150" s="5">
        <v>451</v>
      </c>
      <c r="H150" s="4">
        <f>IF(B150="","",IFERROR(A150-LOOKUP(2,1/($B$4:$B149=B150),$A$4:$A149),""))</f>
        <v>7</v>
      </c>
      <c r="I150" s="72">
        <f t="shared" si="2"/>
        <v>64.428571428571431</v>
      </c>
      <c r="J150" s="4">
        <v>141460</v>
      </c>
      <c r="K150" s="6">
        <f>IF(B150="","",IFERROR(AVERAGEIFS($I$4:$I150,$B$4:$B150,B150,$I$4:$I150,"&gt;"&amp;0),""))</f>
        <v>55.047619047619051</v>
      </c>
      <c r="L150" s="4" t="str">
        <f>IF(B150="","",IF(ISNA(MATCH(B150,Client_List!$B:$B,0)),"⚠ NOT FOUND","✓"))</f>
        <v>✓</v>
      </c>
    </row>
    <row r="151" spans="1:12" ht="14" customHeight="1" x14ac:dyDescent="0.2">
      <c r="A151" s="57">
        <v>46038</v>
      </c>
      <c r="B151" s="7" t="s">
        <v>77</v>
      </c>
      <c r="C151" s="11" t="str">
        <f>IF(B151="","",IFERROR(INDEX(Client_List!$C:$C,MATCH(B151,Client_List!$B:$B,0)),""))</f>
        <v>1</v>
      </c>
      <c r="D151" s="9" t="str">
        <f>IF(B151="","",IFERROR(INDEX(Client_List!$D:$D,MATCH(B151,Client_List!$B:$B,0)),""))</f>
        <v>1D</v>
      </c>
      <c r="E151" s="9" t="str">
        <f>IF(B151="","",IFERROR(INDEX(Client_List!$K:$K,MATCH(B151,Client_List!$B:$B,0)),""))</f>
        <v>CANOLA OIL</v>
      </c>
      <c r="F151" s="10">
        <f>IF(B151="","",IFERROR(INDEX(Client_List!$J:$J,MATCH(B151,Client_List!$B:$B,0)),""))</f>
        <v>620</v>
      </c>
      <c r="G151" s="10">
        <v>605</v>
      </c>
      <c r="H151" s="9">
        <f>IF(B151="","",IFERROR(A151-LOOKUP(2,1/($B$4:$B150=B151),$A$4:$A150),""))</f>
        <v>10</v>
      </c>
      <c r="I151" s="73">
        <f t="shared" si="2"/>
        <v>60.5</v>
      </c>
      <c r="J151" s="9">
        <v>141463</v>
      </c>
      <c r="K151" s="6">
        <f>IF(B151="","",IFERROR(AVERAGEIFS($I$4:$I151,$B$4:$B151,B151,$I$4:$I151,"&gt;"&amp;0),""))</f>
        <v>60.5</v>
      </c>
      <c r="L151" s="9" t="str">
        <f>IF(B151="","",IF(ISNA(MATCH(B151,Client_List!$B:$B,0)),"⚠ NOT FOUND","✓"))</f>
        <v>✓</v>
      </c>
    </row>
    <row r="152" spans="1:12" ht="14" customHeight="1" x14ac:dyDescent="0.2">
      <c r="A152" s="56">
        <v>46038</v>
      </c>
      <c r="B152" s="2" t="s">
        <v>83</v>
      </c>
      <c r="C152" s="13" t="str">
        <f>IF(B152="","",IFERROR(INDEX(Client_List!$C:$C,MATCH(B152,Client_List!$B:$B,0)),""))</f>
        <v>4</v>
      </c>
      <c r="D152" s="4" t="str">
        <f>IF(B152="","",IFERROR(INDEX(Client_List!$D:$D,MATCH(B152,Client_List!$B:$B,0)),""))</f>
        <v>4D</v>
      </c>
      <c r="E152" s="4" t="str">
        <f>IF(B152="","",IFERROR(INDEX(Client_List!$K:$K,MATCH(B152,Client_List!$B:$B,0)),""))</f>
        <v>FRYERS CHOICE BLEND</v>
      </c>
      <c r="F152" s="5">
        <f>IF(B152="","",IFERROR(INDEX(Client_List!$J:$J,MATCH(B152,Client_List!$B:$B,0)),""))</f>
        <v>350</v>
      </c>
      <c r="G152" s="5">
        <v>341</v>
      </c>
      <c r="H152" s="4">
        <f>IF(B152="","",IFERROR(A152-LOOKUP(2,1/($B$4:$B151=B152),$A$4:$A151),""))</f>
        <v>9</v>
      </c>
      <c r="I152" s="72">
        <f t="shared" si="2"/>
        <v>37.888888888888886</v>
      </c>
      <c r="J152" s="4">
        <v>141443</v>
      </c>
      <c r="K152" s="6">
        <f>IF(B152="","",IFERROR(AVERAGEIFS($I$4:$I152,$B$4:$B152,B152,$I$4:$I152,"&gt;"&amp;0),""))</f>
        <v>37.888888888888886</v>
      </c>
      <c r="L152" s="4" t="str">
        <f>IF(B152="","",IF(ISNA(MATCH(B152,Client_List!$B:$B,0)),"⚠ NOT FOUND","✓"))</f>
        <v>✓</v>
      </c>
    </row>
    <row r="153" spans="1:12" ht="14" customHeight="1" x14ac:dyDescent="0.2">
      <c r="A153" s="57">
        <v>46038</v>
      </c>
      <c r="B153" s="7" t="s">
        <v>378</v>
      </c>
      <c r="C153" s="13">
        <f>IF(B153="","",IFERROR(INDEX(Client_List!$C:$C,MATCH(B153,Client_List!$B:$B,0)),""))</f>
        <v>0</v>
      </c>
      <c r="D153" s="9" t="str">
        <f>IF(B153="","",IFERROR(INDEX(Client_List!$D:$D,MATCH(B153,Client_List!$B:$B,0)),""))</f>
        <v>W</v>
      </c>
      <c r="E153" s="9" t="str">
        <f>IF(B153="","",IFERROR(INDEX(Client_List!$K:$K,MATCH(B153,Client_List!$B:$B,0)),""))</f>
        <v>CANOLA OIL</v>
      </c>
      <c r="F153" s="10">
        <f>IF(B153="","",IFERROR(INDEX(Client_List!$J:$J,MATCH(B153,Client_List!$B:$B,0)),""))</f>
        <v>950</v>
      </c>
      <c r="G153" s="10">
        <v>901</v>
      </c>
      <c r="H153" s="9" t="str">
        <f>IF(B153="","",IFERROR(A153-LOOKUP(2,1/($B$4:$B152=B153),$A$4:$A152),""))</f>
        <v/>
      </c>
      <c r="I153" s="73" t="str">
        <f t="shared" si="2"/>
        <v/>
      </c>
      <c r="J153" s="9">
        <v>141455</v>
      </c>
      <c r="K153" s="6" t="str">
        <f>IF(B153="","",IFERROR(AVERAGEIFS($I$4:$I153,$B$4:$B153,B153,$I$4:$I153,"&gt;"&amp;0),""))</f>
        <v/>
      </c>
      <c r="L153" s="9" t="str">
        <f>IF(B153="","",IF(ISNA(MATCH(B153,Client_List!$B:$B,0)),"⚠ NOT FOUND","✓"))</f>
        <v>✓</v>
      </c>
    </row>
    <row r="154" spans="1:12" ht="14" customHeight="1" x14ac:dyDescent="0.2">
      <c r="A154" s="56">
        <v>46038</v>
      </c>
      <c r="B154" s="2" t="s">
        <v>94</v>
      </c>
      <c r="C154" s="3" t="str">
        <f>IF(B154="","",IFERROR(INDEX(Client_List!$C:$C,MATCH(B154,Client_List!$B:$B,0)),""))</f>
        <v>2</v>
      </c>
      <c r="D154" s="4" t="str">
        <f>IF(B154="","",IFERROR(INDEX(Client_List!$D:$D,MATCH(B154,Client_List!$B:$B,0)),""))</f>
        <v>2C</v>
      </c>
      <c r="E154" s="4" t="str">
        <f>IF(B154="","",IFERROR(INDEX(Client_List!$K:$K,MATCH(B154,Client_List!$B:$B,0)),""))</f>
        <v>CANOLA OIL</v>
      </c>
      <c r="F154" s="5">
        <f>IF(B154="","",IFERROR(INDEX(Client_List!$J:$J,MATCH(B154,Client_List!$B:$B,0)),""))</f>
        <v>450</v>
      </c>
      <c r="G154" s="5">
        <v>413</v>
      </c>
      <c r="H154" s="4">
        <f>IF(B154="","",IFERROR(A154-LOOKUP(2,1/($B$4:$B153=B154),$A$4:$A153),""))</f>
        <v>11</v>
      </c>
      <c r="I154" s="72">
        <f t="shared" si="2"/>
        <v>37.545454545454547</v>
      </c>
      <c r="J154" s="4">
        <v>141457</v>
      </c>
      <c r="K154" s="6">
        <f>IF(B154="","",IFERROR(AVERAGEIFS($I$4:$I154,$B$4:$B154,B154,$I$4:$I154,"&gt;"&amp;0),""))</f>
        <v>37.545454545454547</v>
      </c>
      <c r="L154" s="4" t="str">
        <f>IF(B154="","",IF(ISNA(MATCH(B154,Client_List!$B:$B,0)),"⚠ NOT FOUND","✓"))</f>
        <v>✓</v>
      </c>
    </row>
    <row r="155" spans="1:12" ht="14" customHeight="1" x14ac:dyDescent="0.2">
      <c r="A155" s="57">
        <v>46038</v>
      </c>
      <c r="B155" s="7" t="s">
        <v>114</v>
      </c>
      <c r="C155" s="13" t="str">
        <f>IF(B155="","",IFERROR(INDEX(Client_List!$C:$C,MATCH(B155,Client_List!$B:$B,0)),""))</f>
        <v>2</v>
      </c>
      <c r="D155" s="9" t="str">
        <f>IF(B155="","",IFERROR(INDEX(Client_List!$D:$D,MATCH(B155,Client_List!$B:$B,0)),""))</f>
        <v>2A</v>
      </c>
      <c r="E155" s="9" t="str">
        <f>IF(B155="","",IFERROR(INDEX(Client_List!$K:$K,MATCH(B155,Client_List!$B:$B,0)),""))</f>
        <v>FRYERS CHOICE BLEND</v>
      </c>
      <c r="F155" s="10">
        <f>IF(B155="","",IFERROR(INDEX(Client_List!$J:$J,MATCH(B155,Client_List!$B:$B,0)),""))</f>
        <v>500</v>
      </c>
      <c r="G155" s="10">
        <v>421</v>
      </c>
      <c r="H155" s="9">
        <f>IF(B155="","",IFERROR(A155-LOOKUP(2,1/($B$4:$B154=B155),$A$4:$A154),""))</f>
        <v>13</v>
      </c>
      <c r="I155" s="73">
        <f t="shared" si="2"/>
        <v>32.384615384615387</v>
      </c>
      <c r="J155" s="9">
        <v>141458</v>
      </c>
      <c r="K155" s="6">
        <f>IF(B155="","",IFERROR(AVERAGEIFS($I$4:$I155,$B$4:$B155,B155,$I$4:$I155,"&gt;"&amp;0),""))</f>
        <v>32.384615384615387</v>
      </c>
      <c r="L155" s="9" t="str">
        <f>IF(B155="","",IF(ISNA(MATCH(B155,Client_List!$B:$B,0)),"⚠ NOT FOUND","✓"))</f>
        <v>✓</v>
      </c>
    </row>
    <row r="156" spans="1:12" ht="14" customHeight="1" x14ac:dyDescent="0.2">
      <c r="A156" s="56">
        <v>46038</v>
      </c>
      <c r="B156" s="2" t="s">
        <v>118</v>
      </c>
      <c r="C156" s="13" t="str">
        <f>IF(B156="","",IFERROR(INDEX(Client_List!$C:$C,MATCH(B156,Client_List!$B:$B,0)),""))</f>
        <v>4</v>
      </c>
      <c r="D156" s="4" t="str">
        <f>IF(B156="","",IFERROR(INDEX(Client_List!$D:$D,MATCH(B156,Client_List!$B:$B,0)),""))</f>
        <v>4E</v>
      </c>
      <c r="E156" s="4" t="str">
        <f>IF(B156="","",IFERROR(INDEX(Client_List!$K:$K,MATCH(B156,Client_List!$B:$B,0)),""))</f>
        <v>CANOLA OIL</v>
      </c>
      <c r="F156" s="5">
        <f>IF(B156="","",IFERROR(INDEX(Client_List!$J:$J,MATCH(B156,Client_List!$B:$B,0)),""))</f>
        <v>2500</v>
      </c>
      <c r="G156" s="5">
        <v>2004</v>
      </c>
      <c r="H156" s="4">
        <f>IF(B156="","",IFERROR(A156-LOOKUP(2,1/($B$4:$B155=B156),$A$4:$A155),""))</f>
        <v>9</v>
      </c>
      <c r="I156" s="72">
        <f t="shared" si="2"/>
        <v>222.66666666666666</v>
      </c>
      <c r="J156" s="4">
        <v>141450</v>
      </c>
      <c r="K156" s="6">
        <f>IF(B156="","",IFERROR(AVERAGEIFS($I$4:$I156,$B$4:$B156,B156,$I$4:$I156,"&gt;"&amp;0),""))</f>
        <v>222.66666666666666</v>
      </c>
      <c r="L156" s="4" t="str">
        <f>IF(B156="","",IF(ISNA(MATCH(B156,Client_List!$B:$B,0)),"⚠ NOT FOUND","✓"))</f>
        <v>✓</v>
      </c>
    </row>
    <row r="157" spans="1:12" ht="14" customHeight="1" x14ac:dyDescent="0.2">
      <c r="A157" s="57">
        <v>46038</v>
      </c>
      <c r="B157" s="7" t="s">
        <v>122</v>
      </c>
      <c r="C157" s="3" t="str">
        <f>IF(B157="","",IFERROR(INDEX(Client_List!$C:$C,MATCH(B157,Client_List!$B:$B,0)),""))</f>
        <v>3</v>
      </c>
      <c r="D157" s="9" t="str">
        <f>IF(B157="","",IFERROR(INDEX(Client_List!$D:$D,MATCH(B157,Client_List!$B:$B,0)),""))</f>
        <v>3D</v>
      </c>
      <c r="E157" s="9" t="str">
        <f>IF(B157="","",IFERROR(INDEX(Client_List!$K:$K,MATCH(B157,Client_List!$B:$B,0)),""))</f>
        <v>CANOLA OIL</v>
      </c>
      <c r="F157" s="10">
        <f>IF(B157="","",IFERROR(INDEX(Client_List!$J:$J,MATCH(B157,Client_List!$B:$B,0)),""))</f>
        <v>500</v>
      </c>
      <c r="G157" s="10">
        <v>561</v>
      </c>
      <c r="H157" s="9" t="str">
        <f>IF(B157="","",IFERROR(A157-LOOKUP(2,1/($B$4:$B156=B157),$A$4:$A156),""))</f>
        <v/>
      </c>
      <c r="I157" s="73" t="str">
        <f t="shared" si="2"/>
        <v/>
      </c>
      <c r="J157" s="9">
        <v>141462</v>
      </c>
      <c r="K157" s="6" t="str">
        <f>IF(B157="","",IFERROR(AVERAGEIFS($I$4:$I157,$B$4:$B157,B157,$I$4:$I157,"&gt;"&amp;0),""))</f>
        <v/>
      </c>
      <c r="L157" s="9" t="str">
        <f>IF(B157="","",IF(ISNA(MATCH(B157,Client_List!$B:$B,0)),"⚠ NOT FOUND","✓"))</f>
        <v>✓</v>
      </c>
    </row>
    <row r="158" spans="1:12" ht="14" customHeight="1" x14ac:dyDescent="0.2">
      <c r="A158" s="56">
        <v>46038</v>
      </c>
      <c r="B158" s="2" t="s">
        <v>136</v>
      </c>
      <c r="C158" s="8" t="str">
        <f>IF(B158="","",IFERROR(INDEX(Client_List!$C:$C,MATCH(B158,Client_List!$B:$B,0)),""))</f>
        <v>5</v>
      </c>
      <c r="D158" s="4" t="str">
        <f>IF(B158="","",IFERROR(INDEX(Client_List!$D:$D,MATCH(B158,Client_List!$B:$B,0)),""))</f>
        <v>5F</v>
      </c>
      <c r="E158" s="4" t="str">
        <f>IF(B158="","",IFERROR(INDEX(Client_List!$K:$K,MATCH(B158,Client_List!$B:$B,0)),""))</f>
        <v>FRYERS CHOICE BLEND</v>
      </c>
      <c r="F158" s="5">
        <f>IF(B158="","",IFERROR(INDEX(Client_List!$J:$J,MATCH(B158,Client_List!$B:$B,0)),""))</f>
        <v>480</v>
      </c>
      <c r="G158" s="5">
        <v>439</v>
      </c>
      <c r="H158" s="4">
        <f>IF(B158="","",IFERROR(A158-LOOKUP(2,1/($B$4:$B157=B158),$A$4:$A157),""))</f>
        <v>9</v>
      </c>
      <c r="I158" s="72">
        <f t="shared" si="2"/>
        <v>48.777777777777779</v>
      </c>
      <c r="J158" s="4">
        <v>141447</v>
      </c>
      <c r="K158" s="6">
        <f>IF(B158="","",IFERROR(AVERAGEIFS($I$4:$I158,$B$4:$B158,B158,$I$4:$I158,"&gt;"&amp;0),""))</f>
        <v>48.777777777777779</v>
      </c>
      <c r="L158" s="4" t="str">
        <f>IF(B158="","",IF(ISNA(MATCH(B158,Client_List!$B:$B,0)),"⚠ NOT FOUND","✓"))</f>
        <v>✓</v>
      </c>
    </row>
    <row r="159" spans="1:12" ht="14" customHeight="1" x14ac:dyDescent="0.2">
      <c r="A159" s="57">
        <v>46038</v>
      </c>
      <c r="B159" s="7" t="s">
        <v>222</v>
      </c>
      <c r="C159" s="12" t="str">
        <f>IF(B159="","",IFERROR(INDEX(Client_List!$C:$C,MATCH(B159,Client_List!$B:$B,0)),""))</f>
        <v>4</v>
      </c>
      <c r="D159" s="9" t="str">
        <f>IF(B159="","",IFERROR(INDEX(Client_List!$D:$D,MATCH(B159,Client_List!$B:$B,0)),""))</f>
        <v>4E</v>
      </c>
      <c r="E159" s="9" t="str">
        <f>IF(B159="","",IFERROR(INDEX(Client_List!$K:$K,MATCH(B159,Client_List!$B:$B,0)),""))</f>
        <v>CANOLA OIL</v>
      </c>
      <c r="F159" s="10">
        <f>IF(B159="","",IFERROR(INDEX(Client_List!$J:$J,MATCH(B159,Client_List!$B:$B,0)),""))</f>
        <v>630</v>
      </c>
      <c r="G159" s="10">
        <v>606</v>
      </c>
      <c r="H159" s="9" t="str">
        <f>IF(B159="","",IFERROR(A159-LOOKUP(2,1/($B$4:$B158=B159),$A$4:$A158),""))</f>
        <v/>
      </c>
      <c r="I159" s="73" t="str">
        <f t="shared" si="2"/>
        <v/>
      </c>
      <c r="J159" s="9">
        <v>141441</v>
      </c>
      <c r="K159" s="6" t="str">
        <f>IF(B159="","",IFERROR(AVERAGEIFS($I$4:$I159,$B$4:$B159,B159,$I$4:$I159,"&gt;"&amp;0),""))</f>
        <v/>
      </c>
      <c r="L159" s="9" t="str">
        <f>IF(B159="","",IF(ISNA(MATCH(B159,Client_List!$B:$B,0)),"⚠ NOT FOUND","✓"))</f>
        <v>✓</v>
      </c>
    </row>
    <row r="160" spans="1:12" ht="14" customHeight="1" x14ac:dyDescent="0.2">
      <c r="A160" s="56">
        <v>46038</v>
      </c>
      <c r="B160" s="2" t="s">
        <v>224</v>
      </c>
      <c r="C160" s="8" t="str">
        <f>IF(B160="","",IFERROR(INDEX(Client_List!$C:$C,MATCH(B160,Client_List!$B:$B,0)),""))</f>
        <v>5</v>
      </c>
      <c r="D160" s="4" t="str">
        <f>IF(B160="","",IFERROR(INDEX(Client_List!$D:$D,MATCH(B160,Client_List!$B:$B,0)),""))</f>
        <v>5E</v>
      </c>
      <c r="E160" s="4" t="str">
        <f>IF(B160="","",IFERROR(INDEX(Client_List!$K:$K,MATCH(B160,Client_List!$B:$B,0)),""))</f>
        <v>CANOLA OIL</v>
      </c>
      <c r="F160" s="5">
        <f>IF(B160="","",IFERROR(INDEX(Client_List!$J:$J,MATCH(B160,Client_List!$B:$B,0)),""))</f>
        <v>450</v>
      </c>
      <c r="G160" s="5">
        <v>479</v>
      </c>
      <c r="H160" s="4" t="str">
        <f>IF(B160="","",IFERROR(A160-LOOKUP(2,1/($B$4:$B159=B160),$A$4:$A159),""))</f>
        <v/>
      </c>
      <c r="I160" s="72" t="str">
        <f t="shared" si="2"/>
        <v/>
      </c>
      <c r="J160" s="4">
        <v>141448</v>
      </c>
      <c r="K160" s="6" t="str">
        <f>IF(B160="","",IFERROR(AVERAGEIFS($I$4:$I160,$B$4:$B160,B160,$I$4:$I160,"&gt;"&amp;0),""))</f>
        <v/>
      </c>
      <c r="L160" s="4" t="str">
        <f>IF(B160="","",IF(ISNA(MATCH(B160,Client_List!$B:$B,0)),"⚠ NOT FOUND","✓"))</f>
        <v>✓</v>
      </c>
    </row>
    <row r="161" spans="1:12" ht="14" customHeight="1" x14ac:dyDescent="0.2">
      <c r="A161" s="57">
        <v>46038</v>
      </c>
      <c r="B161" s="7" t="s">
        <v>226</v>
      </c>
      <c r="C161" s="13" t="str">
        <f>IF(B161="","",IFERROR(INDEX(Client_List!$C:$C,MATCH(B161,Client_List!$B:$B,0)),""))</f>
        <v>4</v>
      </c>
      <c r="D161" s="9" t="str">
        <f>IF(B161="","",IFERROR(INDEX(Client_List!$D:$D,MATCH(B161,Client_List!$B:$B,0)),""))</f>
        <v>4F</v>
      </c>
      <c r="E161" s="9" t="str">
        <f>IF(B161="","",IFERROR(INDEX(Client_List!$K:$K,MATCH(B161,Client_List!$B:$B,0)),""))</f>
        <v>CANOLA OIL</v>
      </c>
      <c r="F161" s="10">
        <f>IF(B161="","",IFERROR(INDEX(Client_List!$J:$J,MATCH(B161,Client_List!$B:$B,0)),""))</f>
        <v>660</v>
      </c>
      <c r="G161" s="10">
        <v>292</v>
      </c>
      <c r="H161" s="9" t="str">
        <f>IF(B161="","",IFERROR(A161-LOOKUP(2,1/($B$4:$B160=B161),$A$4:$A160),""))</f>
        <v/>
      </c>
      <c r="I161" s="73" t="str">
        <f t="shared" si="2"/>
        <v/>
      </c>
      <c r="J161" s="9">
        <v>141442</v>
      </c>
      <c r="K161" s="6" t="str">
        <f>IF(B161="","",IFERROR(AVERAGEIFS($I$4:$I161,$B$4:$B161,B161,$I$4:$I161,"&gt;"&amp;0),""))</f>
        <v/>
      </c>
      <c r="L161" s="9" t="str">
        <f>IF(B161="","",IF(ISNA(MATCH(B161,Client_List!$B:$B,0)),"⚠ NOT FOUND","✓"))</f>
        <v>✓</v>
      </c>
    </row>
    <row r="162" spans="1:12" ht="14" customHeight="1" x14ac:dyDescent="0.2">
      <c r="A162" s="56">
        <v>46038</v>
      </c>
      <c r="B162" s="2" t="s">
        <v>232</v>
      </c>
      <c r="C162" s="13" t="str">
        <f>IF(B162="","",IFERROR(INDEX(Client_List!$C:$C,MATCH(B162,Client_List!$B:$B,0)),""))</f>
        <v>5</v>
      </c>
      <c r="D162" s="4" t="str">
        <f>IF(B162="","",IFERROR(INDEX(Client_List!$D:$D,MATCH(B162,Client_List!$B:$B,0)),""))</f>
        <v>5F</v>
      </c>
      <c r="E162" s="4" t="str">
        <f>IF(B162="","",IFERROR(INDEX(Client_List!$K:$K,MATCH(B162,Client_List!$B:$B,0)),""))</f>
        <v>CANOLA OIL</v>
      </c>
      <c r="F162" s="5">
        <f>IF(B162="","",IFERROR(INDEX(Client_List!$J:$J,MATCH(B162,Client_List!$B:$B,0)),""))</f>
        <v>500</v>
      </c>
      <c r="G162" s="5">
        <v>500</v>
      </c>
      <c r="H162" s="4">
        <f>IF(B162="","",IFERROR(A162-LOOKUP(2,1/($B$4:$B161=B162),$A$4:$A161),""))</f>
        <v>9</v>
      </c>
      <c r="I162" s="72">
        <f t="shared" si="2"/>
        <v>55.555555555555557</v>
      </c>
      <c r="J162" s="4">
        <v>141446</v>
      </c>
      <c r="K162" s="6">
        <f>IF(B162="","",IFERROR(AVERAGEIFS($I$4:$I162,$B$4:$B162,B162,$I$4:$I162,"&gt;"&amp;0),""))</f>
        <v>55.555555555555557</v>
      </c>
      <c r="L162" s="4" t="str">
        <f>IF(B162="","",IF(ISNA(MATCH(B162,Client_List!$B:$B,0)),"⚠ NOT FOUND","✓"))</f>
        <v>✓</v>
      </c>
    </row>
    <row r="163" spans="1:12" ht="14" customHeight="1" x14ac:dyDescent="0.2">
      <c r="A163" s="57">
        <v>46038</v>
      </c>
      <c r="B163" s="7" t="s">
        <v>238</v>
      </c>
      <c r="C163" s="8" t="str">
        <f>IF(B163="","",IFERROR(INDEX(Client_List!$C:$C,MATCH(B163,Client_List!$B:$B,0)),""))</f>
        <v>4</v>
      </c>
      <c r="D163" s="9" t="str">
        <f>IF(B163="","",IFERROR(INDEX(Client_List!$D:$D,MATCH(B163,Client_List!$B:$B,0)),""))</f>
        <v>4D</v>
      </c>
      <c r="E163" s="9" t="str">
        <f>IF(B163="","",IFERROR(INDEX(Client_List!$K:$K,MATCH(B163,Client_List!$B:$B,0)),""))</f>
        <v>CANOLA OIL</v>
      </c>
      <c r="F163" s="10">
        <f>IF(B163="","",IFERROR(INDEX(Client_List!$J:$J,MATCH(B163,Client_List!$B:$B,0)),""))</f>
        <v>660</v>
      </c>
      <c r="G163" s="10">
        <v>470</v>
      </c>
      <c r="H163" s="9" t="str">
        <f>IF(B163="","",IFERROR(A163-LOOKUP(2,1/($B$4:$B162=B163),$A$4:$A162),""))</f>
        <v/>
      </c>
      <c r="I163" s="73" t="str">
        <f t="shared" si="2"/>
        <v/>
      </c>
      <c r="J163" s="9">
        <v>141449</v>
      </c>
      <c r="K163" s="6" t="str">
        <f>IF(B163="","",IFERROR(AVERAGEIFS($I$4:$I163,$B$4:$B163,B163,$I$4:$I163,"&gt;"&amp;0),""))</f>
        <v/>
      </c>
      <c r="L163" s="9" t="str">
        <f>IF(B163="","",IF(ISNA(MATCH(B163,Client_List!$B:$B,0)),"⚠ NOT FOUND","✓"))</f>
        <v>✓</v>
      </c>
    </row>
    <row r="164" spans="1:12" ht="14" customHeight="1" x14ac:dyDescent="0.2">
      <c r="A164" s="56">
        <v>46038</v>
      </c>
      <c r="B164" s="2" t="s">
        <v>240</v>
      </c>
      <c r="C164" s="12" t="str">
        <f>IF(B164="","",IFERROR(INDEX(Client_List!$C:$C,MATCH(B164,Client_List!$B:$B,0)),""))</f>
        <v>5</v>
      </c>
      <c r="D164" s="4" t="str">
        <f>IF(B164="","",IFERROR(INDEX(Client_List!$D:$D,MATCH(B164,Client_List!$B:$B,0)),""))</f>
        <v>5F</v>
      </c>
      <c r="E164" s="4" t="str">
        <f>IF(B164="","",IFERROR(INDEX(Client_List!$K:$K,MATCH(B164,Client_List!$B:$B,0)),""))</f>
        <v>CANOLA OIL</v>
      </c>
      <c r="F164" s="5">
        <f>IF(B164="","",IFERROR(INDEX(Client_List!$J:$J,MATCH(B164,Client_List!$B:$B,0)),""))</f>
        <v>350</v>
      </c>
      <c r="G164" s="5">
        <v>511</v>
      </c>
      <c r="H164" s="4" t="str">
        <f>IF(B164="","",IFERROR(A164-LOOKUP(2,1/($B$4:$B163=B164),$A$4:$A163),""))</f>
        <v/>
      </c>
      <c r="I164" s="72" t="str">
        <f t="shared" si="2"/>
        <v/>
      </c>
      <c r="J164" s="4">
        <v>141444</v>
      </c>
      <c r="K164" s="6" t="str">
        <f>IF(B164="","",IFERROR(AVERAGEIFS($I$4:$I164,$B$4:$B164,B164,$I$4:$I164,"&gt;"&amp;0),""))</f>
        <v/>
      </c>
      <c r="L164" s="4" t="str">
        <f>IF(B164="","",IF(ISNA(MATCH(B164,Client_List!$B:$B,0)),"⚠ NOT FOUND","✓"))</f>
        <v>✓</v>
      </c>
    </row>
    <row r="165" spans="1:12" ht="14" customHeight="1" x14ac:dyDescent="0.2">
      <c r="A165" s="57">
        <v>46038</v>
      </c>
      <c r="B165" s="7" t="s">
        <v>266</v>
      </c>
      <c r="C165" s="13" t="str">
        <f>IF(B165="","",IFERROR(INDEX(Client_List!$C:$C,MATCH(B165,Client_List!$B:$B,0)),""))</f>
        <v>1</v>
      </c>
      <c r="D165" s="9" t="str">
        <f>IF(B165="","",IFERROR(INDEX(Client_List!$D:$D,MATCH(B165,Client_List!$B:$B,0)),""))</f>
        <v>1A</v>
      </c>
      <c r="E165" s="9" t="str">
        <f>IF(B165="","",IFERROR(INDEX(Client_List!$K:$K,MATCH(B165,Client_List!$B:$B,0)),""))</f>
        <v>CANOLA OIL</v>
      </c>
      <c r="F165" s="10">
        <f>IF(B165="","",IFERROR(INDEX(Client_List!$J:$J,MATCH(B165,Client_List!$B:$B,0)),""))</f>
        <v>1950</v>
      </c>
      <c r="G165" s="10">
        <v>836</v>
      </c>
      <c r="H165" s="9" t="str">
        <f>IF(B165="","",IFERROR(A165-LOOKUP(2,1/($B$4:$B164=B165),$A$4:$A164),""))</f>
        <v/>
      </c>
      <c r="I165" s="73" t="str">
        <f t="shared" si="2"/>
        <v/>
      </c>
      <c r="J165" s="9">
        <v>141456</v>
      </c>
      <c r="K165" s="6" t="str">
        <f>IF(B165="","",IFERROR(AVERAGEIFS($I$4:$I165,$B$4:$B165,B165,$I$4:$I165,"&gt;"&amp;0),""))</f>
        <v/>
      </c>
      <c r="L165" s="9" t="str">
        <f>IF(B165="","",IF(ISNA(MATCH(B165,Client_List!$B:$B,0)),"⚠ NOT FOUND","✓"))</f>
        <v>✓</v>
      </c>
    </row>
    <row r="166" spans="1:12" ht="14" customHeight="1" x14ac:dyDescent="0.2">
      <c r="A166" s="56">
        <v>46038</v>
      </c>
      <c r="B166" s="2" t="s">
        <v>298</v>
      </c>
      <c r="C166" s="12" t="str">
        <f>IF(B166="","",IFERROR(INDEX(Client_List!$C:$C,MATCH(B166,Client_List!$B:$B,0)),""))</f>
        <v>1</v>
      </c>
      <c r="D166" s="4" t="str">
        <f>IF(B166="","",IFERROR(INDEX(Client_List!$D:$D,MATCH(B166,Client_List!$B:$B,0)),""))</f>
        <v>1C</v>
      </c>
      <c r="E166" s="4" t="str">
        <f>IF(B166="","",IFERROR(INDEX(Client_List!$K:$K,MATCH(B166,Client_List!$B:$B,0)),""))</f>
        <v>CANOLA OIL</v>
      </c>
      <c r="F166" s="5">
        <f>IF(B166="","",IFERROR(INDEX(Client_List!$J:$J,MATCH(B166,Client_List!$B:$B,0)),""))</f>
        <v>950</v>
      </c>
      <c r="G166" s="5">
        <v>626</v>
      </c>
      <c r="H166" s="4">
        <f>IF(B166="","",IFERROR(A166-LOOKUP(2,1/($B$4:$B165=B166),$A$4:$A165),""))</f>
        <v>13</v>
      </c>
      <c r="I166" s="72">
        <f t="shared" si="2"/>
        <v>48.153846153846153</v>
      </c>
      <c r="J166" s="4">
        <v>141461</v>
      </c>
      <c r="K166" s="6">
        <f>IF(B166="","",IFERROR(AVERAGEIFS($I$4:$I166,$B$4:$B166,B166,$I$4:$I166,"&gt;"&amp;0),""))</f>
        <v>48.153846153846153</v>
      </c>
      <c r="L166" s="4" t="str">
        <f>IF(B166="","",IF(ISNA(MATCH(B166,Client_List!$B:$B,0)),"⚠ NOT FOUND","✓"))</f>
        <v>✓</v>
      </c>
    </row>
    <row r="167" spans="1:12" ht="14" customHeight="1" x14ac:dyDescent="0.2">
      <c r="A167" s="57">
        <v>46038</v>
      </c>
      <c r="B167" s="7" t="s">
        <v>306</v>
      </c>
      <c r="C167" s="8" t="str">
        <f>IF(B167="","",IFERROR(INDEX(Client_List!$C:$C,MATCH(B167,Client_List!$B:$B,0)),""))</f>
        <v>4</v>
      </c>
      <c r="D167" s="9" t="str">
        <f>IF(B167="","",IFERROR(INDEX(Client_List!$D:$D,MATCH(B167,Client_List!$B:$B,0)),""))</f>
        <v>4C</v>
      </c>
      <c r="E167" s="9" t="str">
        <f>IF(B167="","",IFERROR(INDEX(Client_List!$K:$K,MATCH(B167,Client_List!$B:$B,0)),""))</f>
        <v>FRYERS CHOICE BLEND</v>
      </c>
      <c r="F167" s="10">
        <f>IF(B167="","",IFERROR(INDEX(Client_List!$J:$J,MATCH(B167,Client_List!$B:$B,0)),""))</f>
        <v>1050</v>
      </c>
      <c r="G167" s="10">
        <v>800</v>
      </c>
      <c r="H167" s="9">
        <f>IF(B167="","",IFERROR(A167-LOOKUP(2,1/($B$4:$B166=B167),$A$4:$A166),""))</f>
        <v>8</v>
      </c>
      <c r="I167" s="73">
        <f t="shared" si="2"/>
        <v>100</v>
      </c>
      <c r="J167" s="9">
        <v>141398</v>
      </c>
      <c r="K167" s="6">
        <f>IF(B167="","",IFERROR(AVERAGEIFS($I$4:$I167,$B$4:$B167,B167,$I$4:$I167,"&gt;"&amp;0),""))</f>
        <v>100</v>
      </c>
      <c r="L167" s="9" t="str">
        <f>IF(B167="","",IF(ISNA(MATCH(B167,Client_List!$B:$B,0)),"⚠ NOT FOUND","✓"))</f>
        <v>✓</v>
      </c>
    </row>
    <row r="168" spans="1:12" ht="14" customHeight="1" x14ac:dyDescent="0.2">
      <c r="A168" s="56">
        <v>46038</v>
      </c>
      <c r="B168" s="2" t="s">
        <v>320</v>
      </c>
      <c r="C168" s="3" t="str">
        <f>IF(B168="","",IFERROR(INDEX(Client_List!$C:$C,MATCH(B168,Client_List!$B:$B,0)),""))</f>
        <v>1</v>
      </c>
      <c r="D168" s="4" t="str">
        <f>IF(B168="","",IFERROR(INDEX(Client_List!$D:$D,MATCH(B168,Client_List!$B:$B,0)),""))</f>
        <v>1E</v>
      </c>
      <c r="E168" s="4" t="str">
        <f>IF(B168="","",IFERROR(INDEX(Client_List!$K:$K,MATCH(B168,Client_List!$B:$B,0)),""))</f>
        <v>CANOLA OIL</v>
      </c>
      <c r="F168" s="5">
        <f>IF(B168="","",IFERROR(INDEX(Client_List!$J:$J,MATCH(B168,Client_List!$B:$B,0)),""))</f>
        <v>1050</v>
      </c>
      <c r="G168" s="5">
        <v>1093</v>
      </c>
      <c r="H168" s="4" t="str">
        <f>IF(B168="","",IFERROR(A168-LOOKUP(2,1/($B$4:$B167=B168),$A$4:$A167),""))</f>
        <v/>
      </c>
      <c r="I168" s="72" t="str">
        <f t="shared" si="2"/>
        <v/>
      </c>
      <c r="J168" s="4">
        <v>141464</v>
      </c>
      <c r="K168" s="6" t="str">
        <f>IF(B168="","",IFERROR(AVERAGEIFS($I$4:$I168,$B$4:$B168,B168,$I$4:$I168,"&gt;"&amp;0),""))</f>
        <v/>
      </c>
      <c r="L168" s="4" t="str">
        <f>IF(B168="","",IF(ISNA(MATCH(B168,Client_List!$B:$B,0)),"⚠ NOT FOUND","✓"))</f>
        <v>✓</v>
      </c>
    </row>
    <row r="169" spans="1:12" ht="14" customHeight="1" x14ac:dyDescent="0.2">
      <c r="A169" s="57">
        <v>46039</v>
      </c>
      <c r="B169" s="7" t="s">
        <v>364</v>
      </c>
      <c r="C169" s="3">
        <f>IF(B169="","",IFERROR(INDEX(Client_List!$C:$C,MATCH(B169,Client_List!$B:$B,0)),""))</f>
        <v>0</v>
      </c>
      <c r="D169" s="9" t="str">
        <f>IF(B169="","",IFERROR(INDEX(Client_List!$D:$D,MATCH(B169,Client_List!$B:$B,0)),""))</f>
        <v>TU</v>
      </c>
      <c r="E169" s="9" t="str">
        <f>IF(B169="","",IFERROR(INDEX(Client_List!$K:$K,MATCH(B169,Client_List!$B:$B,0)),""))</f>
        <v>FRYERS CHOICE BLEND</v>
      </c>
      <c r="F169" s="10">
        <f>IF(B169="","",IFERROR(INDEX(Client_List!$J:$J,MATCH(B169,Client_List!$B:$B,0)),""))</f>
        <v>1000</v>
      </c>
      <c r="G169" s="10">
        <v>743</v>
      </c>
      <c r="H169" s="9">
        <f>IF(B169="","",IFERROR(A169-LOOKUP(2,1/($B$4:$B168=B169),$A$4:$A168),""))</f>
        <v>14</v>
      </c>
      <c r="I169" s="73">
        <f t="shared" si="2"/>
        <v>53.071428571428569</v>
      </c>
      <c r="J169" s="9">
        <v>141524</v>
      </c>
      <c r="K169" s="6">
        <f>IF(B169="","",IFERROR(AVERAGEIFS($I$4:$I169,$B$4:$B169,B169,$I$4:$I169,"&gt;"&amp;0),""))</f>
        <v>53.071428571428569</v>
      </c>
      <c r="L169" s="9" t="str">
        <f>IF(B169="","",IF(ISNA(MATCH(B169,Client_List!$B:$B,0)),"⚠ NOT FOUND","✓"))</f>
        <v>✓</v>
      </c>
    </row>
    <row r="170" spans="1:12" ht="14" customHeight="1" x14ac:dyDescent="0.2">
      <c r="A170" s="56">
        <v>46039</v>
      </c>
      <c r="B170" s="2" t="s">
        <v>59</v>
      </c>
      <c r="C170" s="3" t="str">
        <f>IF(B170="","",IFERROR(INDEX(Client_List!$C:$C,MATCH(B170,Client_List!$B:$B,0)),""))</f>
        <v>1</v>
      </c>
      <c r="D170" s="4" t="str">
        <f>IF(B170="","",IFERROR(INDEX(Client_List!$D:$D,MATCH(B170,Client_List!$B:$B,0)),""))</f>
        <v>1D</v>
      </c>
      <c r="E170" s="4" t="str">
        <f>IF(B170="","",IFERROR(INDEX(Client_List!$K:$K,MATCH(B170,Client_List!$B:$B,0)),""))</f>
        <v>CANOLA OIL</v>
      </c>
      <c r="F170" s="5">
        <f>IF(B170="","",IFERROR(INDEX(Client_List!$J:$J,MATCH(B170,Client_List!$B:$B,0)),""))</f>
        <v>900</v>
      </c>
      <c r="G170" s="5">
        <v>828</v>
      </c>
      <c r="H170" s="4">
        <f>IF(B170="","",IFERROR(A170-LOOKUP(2,1/($B$4:$B169=B170),$A$4:$A169),""))</f>
        <v>11</v>
      </c>
      <c r="I170" s="72">
        <f t="shared" si="2"/>
        <v>75.272727272727266</v>
      </c>
      <c r="J170" s="4">
        <v>141494</v>
      </c>
      <c r="K170" s="6">
        <f>IF(B170="","",IFERROR(AVERAGEIFS($I$4:$I170,$B$4:$B170,B170,$I$4:$I170,"&gt;"&amp;0),""))</f>
        <v>75.272727272727266</v>
      </c>
      <c r="L170" s="4" t="str">
        <f>IF(B170="","",IF(ISNA(MATCH(B170,Client_List!$B:$B,0)),"⚠ NOT FOUND","✓"))</f>
        <v>✓</v>
      </c>
    </row>
    <row r="171" spans="1:12" ht="14" customHeight="1" x14ac:dyDescent="0.2">
      <c r="A171" s="57">
        <v>46039</v>
      </c>
      <c r="B171" s="7" t="s">
        <v>100</v>
      </c>
      <c r="C171" s="3" t="str">
        <f>IF(B171="","",IFERROR(INDEX(Client_List!$C:$C,MATCH(B171,Client_List!$B:$B,0)),""))</f>
        <v>4</v>
      </c>
      <c r="D171" s="9" t="str">
        <f>IF(B171="","",IFERROR(INDEX(Client_List!$D:$D,MATCH(B171,Client_List!$B:$B,0)),""))</f>
        <v>4F</v>
      </c>
      <c r="E171" s="9" t="str">
        <f>IF(B171="","",IFERROR(INDEX(Client_List!$K:$K,MATCH(B171,Client_List!$B:$B,0)),""))</f>
        <v>CANOLA OIL</v>
      </c>
      <c r="F171" s="10">
        <f>IF(B171="","",IFERROR(INDEX(Client_List!$J:$J,MATCH(B171,Client_List!$B:$B,0)),""))</f>
        <v>700</v>
      </c>
      <c r="G171" s="10">
        <v>571</v>
      </c>
      <c r="H171" s="9" t="str">
        <f>IF(B171="","",IFERROR(A171-LOOKUP(2,1/($B$4:$B170=B171),$A$4:$A170),""))</f>
        <v/>
      </c>
      <c r="I171" s="73" t="str">
        <f t="shared" si="2"/>
        <v/>
      </c>
      <c r="J171" s="9">
        <v>141495</v>
      </c>
      <c r="K171" s="6" t="str">
        <f>IF(B171="","",IFERROR(AVERAGEIFS($I$4:$I171,$B$4:$B171,B171,$I$4:$I171,"&gt;"&amp;0),""))</f>
        <v/>
      </c>
      <c r="L171" s="9" t="str">
        <f>IF(B171="","",IF(ISNA(MATCH(B171,Client_List!$B:$B,0)),"⚠ NOT FOUND","✓"))</f>
        <v>✓</v>
      </c>
    </row>
    <row r="172" spans="1:12" ht="14" customHeight="1" x14ac:dyDescent="0.2">
      <c r="A172" s="56">
        <v>46039</v>
      </c>
      <c r="B172" s="2" t="s">
        <v>367</v>
      </c>
      <c r="C172" s="3">
        <f>IF(B172="","",IFERROR(INDEX(Client_List!$C:$C,MATCH(B172,Client_List!$B:$B,0)),""))</f>
        <v>0</v>
      </c>
      <c r="D172" s="4" t="str">
        <f>IF(B172="","",IFERROR(INDEX(Client_List!$D:$D,MATCH(B172,Client_List!$B:$B,0)),""))</f>
        <v>T</v>
      </c>
      <c r="E172" s="4" t="str">
        <f>IF(B172="","",IFERROR(INDEX(Client_List!$K:$K,MATCH(B172,Client_List!$B:$B,0)),""))</f>
        <v>CANOLA OIL</v>
      </c>
      <c r="F172" s="5">
        <f>IF(B172="","",IFERROR(INDEX(Client_List!$J:$J,MATCH(B172,Client_List!$B:$B,0)),""))</f>
        <v>500</v>
      </c>
      <c r="G172" s="5">
        <v>457</v>
      </c>
      <c r="H172" s="4">
        <f>IF(B172="","",IFERROR(A172-LOOKUP(2,1/($B$4:$B171=B172),$A$4:$A171),""))</f>
        <v>14</v>
      </c>
      <c r="I172" s="72">
        <f t="shared" si="2"/>
        <v>32.642857142857146</v>
      </c>
      <c r="J172" s="4">
        <v>141527</v>
      </c>
      <c r="K172" s="6">
        <f>IF(B172="","",IFERROR(AVERAGEIFS($I$4:$I172,$B$4:$B172,B172,$I$4:$I172,"&gt;"&amp;0),""))</f>
        <v>32.642857142857146</v>
      </c>
      <c r="L172" s="4" t="str">
        <f>IF(B172="","",IF(ISNA(MATCH(B172,Client_List!$B:$B,0)),"⚠ NOT FOUND","✓"))</f>
        <v>✓</v>
      </c>
    </row>
    <row r="173" spans="1:12" ht="14" customHeight="1" x14ac:dyDescent="0.2">
      <c r="A173" s="57">
        <v>46039</v>
      </c>
      <c r="B173" s="7" t="s">
        <v>368</v>
      </c>
      <c r="C173" s="3">
        <f>IF(B173="","",IFERROR(INDEX(Client_List!$C:$C,MATCH(B173,Client_List!$B:$B,0)),""))</f>
        <v>0</v>
      </c>
      <c r="D173" s="9" t="str">
        <f>IF(B173="","",IFERROR(INDEX(Client_List!$D:$D,MATCH(B173,Client_List!$B:$B,0)),""))</f>
        <v>TU</v>
      </c>
      <c r="E173" s="9" t="str">
        <f>IF(B173="","",IFERROR(INDEX(Client_List!$K:$K,MATCH(B173,Client_List!$B:$B,0)),""))</f>
        <v>CANOLA OIL</v>
      </c>
      <c r="F173" s="10">
        <f>IF(B173="","",IFERROR(INDEX(Client_List!$J:$J,MATCH(B173,Client_List!$B:$B,0)),""))</f>
        <v>950</v>
      </c>
      <c r="G173" s="10">
        <v>683</v>
      </c>
      <c r="H173" s="9">
        <f>IF(B173="","",IFERROR(A173-LOOKUP(2,1/($B$4:$B172=B173),$A$4:$A172),""))</f>
        <v>14</v>
      </c>
      <c r="I173" s="73">
        <f t="shared" si="2"/>
        <v>48.785714285714285</v>
      </c>
      <c r="J173" s="9">
        <v>141525</v>
      </c>
      <c r="K173" s="6">
        <f>IF(B173="","",IFERROR(AVERAGEIFS($I$4:$I173,$B$4:$B173,B173,$I$4:$I173,"&gt;"&amp;0),""))</f>
        <v>48.785714285714285</v>
      </c>
      <c r="L173" s="9" t="str">
        <f>IF(B173="","",IF(ISNA(MATCH(B173,Client_List!$B:$B,0)),"⚠ NOT FOUND","✓"))</f>
        <v>✓</v>
      </c>
    </row>
    <row r="174" spans="1:12" ht="14" customHeight="1" x14ac:dyDescent="0.2">
      <c r="A174" s="56">
        <v>46039</v>
      </c>
      <c r="B174" s="2" t="s">
        <v>369</v>
      </c>
      <c r="C174" s="12">
        <f>IF(B174="","",IFERROR(INDEX(Client_List!$C:$C,MATCH(B174,Client_List!$B:$B,0)),""))</f>
        <v>0</v>
      </c>
      <c r="D174" s="4" t="str">
        <f>IF(B174="","",IFERROR(INDEX(Client_List!$D:$D,MATCH(B174,Client_List!$B:$B,0)),""))</f>
        <v>TU</v>
      </c>
      <c r="E174" s="4" t="str">
        <f>IF(B174="","",IFERROR(INDEX(Client_List!$K:$K,MATCH(B174,Client_List!$B:$B,0)),""))</f>
        <v>CANOLA OIL</v>
      </c>
      <c r="F174" s="5">
        <f>IF(B174="","",IFERROR(INDEX(Client_List!$J:$J,MATCH(B174,Client_List!$B:$B,0)),""))</f>
        <v>700</v>
      </c>
      <c r="G174" s="5">
        <v>349</v>
      </c>
      <c r="H174" s="4">
        <f>IF(B174="","",IFERROR(A174-LOOKUP(2,1/($B$4:$B173=B174),$A$4:$A173),""))</f>
        <v>14</v>
      </c>
      <c r="I174" s="72">
        <f t="shared" si="2"/>
        <v>24.928571428571427</v>
      </c>
      <c r="J174" s="4">
        <v>141526</v>
      </c>
      <c r="K174" s="6">
        <f>IF(B174="","",IFERROR(AVERAGEIFS($I$4:$I174,$B$4:$B174,B174,$I$4:$I174,"&gt;"&amp;0),""))</f>
        <v>24.928571428571427</v>
      </c>
      <c r="L174" s="4" t="str">
        <f>IF(B174="","",IF(ISNA(MATCH(B174,Client_List!$B:$B,0)),"⚠ NOT FOUND","✓"))</f>
        <v>✓</v>
      </c>
    </row>
    <row r="175" spans="1:12" ht="14" customHeight="1" x14ac:dyDescent="0.2">
      <c r="A175" s="57">
        <v>46039</v>
      </c>
      <c r="B175" s="7" t="s">
        <v>379</v>
      </c>
      <c r="C175" s="3">
        <f>IF(B175="","",IFERROR(INDEX(Client_List!$C:$C,MATCH(B175,Client_List!$B:$B,0)),""))</f>
        <v>0</v>
      </c>
      <c r="D175" s="9" t="str">
        <f>IF(B175="","",IFERROR(INDEX(Client_List!$D:$D,MATCH(B175,Client_List!$B:$B,0)),""))</f>
        <v>C</v>
      </c>
      <c r="E175" s="9" t="str">
        <f>IF(B175="","",IFERROR(INDEX(Client_List!$K:$K,MATCH(B175,Client_List!$B:$B,0)),""))</f>
        <v>FRYERS CHOICE BLEND</v>
      </c>
      <c r="F175" s="10">
        <f>IF(B175="","",IFERROR(INDEX(Client_List!$J:$J,MATCH(B175,Client_List!$B:$B,0)),""))</f>
        <v>700</v>
      </c>
      <c r="G175" s="10">
        <v>466</v>
      </c>
      <c r="H175" s="9" t="str">
        <f>IF(B175="","",IFERROR(A175-LOOKUP(2,1/($B$4:$B174=B175),$A$4:$A174),""))</f>
        <v/>
      </c>
      <c r="I175" s="73" t="str">
        <f t="shared" si="2"/>
        <v/>
      </c>
      <c r="J175" s="9">
        <v>141491</v>
      </c>
      <c r="K175" s="6" t="str">
        <f>IF(B175="","",IFERROR(AVERAGEIFS($I$4:$I175,$B$4:$B175,B175,$I$4:$I175,"&gt;"&amp;0),""))</f>
        <v/>
      </c>
      <c r="L175" s="9" t="str">
        <f>IF(B175="","",IF(ISNA(MATCH(B175,Client_List!$B:$B,0)),"⚠ NOT FOUND","✓"))</f>
        <v>✓</v>
      </c>
    </row>
    <row r="176" spans="1:12" ht="14" customHeight="1" x14ac:dyDescent="0.2">
      <c r="A176" s="56">
        <v>46039</v>
      </c>
      <c r="B176" s="2" t="s">
        <v>274</v>
      </c>
      <c r="C176" s="3" t="str">
        <f>IF(B176="","",IFERROR(INDEX(Client_List!$C:$C,MATCH(B176,Client_List!$B:$B,0)),""))</f>
        <v>3</v>
      </c>
      <c r="D176" s="4" t="str">
        <f>IF(B176="","",IFERROR(INDEX(Client_List!$D:$D,MATCH(B176,Client_List!$B:$B,0)),""))</f>
        <v>3C</v>
      </c>
      <c r="E176" s="4" t="str">
        <f>IF(B176="","",IFERROR(INDEX(Client_List!$K:$K,MATCH(B176,Client_List!$B:$B,0)),""))</f>
        <v>FRYERS CHOICE BLEND</v>
      </c>
      <c r="F176" s="5">
        <f>IF(B176="","",IFERROR(INDEX(Client_List!$J:$J,MATCH(B176,Client_List!$B:$B,0)),""))</f>
        <v>450</v>
      </c>
      <c r="G176" s="5">
        <v>425</v>
      </c>
      <c r="H176" s="4">
        <f>IF(B176="","",IFERROR(A176-LOOKUP(2,1/($B$4:$B175=B176),$A$4:$A175),""))</f>
        <v>12</v>
      </c>
      <c r="I176" s="72">
        <f t="shared" si="2"/>
        <v>35.416666666666664</v>
      </c>
      <c r="J176" s="4">
        <v>141454</v>
      </c>
      <c r="K176" s="6">
        <f>IF(B176="","",IFERROR(AVERAGEIFS($I$4:$I176,$B$4:$B176,B176,$I$4:$I176,"&gt;"&amp;0),""))</f>
        <v>35.416666666666664</v>
      </c>
      <c r="L176" s="4" t="str">
        <f>IF(B176="","",IF(ISNA(MATCH(B176,Client_List!$B:$B,0)),"⚠ NOT FOUND","✓"))</f>
        <v>✓</v>
      </c>
    </row>
    <row r="177" spans="1:12" ht="14" customHeight="1" x14ac:dyDescent="0.2">
      <c r="A177" s="57">
        <v>46039</v>
      </c>
      <c r="B177" s="7" t="s">
        <v>302</v>
      </c>
      <c r="C177" s="12" t="str">
        <f>IF(B177="","",IFERROR(INDEX(Client_List!$C:$C,MATCH(B177,Client_List!$B:$B,0)),""))</f>
        <v>2</v>
      </c>
      <c r="D177" s="9" t="str">
        <f>IF(B177="","",IFERROR(INDEX(Client_List!$D:$D,MATCH(B177,Client_List!$B:$B,0)),""))</f>
        <v>2D</v>
      </c>
      <c r="E177" s="9" t="str">
        <f>IF(B177="","",IFERROR(INDEX(Client_List!$K:$K,MATCH(B177,Client_List!$B:$B,0)),""))</f>
        <v>CANOLA OIL</v>
      </c>
      <c r="F177" s="10">
        <f>IF(B177="","",IFERROR(INDEX(Client_List!$J:$J,MATCH(B177,Client_List!$B:$B,0)),""))</f>
        <v>350</v>
      </c>
      <c r="G177" s="10">
        <v>344</v>
      </c>
      <c r="H177" s="9">
        <f>IF(B177="","",IFERROR(A177-LOOKUP(2,1/($B$4:$B176=B177),$A$4:$A176),""))</f>
        <v>9</v>
      </c>
      <c r="I177" s="73">
        <f t="shared" si="2"/>
        <v>38.222222222222221</v>
      </c>
      <c r="J177" s="9">
        <v>141493</v>
      </c>
      <c r="K177" s="6">
        <f>IF(B177="","",IFERROR(AVERAGEIFS($I$4:$I177,$B$4:$B177,B177,$I$4:$I177,"&gt;"&amp;0),""))</f>
        <v>38.222222222222221</v>
      </c>
      <c r="L177" s="9" t="str">
        <f>IF(B177="","",IF(ISNA(MATCH(B177,Client_List!$B:$B,0)),"⚠ NOT FOUND","✓"))</f>
        <v>✓</v>
      </c>
    </row>
    <row r="178" spans="1:12" ht="14" customHeight="1" x14ac:dyDescent="0.2">
      <c r="A178" s="56">
        <v>46039</v>
      </c>
      <c r="B178" s="2" t="s">
        <v>304</v>
      </c>
      <c r="C178" s="3" t="str">
        <f>IF(B178="","",IFERROR(INDEX(Client_List!$C:$C,MATCH(B178,Client_List!$B:$B,0)),""))</f>
        <v>3</v>
      </c>
      <c r="D178" s="4" t="str">
        <f>IF(B178="","",IFERROR(INDEX(Client_List!$D:$D,MATCH(B178,Client_List!$B:$B,0)),""))</f>
        <v>3B</v>
      </c>
      <c r="E178" s="4" t="str">
        <f>IF(B178="","",IFERROR(INDEX(Client_List!$K:$K,MATCH(B178,Client_List!$B:$B,0)),""))</f>
        <v>CANOLA OIL</v>
      </c>
      <c r="F178" s="5">
        <f>IF(B178="","",IFERROR(INDEX(Client_List!$J:$J,MATCH(B178,Client_List!$B:$B,0)),""))</f>
        <v>350</v>
      </c>
      <c r="G178" s="5">
        <v>258</v>
      </c>
      <c r="H178" s="4" t="str">
        <f>IF(B178="","",IFERROR(A178-LOOKUP(2,1/($B$4:$B177=B178),$A$4:$A177),""))</f>
        <v/>
      </c>
      <c r="I178" s="72" t="str">
        <f t="shared" si="2"/>
        <v/>
      </c>
      <c r="J178" s="4">
        <v>141492</v>
      </c>
      <c r="K178" s="6" t="str">
        <f>IF(B178="","",IFERROR(AVERAGEIFS($I$4:$I178,$B$4:$B178,B178,$I$4:$I178,"&gt;"&amp;0),""))</f>
        <v/>
      </c>
      <c r="L178" s="4" t="str">
        <f>IF(B178="","",IF(ISNA(MATCH(B178,Client_List!$B:$B,0)),"⚠ NOT FOUND","✓"))</f>
        <v>✓</v>
      </c>
    </row>
    <row r="179" spans="1:12" ht="14" customHeight="1" x14ac:dyDescent="0.2">
      <c r="A179" s="57">
        <v>46040</v>
      </c>
      <c r="B179" s="7" t="s">
        <v>75</v>
      </c>
      <c r="C179" s="3" t="str">
        <f>IF(B179="","",IFERROR(INDEX(Client_List!$C:$C,MATCH(B179,Client_List!$B:$B,0)),""))</f>
        <v>1</v>
      </c>
      <c r="D179" s="9" t="str">
        <f>IF(B179="","",IFERROR(INDEX(Client_List!$D:$D,MATCH(B179,Client_List!$B:$B,0)),""))</f>
        <v>1D</v>
      </c>
      <c r="E179" s="9" t="str">
        <f>IF(B179="","",IFERROR(INDEX(Client_List!$K:$K,MATCH(B179,Client_List!$B:$B,0)),""))</f>
        <v>CANOLA OIL</v>
      </c>
      <c r="F179" s="10">
        <f>IF(B179="","",IFERROR(INDEX(Client_List!$J:$J,MATCH(B179,Client_List!$B:$B,0)),""))</f>
        <v>620</v>
      </c>
      <c r="G179" s="10">
        <v>717</v>
      </c>
      <c r="H179" s="9">
        <f>IF(B179="","",IFERROR(A179-LOOKUP(2,1/($B$4:$B178=B179),$A$4:$A178),""))</f>
        <v>5</v>
      </c>
      <c r="I179" s="73">
        <f t="shared" si="2"/>
        <v>143.4</v>
      </c>
      <c r="J179" s="9">
        <v>141546</v>
      </c>
      <c r="K179" s="6">
        <f>IF(B179="","",IFERROR(AVERAGEIFS($I$4:$I179,$B$4:$B179,B179,$I$4:$I179,"&gt;"&amp;0),""))</f>
        <v>120.98571428571429</v>
      </c>
      <c r="L179" s="9" t="str">
        <f>IF(B179="","",IF(ISNA(MATCH(B179,Client_List!$B:$B,0)),"⚠ NOT FOUND","✓"))</f>
        <v>✓</v>
      </c>
    </row>
    <row r="180" spans="1:12" ht="14" customHeight="1" x14ac:dyDescent="0.2">
      <c r="A180" s="56">
        <v>46040</v>
      </c>
      <c r="B180" s="2" t="s">
        <v>170</v>
      </c>
      <c r="C180" s="12" t="str">
        <f>IF(B180="","",IFERROR(INDEX(Client_List!$C:$C,MATCH(B180,Client_List!$B:$B,0)),""))</f>
        <v>3</v>
      </c>
      <c r="D180" s="4" t="str">
        <f>IF(B180="","",IFERROR(INDEX(Client_List!$D:$D,MATCH(B180,Client_List!$B:$B,0)),""))</f>
        <v>3E</v>
      </c>
      <c r="E180" s="4" t="str">
        <f>IF(B180="","",IFERROR(INDEX(Client_List!$K:$K,MATCH(B180,Client_List!$B:$B,0)),""))</f>
        <v>CANOLA OIL</v>
      </c>
      <c r="F180" s="5">
        <f>IF(B180="","",IFERROR(INDEX(Client_List!$J:$J,MATCH(B180,Client_List!$B:$B,0)),""))</f>
        <v>1050</v>
      </c>
      <c r="G180" s="5">
        <v>1007</v>
      </c>
      <c r="H180" s="4" t="str">
        <f>IF(B180="","",IFERROR(A180-LOOKUP(2,1/($B$4:$B179=B180),$A$4:$A179),""))</f>
        <v/>
      </c>
      <c r="I180" s="72" t="str">
        <f t="shared" si="2"/>
        <v/>
      </c>
      <c r="J180" s="4">
        <v>141551</v>
      </c>
      <c r="K180" s="6" t="str">
        <f>IF(B180="","",IFERROR(AVERAGEIFS($I$4:$I180,$B$4:$B180,B180,$I$4:$I180,"&gt;"&amp;0),""))</f>
        <v/>
      </c>
      <c r="L180" s="4" t="str">
        <f>IF(B180="","",IF(ISNA(MATCH(B180,Client_List!$B:$B,0)),"⚠ NOT FOUND","✓"))</f>
        <v>✓</v>
      </c>
    </row>
    <row r="181" spans="1:12" ht="14" customHeight="1" x14ac:dyDescent="0.2">
      <c r="A181" s="57">
        <v>46040</v>
      </c>
      <c r="B181" s="7" t="s">
        <v>174</v>
      </c>
      <c r="C181" s="3" t="str">
        <f>IF(B181="","",IFERROR(INDEX(Client_List!$C:$C,MATCH(B181,Client_List!$B:$B,0)),""))</f>
        <v>2</v>
      </c>
      <c r="D181" s="9" t="str">
        <f>IF(B181="","",IFERROR(INDEX(Client_List!$D:$D,MATCH(B181,Client_List!$B:$B,0)),""))</f>
        <v>2D</v>
      </c>
      <c r="E181" s="9" t="str">
        <f>IF(B181="","",IFERROR(INDEX(Client_List!$K:$K,MATCH(B181,Client_List!$B:$B,0)),""))</f>
        <v>CANOLA OIL</v>
      </c>
      <c r="F181" s="10">
        <f>IF(B181="","",IFERROR(INDEX(Client_List!$J:$J,MATCH(B181,Client_List!$B:$B,0)),""))</f>
        <v>700</v>
      </c>
      <c r="G181" s="10">
        <v>267</v>
      </c>
      <c r="H181" s="9" t="str">
        <f>IF(B181="","",IFERROR(A181-LOOKUP(2,1/($B$4:$B180=B181),$A$4:$A180),""))</f>
        <v/>
      </c>
      <c r="I181" s="73" t="str">
        <f t="shared" si="2"/>
        <v/>
      </c>
      <c r="J181" s="9">
        <v>141550</v>
      </c>
      <c r="K181" s="6" t="str">
        <f>IF(B181="","",IFERROR(AVERAGEIFS($I$4:$I181,$B$4:$B181,B181,$I$4:$I181,"&gt;"&amp;0),""))</f>
        <v/>
      </c>
      <c r="L181" s="9" t="str">
        <f>IF(B181="","",IF(ISNA(MATCH(B181,Client_List!$B:$B,0)),"⚠ NOT FOUND","✓"))</f>
        <v>✓</v>
      </c>
    </row>
    <row r="182" spans="1:12" ht="14" customHeight="1" x14ac:dyDescent="0.2">
      <c r="A182" s="56">
        <v>46040</v>
      </c>
      <c r="B182" s="2" t="s">
        <v>180</v>
      </c>
      <c r="C182" s="3" t="str">
        <f>IF(B182="","",IFERROR(INDEX(Client_List!$C:$C,MATCH(B182,Client_List!$B:$B,0)),""))</f>
        <v>1</v>
      </c>
      <c r="D182" s="4" t="str">
        <f>IF(B182="","",IFERROR(INDEX(Client_List!$D:$D,MATCH(B182,Client_List!$B:$B,0)),""))</f>
        <v>1D</v>
      </c>
      <c r="E182" s="4" t="str">
        <f>IF(B182="","",IFERROR(INDEX(Client_List!$K:$K,MATCH(B182,Client_List!$B:$B,0)),""))</f>
        <v>CANOLA OIL</v>
      </c>
      <c r="F182" s="5">
        <f>IF(B182="","",IFERROR(INDEX(Client_List!$J:$J,MATCH(B182,Client_List!$B:$B,0)),""))</f>
        <v>950</v>
      </c>
      <c r="G182" s="5">
        <v>828</v>
      </c>
      <c r="H182" s="4">
        <f>IF(B182="","",IFERROR(A182-LOOKUP(2,1/($B$4:$B181=B182),$A$4:$A181),""))</f>
        <v>10</v>
      </c>
      <c r="I182" s="72">
        <f t="shared" si="2"/>
        <v>82.8</v>
      </c>
      <c r="J182" s="4">
        <v>141548</v>
      </c>
      <c r="K182" s="6">
        <f>IF(B182="","",IFERROR(AVERAGEIFS($I$4:$I182,$B$4:$B182,B182,$I$4:$I182,"&gt;"&amp;0),""))</f>
        <v>82.8</v>
      </c>
      <c r="L182" s="4" t="str">
        <f>IF(B182="","",IF(ISNA(MATCH(B182,Client_List!$B:$B,0)),"⚠ NOT FOUND","✓"))</f>
        <v>✓</v>
      </c>
    </row>
    <row r="183" spans="1:12" ht="14" customHeight="1" x14ac:dyDescent="0.2">
      <c r="A183" s="57">
        <v>46040</v>
      </c>
      <c r="B183" s="7" t="s">
        <v>370</v>
      </c>
      <c r="C183" s="8" t="str">
        <f>IF(B183="","",IFERROR(INDEX(Client_List!$C:$C,MATCH(B183,Client_List!$B:$B,0)),""))</f>
        <v>1</v>
      </c>
      <c r="D183" s="9" t="str">
        <f>IF(B183="","",IFERROR(INDEX(Client_List!$D:$D,MATCH(B183,Client_List!$B:$B,0)),""))</f>
        <v>1D</v>
      </c>
      <c r="E183" s="9" t="str">
        <f>IF(B183="","",IFERROR(INDEX(Client_List!$K:$K,MATCH(B183,Client_List!$B:$B,0)),""))</f>
        <v>CANOLA OIL</v>
      </c>
      <c r="F183" s="10">
        <f>IF(B183="","",IFERROR(INDEX(Client_List!$J:$J,MATCH(B183,Client_List!$B:$B,0)),""))</f>
        <v>2000</v>
      </c>
      <c r="G183" s="10">
        <v>1803</v>
      </c>
      <c r="H183" s="9">
        <f>IF(B183="","",IFERROR(A183-LOOKUP(2,1/($B$4:$B182=B183),$A$4:$A182),""))</f>
        <v>14</v>
      </c>
      <c r="I183" s="73">
        <f t="shared" si="2"/>
        <v>128.78571428571428</v>
      </c>
      <c r="J183" s="9">
        <v>141547</v>
      </c>
      <c r="K183" s="6">
        <f>IF(B183="","",IFERROR(AVERAGEIFS($I$4:$I183,$B$4:$B183,B183,$I$4:$I183,"&gt;"&amp;0),""))</f>
        <v>128.78571428571428</v>
      </c>
      <c r="L183" s="9" t="str">
        <f>IF(B183="","",IF(ISNA(MATCH(B183,Client_List!$B:$B,0)),"⚠ NOT FOUND","✓"))</f>
        <v>✓</v>
      </c>
    </row>
    <row r="184" spans="1:12" ht="14" customHeight="1" x14ac:dyDescent="0.2">
      <c r="A184" s="56">
        <v>46040</v>
      </c>
      <c r="B184" s="2" t="s">
        <v>312</v>
      </c>
      <c r="C184" s="12" t="str">
        <f>IF(B184="","",IFERROR(INDEX(Client_List!$C:$C,MATCH(B184,Client_List!$B:$B,0)),""))</f>
        <v>2</v>
      </c>
      <c r="D184" s="4" t="str">
        <f>IF(B184="","",IFERROR(INDEX(Client_List!$D:$D,MATCH(B184,Client_List!$B:$B,0)),""))</f>
        <v>2C</v>
      </c>
      <c r="E184" s="4" t="str">
        <f>IF(B184="","",IFERROR(INDEX(Client_List!$K:$K,MATCH(B184,Client_List!$B:$B,0)),""))</f>
        <v>CANOLA OIL</v>
      </c>
      <c r="F184" s="5">
        <f>IF(B184="","",IFERROR(INDEX(Client_List!$J:$J,MATCH(B184,Client_List!$B:$B,0)),""))</f>
        <v>1050</v>
      </c>
      <c r="G184" s="5">
        <v>1064</v>
      </c>
      <c r="H184" s="4" t="str">
        <f>IF(B184="","",IFERROR(A184-LOOKUP(2,1/($B$4:$B183=B184),$A$4:$A183),""))</f>
        <v/>
      </c>
      <c r="I184" s="72" t="str">
        <f t="shared" si="2"/>
        <v/>
      </c>
      <c r="J184" s="4">
        <v>141545</v>
      </c>
      <c r="K184" s="6" t="str">
        <f>IF(B184="","",IFERROR(AVERAGEIFS($I$4:$I184,$B$4:$B184,B184,$I$4:$I184,"&gt;"&amp;0),""))</f>
        <v/>
      </c>
      <c r="L184" s="4" t="str">
        <f>IF(B184="","",IF(ISNA(MATCH(B184,Client_List!$B:$B,0)),"⚠ NOT FOUND","✓"))</f>
        <v>✓</v>
      </c>
    </row>
    <row r="185" spans="1:12" ht="14" customHeight="1" x14ac:dyDescent="0.2">
      <c r="A185" s="57">
        <v>46041</v>
      </c>
      <c r="B185" s="7" t="s">
        <v>51</v>
      </c>
      <c r="C185" s="3" t="str">
        <f>IF(B185="","",IFERROR(INDEX(Client_List!$C:$C,MATCH(B185,Client_List!$B:$B,0)),""))</f>
        <v>3</v>
      </c>
      <c r="D185" s="9" t="str">
        <f>IF(B185="","",IFERROR(INDEX(Client_List!$D:$D,MATCH(B185,Client_List!$B:$B,0)),""))</f>
        <v>3D</v>
      </c>
      <c r="E185" s="9" t="str">
        <f>IF(B185="","",IFERROR(INDEX(Client_List!$K:$K,MATCH(B185,Client_List!$B:$B,0)),""))</f>
        <v>CANOLA OIL</v>
      </c>
      <c r="F185" s="10">
        <f>IF(B185="","",IFERROR(INDEX(Client_List!$J:$J,MATCH(B185,Client_List!$B:$B,0)),""))</f>
        <v>700</v>
      </c>
      <c r="G185" s="10">
        <v>710</v>
      </c>
      <c r="H185" s="9">
        <f>IF(B185="","",IFERROR(A185-LOOKUP(2,1/($B$4:$B184=B185),$A$4:$A184),""))</f>
        <v>13</v>
      </c>
      <c r="I185" s="73">
        <f t="shared" si="2"/>
        <v>54.615384615384613</v>
      </c>
      <c r="J185" s="9">
        <v>141557</v>
      </c>
      <c r="K185" s="6">
        <f>IF(B185="","",IFERROR(AVERAGEIFS($I$4:$I185,$B$4:$B185,B185,$I$4:$I185,"&gt;"&amp;0),""))</f>
        <v>54.615384615384613</v>
      </c>
      <c r="L185" s="9" t="str">
        <f>IF(B185="","",IF(ISNA(MATCH(B185,Client_List!$B:$B,0)),"⚠ NOT FOUND","✓"))</f>
        <v>✓</v>
      </c>
    </row>
    <row r="186" spans="1:12" ht="14" customHeight="1" x14ac:dyDescent="0.2">
      <c r="A186" s="56">
        <v>46041</v>
      </c>
      <c r="B186" s="2" t="s">
        <v>140</v>
      </c>
      <c r="C186" s="11" t="str">
        <f>IF(B186="","",IFERROR(INDEX(Client_List!$C:$C,MATCH(B186,Client_List!$B:$B,0)),""))</f>
        <v>5</v>
      </c>
      <c r="D186" s="4" t="str">
        <f>IF(B186="","",IFERROR(INDEX(Client_List!$D:$D,MATCH(B186,Client_List!$B:$B,0)),""))</f>
        <v>5E</v>
      </c>
      <c r="E186" s="4" t="str">
        <f>IF(B186="","",IFERROR(INDEX(Client_List!$K:$K,MATCH(B186,Client_List!$B:$B,0)),""))</f>
        <v>CANOLA OIL</v>
      </c>
      <c r="F186" s="5">
        <f>IF(B186="","",IFERROR(INDEX(Client_List!$J:$J,MATCH(B186,Client_List!$B:$B,0)),""))</f>
        <v>350</v>
      </c>
      <c r="G186" s="5">
        <v>368</v>
      </c>
      <c r="H186" s="4">
        <f>IF(B186="","",IFERROR(A186-LOOKUP(2,1/($B$4:$B185=B186),$A$4:$A185),""))</f>
        <v>4</v>
      </c>
      <c r="I186" s="72">
        <f t="shared" si="2"/>
        <v>92</v>
      </c>
      <c r="J186" s="4">
        <v>141580</v>
      </c>
      <c r="K186" s="6">
        <f>IF(B186="","",IFERROR(AVERAGEIFS($I$4:$I186,$B$4:$B186,B186,$I$4:$I186,"&gt;"&amp;0),""))</f>
        <v>92</v>
      </c>
      <c r="L186" s="4" t="str">
        <f>IF(B186="","",IF(ISNA(MATCH(B186,Client_List!$B:$B,0)),"⚠ NOT FOUND","✓"))</f>
        <v>✓</v>
      </c>
    </row>
    <row r="187" spans="1:12" ht="14" customHeight="1" x14ac:dyDescent="0.2">
      <c r="A187" s="57">
        <v>46041</v>
      </c>
      <c r="B187" s="7" t="s">
        <v>142</v>
      </c>
      <c r="C187" s="12" t="str">
        <f>IF(B187="","",IFERROR(INDEX(Client_List!$C:$C,MATCH(B187,Client_List!$B:$B,0)),""))</f>
        <v>4</v>
      </c>
      <c r="D187" s="9" t="str">
        <f>IF(B187="","",IFERROR(INDEX(Client_List!$D:$D,MATCH(B187,Client_List!$B:$B,0)),""))</f>
        <v>4A</v>
      </c>
      <c r="E187" s="9" t="str">
        <f>IF(B187="","",IFERROR(INDEX(Client_List!$K:$K,MATCH(B187,Client_List!$B:$B,0)),""))</f>
        <v>FRYERS CHOICE BLEND</v>
      </c>
      <c r="F187" s="10">
        <f>IF(B187="","",IFERROR(INDEX(Client_List!$J:$J,MATCH(B187,Client_List!$B:$B,0)),""))</f>
        <v>1050</v>
      </c>
      <c r="G187" s="10">
        <v>1110</v>
      </c>
      <c r="H187" s="9">
        <f>IF(B187="","",IFERROR(A187-LOOKUP(2,1/($B$4:$B186=B187),$A$4:$A186),""))</f>
        <v>6</v>
      </c>
      <c r="I187" s="73">
        <f t="shared" si="2"/>
        <v>185</v>
      </c>
      <c r="J187" s="9">
        <v>141564</v>
      </c>
      <c r="K187" s="6">
        <f>IF(B187="","",IFERROR(AVERAGEIFS($I$4:$I187,$B$4:$B187,B187,$I$4:$I187,"&gt;"&amp;0),""))</f>
        <v>194.95833333333334</v>
      </c>
      <c r="L187" s="9" t="str">
        <f>IF(B187="","",IF(ISNA(MATCH(B187,Client_List!$B:$B,0)),"⚠ NOT FOUND","✓"))</f>
        <v>✓</v>
      </c>
    </row>
    <row r="188" spans="1:12" ht="14" customHeight="1" x14ac:dyDescent="0.2">
      <c r="A188" s="56">
        <v>46041</v>
      </c>
      <c r="B188" s="2" t="s">
        <v>166</v>
      </c>
      <c r="C188" s="8" t="str">
        <f>IF(B188="","",IFERROR(INDEX(Client_List!$C:$C,MATCH(B188,Client_List!$B:$B,0)),""))</f>
        <v>4</v>
      </c>
      <c r="D188" s="4" t="str">
        <f>IF(B188="","",IFERROR(INDEX(Client_List!$D:$D,MATCH(B188,Client_List!$B:$B,0)),""))</f>
        <v>4B</v>
      </c>
      <c r="E188" s="4" t="str">
        <f>IF(B188="","",IFERROR(INDEX(Client_List!$K:$K,MATCH(B188,Client_List!$B:$B,0)),""))</f>
        <v>CANOLA OIL</v>
      </c>
      <c r="F188" s="5">
        <f>IF(B188="","",IFERROR(INDEX(Client_List!$J:$J,MATCH(B188,Client_List!$B:$B,0)),""))</f>
        <v>1050</v>
      </c>
      <c r="G188" s="5">
        <v>1027</v>
      </c>
      <c r="H188" s="4" t="str">
        <f>IF(B188="","",IFERROR(A188-LOOKUP(2,1/($B$4:$B187=B188),$A$4:$A187),""))</f>
        <v/>
      </c>
      <c r="I188" s="72" t="str">
        <f t="shared" si="2"/>
        <v/>
      </c>
      <c r="J188" s="4">
        <v>141565</v>
      </c>
      <c r="K188" s="6" t="str">
        <f>IF(B188="","",IFERROR(AVERAGEIFS($I$4:$I188,$B$4:$B188,B188,$I$4:$I188,"&gt;"&amp;0),""))</f>
        <v/>
      </c>
      <c r="L188" s="4" t="str">
        <f>IF(B188="","",IF(ISNA(MATCH(B188,Client_List!$B:$B,0)),"⚠ NOT FOUND","✓"))</f>
        <v>✓</v>
      </c>
    </row>
    <row r="189" spans="1:12" ht="14" customHeight="1" x14ac:dyDescent="0.2">
      <c r="A189" s="57">
        <v>46041</v>
      </c>
      <c r="B189" s="7" t="s">
        <v>192</v>
      </c>
      <c r="C189" s="12" t="str">
        <f>IF(B189="","",IFERROR(INDEX(Client_List!$C:$C,MATCH(B189,Client_List!$B:$B,0)),""))</f>
        <v>4</v>
      </c>
      <c r="D189" s="9" t="str">
        <f>IF(B189="","",IFERROR(INDEX(Client_List!$D:$D,MATCH(B189,Client_List!$B:$B,0)),""))</f>
        <v>4C</v>
      </c>
      <c r="E189" s="9" t="str">
        <f>IF(B189="","",IFERROR(INDEX(Client_List!$K:$K,MATCH(B189,Client_List!$B:$B,0)),""))</f>
        <v>CANOLA OIL</v>
      </c>
      <c r="F189" s="10">
        <f>IF(B189="","",IFERROR(INDEX(Client_List!$J:$J,MATCH(B189,Client_List!$B:$B,0)),""))</f>
        <v>350</v>
      </c>
      <c r="G189" s="10">
        <v>259</v>
      </c>
      <c r="H189" s="9" t="str">
        <f>IF(B189="","",IFERROR(A189-LOOKUP(2,1/($B$4:$B188=B189),$A$4:$A188),""))</f>
        <v/>
      </c>
      <c r="I189" s="73" t="str">
        <f t="shared" si="2"/>
        <v/>
      </c>
      <c r="J189" s="9">
        <v>141559</v>
      </c>
      <c r="K189" s="6" t="str">
        <f>IF(B189="","",IFERROR(AVERAGEIFS($I$4:$I189,$B$4:$B189,B189,$I$4:$I189,"&gt;"&amp;0),""))</f>
        <v/>
      </c>
      <c r="L189" s="9" t="str">
        <f>IF(B189="","",IF(ISNA(MATCH(B189,Client_List!$B:$B,0)),"⚠ NOT FOUND","✓"))</f>
        <v>✓</v>
      </c>
    </row>
    <row r="190" spans="1:12" ht="14" customHeight="1" x14ac:dyDescent="0.2">
      <c r="A190" s="56">
        <v>46041</v>
      </c>
      <c r="B190" s="2" t="s">
        <v>208</v>
      </c>
      <c r="C190" s="12" t="str">
        <f>IF(B190="","",IFERROR(INDEX(Client_List!$C:$C,MATCH(B190,Client_List!$B:$B,0)),""))</f>
        <v>4</v>
      </c>
      <c r="D190" s="4" t="str">
        <f>IF(B190="","",IFERROR(INDEX(Client_List!$D:$D,MATCH(B190,Client_List!$B:$B,0)),""))</f>
        <v>4C</v>
      </c>
      <c r="E190" s="4" t="str">
        <f>IF(B190="","",IFERROR(INDEX(Client_List!$K:$K,MATCH(B190,Client_List!$B:$B,0)),""))</f>
        <v>UNKNOWN</v>
      </c>
      <c r="F190" s="5">
        <f>IF(B190="","",IFERROR(INDEX(Client_List!$J:$J,MATCH(B190,Client_List!$B:$B,0)),""))</f>
        <v>1050</v>
      </c>
      <c r="G190" s="5">
        <v>1079</v>
      </c>
      <c r="H190" s="4" t="str">
        <f>IF(B190="","",IFERROR(A190-LOOKUP(2,1/($B$4:$B189=B190),$A$4:$A189),""))</f>
        <v/>
      </c>
      <c r="I190" s="72" t="str">
        <f t="shared" si="2"/>
        <v/>
      </c>
      <c r="J190" s="4">
        <v>141558</v>
      </c>
      <c r="K190" s="6" t="str">
        <f>IF(B190="","",IFERROR(AVERAGEIFS($I$4:$I190,$B$4:$B190,B190,$I$4:$I190,"&gt;"&amp;0),""))</f>
        <v/>
      </c>
      <c r="L190" s="4" t="str">
        <f>IF(B190="","",IF(ISNA(MATCH(B190,Client_List!$B:$B,0)),"⚠ NOT FOUND","✓"))</f>
        <v>✓</v>
      </c>
    </row>
    <row r="191" spans="1:12" ht="14" customHeight="1" x14ac:dyDescent="0.2">
      <c r="A191" s="57">
        <v>46041</v>
      </c>
      <c r="B191" s="7" t="s">
        <v>242</v>
      </c>
      <c r="C191" s="8" t="str">
        <f>IF(B191="","",IFERROR(INDEX(Client_List!$C:$C,MATCH(B191,Client_List!$B:$B,0)),""))</f>
        <v>4</v>
      </c>
      <c r="D191" s="9" t="str">
        <f>IF(B191="","",IFERROR(INDEX(Client_List!$D:$D,MATCH(B191,Client_List!$B:$B,0)),""))</f>
        <v>4D</v>
      </c>
      <c r="E191" s="9" t="str">
        <f>IF(B191="","",IFERROR(INDEX(Client_List!$K:$K,MATCH(B191,Client_List!$B:$B,0)),""))</f>
        <v>FRYERS CHOICE BLEND</v>
      </c>
      <c r="F191" s="10">
        <f>IF(B191="","",IFERROR(INDEX(Client_List!$J:$J,MATCH(B191,Client_List!$B:$B,0)),""))</f>
        <v>950</v>
      </c>
      <c r="G191" s="10">
        <v>860</v>
      </c>
      <c r="H191" s="9">
        <f>IF(B191="","",IFERROR(A191-LOOKUP(2,1/($B$4:$B190=B191),$A$4:$A190),""))</f>
        <v>12</v>
      </c>
      <c r="I191" s="73">
        <f t="shared" si="2"/>
        <v>71.666666666666671</v>
      </c>
      <c r="J191" s="9">
        <v>141556</v>
      </c>
      <c r="K191" s="6">
        <f>IF(B191="","",IFERROR(AVERAGEIFS($I$4:$I191,$B$4:$B191,B191,$I$4:$I191,"&gt;"&amp;0),""))</f>
        <v>71.666666666666671</v>
      </c>
      <c r="L191" s="9" t="str">
        <f>IF(B191="","",IF(ISNA(MATCH(B191,Client_List!$B:$B,0)),"⚠ NOT FOUND","✓"))</f>
        <v>✓</v>
      </c>
    </row>
    <row r="192" spans="1:12" ht="14" customHeight="1" x14ac:dyDescent="0.2">
      <c r="A192" s="56">
        <v>46041</v>
      </c>
      <c r="B192" s="2" t="s">
        <v>262</v>
      </c>
      <c r="C192" s="3" t="str">
        <f>IF(B192="","",IFERROR(INDEX(Client_List!$C:$C,MATCH(B192,Client_List!$B:$B,0)),""))</f>
        <v>2</v>
      </c>
      <c r="D192" s="4" t="str">
        <f>IF(B192="","",IFERROR(INDEX(Client_List!$D:$D,MATCH(B192,Client_List!$B:$B,0)),""))</f>
        <v>2C</v>
      </c>
      <c r="E192" s="4" t="str">
        <f>IF(B192="","",IFERROR(INDEX(Client_List!$K:$K,MATCH(B192,Client_List!$B:$B,0)),""))</f>
        <v>CANOLA OIL</v>
      </c>
      <c r="F192" s="5">
        <f>IF(B192="","",IFERROR(INDEX(Client_List!$J:$J,MATCH(B192,Client_List!$B:$B,0)),""))</f>
        <v>1950</v>
      </c>
      <c r="G192" s="5">
        <v>1851</v>
      </c>
      <c r="H192" s="4">
        <f>IF(B192="","",IFERROR(A192-LOOKUP(2,1/($B$4:$B191=B192),$A$4:$A191),""))</f>
        <v>10</v>
      </c>
      <c r="I192" s="72">
        <f t="shared" si="2"/>
        <v>185.1</v>
      </c>
      <c r="J192" s="4">
        <v>141560</v>
      </c>
      <c r="K192" s="6">
        <f>IF(B192="","",IFERROR(AVERAGEIFS($I$4:$I192,$B$4:$B192,B192,$I$4:$I192,"&gt;"&amp;0),""))</f>
        <v>185.1</v>
      </c>
      <c r="L192" s="4" t="str">
        <f>IF(B192="","",IF(ISNA(MATCH(B192,Client_List!$B:$B,0)),"⚠ NOT FOUND","✓"))</f>
        <v>✓</v>
      </c>
    </row>
    <row r="193" spans="1:12" ht="14" customHeight="1" x14ac:dyDescent="0.2">
      <c r="A193" s="57">
        <v>46041</v>
      </c>
      <c r="B193" s="7" t="s">
        <v>300</v>
      </c>
      <c r="C193" s="3" t="str">
        <f>IF(B193="","",IFERROR(INDEX(Client_List!$C:$C,MATCH(B193,Client_List!$B:$B,0)),""))</f>
        <v>4</v>
      </c>
      <c r="D193" s="9" t="str">
        <f>IF(B193="","",IFERROR(INDEX(Client_List!$D:$D,MATCH(B193,Client_List!$B:$B,0)),""))</f>
        <v>4C</v>
      </c>
      <c r="E193" s="9" t="str">
        <f>IF(B193="","",IFERROR(INDEX(Client_List!$K:$K,MATCH(B193,Client_List!$B:$B,0)),""))</f>
        <v>FRYERS CHOICE BLEND</v>
      </c>
      <c r="F193" s="10">
        <f>IF(B193="","",IFERROR(INDEX(Client_List!$J:$J,MATCH(B193,Client_List!$B:$B,0)),""))</f>
        <v>350</v>
      </c>
      <c r="G193" s="10">
        <v>339</v>
      </c>
      <c r="H193" s="9" t="str">
        <f>IF(B193="","",IFERROR(A193-LOOKUP(2,1/($B$4:$B192=B193),$A$4:$A192),""))</f>
        <v/>
      </c>
      <c r="I193" s="73" t="str">
        <f t="shared" si="2"/>
        <v/>
      </c>
      <c r="J193" s="9">
        <v>141567</v>
      </c>
      <c r="K193" s="6" t="str">
        <f>IF(B193="","",IFERROR(AVERAGEIFS($I$4:$I193,$B$4:$B193,B193,$I$4:$I193,"&gt;"&amp;0),""))</f>
        <v/>
      </c>
      <c r="L193" s="9" t="str">
        <f>IF(B193="","",IF(ISNA(MATCH(B193,Client_List!$B:$B,0)),"⚠ NOT FOUND","✓"))</f>
        <v>✓</v>
      </c>
    </row>
    <row r="194" spans="1:12" ht="14" customHeight="1" x14ac:dyDescent="0.2">
      <c r="A194" s="56">
        <v>46041</v>
      </c>
      <c r="B194" s="2" t="s">
        <v>336</v>
      </c>
      <c r="C194" s="8" t="str">
        <f>IF(B194="","",IFERROR(INDEX(Client_List!$C:$C,MATCH(B194,Client_List!$B:$B,0)),""))</f>
        <v>4</v>
      </c>
      <c r="D194" s="4" t="str">
        <f>IF(B194="","",IFERROR(INDEX(Client_List!$D:$D,MATCH(B194,Client_List!$B:$B,0)),""))</f>
        <v>4D</v>
      </c>
      <c r="E194" s="4" t="str">
        <f>IF(B194="","",IFERROR(INDEX(Client_List!$K:$K,MATCH(B194,Client_List!$B:$B,0)),""))</f>
        <v>CANOLA OIL</v>
      </c>
      <c r="F194" s="5">
        <f>IF(B194="","",IFERROR(INDEX(Client_List!$J:$J,MATCH(B194,Client_List!$B:$B,0)),""))</f>
        <v>1050</v>
      </c>
      <c r="G194" s="5">
        <v>983</v>
      </c>
      <c r="H194" s="4">
        <f>IF(B194="","",IFERROR(A194-LOOKUP(2,1/($B$4:$B193=B194),$A$4:$A193),""))</f>
        <v>12</v>
      </c>
      <c r="I194" s="72">
        <f t="shared" si="2"/>
        <v>81.916666666666671</v>
      </c>
      <c r="J194" s="4">
        <v>141566</v>
      </c>
      <c r="K194" s="6">
        <f>IF(B194="","",IFERROR(AVERAGEIFS($I$4:$I194,$B$4:$B194,B194,$I$4:$I194,"&gt;"&amp;0),""))</f>
        <v>81.916666666666671</v>
      </c>
      <c r="L194" s="4" t="str">
        <f>IF(B194="","",IF(ISNA(MATCH(B194,Client_List!$B:$B,0)),"⚠ NOT FOUND","✓"))</f>
        <v>✓</v>
      </c>
    </row>
    <row r="195" spans="1:12" ht="14" customHeight="1" x14ac:dyDescent="0.2">
      <c r="A195" s="57">
        <v>46041</v>
      </c>
      <c r="B195" s="7" t="s">
        <v>340</v>
      </c>
      <c r="C195" s="11" t="str">
        <f>IF(B195="","",IFERROR(INDEX(Client_List!$C:$C,MATCH(B195,Client_List!$B:$B,0)),""))</f>
        <v>2</v>
      </c>
      <c r="D195" s="9" t="str">
        <f>IF(B195="","",IFERROR(INDEX(Client_List!$D:$D,MATCH(B195,Client_List!$B:$B,0)),""))</f>
        <v>2C</v>
      </c>
      <c r="E195" s="9" t="str">
        <f>IF(B195="","",IFERROR(INDEX(Client_List!$K:$K,MATCH(B195,Client_List!$B:$B,0)),""))</f>
        <v>FRYERS CHOICE BLEND</v>
      </c>
      <c r="F195" s="10">
        <f>IF(B195="","",IFERROR(INDEX(Client_List!$J:$J,MATCH(B195,Client_List!$B:$B,0)),""))</f>
        <v>300</v>
      </c>
      <c r="G195" s="10">
        <v>291</v>
      </c>
      <c r="H195" s="9">
        <f>IF(B195="","",IFERROR(A195-LOOKUP(2,1/($B$4:$B194=B195),$A$4:$A194),""))</f>
        <v>11</v>
      </c>
      <c r="I195" s="73">
        <f t="shared" si="2"/>
        <v>26.454545454545453</v>
      </c>
      <c r="J195" s="9">
        <v>141562</v>
      </c>
      <c r="K195" s="6">
        <f>IF(B195="","",IFERROR(AVERAGEIFS($I$4:$I195,$B$4:$B195,B195,$I$4:$I195,"&gt;"&amp;0),""))</f>
        <v>26.454545454545453</v>
      </c>
      <c r="L195" s="9" t="str">
        <f>IF(B195="","",IF(ISNA(MATCH(B195,Client_List!$B:$B,0)),"⚠ NOT FOUND","✓"))</f>
        <v>✓</v>
      </c>
    </row>
    <row r="196" spans="1:12" ht="14" customHeight="1" x14ac:dyDescent="0.2">
      <c r="A196" s="56">
        <v>46042</v>
      </c>
      <c r="B196" s="2" t="s">
        <v>54</v>
      </c>
      <c r="C196" s="8" t="str">
        <f>IF(B196="","",IFERROR(INDEX(Client_List!$C:$C,MATCH(B196,Client_List!$B:$B,0)),""))</f>
        <v>4</v>
      </c>
      <c r="D196" s="4" t="str">
        <f>IF(B196="","",IFERROR(INDEX(Client_List!$D:$D,MATCH(B196,Client_List!$B:$B,0)),""))</f>
        <v>4F</v>
      </c>
      <c r="E196" s="4" t="str">
        <f>IF(B196="","",IFERROR(INDEX(Client_List!$K:$K,MATCH(B196,Client_List!$B:$B,0)),""))</f>
        <v>CANOLA OIL</v>
      </c>
      <c r="F196" s="5">
        <f>IF(B196="","",IFERROR(INDEX(Client_List!$J:$J,MATCH(B196,Client_List!$B:$B,0)),""))</f>
        <v>1000</v>
      </c>
      <c r="G196" s="5">
        <v>1022</v>
      </c>
      <c r="H196" s="4">
        <f>IF(B196="","",IFERROR(A196-LOOKUP(2,1/($B$4:$B195=B196),$A$4:$A195),""))</f>
        <v>15</v>
      </c>
      <c r="I196" s="72">
        <f t="shared" ref="I196:I259" si="3">IF(B196="","",IFERROR(G196/H196,""))</f>
        <v>68.13333333333334</v>
      </c>
      <c r="J196" s="4">
        <v>141596</v>
      </c>
      <c r="K196" s="6">
        <f>IF(B196="","",IFERROR(AVERAGEIFS($I$4:$I196,$B$4:$B196,B196,$I$4:$I196,"&gt;"&amp;0),""))</f>
        <v>68.13333333333334</v>
      </c>
      <c r="L196" s="4" t="str">
        <f>IF(B196="","",IF(ISNA(MATCH(B196,Client_List!$B:$B,0)),"⚠ NOT FOUND","✓"))</f>
        <v>✓</v>
      </c>
    </row>
    <row r="197" spans="1:12" ht="14" customHeight="1" x14ac:dyDescent="0.2">
      <c r="A197" s="57">
        <v>46042</v>
      </c>
      <c r="B197" s="7" t="s">
        <v>67</v>
      </c>
      <c r="C197" s="8" t="str">
        <f>IF(B197="","",IFERROR(INDEX(Client_List!$C:$C,MATCH(B197,Client_List!$B:$B,0)),""))</f>
        <v>5</v>
      </c>
      <c r="D197" s="9" t="str">
        <f>IF(B197="","",IFERROR(INDEX(Client_List!$D:$D,MATCH(B197,Client_List!$B:$B,0)),""))</f>
        <v>5F</v>
      </c>
      <c r="E197" s="9" t="str">
        <f>IF(B197="","",IFERROR(INDEX(Client_List!$K:$K,MATCH(B197,Client_List!$B:$B,0)),""))</f>
        <v>CANOLA OIL</v>
      </c>
      <c r="F197" s="10">
        <f>IF(B197="","",IFERROR(INDEX(Client_List!$J:$J,MATCH(B197,Client_List!$B:$B,0)),""))</f>
        <v>950</v>
      </c>
      <c r="G197" s="10">
        <v>945</v>
      </c>
      <c r="H197" s="9">
        <f>IF(B197="","",IFERROR(A197-LOOKUP(2,1/($B$4:$B196=B197),$A$4:$A196),""))</f>
        <v>11</v>
      </c>
      <c r="I197" s="73">
        <f t="shared" si="3"/>
        <v>85.909090909090907</v>
      </c>
      <c r="J197" s="9">
        <v>141593</v>
      </c>
      <c r="K197" s="6">
        <f>IF(B197="","",IFERROR(AVERAGEIFS($I$4:$I197,$B$4:$B197,B197,$I$4:$I197,"&gt;"&amp;0),""))</f>
        <v>85.909090909090907</v>
      </c>
      <c r="L197" s="9" t="str">
        <f>IF(B197="","",IF(ISNA(MATCH(B197,Client_List!$B:$B,0)),"⚠ NOT FOUND","✓"))</f>
        <v>✓</v>
      </c>
    </row>
    <row r="198" spans="1:12" ht="14" customHeight="1" x14ac:dyDescent="0.2">
      <c r="A198" s="56">
        <v>46042</v>
      </c>
      <c r="B198" s="2" t="s">
        <v>96</v>
      </c>
      <c r="C198" s="3" t="str">
        <f>IF(B198="","",IFERROR(INDEX(Client_List!$C:$C,MATCH(B198,Client_List!$B:$B,0)),""))</f>
        <v>2</v>
      </c>
      <c r="D198" s="4" t="str">
        <f>IF(B198="","",IFERROR(INDEX(Client_List!$D:$D,MATCH(B198,Client_List!$B:$B,0)),""))</f>
        <v>2C</v>
      </c>
      <c r="E198" s="4" t="str">
        <f>IF(B198="","",IFERROR(INDEX(Client_List!$K:$K,MATCH(B198,Client_List!$B:$B,0)),""))</f>
        <v>CANOLA OIL</v>
      </c>
      <c r="F198" s="5">
        <f>IF(B198="","",IFERROR(INDEX(Client_List!$J:$J,MATCH(B198,Client_List!$B:$B,0)),""))</f>
        <v>1000</v>
      </c>
      <c r="G198" s="5">
        <v>736</v>
      </c>
      <c r="H198" s="4" t="str">
        <f>IF(B198="","",IFERROR(A198-LOOKUP(2,1/($B$4:$B197=B198),$A$4:$A197),""))</f>
        <v/>
      </c>
      <c r="I198" s="72" t="str">
        <f t="shared" si="3"/>
        <v/>
      </c>
      <c r="J198" s="4">
        <v>141600</v>
      </c>
      <c r="K198" s="6" t="str">
        <f>IF(B198="","",IFERROR(AVERAGEIFS($I$4:$I198,$B$4:$B198,B198,$I$4:$I198,"&gt;"&amp;0),""))</f>
        <v/>
      </c>
      <c r="L198" s="4" t="str">
        <f>IF(B198="","",IF(ISNA(MATCH(B198,Client_List!$B:$B,0)),"⚠ NOT FOUND","✓"))</f>
        <v>✓</v>
      </c>
    </row>
    <row r="199" spans="1:12" ht="14" customHeight="1" x14ac:dyDescent="0.2">
      <c r="A199" s="57">
        <v>46042</v>
      </c>
      <c r="B199" s="7" t="s">
        <v>128</v>
      </c>
      <c r="C199" s="3" t="str">
        <f>IF(B199="","",IFERROR(INDEX(Client_List!$C:$C,MATCH(B199,Client_List!$B:$B,0)),""))</f>
        <v>4</v>
      </c>
      <c r="D199" s="9" t="str">
        <f>IF(B199="","",IFERROR(INDEX(Client_List!$D:$D,MATCH(B199,Client_List!$B:$B,0)),""))</f>
        <v>4E</v>
      </c>
      <c r="E199" s="9" t="str">
        <f>IF(B199="","",IFERROR(INDEX(Client_List!$K:$K,MATCH(B199,Client_List!$B:$B,0)),""))</f>
        <v>CANOLA OIL</v>
      </c>
      <c r="F199" s="10">
        <f>IF(B199="","",IFERROR(INDEX(Client_List!$J:$J,MATCH(B199,Client_List!$B:$B,0)),""))</f>
        <v>700</v>
      </c>
      <c r="G199" s="10">
        <v>433</v>
      </c>
      <c r="H199" s="9">
        <f>IF(B199="","",IFERROR(A199-LOOKUP(2,1/($B$4:$B198=B199),$A$4:$A198),""))</f>
        <v>6</v>
      </c>
      <c r="I199" s="73">
        <f t="shared" si="3"/>
        <v>72.166666666666671</v>
      </c>
      <c r="J199" s="9">
        <v>141598</v>
      </c>
      <c r="K199" s="6">
        <f>IF(B199="","",IFERROR(AVERAGEIFS($I$4:$I199,$B$4:$B199,B199,$I$4:$I199,"&gt;"&amp;0),""))</f>
        <v>68.645833333333343</v>
      </c>
      <c r="L199" s="9" t="str">
        <f>IF(B199="","",IF(ISNA(MATCH(B199,Client_List!$B:$B,0)),"⚠ NOT FOUND","✓"))</f>
        <v>✓</v>
      </c>
    </row>
    <row r="200" spans="1:12" ht="14" customHeight="1" x14ac:dyDescent="0.2">
      <c r="A200" s="56">
        <v>46042</v>
      </c>
      <c r="B200" s="2" t="s">
        <v>130</v>
      </c>
      <c r="C200" s="13" t="str">
        <f>IF(B200="","",IFERROR(INDEX(Client_List!$C:$C,MATCH(B200,Client_List!$B:$B,0)),""))</f>
        <v>4</v>
      </c>
      <c r="D200" s="4" t="str">
        <f>IF(B200="","",IFERROR(INDEX(Client_List!$D:$D,MATCH(B200,Client_List!$B:$B,0)),""))</f>
        <v>4E</v>
      </c>
      <c r="E200" s="4" t="str">
        <f>IF(B200="","",IFERROR(INDEX(Client_List!$K:$K,MATCH(B200,Client_List!$B:$B,0)),""))</f>
        <v>FRYERS CHOICE BLEND</v>
      </c>
      <c r="F200" s="5">
        <f>IF(B200="","",IFERROR(INDEX(Client_List!$J:$J,MATCH(B200,Client_List!$B:$B,0)),""))</f>
        <v>2500</v>
      </c>
      <c r="G200" s="5">
        <v>2079</v>
      </c>
      <c r="H200" s="4">
        <f>IF(B200="","",IFERROR(A200-LOOKUP(2,1/($B$4:$B199=B200),$A$4:$A199),""))</f>
        <v>15</v>
      </c>
      <c r="I200" s="72">
        <f t="shared" si="3"/>
        <v>138.6</v>
      </c>
      <c r="J200" s="4">
        <v>141597</v>
      </c>
      <c r="K200" s="6">
        <f>IF(B200="","",IFERROR(AVERAGEIFS($I$4:$I200,$B$4:$B200,B200,$I$4:$I200,"&gt;"&amp;0),""))</f>
        <v>138.6</v>
      </c>
      <c r="L200" s="4" t="str">
        <f>IF(B200="","",IF(ISNA(MATCH(B200,Client_List!$B:$B,0)),"⚠ NOT FOUND","✓"))</f>
        <v>✓</v>
      </c>
    </row>
    <row r="201" spans="1:12" ht="14" customHeight="1" x14ac:dyDescent="0.2">
      <c r="A201" s="57">
        <v>46042</v>
      </c>
      <c r="B201" s="7" t="s">
        <v>184</v>
      </c>
      <c r="C201" s="13" t="str">
        <f>IF(B201="","",IFERROR(INDEX(Client_List!$C:$C,MATCH(B201,Client_List!$B:$B,0)),""))</f>
        <v>3</v>
      </c>
      <c r="D201" s="9" t="str">
        <f>IF(B201="","",IFERROR(INDEX(Client_List!$D:$D,MATCH(B201,Client_List!$B:$B,0)),""))</f>
        <v>3C</v>
      </c>
      <c r="E201" s="9" t="str">
        <f>IF(B201="","",IFERROR(INDEX(Client_List!$K:$K,MATCH(B201,Client_List!$B:$B,0)),""))</f>
        <v>CANOLA OIL</v>
      </c>
      <c r="F201" s="10">
        <f>IF(B201="","",IFERROR(INDEX(Client_List!$J:$J,MATCH(B201,Client_List!$B:$B,0)),""))</f>
        <v>1050</v>
      </c>
      <c r="G201" s="10">
        <v>820</v>
      </c>
      <c r="H201" s="9">
        <f>IF(B201="","",IFERROR(A201-LOOKUP(2,1/($B$4:$B200=B201),$A$4:$A200),""))</f>
        <v>11</v>
      </c>
      <c r="I201" s="73">
        <f t="shared" si="3"/>
        <v>74.545454545454547</v>
      </c>
      <c r="J201" s="9">
        <v>141592</v>
      </c>
      <c r="K201" s="6">
        <f>IF(B201="","",IFERROR(AVERAGEIFS($I$4:$I201,$B$4:$B201,B201,$I$4:$I201,"&gt;"&amp;0),""))</f>
        <v>74.545454545454547</v>
      </c>
      <c r="L201" s="9" t="str">
        <f>IF(B201="","",IF(ISNA(MATCH(B201,Client_List!$B:$B,0)),"⚠ NOT FOUND","✓"))</f>
        <v>✓</v>
      </c>
    </row>
    <row r="202" spans="1:12" ht="14" customHeight="1" x14ac:dyDescent="0.2">
      <c r="A202" s="56">
        <v>46042</v>
      </c>
      <c r="B202" s="2" t="s">
        <v>190</v>
      </c>
      <c r="C202" s="11" t="str">
        <f>IF(B202="","",IFERROR(INDEX(Client_List!$C:$C,MATCH(B202,Client_List!$B:$B,0)),""))</f>
        <v>2</v>
      </c>
      <c r="D202" s="4" t="str">
        <f>IF(B202="","",IFERROR(INDEX(Client_List!$D:$D,MATCH(B202,Client_List!$B:$B,0)),""))</f>
        <v>2C</v>
      </c>
      <c r="E202" s="4" t="str">
        <f>IF(B202="","",IFERROR(INDEX(Client_List!$K:$K,MATCH(B202,Client_List!$B:$B,0)),""))</f>
        <v>CANOLA OIL</v>
      </c>
      <c r="F202" s="5">
        <f>IF(B202="","",IFERROR(INDEX(Client_List!$J:$J,MATCH(B202,Client_List!$B:$B,0)),""))</f>
        <v>1050</v>
      </c>
      <c r="G202" s="5">
        <v>859</v>
      </c>
      <c r="H202" s="4">
        <f>IF(B202="","",IFERROR(A202-LOOKUP(2,1/($B$4:$B201=B202),$A$4:$A201),""))</f>
        <v>7</v>
      </c>
      <c r="I202" s="72">
        <f t="shared" si="3"/>
        <v>122.71428571428571</v>
      </c>
      <c r="J202" s="4">
        <v>141602</v>
      </c>
      <c r="K202" s="6">
        <f>IF(B202="","",IFERROR(AVERAGEIFS($I$4:$I202,$B$4:$B202,B202,$I$4:$I202,"&gt;"&amp;0),""))</f>
        <v>117.04464285714286</v>
      </c>
      <c r="L202" s="4" t="str">
        <f>IF(B202="","",IF(ISNA(MATCH(B202,Client_List!$B:$B,0)),"⚠ NOT FOUND","✓"))</f>
        <v>✓</v>
      </c>
    </row>
    <row r="203" spans="1:12" ht="14" customHeight="1" x14ac:dyDescent="0.2">
      <c r="A203" s="57">
        <v>46042</v>
      </c>
      <c r="B203" s="7" t="s">
        <v>196</v>
      </c>
      <c r="C203" s="13" t="str">
        <f>IF(B203="","",IFERROR(INDEX(Client_List!$C:$C,MATCH(B203,Client_List!$B:$B,0)),""))</f>
        <v>4</v>
      </c>
      <c r="D203" s="9" t="str">
        <f>IF(B203="","",IFERROR(INDEX(Client_List!$D:$D,MATCH(B203,Client_List!$B:$B,0)),""))</f>
        <v>4F</v>
      </c>
      <c r="E203" s="9" t="str">
        <f>IF(B203="","",IFERROR(INDEX(Client_List!$K:$K,MATCH(B203,Client_List!$B:$B,0)),""))</f>
        <v>FRYERS CHOICE BLEND</v>
      </c>
      <c r="F203" s="10">
        <f>IF(B203="","",IFERROR(INDEX(Client_List!$J:$J,MATCH(B203,Client_List!$B:$B,0)),""))</f>
        <v>620</v>
      </c>
      <c r="G203" s="10">
        <v>435</v>
      </c>
      <c r="H203" s="9">
        <f>IF(B203="","",IFERROR(A203-LOOKUP(2,1/($B$4:$B202=B203),$A$4:$A202),""))</f>
        <v>13</v>
      </c>
      <c r="I203" s="73">
        <f t="shared" si="3"/>
        <v>33.46153846153846</v>
      </c>
      <c r="J203" s="9">
        <v>141595</v>
      </c>
      <c r="K203" s="6">
        <f>IF(B203="","",IFERROR(AVERAGEIFS($I$4:$I203,$B$4:$B203,B203,$I$4:$I203,"&gt;"&amp;0),""))</f>
        <v>33.46153846153846</v>
      </c>
      <c r="L203" s="9" t="str">
        <f>IF(B203="","",IF(ISNA(MATCH(B203,Client_List!$B:$B,0)),"⚠ NOT FOUND","✓"))</f>
        <v>✓</v>
      </c>
    </row>
    <row r="204" spans="1:12" ht="14" customHeight="1" x14ac:dyDescent="0.2">
      <c r="A204" s="56">
        <v>46042</v>
      </c>
      <c r="B204" s="2" t="s">
        <v>236</v>
      </c>
      <c r="C204" s="12" t="str">
        <f>IF(B204="","",IFERROR(INDEX(Client_List!$C:$C,MATCH(B204,Client_List!$B:$B,0)),""))</f>
        <v>5</v>
      </c>
      <c r="D204" s="4" t="str">
        <f>IF(B204="","",IFERROR(INDEX(Client_List!$D:$D,MATCH(B204,Client_List!$B:$B,0)),""))</f>
        <v>5E</v>
      </c>
      <c r="E204" s="4" t="str">
        <f>IF(B204="","",IFERROR(INDEX(Client_List!$K:$K,MATCH(B204,Client_List!$B:$B,0)),""))</f>
        <v>CANOLA OIL</v>
      </c>
      <c r="F204" s="5">
        <f>IF(B204="","",IFERROR(INDEX(Client_List!$J:$J,MATCH(B204,Client_List!$B:$B,0)),""))</f>
        <v>500</v>
      </c>
      <c r="G204" s="5">
        <v>324</v>
      </c>
      <c r="H204" s="4">
        <f>IF(B204="","",IFERROR(A204-LOOKUP(2,1/($B$4:$B203=B204),$A$4:$A203),""))</f>
        <v>13</v>
      </c>
      <c r="I204" s="72">
        <f t="shared" si="3"/>
        <v>24.923076923076923</v>
      </c>
      <c r="J204" s="4">
        <v>141594</v>
      </c>
      <c r="K204" s="6">
        <f>IF(B204="","",IFERROR(AVERAGEIFS($I$4:$I204,$B$4:$B204,B204,$I$4:$I204,"&gt;"&amp;0),""))</f>
        <v>24.923076923076923</v>
      </c>
      <c r="L204" s="4" t="str">
        <f>IF(B204="","",IF(ISNA(MATCH(B204,Client_List!$B:$B,0)),"⚠ NOT FOUND","✓"))</f>
        <v>✓</v>
      </c>
    </row>
    <row r="205" spans="1:12" ht="14" customHeight="1" x14ac:dyDescent="0.2">
      <c r="A205" s="57">
        <v>46042</v>
      </c>
      <c r="B205" s="7" t="s">
        <v>250</v>
      </c>
      <c r="C205" s="3" t="str">
        <f>IF(B205="","",IFERROR(INDEX(Client_List!$C:$C,MATCH(B205,Client_List!$B:$B,0)),""))</f>
        <v>2</v>
      </c>
      <c r="D205" s="9" t="str">
        <f>IF(B205="","",IFERROR(INDEX(Client_List!$D:$D,MATCH(B205,Client_List!$B:$B,0)),""))</f>
        <v>2D</v>
      </c>
      <c r="E205" s="9" t="str">
        <f>IF(B205="","",IFERROR(INDEX(Client_List!$K:$K,MATCH(B205,Client_List!$B:$B,0)),""))</f>
        <v>FRYERS CHOICE BLEND</v>
      </c>
      <c r="F205" s="10">
        <f>IF(B205="","",IFERROR(INDEX(Client_List!$J:$J,MATCH(B205,Client_List!$B:$B,0)),""))</f>
        <v>950</v>
      </c>
      <c r="G205" s="10">
        <v>787</v>
      </c>
      <c r="H205" s="9">
        <f>IF(B205="","",IFERROR(A205-LOOKUP(2,1/($B$4:$B204=B205),$A$4:$A204),""))</f>
        <v>7</v>
      </c>
      <c r="I205" s="73">
        <f t="shared" si="3"/>
        <v>112.42857142857143</v>
      </c>
      <c r="J205" s="9">
        <v>141603</v>
      </c>
      <c r="K205" s="6">
        <f>IF(B205="","",IFERROR(AVERAGEIFS($I$4:$I205,$B$4:$B205,B205,$I$4:$I205,"&gt;"&amp;0),""))</f>
        <v>113.65178571428572</v>
      </c>
      <c r="L205" s="9" t="str">
        <f>IF(B205="","",IF(ISNA(MATCH(B205,Client_List!$B:$B,0)),"⚠ NOT FOUND","✓"))</f>
        <v>✓</v>
      </c>
    </row>
    <row r="206" spans="1:12" ht="14" customHeight="1" x14ac:dyDescent="0.2">
      <c r="A206" s="56">
        <v>46042</v>
      </c>
      <c r="B206" s="2" t="s">
        <v>256</v>
      </c>
      <c r="C206" s="3" t="str">
        <f>IF(B206="","",IFERROR(INDEX(Client_List!$C:$C,MATCH(B206,Client_List!$B:$B,0)),""))</f>
        <v>3</v>
      </c>
      <c r="D206" s="4" t="str">
        <f>IF(B206="","",IFERROR(INDEX(Client_List!$D:$D,MATCH(B206,Client_List!$B:$B,0)),""))</f>
        <v>3E</v>
      </c>
      <c r="E206" s="4" t="str">
        <f>IF(B206="","",IFERROR(INDEX(Client_List!$K:$K,MATCH(B206,Client_List!$B:$B,0)),""))</f>
        <v>FRYERS CHOICE BLEND</v>
      </c>
      <c r="F206" s="5">
        <f>IF(B206="","",IFERROR(INDEX(Client_List!$J:$J,MATCH(B206,Client_List!$B:$B,0)),""))</f>
        <v>950</v>
      </c>
      <c r="G206" s="5">
        <v>655</v>
      </c>
      <c r="H206" s="4">
        <f>IF(B206="","",IFERROR(A206-LOOKUP(2,1/($B$4:$B205=B206),$A$4:$A205),""))</f>
        <v>7</v>
      </c>
      <c r="I206" s="72">
        <f t="shared" si="3"/>
        <v>93.571428571428569</v>
      </c>
      <c r="J206" s="4">
        <v>141599</v>
      </c>
      <c r="K206" s="6">
        <f>IF(B206="","",IFERROR(AVERAGEIFS($I$4:$I206,$B$4:$B206,B206,$I$4:$I206,"&gt;"&amp;0),""))</f>
        <v>90.563492063492063</v>
      </c>
      <c r="L206" s="4" t="str">
        <f>IF(B206="","",IF(ISNA(MATCH(B206,Client_List!$B:$B,0)),"⚠ NOT FOUND","✓"))</f>
        <v>✓</v>
      </c>
    </row>
    <row r="207" spans="1:12" ht="14" customHeight="1" x14ac:dyDescent="0.2">
      <c r="A207" s="57">
        <v>46043</v>
      </c>
      <c r="B207" s="7" t="s">
        <v>35</v>
      </c>
      <c r="C207" s="3" t="str">
        <f>IF(B207="","",IFERROR(INDEX(Client_List!$C:$C,MATCH(B207,Client_List!$B:$B,0)),""))</f>
        <v>2</v>
      </c>
      <c r="D207" s="9" t="str">
        <f>IF(B207="","",IFERROR(INDEX(Client_List!$D:$D,MATCH(B207,Client_List!$B:$B,0)),""))</f>
        <v>2C</v>
      </c>
      <c r="E207" s="9" t="str">
        <f>IF(B207="","",IFERROR(INDEX(Client_List!$K:$K,MATCH(B207,Client_List!$B:$B,0)),""))</f>
        <v>CANOLA OIL</v>
      </c>
      <c r="F207" s="10">
        <f>IF(B207="","",IFERROR(INDEX(Client_List!$J:$J,MATCH(B207,Client_List!$B:$B,0)),""))</f>
        <v>950</v>
      </c>
      <c r="G207" s="10">
        <v>833</v>
      </c>
      <c r="H207" s="9">
        <f>IF(B207="","",IFERROR(A207-LOOKUP(2,1/($B$4:$B206=B207),$A$4:$A206),""))</f>
        <v>13</v>
      </c>
      <c r="I207" s="73">
        <f t="shared" si="3"/>
        <v>64.07692307692308</v>
      </c>
      <c r="J207" s="9">
        <v>141624</v>
      </c>
      <c r="K207" s="6">
        <f>IF(B207="","",IFERROR(AVERAGEIFS($I$4:$I207,$B$4:$B207,B207,$I$4:$I207,"&gt;"&amp;0),""))</f>
        <v>64.07692307692308</v>
      </c>
      <c r="L207" s="9" t="str">
        <f>IF(B207="","",IF(ISNA(MATCH(B207,Client_List!$B:$B,0)),"⚠ NOT FOUND","✓"))</f>
        <v>✓</v>
      </c>
    </row>
    <row r="208" spans="1:12" ht="14" customHeight="1" x14ac:dyDescent="0.2">
      <c r="A208" s="56">
        <v>46043</v>
      </c>
      <c r="B208" s="2" t="s">
        <v>49</v>
      </c>
      <c r="C208" s="3" t="str">
        <f>IF(B208="","",IFERROR(INDEX(Client_List!$C:$C,MATCH(B208,Client_List!$B:$B,0)),""))</f>
        <v>2</v>
      </c>
      <c r="D208" s="4" t="str">
        <f>IF(B208="","",IFERROR(INDEX(Client_List!$D:$D,MATCH(B208,Client_List!$B:$B,0)),""))</f>
        <v>2C</v>
      </c>
      <c r="E208" s="4" t="str">
        <f>IF(B208="","",IFERROR(INDEX(Client_List!$K:$K,MATCH(B208,Client_List!$B:$B,0)),""))</f>
        <v>CANOLA OIL</v>
      </c>
      <c r="F208" s="5">
        <f>IF(B208="","",IFERROR(INDEX(Client_List!$J:$J,MATCH(B208,Client_List!$B:$B,0)),""))</f>
        <v>950</v>
      </c>
      <c r="G208" s="5">
        <v>781</v>
      </c>
      <c r="H208" s="4">
        <f>IF(B208="","",IFERROR(A208-LOOKUP(2,1/($B$4:$B207=B208),$A$4:$A207),""))</f>
        <v>10</v>
      </c>
      <c r="I208" s="72">
        <f t="shared" si="3"/>
        <v>78.099999999999994</v>
      </c>
      <c r="J208" s="4">
        <v>141644</v>
      </c>
      <c r="K208" s="6">
        <f>IF(B208="","",IFERROR(AVERAGEIFS($I$4:$I208,$B$4:$B208,B208,$I$4:$I208,"&gt;"&amp;0),""))</f>
        <v>78.099999999999994</v>
      </c>
      <c r="L208" s="4" t="str">
        <f>IF(B208="","",IF(ISNA(MATCH(B208,Client_List!$B:$B,0)),"⚠ NOT FOUND","✓"))</f>
        <v>✓</v>
      </c>
    </row>
    <row r="209" spans="1:12" ht="14" customHeight="1" x14ac:dyDescent="0.2">
      <c r="A209" s="57">
        <v>46043</v>
      </c>
      <c r="B209" s="7" t="s">
        <v>61</v>
      </c>
      <c r="C209" s="13" t="str">
        <f>IF(B209="","",IFERROR(INDEX(Client_List!$C:$C,MATCH(B209,Client_List!$B:$B,0)),""))</f>
        <v>3</v>
      </c>
      <c r="D209" s="9" t="str">
        <f>IF(B209="","",IFERROR(INDEX(Client_List!$D:$D,MATCH(B209,Client_List!$B:$B,0)),""))</f>
        <v>3D</v>
      </c>
      <c r="E209" s="9" t="str">
        <f>IF(B209="","",IFERROR(INDEX(Client_List!$K:$K,MATCH(B209,Client_List!$B:$B,0)),""))</f>
        <v>CANOLA OIL</v>
      </c>
      <c r="F209" s="10">
        <f>IF(B209="","",IFERROR(INDEX(Client_List!$J:$J,MATCH(B209,Client_List!$B:$B,0)),""))</f>
        <v>350</v>
      </c>
      <c r="G209" s="10">
        <v>364</v>
      </c>
      <c r="H209" s="9" t="str">
        <f>IF(B209="","",IFERROR(A209-LOOKUP(2,1/($B$4:$B208=B209),$A$4:$A208),""))</f>
        <v/>
      </c>
      <c r="I209" s="73" t="str">
        <f t="shared" si="3"/>
        <v/>
      </c>
      <c r="J209" s="9">
        <v>141646</v>
      </c>
      <c r="K209" s="6" t="str">
        <f>IF(B209="","",IFERROR(AVERAGEIFS($I$4:$I209,$B$4:$B209,B209,$I$4:$I209,"&gt;"&amp;0),""))</f>
        <v/>
      </c>
      <c r="L209" s="9" t="str">
        <f>IF(B209="","",IF(ISNA(MATCH(B209,Client_List!$B:$B,0)),"⚠ NOT FOUND","✓"))</f>
        <v>✓</v>
      </c>
    </row>
    <row r="210" spans="1:12" ht="14" customHeight="1" x14ac:dyDescent="0.2">
      <c r="A210" s="56">
        <v>46043</v>
      </c>
      <c r="B210" s="2" t="s">
        <v>118</v>
      </c>
      <c r="C210" s="3" t="str">
        <f>IF(B210="","",IFERROR(INDEX(Client_List!$C:$C,MATCH(B210,Client_List!$B:$B,0)),""))</f>
        <v>4</v>
      </c>
      <c r="D210" s="4" t="str">
        <f>IF(B210="","",IFERROR(INDEX(Client_List!$D:$D,MATCH(B210,Client_List!$B:$B,0)),""))</f>
        <v>4E</v>
      </c>
      <c r="E210" s="4" t="str">
        <f>IF(B210="","",IFERROR(INDEX(Client_List!$K:$K,MATCH(B210,Client_List!$B:$B,0)),""))</f>
        <v>CANOLA OIL</v>
      </c>
      <c r="F210" s="5">
        <f>IF(B210="","",IFERROR(INDEX(Client_List!$J:$J,MATCH(B210,Client_List!$B:$B,0)),""))</f>
        <v>2500</v>
      </c>
      <c r="G210" s="5">
        <v>1776</v>
      </c>
      <c r="H210" s="4">
        <f>IF(B210="","",IFERROR(A210-LOOKUP(2,1/($B$4:$B209=B210),$A$4:$A209),""))</f>
        <v>5</v>
      </c>
      <c r="I210" s="72">
        <f t="shared" si="3"/>
        <v>355.2</v>
      </c>
      <c r="J210" s="4">
        <v>141650</v>
      </c>
      <c r="K210" s="6">
        <f>IF(B210="","",IFERROR(AVERAGEIFS($I$4:$I210,$B$4:$B210,B210,$I$4:$I210,"&gt;"&amp;0),""))</f>
        <v>288.93333333333334</v>
      </c>
      <c r="L210" s="4" t="str">
        <f>IF(B210="","",IF(ISNA(MATCH(B210,Client_List!$B:$B,0)),"⚠ NOT FOUND","✓"))</f>
        <v>✓</v>
      </c>
    </row>
    <row r="211" spans="1:12" ht="14" customHeight="1" x14ac:dyDescent="0.2">
      <c r="A211" s="57">
        <v>46043</v>
      </c>
      <c r="B211" s="7" t="s">
        <v>138</v>
      </c>
      <c r="C211" s="3" t="str">
        <f>IF(B211="","",IFERROR(INDEX(Client_List!$C:$C,MATCH(B211,Client_List!$B:$B,0)),""))</f>
        <v>4</v>
      </c>
      <c r="D211" s="9" t="str">
        <f>IF(B211="","",IFERROR(INDEX(Client_List!$D:$D,MATCH(B211,Client_List!$B:$B,0)),""))</f>
        <v>4E</v>
      </c>
      <c r="E211" s="9" t="str">
        <f>IF(B211="","",IFERROR(INDEX(Client_List!$K:$K,MATCH(B211,Client_List!$B:$B,0)),""))</f>
        <v>CANOLA OIL</v>
      </c>
      <c r="F211" s="10">
        <f>IF(B211="","",IFERROR(INDEX(Client_List!$J:$J,MATCH(B211,Client_List!$B:$B,0)),""))</f>
        <v>350</v>
      </c>
      <c r="G211" s="10">
        <v>359</v>
      </c>
      <c r="H211" s="9">
        <f>IF(B211="","",IFERROR(A211-LOOKUP(2,1/($B$4:$B210=B211),$A$4:$A210),""))</f>
        <v>7</v>
      </c>
      <c r="I211" s="73">
        <f t="shared" si="3"/>
        <v>51.285714285714285</v>
      </c>
      <c r="J211" s="9">
        <v>141649</v>
      </c>
      <c r="K211" s="6">
        <f>IF(B211="","",IFERROR(AVERAGEIFS($I$4:$I211,$B$4:$B211,B211,$I$4:$I211,"&gt;"&amp;0),""))</f>
        <v>51.285714285714285</v>
      </c>
      <c r="L211" s="9" t="str">
        <f>IF(B211="","",IF(ISNA(MATCH(B211,Client_List!$B:$B,0)),"⚠ NOT FOUND","✓"))</f>
        <v>✓</v>
      </c>
    </row>
    <row r="212" spans="1:12" ht="14" customHeight="1" x14ac:dyDescent="0.2">
      <c r="A212" s="56">
        <v>46043</v>
      </c>
      <c r="B212" s="2" t="s">
        <v>182</v>
      </c>
      <c r="C212" s="3" t="str">
        <f>IF(B212="","",IFERROR(INDEX(Client_List!$C:$C,MATCH(B212,Client_List!$B:$B,0)),""))</f>
        <v>3</v>
      </c>
      <c r="D212" s="4" t="str">
        <f>IF(B212="","",IFERROR(INDEX(Client_List!$D:$D,MATCH(B212,Client_List!$B:$B,0)),""))</f>
        <v>3D</v>
      </c>
      <c r="E212" s="4" t="str">
        <f>IF(B212="","",IFERROR(INDEX(Client_List!$K:$K,MATCH(B212,Client_List!$B:$B,0)),""))</f>
        <v>CANOLA OIL</v>
      </c>
      <c r="F212" s="5">
        <f>IF(B212="","",IFERROR(INDEX(Client_List!$J:$J,MATCH(B212,Client_List!$B:$B,0)),""))</f>
        <v>1000</v>
      </c>
      <c r="G212" s="5">
        <v>654</v>
      </c>
      <c r="H212" s="4">
        <f>IF(B212="","",IFERROR(A212-LOOKUP(2,1/($B$4:$B211=B212),$A$4:$A211),""))</f>
        <v>14</v>
      </c>
      <c r="I212" s="72">
        <f t="shared" si="3"/>
        <v>46.714285714285715</v>
      </c>
      <c r="J212" s="4">
        <v>141647</v>
      </c>
      <c r="K212" s="6">
        <f>IF(B212="","",IFERROR(AVERAGEIFS($I$4:$I212,$B$4:$B212,B212,$I$4:$I212,"&gt;"&amp;0),""))</f>
        <v>46.714285714285715</v>
      </c>
      <c r="L212" s="4" t="str">
        <f>IF(B212="","",IF(ISNA(MATCH(B212,Client_List!$B:$B,0)),"⚠ NOT FOUND","✓"))</f>
        <v>✓</v>
      </c>
    </row>
    <row r="213" spans="1:12" ht="14" customHeight="1" x14ac:dyDescent="0.2">
      <c r="A213" s="57">
        <v>46043</v>
      </c>
      <c r="B213" s="7" t="s">
        <v>204</v>
      </c>
      <c r="C213" s="11" t="str">
        <f>IF(B213="","",IFERROR(INDEX(Client_List!$C:$C,MATCH(B213,Client_List!$B:$B,0)),""))</f>
        <v>5</v>
      </c>
      <c r="D213" s="9" t="str">
        <f>IF(B213="","",IFERROR(INDEX(Client_List!$D:$D,MATCH(B213,Client_List!$B:$B,0)),""))</f>
        <v>5E</v>
      </c>
      <c r="E213" s="9" t="str">
        <f>IF(B213="","",IFERROR(INDEX(Client_List!$K:$K,MATCH(B213,Client_List!$B:$B,0)),""))</f>
        <v>CANOLA OIL</v>
      </c>
      <c r="F213" s="10">
        <f>IF(B213="","",IFERROR(INDEX(Client_List!$J:$J,MATCH(B213,Client_List!$B:$B,0)),""))</f>
        <v>1800</v>
      </c>
      <c r="G213" s="10">
        <v>1438</v>
      </c>
      <c r="H213" s="9">
        <f>IF(B213="","",IFERROR(A213-LOOKUP(2,1/($B$4:$B212=B213),$A$4:$A212),""))</f>
        <v>7</v>
      </c>
      <c r="I213" s="73">
        <f t="shared" si="3"/>
        <v>205.42857142857142</v>
      </c>
      <c r="J213" s="9">
        <v>141651</v>
      </c>
      <c r="K213" s="6">
        <f>IF(B213="","",IFERROR(AVERAGEIFS($I$4:$I213,$B$4:$B213,B213,$I$4:$I213,"&gt;"&amp;0),""))</f>
        <v>162.42261904761904</v>
      </c>
      <c r="L213" s="9" t="str">
        <f>IF(B213="","",IF(ISNA(MATCH(B213,Client_List!$B:$B,0)),"⚠ NOT FOUND","✓"))</f>
        <v>✓</v>
      </c>
    </row>
    <row r="214" spans="1:12" ht="14" customHeight="1" x14ac:dyDescent="0.2">
      <c r="A214" s="56">
        <v>46043</v>
      </c>
      <c r="B214" s="2" t="s">
        <v>276</v>
      </c>
      <c r="C214" s="12" t="str">
        <f>IF(B214="","",IFERROR(INDEX(Client_List!$C:$C,MATCH(B214,Client_List!$B:$B,0)),""))</f>
        <v>3</v>
      </c>
      <c r="D214" s="4" t="str">
        <f>IF(B214="","",IFERROR(INDEX(Client_List!$D:$D,MATCH(B214,Client_List!$B:$B,0)),""))</f>
        <v>3D</v>
      </c>
      <c r="E214" s="4" t="str">
        <f>IF(B214="","",IFERROR(INDEX(Client_List!$K:$K,MATCH(B214,Client_List!$B:$B,0)),""))</f>
        <v>FRYERS CHOICE BLEND</v>
      </c>
      <c r="F214" s="5">
        <f>IF(B214="","",IFERROR(INDEX(Client_List!$J:$J,MATCH(B214,Client_List!$B:$B,0)),""))</f>
        <v>950</v>
      </c>
      <c r="G214" s="5">
        <v>593</v>
      </c>
      <c r="H214" s="4">
        <f>IF(B214="","",IFERROR(A214-LOOKUP(2,1/($B$4:$B213=B214),$A$4:$A213),""))</f>
        <v>7</v>
      </c>
      <c r="I214" s="72">
        <f t="shared" si="3"/>
        <v>84.714285714285708</v>
      </c>
      <c r="J214" s="4">
        <v>141648</v>
      </c>
      <c r="K214" s="6">
        <f>IF(B214="","",IFERROR(AVERAGEIFS($I$4:$I214,$B$4:$B214,B214,$I$4:$I214,"&gt;"&amp;0),""))</f>
        <v>92.412698412698404</v>
      </c>
      <c r="L214" s="4" t="str">
        <f>IF(B214="","",IF(ISNA(MATCH(B214,Client_List!$B:$B,0)),"⚠ NOT FOUND","✓"))</f>
        <v>✓</v>
      </c>
    </row>
    <row r="215" spans="1:12" ht="14" customHeight="1" x14ac:dyDescent="0.2">
      <c r="A215" s="57">
        <v>46043</v>
      </c>
      <c r="B215" s="7" t="s">
        <v>310</v>
      </c>
      <c r="C215" s="8" t="str">
        <f>IF(B215="","",IFERROR(INDEX(Client_List!$C:$C,MATCH(B215,Client_List!$B:$B,0)),""))</f>
        <v>3</v>
      </c>
      <c r="D215" s="9" t="str">
        <f>IF(B215="","",IFERROR(INDEX(Client_List!$D:$D,MATCH(B215,Client_List!$B:$B,0)),""))</f>
        <v>3D</v>
      </c>
      <c r="E215" s="9" t="str">
        <f>IF(B215="","",IFERROR(INDEX(Client_List!$K:$K,MATCH(B215,Client_List!$B:$B,0)),""))</f>
        <v>CANOLA OIL</v>
      </c>
      <c r="F215" s="10">
        <f>IF(B215="","",IFERROR(INDEX(Client_List!$J:$J,MATCH(B215,Client_List!$B:$B,0)),""))</f>
        <v>1050</v>
      </c>
      <c r="G215" s="10">
        <v>843</v>
      </c>
      <c r="H215" s="9" t="str">
        <f>IF(B215="","",IFERROR(A215-LOOKUP(2,1/($B$4:$B214=B215),$A$4:$A214),""))</f>
        <v/>
      </c>
      <c r="I215" s="73" t="str">
        <f t="shared" si="3"/>
        <v/>
      </c>
      <c r="J215" s="9">
        <v>141645</v>
      </c>
      <c r="K215" s="6" t="str">
        <f>IF(B215="","",IFERROR(AVERAGEIFS($I$4:$I215,$B$4:$B215,B215,$I$4:$I215,"&gt;"&amp;0),""))</f>
        <v/>
      </c>
      <c r="L215" s="9" t="str">
        <f>IF(B215="","",IF(ISNA(MATCH(B215,Client_List!$B:$B,0)),"⚠ NOT FOUND","✓"))</f>
        <v>✓</v>
      </c>
    </row>
    <row r="216" spans="1:12" ht="14" customHeight="1" x14ac:dyDescent="0.2">
      <c r="A216" s="56">
        <v>46043</v>
      </c>
      <c r="B216" s="2" t="s">
        <v>338</v>
      </c>
      <c r="C216" s="3" t="str">
        <f>IF(B216="","",IFERROR(INDEX(Client_List!$C:$C,MATCH(B216,Client_List!$B:$B,0)),""))</f>
        <v>4</v>
      </c>
      <c r="D216" s="4" t="str">
        <f>IF(B216="","",IFERROR(INDEX(Client_List!$D:$D,MATCH(B216,Client_List!$B:$B,0)),""))</f>
        <v>4D</v>
      </c>
      <c r="E216" s="4" t="str">
        <f>IF(B216="","",IFERROR(INDEX(Client_List!$K:$K,MATCH(B216,Client_List!$B:$B,0)),""))</f>
        <v>CANOLA OIL</v>
      </c>
      <c r="F216" s="5">
        <f>IF(B216="","",IFERROR(INDEX(Client_List!$J:$J,MATCH(B216,Client_List!$B:$B,0)),""))</f>
        <v>1050</v>
      </c>
      <c r="G216" s="5">
        <v>1014</v>
      </c>
      <c r="H216" s="4" t="str">
        <f>IF(B216="","",IFERROR(A216-LOOKUP(2,1/($B$4:$B215=B216),$A$4:$A215),""))</f>
        <v/>
      </c>
      <c r="I216" s="72" t="str">
        <f t="shared" si="3"/>
        <v/>
      </c>
      <c r="J216" s="4">
        <v>141623</v>
      </c>
      <c r="K216" s="6" t="str">
        <f>IF(B216="","",IFERROR(AVERAGEIFS($I$4:$I216,$B$4:$B216,B216,$I$4:$I216,"&gt;"&amp;0),""))</f>
        <v/>
      </c>
      <c r="L216" s="4" t="str">
        <f>IF(B216="","",IF(ISNA(MATCH(B216,Client_List!$B:$B,0)),"⚠ NOT FOUND","✓"))</f>
        <v>✓</v>
      </c>
    </row>
    <row r="217" spans="1:12" ht="14" customHeight="1" x14ac:dyDescent="0.2">
      <c r="A217" s="57">
        <v>46044</v>
      </c>
      <c r="B217" s="7" t="s">
        <v>38</v>
      </c>
      <c r="C217" s="3" t="str">
        <f>IF(B217="","",IFERROR(INDEX(Client_List!$C:$C,MATCH(B217,Client_List!$B:$B,0)),""))</f>
        <v>4</v>
      </c>
      <c r="D217" s="9" t="str">
        <f>IF(B217="","",IFERROR(INDEX(Client_List!$D:$D,MATCH(B217,Client_List!$B:$B,0)),""))</f>
        <v>4C</v>
      </c>
      <c r="E217" s="9" t="str">
        <f>IF(B217="","",IFERROR(INDEX(Client_List!$K:$K,MATCH(B217,Client_List!$B:$B,0)),""))</f>
        <v>CANOLA OIL</v>
      </c>
      <c r="F217" s="10">
        <f>IF(B217="","",IFERROR(INDEX(Client_List!$J:$J,MATCH(B217,Client_List!$B:$B,0)),""))</f>
        <v>900</v>
      </c>
      <c r="G217" s="10">
        <v>783</v>
      </c>
      <c r="H217" s="9">
        <f>IF(B217="","",IFERROR(A217-LOOKUP(2,1/($B$4:$B216=B217),$A$4:$A216),""))</f>
        <v>15</v>
      </c>
      <c r="I217" s="73">
        <f t="shared" si="3"/>
        <v>52.2</v>
      </c>
      <c r="J217" s="9">
        <v>141710</v>
      </c>
      <c r="K217" s="6">
        <f>IF(B217="","",IFERROR(AVERAGEIFS($I$4:$I217,$B$4:$B217,B217,$I$4:$I217,"&gt;"&amp;0),""))</f>
        <v>52.2</v>
      </c>
      <c r="L217" s="9" t="str">
        <f>IF(B217="","",IF(ISNA(MATCH(B217,Client_List!$B:$B,0)),"⚠ NOT FOUND","✓"))</f>
        <v>✓</v>
      </c>
    </row>
    <row r="218" spans="1:12" ht="14" customHeight="1" x14ac:dyDescent="0.2">
      <c r="A218" s="56">
        <v>46044</v>
      </c>
      <c r="B218" s="2" t="s">
        <v>43</v>
      </c>
      <c r="C218" s="8" t="str">
        <f>IF(B218="","",IFERROR(INDEX(Client_List!$C:$C,MATCH(B218,Client_List!$B:$B,0)),""))</f>
        <v>1</v>
      </c>
      <c r="D218" s="4" t="str">
        <f>IF(B218="","",IFERROR(INDEX(Client_List!$D:$D,MATCH(B218,Client_List!$B:$B,0)),""))</f>
        <v>1C</v>
      </c>
      <c r="E218" s="4" t="str">
        <f>IF(B218="","",IFERROR(INDEX(Client_List!$K:$K,MATCH(B218,Client_List!$B:$B,0)),""))</f>
        <v>FRYERS CHOICE BLEND</v>
      </c>
      <c r="F218" s="5">
        <f>IF(B218="","",IFERROR(INDEX(Client_List!$J:$J,MATCH(B218,Client_List!$B:$B,0)),""))</f>
        <v>620</v>
      </c>
      <c r="G218" s="5">
        <v>711</v>
      </c>
      <c r="H218" s="4">
        <f>IF(B218="","",IFERROR(A218-LOOKUP(2,1/($B$4:$B217=B218),$A$4:$A217),""))</f>
        <v>16</v>
      </c>
      <c r="I218" s="72">
        <f t="shared" si="3"/>
        <v>44.4375</v>
      </c>
      <c r="J218" s="4">
        <v>141727</v>
      </c>
      <c r="K218" s="6">
        <f>IF(B218="","",IFERROR(AVERAGEIFS($I$4:$I218,$B$4:$B218,B218,$I$4:$I218,"&gt;"&amp;0),""))</f>
        <v>44.4375</v>
      </c>
      <c r="L218" s="4" t="str">
        <f>IF(B218="","",IF(ISNA(MATCH(B218,Client_List!$B:$B,0)),"⚠ NOT FOUND","✓"))</f>
        <v>✓</v>
      </c>
    </row>
    <row r="219" spans="1:12" ht="14" customHeight="1" x14ac:dyDescent="0.2">
      <c r="A219" s="57">
        <v>46044</v>
      </c>
      <c r="B219" s="7" t="s">
        <v>63</v>
      </c>
      <c r="C219" s="13" t="str">
        <f>IF(B219="","",IFERROR(INDEX(Client_List!$C:$C,MATCH(B219,Client_List!$B:$B,0)),""))</f>
        <v>5</v>
      </c>
      <c r="D219" s="9" t="str">
        <f>IF(B219="","",IFERROR(INDEX(Client_List!$D:$D,MATCH(B219,Client_List!$B:$B,0)),""))</f>
        <v>5D</v>
      </c>
      <c r="E219" s="9" t="str">
        <f>IF(B219="","",IFERROR(INDEX(Client_List!$K:$K,MATCH(B219,Client_List!$B:$B,0)),""))</f>
        <v>CANOLA OIL</v>
      </c>
      <c r="F219" s="10">
        <f>IF(B219="","",IFERROR(INDEX(Client_List!$J:$J,MATCH(B219,Client_List!$B:$B,0)),""))</f>
        <v>425</v>
      </c>
      <c r="G219" s="10">
        <v>249</v>
      </c>
      <c r="H219" s="9">
        <f>IF(B219="","",IFERROR(A219-LOOKUP(2,1/($B$4:$B218=B219),$A$4:$A218),""))</f>
        <v>7</v>
      </c>
      <c r="I219" s="73">
        <f t="shared" si="3"/>
        <v>35.571428571428569</v>
      </c>
      <c r="J219" s="9">
        <v>141716</v>
      </c>
      <c r="K219" s="6">
        <f>IF(B219="","",IFERROR(AVERAGEIFS($I$4:$I219,$B$4:$B219,B219,$I$4:$I219,"&gt;"&amp;0),""))</f>
        <v>33.38214285714286</v>
      </c>
      <c r="L219" s="9" t="str">
        <f>IF(B219="","",IF(ISNA(MATCH(B219,Client_List!$B:$B,0)),"⚠ NOT FOUND","✓"))</f>
        <v>✓</v>
      </c>
    </row>
    <row r="220" spans="1:12" ht="14" customHeight="1" x14ac:dyDescent="0.2">
      <c r="A220" s="56">
        <v>46044</v>
      </c>
      <c r="B220" s="2" t="s">
        <v>365</v>
      </c>
      <c r="C220" s="3">
        <f>IF(B220="","",IFERROR(INDEX(Client_List!$C:$C,MATCH(B220,Client_List!$B:$B,0)),""))</f>
        <v>0</v>
      </c>
      <c r="D220" s="4">
        <f>IF(B220="","",IFERROR(INDEX(Client_List!$D:$D,MATCH(B220,Client_List!$B:$B,0)),""))</f>
        <v>0</v>
      </c>
      <c r="E220" s="4" t="str">
        <f>IF(B220="","",IFERROR(INDEX(Client_List!$K:$K,MATCH(B220,Client_List!$B:$B,0)),""))</f>
        <v>CANOLA OIL</v>
      </c>
      <c r="F220" s="5">
        <f>IF(B220="","",IFERROR(INDEX(Client_List!$J:$J,MATCH(B220,Client_List!$B:$B,0)),""))</f>
        <v>700</v>
      </c>
      <c r="G220" s="5">
        <v>298</v>
      </c>
      <c r="H220" s="4">
        <f>IF(B220="","",IFERROR(A220-LOOKUP(2,1/($B$4:$B219=B220),$A$4:$A219),""))</f>
        <v>6</v>
      </c>
      <c r="I220" s="72">
        <f t="shared" si="3"/>
        <v>49.666666666666664</v>
      </c>
      <c r="J220" s="4">
        <v>141724</v>
      </c>
      <c r="K220" s="6">
        <f>IF(B220="","",IFERROR(AVERAGEIFS($I$4:$I220,$B$4:$B220,B220,$I$4:$I220,"&gt;"&amp;0),""))</f>
        <v>53.253968253968253</v>
      </c>
      <c r="L220" s="4" t="str">
        <f>IF(B220="","",IF(ISNA(MATCH(B220,Client_List!$B:$B,0)),"⚠ NOT FOUND","✓"))</f>
        <v>✓</v>
      </c>
    </row>
    <row r="221" spans="1:12" ht="14" customHeight="1" x14ac:dyDescent="0.2">
      <c r="A221" s="57">
        <v>46044</v>
      </c>
      <c r="B221" s="7" t="s">
        <v>77</v>
      </c>
      <c r="C221" s="3" t="str">
        <f>IF(B221="","",IFERROR(INDEX(Client_List!$C:$C,MATCH(B221,Client_List!$B:$B,0)),""))</f>
        <v>1</v>
      </c>
      <c r="D221" s="9" t="str">
        <f>IF(B221="","",IFERROR(INDEX(Client_List!$D:$D,MATCH(B221,Client_List!$B:$B,0)),""))</f>
        <v>1D</v>
      </c>
      <c r="E221" s="9" t="str">
        <f>IF(B221="","",IFERROR(INDEX(Client_List!$K:$K,MATCH(B221,Client_List!$B:$B,0)),""))</f>
        <v>CANOLA OIL</v>
      </c>
      <c r="F221" s="10">
        <f>IF(B221="","",IFERROR(INDEX(Client_List!$J:$J,MATCH(B221,Client_List!$B:$B,0)),""))</f>
        <v>620</v>
      </c>
      <c r="G221" s="10">
        <v>251</v>
      </c>
      <c r="H221" s="9">
        <f>IF(B221="","",IFERROR(A221-LOOKUP(2,1/($B$4:$B220=B221),$A$4:$A220),""))</f>
        <v>6</v>
      </c>
      <c r="I221" s="73">
        <f t="shared" si="3"/>
        <v>41.833333333333336</v>
      </c>
      <c r="J221" s="9">
        <v>141728</v>
      </c>
      <c r="K221" s="6">
        <f>IF(B221="","",IFERROR(AVERAGEIFS($I$4:$I221,$B$4:$B221,B221,$I$4:$I221,"&gt;"&amp;0),""))</f>
        <v>51.166666666666671</v>
      </c>
      <c r="L221" s="9" t="str">
        <f>IF(B221="","",IF(ISNA(MATCH(B221,Client_List!$B:$B,0)),"⚠ NOT FOUND","✓"))</f>
        <v>✓</v>
      </c>
    </row>
    <row r="222" spans="1:12" ht="14" customHeight="1" x14ac:dyDescent="0.2">
      <c r="A222" s="56">
        <v>46044</v>
      </c>
      <c r="B222" s="2" t="s">
        <v>366</v>
      </c>
      <c r="C222" s="3" t="str">
        <f>IF(B222="","",IFERROR(INDEX(Client_List!$C:$C,MATCH(B222,Client_List!$B:$B,0)),""))</f>
        <v>2</v>
      </c>
      <c r="D222" s="4" t="str">
        <f>IF(B222="","",IFERROR(INDEX(Client_List!$D:$D,MATCH(B222,Client_List!$B:$B,0)),""))</f>
        <v>2C</v>
      </c>
      <c r="E222" s="4" t="str">
        <f>IF(B222="","",IFERROR(INDEX(Client_List!$K:$K,MATCH(B222,Client_List!$B:$B,0)),""))</f>
        <v>CANOLA OIL</v>
      </c>
      <c r="F222" s="5">
        <f>IF(B222="","",IFERROR(INDEX(Client_List!$J:$J,MATCH(B222,Client_List!$B:$B,0)),""))</f>
        <v>350</v>
      </c>
      <c r="G222" s="5">
        <v>329</v>
      </c>
      <c r="H222" s="4">
        <f>IF(B222="","",IFERROR(A222-LOOKUP(2,1/($B$4:$B221=B222),$A$4:$A221),""))</f>
        <v>19</v>
      </c>
      <c r="I222" s="72">
        <f t="shared" si="3"/>
        <v>17.315789473684209</v>
      </c>
      <c r="J222" s="4">
        <v>141726</v>
      </c>
      <c r="K222" s="6">
        <f>IF(B222="","",IFERROR(AVERAGEIFS($I$4:$I222,$B$4:$B222,B222,$I$4:$I222,"&gt;"&amp;0),""))</f>
        <v>17.315789473684209</v>
      </c>
      <c r="L222" s="4" t="str">
        <f>IF(B222="","",IF(ISNA(MATCH(B222,Client_List!$B:$B,0)),"⚠ NOT FOUND","✓"))</f>
        <v>✓</v>
      </c>
    </row>
    <row r="223" spans="1:12" ht="14" customHeight="1" x14ac:dyDescent="0.2">
      <c r="A223" s="57">
        <v>46044</v>
      </c>
      <c r="B223" s="7" t="s">
        <v>98</v>
      </c>
      <c r="C223" s="8" t="str">
        <f>IF(B223="","",IFERROR(INDEX(Client_List!$C:$C,MATCH(B223,Client_List!$B:$B,0)),""))</f>
        <v>4</v>
      </c>
      <c r="D223" s="9" t="str">
        <f>IF(B223="","",IFERROR(INDEX(Client_List!$D:$D,MATCH(B223,Client_List!$B:$B,0)),""))</f>
        <v>4D</v>
      </c>
      <c r="E223" s="9" t="str">
        <f>IF(B223="","",IFERROR(INDEX(Client_List!$K:$K,MATCH(B223,Client_List!$B:$B,0)),""))</f>
        <v>CANOLA OIL</v>
      </c>
      <c r="F223" s="10">
        <f>IF(B223="","",IFERROR(INDEX(Client_List!$J:$J,MATCH(B223,Client_List!$B:$B,0)),""))</f>
        <v>350</v>
      </c>
      <c r="G223" s="10">
        <v>382</v>
      </c>
      <c r="H223" s="9" t="str">
        <f>IF(B223="","",IFERROR(A223-LOOKUP(2,1/($B$4:$B222=B223),$A$4:$A222),""))</f>
        <v/>
      </c>
      <c r="I223" s="73" t="str">
        <f t="shared" si="3"/>
        <v/>
      </c>
      <c r="J223" s="9">
        <v>141713</v>
      </c>
      <c r="K223" s="6" t="str">
        <f>IF(B223="","",IFERROR(AVERAGEIFS($I$4:$I223,$B$4:$B223,B223,$I$4:$I223,"&gt;"&amp;0),""))</f>
        <v/>
      </c>
      <c r="L223" s="9" t="str">
        <f>IF(B223="","",IF(ISNA(MATCH(B223,Client_List!$B:$B,0)),"⚠ NOT FOUND","✓"))</f>
        <v>✓</v>
      </c>
    </row>
    <row r="224" spans="1:12" ht="14" customHeight="1" x14ac:dyDescent="0.2">
      <c r="A224" s="56">
        <v>46044</v>
      </c>
      <c r="B224" s="2" t="s">
        <v>106</v>
      </c>
      <c r="C224" s="3" t="str">
        <f>IF(B224="","",IFERROR(INDEX(Client_List!$C:$C,MATCH(B224,Client_List!$B:$B,0)),""))</f>
        <v>4</v>
      </c>
      <c r="D224" s="4" t="str">
        <f>IF(B224="","",IFERROR(INDEX(Client_List!$D:$D,MATCH(B224,Client_List!$B:$B,0)),""))</f>
        <v>4E</v>
      </c>
      <c r="E224" s="4" t="str">
        <f>IF(B224="","",IFERROR(INDEX(Client_List!$K:$K,MATCH(B224,Client_List!$B:$B,0)),""))</f>
        <v>CANOLA OIL</v>
      </c>
      <c r="F224" s="5">
        <f>IF(B224="","",IFERROR(INDEX(Client_List!$J:$J,MATCH(B224,Client_List!$B:$B,0)),""))</f>
        <v>350</v>
      </c>
      <c r="G224" s="5">
        <v>142</v>
      </c>
      <c r="H224" s="4">
        <f>IF(B224="","",IFERROR(A224-LOOKUP(2,1/($B$4:$B223=B224),$A$4:$A223),""))</f>
        <v>20</v>
      </c>
      <c r="I224" s="72">
        <f t="shared" si="3"/>
        <v>7.1</v>
      </c>
      <c r="J224" s="4">
        <v>141715</v>
      </c>
      <c r="K224" s="6">
        <f>IF(B224="","",IFERROR(AVERAGEIFS($I$4:$I224,$B$4:$B224,B224,$I$4:$I224,"&gt;"&amp;0),""))</f>
        <v>7.1</v>
      </c>
      <c r="L224" s="4" t="str">
        <f>IF(B224="","",IF(ISNA(MATCH(B224,Client_List!$B:$B,0)),"⚠ NOT FOUND","✓"))</f>
        <v>✓</v>
      </c>
    </row>
    <row r="225" spans="1:12" ht="14" customHeight="1" x14ac:dyDescent="0.2">
      <c r="A225" s="57">
        <v>46044</v>
      </c>
      <c r="B225" s="7" t="s">
        <v>148</v>
      </c>
      <c r="C225" s="3" t="str">
        <f>IF(B225="","",IFERROR(INDEX(Client_List!$C:$C,MATCH(B225,Client_List!$B:$B,0)),""))</f>
        <v>4</v>
      </c>
      <c r="D225" s="9" t="str">
        <f>IF(B225="","",IFERROR(INDEX(Client_List!$D:$D,MATCH(B225,Client_List!$B:$B,0)),""))</f>
        <v>4B</v>
      </c>
      <c r="E225" s="9" t="str">
        <f>IF(B225="","",IFERROR(INDEX(Client_List!$K:$K,MATCH(B225,Client_List!$B:$B,0)),""))</f>
        <v>FRYERS CHOICE BLEND</v>
      </c>
      <c r="F225" s="10">
        <f>IF(B225="","",IFERROR(INDEX(Client_List!$J:$J,MATCH(B225,Client_List!$B:$B,0)),""))</f>
        <v>950</v>
      </c>
      <c r="G225" s="10">
        <v>777</v>
      </c>
      <c r="H225" s="9">
        <f>IF(B225="","",IFERROR(A225-LOOKUP(2,1/($B$4:$B224=B225),$A$4:$A224),""))</f>
        <v>9</v>
      </c>
      <c r="I225" s="73">
        <f t="shared" si="3"/>
        <v>86.333333333333329</v>
      </c>
      <c r="J225" s="9">
        <v>141709</v>
      </c>
      <c r="K225" s="6">
        <f>IF(B225="","",IFERROR(AVERAGEIFS($I$4:$I225,$B$4:$B225,B225,$I$4:$I225,"&gt;"&amp;0),""))</f>
        <v>84.575757575757564</v>
      </c>
      <c r="L225" s="9" t="str">
        <f>IF(B225="","",IF(ISNA(MATCH(B225,Client_List!$B:$B,0)),"⚠ NOT FOUND","✓"))</f>
        <v>✓</v>
      </c>
    </row>
    <row r="226" spans="1:12" ht="14" customHeight="1" x14ac:dyDescent="0.2">
      <c r="A226" s="56">
        <v>46044</v>
      </c>
      <c r="B226" s="2" t="s">
        <v>188</v>
      </c>
      <c r="C226" s="13" t="str">
        <f>IF(B226="","",IFERROR(INDEX(Client_List!$C:$C,MATCH(B226,Client_List!$B:$B,0)),""))</f>
        <v>4</v>
      </c>
      <c r="D226" s="4" t="str">
        <f>IF(B226="","",IFERROR(INDEX(Client_List!$D:$D,MATCH(B226,Client_List!$B:$B,0)),""))</f>
        <v>4C</v>
      </c>
      <c r="E226" s="4" t="str">
        <f>IF(B226="","",IFERROR(INDEX(Client_List!$K:$K,MATCH(B226,Client_List!$B:$B,0)),""))</f>
        <v>CANOLA OIL</v>
      </c>
      <c r="F226" s="5">
        <f>IF(B226="","",IFERROR(INDEX(Client_List!$J:$J,MATCH(B226,Client_List!$B:$B,0)),""))</f>
        <v>900</v>
      </c>
      <c r="G226" s="5">
        <v>704</v>
      </c>
      <c r="H226" s="4">
        <f>IF(B226="","",IFERROR(A226-LOOKUP(2,1/($B$4:$B225=B226),$A$4:$A225),""))</f>
        <v>14</v>
      </c>
      <c r="I226" s="72">
        <f t="shared" si="3"/>
        <v>50.285714285714285</v>
      </c>
      <c r="J226" s="4">
        <v>141712</v>
      </c>
      <c r="K226" s="6">
        <f>IF(B226="","",IFERROR(AVERAGEIFS($I$4:$I226,$B$4:$B226,B226,$I$4:$I226,"&gt;"&amp;0),""))</f>
        <v>50.285714285714285</v>
      </c>
      <c r="L226" s="4" t="str">
        <f>IF(B226="","",IF(ISNA(MATCH(B226,Client_List!$B:$B,0)),"⚠ NOT FOUND","✓"))</f>
        <v>✓</v>
      </c>
    </row>
    <row r="227" spans="1:12" ht="14" customHeight="1" x14ac:dyDescent="0.2">
      <c r="A227" s="57">
        <v>46044</v>
      </c>
      <c r="B227" s="7" t="s">
        <v>198</v>
      </c>
      <c r="C227" s="3" t="str">
        <f>IF(B227="","",IFERROR(INDEX(Client_List!$C:$C,MATCH(B227,Client_List!$B:$B,0)),""))</f>
        <v>1</v>
      </c>
      <c r="D227" s="9" t="str">
        <f>IF(B227="","",IFERROR(INDEX(Client_List!$D:$D,MATCH(B227,Client_List!$B:$B,0)),""))</f>
        <v>1E</v>
      </c>
      <c r="E227" s="9" t="str">
        <f>IF(B227="","",IFERROR(INDEX(Client_List!$K:$K,MATCH(B227,Client_List!$B:$B,0)),""))</f>
        <v>CANOLA OIL</v>
      </c>
      <c r="F227" s="10">
        <f>IF(B227="","",IFERROR(INDEX(Client_List!$J:$J,MATCH(B227,Client_List!$B:$B,0)),""))</f>
        <v>1050</v>
      </c>
      <c r="G227" s="10">
        <v>928</v>
      </c>
      <c r="H227" s="9" t="str">
        <f>IF(B227="","",IFERROR(A227-LOOKUP(2,1/($B$4:$B226=B227),$A$4:$A226),""))</f>
        <v/>
      </c>
      <c r="I227" s="73" t="str">
        <f t="shared" si="3"/>
        <v/>
      </c>
      <c r="J227" s="9">
        <v>141729</v>
      </c>
      <c r="K227" s="6" t="str">
        <f>IF(B227="","",IFERROR(AVERAGEIFS($I$4:$I227,$B$4:$B227,B227,$I$4:$I227,"&gt;"&amp;0),""))</f>
        <v/>
      </c>
      <c r="L227" s="9" t="str">
        <f>IF(B227="","",IF(ISNA(MATCH(B227,Client_List!$B:$B,0)),"⚠ NOT FOUND","✓"))</f>
        <v>✓</v>
      </c>
    </row>
    <row r="228" spans="1:12" ht="14" customHeight="1" x14ac:dyDescent="0.2">
      <c r="A228" s="56">
        <v>46044</v>
      </c>
      <c r="B228" s="2" t="s">
        <v>202</v>
      </c>
      <c r="C228" s="3" t="str">
        <f>IF(B228="","",IFERROR(INDEX(Client_List!$C:$C,MATCH(B228,Client_List!$B:$B,0)),""))</f>
        <v>4</v>
      </c>
      <c r="D228" s="4" t="str">
        <f>IF(B228="","",IFERROR(INDEX(Client_List!$D:$D,MATCH(B228,Client_List!$B:$B,0)),""))</f>
        <v>4D</v>
      </c>
      <c r="E228" s="4" t="str">
        <f>IF(B228="","",IFERROR(INDEX(Client_List!$K:$K,MATCH(B228,Client_List!$B:$B,0)),""))</f>
        <v>CANOLA OIL</v>
      </c>
      <c r="F228" s="5">
        <f>IF(B228="","",IFERROR(INDEX(Client_List!$J:$J,MATCH(B228,Client_List!$B:$B,0)),""))</f>
        <v>1050</v>
      </c>
      <c r="G228" s="5">
        <v>1038</v>
      </c>
      <c r="H228" s="4">
        <f>IF(B228="","",IFERROR(A228-LOOKUP(2,1/($B$4:$B227=B228),$A$4:$A227),""))</f>
        <v>15</v>
      </c>
      <c r="I228" s="72">
        <f t="shared" si="3"/>
        <v>69.2</v>
      </c>
      <c r="J228" s="4">
        <v>141708</v>
      </c>
      <c r="K228" s="6">
        <f>IF(B228="","",IFERROR(AVERAGEIFS($I$4:$I228,$B$4:$B228,B228,$I$4:$I228,"&gt;"&amp;0),""))</f>
        <v>69.2</v>
      </c>
      <c r="L228" s="4" t="str">
        <f>IF(B228="","",IF(ISNA(MATCH(B228,Client_List!$B:$B,0)),"⚠ NOT FOUND","✓"))</f>
        <v>✓</v>
      </c>
    </row>
    <row r="229" spans="1:12" ht="14" customHeight="1" x14ac:dyDescent="0.2">
      <c r="A229" s="57">
        <v>46044</v>
      </c>
      <c r="B229" s="7" t="s">
        <v>210</v>
      </c>
      <c r="C229" s="3" t="str">
        <f>IF(B229="","",IFERROR(INDEX(Client_List!$C:$C,MATCH(B229,Client_List!$B:$B,0)),""))</f>
        <v>4</v>
      </c>
      <c r="D229" s="9" t="str">
        <f>IF(B229="","",IFERROR(INDEX(Client_List!$D:$D,MATCH(B229,Client_List!$B:$B,0)),""))</f>
        <v>4C</v>
      </c>
      <c r="E229" s="9" t="str">
        <f>IF(B229="","",IFERROR(INDEX(Client_List!$K:$K,MATCH(B229,Client_List!$B:$B,0)),""))</f>
        <v>CANOLA OIL</v>
      </c>
      <c r="F229" s="10">
        <f>IF(B229="","",IFERROR(INDEX(Client_List!$J:$J,MATCH(B229,Client_List!$B:$B,0)),""))</f>
        <v>630</v>
      </c>
      <c r="G229" s="10">
        <v>444</v>
      </c>
      <c r="H229" s="9" t="str">
        <f>IF(B229="","",IFERROR(A229-LOOKUP(2,1/($B$4:$B228=B229),$A$4:$A228),""))</f>
        <v/>
      </c>
      <c r="I229" s="73" t="str">
        <f t="shared" si="3"/>
        <v/>
      </c>
      <c r="J229" s="9">
        <v>141711</v>
      </c>
      <c r="K229" s="6" t="str">
        <f>IF(B229="","",IFERROR(AVERAGEIFS($I$4:$I229,$B$4:$B229,B229,$I$4:$I229,"&gt;"&amp;0),""))</f>
        <v/>
      </c>
      <c r="L229" s="9" t="str">
        <f>IF(B229="","",IF(ISNA(MATCH(B229,Client_List!$B:$B,0)),"⚠ NOT FOUND","✓"))</f>
        <v>✓</v>
      </c>
    </row>
    <row r="230" spans="1:12" ht="14" customHeight="1" x14ac:dyDescent="0.2">
      <c r="A230" s="56">
        <v>46044</v>
      </c>
      <c r="B230" s="2" t="s">
        <v>218</v>
      </c>
      <c r="C230" s="8" t="str">
        <f>IF(B230="","",IFERROR(INDEX(Client_List!$C:$C,MATCH(B230,Client_List!$B:$B,0)),""))</f>
        <v>4</v>
      </c>
      <c r="D230" s="4" t="str">
        <f>IF(B230="","",IFERROR(INDEX(Client_List!$D:$D,MATCH(B230,Client_List!$B:$B,0)),""))</f>
        <v>4C</v>
      </c>
      <c r="E230" s="4" t="str">
        <f>IF(B230="","",IFERROR(INDEX(Client_List!$K:$K,MATCH(B230,Client_List!$B:$B,0)),""))</f>
        <v>CANOLA OIL</v>
      </c>
      <c r="F230" s="5">
        <f>IF(B230="","",IFERROR(INDEX(Client_List!$J:$J,MATCH(B230,Client_List!$B:$B,0)),""))</f>
        <v>630</v>
      </c>
      <c r="G230" s="5">
        <v>479</v>
      </c>
      <c r="H230" s="4" t="str">
        <f>IF(B230="","",IFERROR(A230-LOOKUP(2,1/($B$4:$B229=B230),$A$4:$A229),""))</f>
        <v/>
      </c>
      <c r="I230" s="72" t="str">
        <f t="shared" si="3"/>
        <v/>
      </c>
      <c r="J230" s="4">
        <v>141706</v>
      </c>
      <c r="K230" s="6" t="str">
        <f>IF(B230="","",IFERROR(AVERAGEIFS($I$4:$I230,$B$4:$B230,B230,$I$4:$I230,"&gt;"&amp;0),""))</f>
        <v/>
      </c>
      <c r="L230" s="4" t="str">
        <f>IF(B230="","",IF(ISNA(MATCH(B230,Client_List!$B:$B,0)),"⚠ NOT FOUND","✓"))</f>
        <v>✓</v>
      </c>
    </row>
    <row r="231" spans="1:12" ht="14" customHeight="1" x14ac:dyDescent="0.2">
      <c r="A231" s="57">
        <v>46044</v>
      </c>
      <c r="B231" s="7" t="s">
        <v>280</v>
      </c>
      <c r="C231" s="8" t="str">
        <f>IF(B231="","",IFERROR(INDEX(Client_List!$C:$C,MATCH(B231,Client_List!$B:$B,0)),""))</f>
        <v>5</v>
      </c>
      <c r="D231" s="9" t="str">
        <f>IF(B231="","",IFERROR(INDEX(Client_List!$D:$D,MATCH(B231,Client_List!$B:$B,0)),""))</f>
        <v>5E</v>
      </c>
      <c r="E231" s="9" t="str">
        <f>IF(B231="","",IFERROR(INDEX(Client_List!$K:$K,MATCH(B231,Client_List!$B:$B,0)),""))</f>
        <v>CANOLA OIL</v>
      </c>
      <c r="F231" s="10">
        <f>IF(B231="","",IFERROR(INDEX(Client_List!$J:$J,MATCH(B231,Client_List!$B:$B,0)),""))</f>
        <v>1050</v>
      </c>
      <c r="G231" s="10">
        <v>1107</v>
      </c>
      <c r="H231" s="9">
        <f>IF(B231="","",IFERROR(A231-LOOKUP(2,1/($B$4:$B230=B231),$A$4:$A230),""))</f>
        <v>17</v>
      </c>
      <c r="I231" s="73">
        <f t="shared" si="3"/>
        <v>65.117647058823536</v>
      </c>
      <c r="J231" s="9">
        <v>141707</v>
      </c>
      <c r="K231" s="6">
        <f>IF(B231="","",IFERROR(AVERAGEIFS($I$4:$I231,$B$4:$B231,B231,$I$4:$I231,"&gt;"&amp;0),""))</f>
        <v>65.117647058823536</v>
      </c>
      <c r="L231" s="9" t="str">
        <f>IF(B231="","",IF(ISNA(MATCH(B231,Client_List!$B:$B,0)),"⚠ NOT FOUND","✓"))</f>
        <v>✓</v>
      </c>
    </row>
    <row r="232" spans="1:12" ht="14" customHeight="1" x14ac:dyDescent="0.2">
      <c r="A232" s="56">
        <v>46044</v>
      </c>
      <c r="B232" s="2" t="s">
        <v>284</v>
      </c>
      <c r="C232" s="8" t="str">
        <f>IF(B232="","",IFERROR(INDEX(Client_List!$C:$C,MATCH(B232,Client_List!$B:$B,0)),""))</f>
        <v>2</v>
      </c>
      <c r="D232" s="4" t="str">
        <f>IF(B232="","",IFERROR(INDEX(Client_List!$D:$D,MATCH(B232,Client_List!$B:$B,0)),""))</f>
        <v>2C</v>
      </c>
      <c r="E232" s="4" t="str">
        <f>IF(B232="","",IFERROR(INDEX(Client_List!$K:$K,MATCH(B232,Client_List!$B:$B,0)),""))</f>
        <v>CANOLA OIL</v>
      </c>
      <c r="F232" s="5">
        <f>IF(B232="","",IFERROR(INDEX(Client_List!$J:$J,MATCH(B232,Client_List!$B:$B,0)),""))</f>
        <v>620</v>
      </c>
      <c r="G232" s="5">
        <v>482</v>
      </c>
      <c r="H232" s="4">
        <f>IF(B232="","",IFERROR(A232-LOOKUP(2,1/($B$4:$B231=B232),$A$4:$A231),""))</f>
        <v>14</v>
      </c>
      <c r="I232" s="72">
        <f t="shared" si="3"/>
        <v>34.428571428571431</v>
      </c>
      <c r="J232" s="4">
        <v>141725</v>
      </c>
      <c r="K232" s="6">
        <f>IF(B232="","",IFERROR(AVERAGEIFS($I$4:$I232,$B$4:$B232,B232,$I$4:$I232,"&gt;"&amp;0),""))</f>
        <v>34.428571428571431</v>
      </c>
      <c r="L232" s="4" t="str">
        <f>IF(B232="","",IF(ISNA(MATCH(B232,Client_List!$B:$B,0)),"⚠ NOT FOUND","✓"))</f>
        <v>✓</v>
      </c>
    </row>
    <row r="233" spans="1:12" ht="14" customHeight="1" x14ac:dyDescent="0.2">
      <c r="A233" s="57">
        <v>46044</v>
      </c>
      <c r="B233" s="7" t="s">
        <v>290</v>
      </c>
      <c r="C233" s="12" t="str">
        <f>IF(B233="","",IFERROR(INDEX(Client_List!$C:$C,MATCH(B233,Client_List!$B:$B,0)),""))</f>
        <v>3</v>
      </c>
      <c r="D233" s="9" t="str">
        <f>IF(B233="","",IFERROR(INDEX(Client_List!$D:$D,MATCH(B233,Client_List!$B:$B,0)),""))</f>
        <v>3D</v>
      </c>
      <c r="E233" s="9" t="str">
        <f>IF(B233="","",IFERROR(INDEX(Client_List!$K:$K,MATCH(B233,Client_List!$B:$B,0)),""))</f>
        <v>CANOLA OIL</v>
      </c>
      <c r="F233" s="10">
        <f>IF(B233="","",IFERROR(INDEX(Client_List!$J:$J,MATCH(B233,Client_List!$B:$B,0)),""))</f>
        <v>350</v>
      </c>
      <c r="G233" s="10">
        <v>299</v>
      </c>
      <c r="H233" s="9" t="str">
        <f>IF(B233="","",IFERROR(A233-LOOKUP(2,1/($B$4:$B232=B233),$A$4:$A232),""))</f>
        <v/>
      </c>
      <c r="I233" s="73" t="str">
        <f t="shared" si="3"/>
        <v/>
      </c>
      <c r="J233" s="9">
        <v>141722</v>
      </c>
      <c r="K233" s="6" t="str">
        <f>IF(B233="","",IFERROR(AVERAGEIFS($I$4:$I233,$B$4:$B233,B233,$I$4:$I233,"&gt;"&amp;0),""))</f>
        <v/>
      </c>
      <c r="L233" s="9" t="str">
        <f>IF(B233="","",IF(ISNA(MATCH(B233,Client_List!$B:$B,0)),"⚠ NOT FOUND","✓"))</f>
        <v>✓</v>
      </c>
    </row>
    <row r="234" spans="1:12" ht="14" customHeight="1" x14ac:dyDescent="0.2">
      <c r="A234" s="56">
        <v>46045</v>
      </c>
      <c r="B234" s="2" t="s">
        <v>73</v>
      </c>
      <c r="C234" s="8" t="str">
        <f>IF(B234="","",IFERROR(INDEX(Client_List!$C:$C,MATCH(B234,Client_List!$B:$B,0)),""))</f>
        <v>4</v>
      </c>
      <c r="D234" s="4" t="str">
        <f>IF(B234="","",IFERROR(INDEX(Client_List!$D:$D,MATCH(B234,Client_List!$B:$B,0)),""))</f>
        <v>4D</v>
      </c>
      <c r="E234" s="4" t="str">
        <f>IF(B234="","",IFERROR(INDEX(Client_List!$K:$K,MATCH(B234,Client_List!$B:$B,0)),""))</f>
        <v>CANOLA OIL</v>
      </c>
      <c r="F234" s="5">
        <f>IF(B234="","",IFERROR(INDEX(Client_List!$J:$J,MATCH(B234,Client_List!$B:$B,0)),""))</f>
        <v>620</v>
      </c>
      <c r="G234" s="5">
        <v>482</v>
      </c>
      <c r="H234" s="4">
        <f>IF(B234="","",IFERROR(A234-LOOKUP(2,1/($B$4:$B233=B234),$A$4:$A233),""))</f>
        <v>9</v>
      </c>
      <c r="I234" s="72">
        <f t="shared" si="3"/>
        <v>53.555555555555557</v>
      </c>
      <c r="J234" s="4">
        <v>141762</v>
      </c>
      <c r="K234" s="6">
        <f>IF(B234="","",IFERROR(AVERAGEIFS($I$4:$I234,$B$4:$B234,B234,$I$4:$I234,"&gt;"&amp;0),""))</f>
        <v>53.555555555555557</v>
      </c>
      <c r="L234" s="4" t="str">
        <f>IF(B234="","",IF(ISNA(MATCH(B234,Client_List!$B:$B,0)),"⚠ NOT FOUND","✓"))</f>
        <v>✓</v>
      </c>
    </row>
    <row r="235" spans="1:12" ht="14" customHeight="1" x14ac:dyDescent="0.2">
      <c r="A235" s="57">
        <v>46045</v>
      </c>
      <c r="B235" s="7" t="s">
        <v>83</v>
      </c>
      <c r="C235" s="12" t="str">
        <f>IF(B235="","",IFERROR(INDEX(Client_List!$C:$C,MATCH(B235,Client_List!$B:$B,0)),""))</f>
        <v>4</v>
      </c>
      <c r="D235" s="9" t="str">
        <f>IF(B235="","",IFERROR(INDEX(Client_List!$D:$D,MATCH(B235,Client_List!$B:$B,0)),""))</f>
        <v>4D</v>
      </c>
      <c r="E235" s="9" t="str">
        <f>IF(B235="","",IFERROR(INDEX(Client_List!$K:$K,MATCH(B235,Client_List!$B:$B,0)),""))</f>
        <v>FRYERS CHOICE BLEND</v>
      </c>
      <c r="F235" s="10">
        <f>IF(B235="","",IFERROR(INDEX(Client_List!$J:$J,MATCH(B235,Client_List!$B:$B,0)),""))</f>
        <v>350</v>
      </c>
      <c r="G235" s="10">
        <v>344</v>
      </c>
      <c r="H235" s="9">
        <f>IF(B235="","",IFERROR(A235-LOOKUP(2,1/($B$4:$B234=B235),$A$4:$A234),""))</f>
        <v>7</v>
      </c>
      <c r="I235" s="73">
        <f t="shared" si="3"/>
        <v>49.142857142857146</v>
      </c>
      <c r="J235" s="9">
        <v>141764</v>
      </c>
      <c r="K235" s="6">
        <f>IF(B235="","",IFERROR(AVERAGEIFS($I$4:$I235,$B$4:$B235,B235,$I$4:$I235,"&gt;"&amp;0),""))</f>
        <v>43.515873015873012</v>
      </c>
      <c r="L235" s="9" t="str">
        <f>IF(B235="","",IF(ISNA(MATCH(B235,Client_List!$B:$B,0)),"⚠ NOT FOUND","✓"))</f>
        <v>✓</v>
      </c>
    </row>
    <row r="236" spans="1:12" ht="14" customHeight="1" x14ac:dyDescent="0.2">
      <c r="A236" s="56">
        <v>46045</v>
      </c>
      <c r="B236" s="2" t="s">
        <v>102</v>
      </c>
      <c r="C236" s="13" t="str">
        <f>IF(B236="","",IFERROR(INDEX(Client_List!$C:$C,MATCH(B236,Client_List!$B:$B,0)),""))</f>
        <v>3</v>
      </c>
      <c r="D236" s="4" t="str">
        <f>IF(B236="","",IFERROR(INDEX(Client_List!$D:$D,MATCH(B236,Client_List!$B:$B,0)),""))</f>
        <v>3C</v>
      </c>
      <c r="E236" s="4" t="str">
        <f>IF(B236="","",IFERROR(INDEX(Client_List!$K:$K,MATCH(B236,Client_List!$B:$B,0)),""))</f>
        <v>CANOLA OIL</v>
      </c>
      <c r="F236" s="5">
        <f>IF(B236="","",IFERROR(INDEX(Client_List!$J:$J,MATCH(B236,Client_List!$B:$B,0)),""))</f>
        <v>500</v>
      </c>
      <c r="G236" s="5">
        <v>490</v>
      </c>
      <c r="H236" s="4">
        <f>IF(B236="","",IFERROR(A236-LOOKUP(2,1/($B$4:$B235=B236),$A$4:$A235),""))</f>
        <v>14</v>
      </c>
      <c r="I236" s="72">
        <f t="shared" si="3"/>
        <v>35</v>
      </c>
      <c r="J236" s="4">
        <v>141741</v>
      </c>
      <c r="K236" s="6">
        <f>IF(B236="","",IFERROR(AVERAGEIFS($I$4:$I236,$B$4:$B236,B236,$I$4:$I236,"&gt;"&amp;0),""))</f>
        <v>35</v>
      </c>
      <c r="L236" s="4" t="str">
        <f>IF(B236="","",IF(ISNA(MATCH(B236,Client_List!$B:$B,0)),"⚠ NOT FOUND","✓"))</f>
        <v>✓</v>
      </c>
    </row>
    <row r="237" spans="1:12" ht="14" customHeight="1" x14ac:dyDescent="0.2">
      <c r="A237" s="57">
        <v>46045</v>
      </c>
      <c r="B237" s="7" t="s">
        <v>108</v>
      </c>
      <c r="C237" s="3" t="str">
        <f>IF(B237="","",IFERROR(INDEX(Client_List!$C:$C,MATCH(B237,Client_List!$B:$B,0)),""))</f>
        <v>1</v>
      </c>
      <c r="D237" s="9" t="str">
        <f>IF(B237="","",IFERROR(INDEX(Client_List!$D:$D,MATCH(B237,Client_List!$B:$B,0)),""))</f>
        <v>1D</v>
      </c>
      <c r="E237" s="9" t="str">
        <f>IF(B237="","",IFERROR(INDEX(Client_List!$K:$K,MATCH(B237,Client_List!$B:$B,0)),""))</f>
        <v>FRYERS CHOICE BLEND</v>
      </c>
      <c r="F237" s="10">
        <f>IF(B237="","",IFERROR(INDEX(Client_List!$J:$J,MATCH(B237,Client_List!$B:$B,0)),""))</f>
        <v>1050</v>
      </c>
      <c r="G237" s="10">
        <v>677</v>
      </c>
      <c r="H237" s="9">
        <f>IF(B237="","",IFERROR(A237-LOOKUP(2,1/($B$4:$B236=B237),$A$4:$A236),""))</f>
        <v>15</v>
      </c>
      <c r="I237" s="73">
        <f t="shared" si="3"/>
        <v>45.133333333333333</v>
      </c>
      <c r="J237" s="9">
        <v>141749</v>
      </c>
      <c r="K237" s="6">
        <f>IF(B237="","",IFERROR(AVERAGEIFS($I$4:$I237,$B$4:$B237,B237,$I$4:$I237,"&gt;"&amp;0),""))</f>
        <v>45.133333333333333</v>
      </c>
      <c r="L237" s="9" t="str">
        <f>IF(B237="","",IF(ISNA(MATCH(B237,Client_List!$B:$B,0)),"⚠ NOT FOUND","✓"))</f>
        <v>✓</v>
      </c>
    </row>
    <row r="238" spans="1:12" ht="14" customHeight="1" x14ac:dyDescent="0.2">
      <c r="A238" s="56">
        <v>46045</v>
      </c>
      <c r="B238" s="2" t="s">
        <v>126</v>
      </c>
      <c r="C238" s="3" t="str">
        <f>IF(B238="","",IFERROR(INDEX(Client_List!$C:$C,MATCH(B238,Client_List!$B:$B,0)),""))</f>
        <v>4</v>
      </c>
      <c r="D238" s="4" t="str">
        <f>IF(B238="","",IFERROR(INDEX(Client_List!$D:$D,MATCH(B238,Client_List!$B:$B,0)),""))</f>
        <v>4D</v>
      </c>
      <c r="E238" s="4" t="str">
        <f>IF(B238="","",IFERROR(INDEX(Client_List!$K:$K,MATCH(B238,Client_List!$B:$B,0)),""))</f>
        <v>CANOLA OIL</v>
      </c>
      <c r="F238" s="5">
        <f>IF(B238="","",IFERROR(INDEX(Client_List!$J:$J,MATCH(B238,Client_List!$B:$B,0)),""))</f>
        <v>700</v>
      </c>
      <c r="G238" s="5">
        <v>641</v>
      </c>
      <c r="H238" s="4">
        <f>IF(B238="","",IFERROR(A238-LOOKUP(2,1/($B$4:$B237=B238),$A$4:$A237),""))</f>
        <v>12</v>
      </c>
      <c r="I238" s="72">
        <f t="shared" si="3"/>
        <v>53.416666666666664</v>
      </c>
      <c r="J238" s="4">
        <v>141769</v>
      </c>
      <c r="K238" s="6">
        <f>IF(B238="","",IFERROR(AVERAGEIFS($I$4:$I238,$B$4:$B238,B238,$I$4:$I238,"&gt;"&amp;0),""))</f>
        <v>64.895833333333329</v>
      </c>
      <c r="L238" s="4" t="str">
        <f>IF(B238="","",IF(ISNA(MATCH(B238,Client_List!$B:$B,0)),"⚠ NOT FOUND","✓"))</f>
        <v>✓</v>
      </c>
    </row>
    <row r="239" spans="1:12" ht="14" customHeight="1" x14ac:dyDescent="0.2">
      <c r="A239" s="57">
        <v>46045</v>
      </c>
      <c r="B239" s="7" t="s">
        <v>144</v>
      </c>
      <c r="C239" s="13" t="str">
        <f>IF(B239="","",IFERROR(INDEX(Client_List!$C:$C,MATCH(B239,Client_List!$B:$B,0)),""))</f>
        <v>4</v>
      </c>
      <c r="D239" s="9" t="str">
        <f>IF(B239="","",IFERROR(INDEX(Client_List!$D:$D,MATCH(B239,Client_List!$B:$B,0)),""))</f>
        <v>4A</v>
      </c>
      <c r="E239" s="9" t="str">
        <f>IF(B239="","",IFERROR(INDEX(Client_List!$K:$K,MATCH(B239,Client_List!$B:$B,0)),""))</f>
        <v>FRYERS CHOICE BLEND</v>
      </c>
      <c r="F239" s="10">
        <f>IF(B239="","",IFERROR(INDEX(Client_List!$J:$J,MATCH(B239,Client_List!$B:$B,0)),""))</f>
        <v>900</v>
      </c>
      <c r="G239" s="10">
        <v>609</v>
      </c>
      <c r="H239" s="9">
        <f>IF(B239="","",IFERROR(A239-LOOKUP(2,1/($B$4:$B238=B239),$A$4:$A238),""))</f>
        <v>10</v>
      </c>
      <c r="I239" s="73">
        <f t="shared" si="3"/>
        <v>60.9</v>
      </c>
      <c r="J239" s="9">
        <v>141759</v>
      </c>
      <c r="K239" s="6">
        <f>IF(B239="","",IFERROR(AVERAGEIFS($I$4:$I239,$B$4:$B239,B239,$I$4:$I239,"&gt;"&amp;0),""))</f>
        <v>61.533333333333331</v>
      </c>
      <c r="L239" s="9" t="str">
        <f>IF(B239="","",IF(ISNA(MATCH(B239,Client_List!$B:$B,0)),"⚠ NOT FOUND","✓"))</f>
        <v>✓</v>
      </c>
    </row>
    <row r="240" spans="1:12" ht="14" customHeight="1" x14ac:dyDescent="0.2">
      <c r="A240" s="56">
        <v>46045</v>
      </c>
      <c r="B240" s="2" t="s">
        <v>168</v>
      </c>
      <c r="C240" s="8" t="str">
        <f>IF(B240="","",IFERROR(INDEX(Client_List!$C:$C,MATCH(B240,Client_List!$B:$B,0)),""))</f>
        <v>4</v>
      </c>
      <c r="D240" s="4" t="str">
        <f>IF(B240="","",IFERROR(INDEX(Client_List!$D:$D,MATCH(B240,Client_List!$B:$B,0)),""))</f>
        <v>4B</v>
      </c>
      <c r="E240" s="4" t="str">
        <f>IF(B240="","",IFERROR(INDEX(Client_List!$K:$K,MATCH(B240,Client_List!$B:$B,0)),""))</f>
        <v>FRYERS CHOICE BLEND</v>
      </c>
      <c r="F240" s="5">
        <f>IF(B240="","",IFERROR(INDEX(Client_List!$J:$J,MATCH(B240,Client_List!$B:$B,0)),""))</f>
        <v>620</v>
      </c>
      <c r="G240" s="5">
        <v>381</v>
      </c>
      <c r="H240" s="4">
        <f>IF(B240="","",IFERROR(A240-LOOKUP(2,1/($B$4:$B239=B240),$A$4:$A239),""))</f>
        <v>10</v>
      </c>
      <c r="I240" s="72">
        <f t="shared" si="3"/>
        <v>38.1</v>
      </c>
      <c r="J240" s="4">
        <v>141761</v>
      </c>
      <c r="K240" s="6">
        <f>IF(B240="","",IFERROR(AVERAGEIFS($I$4:$I240,$B$4:$B240,B240,$I$4:$I240,"&gt;"&amp;0),""))</f>
        <v>38.1</v>
      </c>
      <c r="L240" s="4" t="str">
        <f>IF(B240="","",IF(ISNA(MATCH(B240,Client_List!$B:$B,0)),"⚠ NOT FOUND","✓"))</f>
        <v>✓</v>
      </c>
    </row>
    <row r="241" spans="1:12" ht="14" customHeight="1" x14ac:dyDescent="0.2">
      <c r="A241" s="57">
        <v>46045</v>
      </c>
      <c r="B241" s="7" t="s">
        <v>178</v>
      </c>
      <c r="C241" s="12" t="str">
        <f>IF(B241="","",IFERROR(INDEX(Client_List!$C:$C,MATCH(B241,Client_List!$B:$B,0)),""))</f>
        <v>3</v>
      </c>
      <c r="D241" s="9" t="str">
        <f>IF(B241="","",IFERROR(INDEX(Client_List!$D:$D,MATCH(B241,Client_List!$B:$B,0)),""))</f>
        <v>3C</v>
      </c>
      <c r="E241" s="9" t="str">
        <f>IF(B241="","",IFERROR(INDEX(Client_List!$K:$K,MATCH(B241,Client_List!$B:$B,0)),""))</f>
        <v>CANOLA OIL</v>
      </c>
      <c r="F241" s="10">
        <f>IF(B241="","",IFERROR(INDEX(Client_List!$J:$J,MATCH(B241,Client_List!$B:$B,0)),""))</f>
        <v>900</v>
      </c>
      <c r="G241" s="10">
        <v>958</v>
      </c>
      <c r="H241" s="9" t="str">
        <f>IF(B241="","",IFERROR(A241-LOOKUP(2,1/($B$4:$B240=B241),$A$4:$A240),""))</f>
        <v/>
      </c>
      <c r="I241" s="73" t="str">
        <f t="shared" si="3"/>
        <v/>
      </c>
      <c r="J241" s="9">
        <v>141740</v>
      </c>
      <c r="K241" s="6" t="str">
        <f>IF(B241="","",IFERROR(AVERAGEIFS($I$4:$I241,$B$4:$B241,B241,$I$4:$I241,"&gt;"&amp;0),""))</f>
        <v/>
      </c>
      <c r="L241" s="9" t="str">
        <f>IF(B241="","",IF(ISNA(MATCH(B241,Client_List!$B:$B,0)),"⚠ NOT FOUND","✓"))</f>
        <v>✓</v>
      </c>
    </row>
    <row r="242" spans="1:12" ht="14" customHeight="1" x14ac:dyDescent="0.2">
      <c r="A242" s="56">
        <v>46045</v>
      </c>
      <c r="B242" s="2" t="s">
        <v>186</v>
      </c>
      <c r="C242" s="12" t="str">
        <f>IF(B242="","",IFERROR(INDEX(Client_List!$C:$C,MATCH(B242,Client_List!$B:$B,0)),""))</f>
        <v>4</v>
      </c>
      <c r="D242" s="4" t="str">
        <f>IF(B242="","",IFERROR(INDEX(Client_List!$D:$D,MATCH(B242,Client_List!$B:$B,0)),""))</f>
        <v>4E</v>
      </c>
      <c r="E242" s="4" t="str">
        <f>IF(B242="","",IFERROR(INDEX(Client_List!$K:$K,MATCH(B242,Client_List!$B:$B,0)),""))</f>
        <v>CANOLA OIL</v>
      </c>
      <c r="F242" s="5">
        <f>IF(B242="","",IFERROR(INDEX(Client_List!$J:$J,MATCH(B242,Client_List!$B:$B,0)),""))</f>
        <v>950</v>
      </c>
      <c r="G242" s="5">
        <v>946</v>
      </c>
      <c r="H242" s="4">
        <f>IF(B242="","",IFERROR(A242-LOOKUP(2,1/($B$4:$B241=B242),$A$4:$A241),""))</f>
        <v>12</v>
      </c>
      <c r="I242" s="72">
        <f t="shared" si="3"/>
        <v>78.833333333333329</v>
      </c>
      <c r="J242" s="4">
        <v>141767</v>
      </c>
      <c r="K242" s="6">
        <f>IF(B242="","",IFERROR(AVERAGEIFS($I$4:$I242,$B$4:$B242,B242,$I$4:$I242,"&gt;"&amp;0),""))</f>
        <v>78.833333333333329</v>
      </c>
      <c r="L242" s="4" t="str">
        <f>IF(B242="","",IF(ISNA(MATCH(B242,Client_List!$B:$B,0)),"⚠ NOT FOUND","✓"))</f>
        <v>✓</v>
      </c>
    </row>
    <row r="243" spans="1:12" ht="14" customHeight="1" x14ac:dyDescent="0.2">
      <c r="A243" s="57">
        <v>46045</v>
      </c>
      <c r="B243" s="7" t="s">
        <v>194</v>
      </c>
      <c r="C243" s="3" t="str">
        <f>IF(B243="","",IFERROR(INDEX(Client_List!$C:$C,MATCH(B243,Client_List!$B:$B,0)),""))</f>
        <v>4</v>
      </c>
      <c r="D243" s="9" t="str">
        <f>IF(B243="","",IFERROR(INDEX(Client_List!$D:$D,MATCH(B243,Client_List!$B:$B,0)),""))</f>
        <v>4A</v>
      </c>
      <c r="E243" s="9" t="str">
        <f>IF(B243="","",IFERROR(INDEX(Client_List!$K:$K,MATCH(B243,Client_List!$B:$B,0)),""))</f>
        <v>FRYERS CHOICE BLEND</v>
      </c>
      <c r="F243" s="10">
        <f>IF(B243="","",IFERROR(INDEX(Client_List!$J:$J,MATCH(B243,Client_List!$B:$B,0)),""))</f>
        <v>620</v>
      </c>
      <c r="G243" s="10">
        <v>340</v>
      </c>
      <c r="H243" s="9">
        <f>IF(B243="","",IFERROR(A243-LOOKUP(2,1/($B$4:$B242=B243),$A$4:$A242),""))</f>
        <v>18</v>
      </c>
      <c r="I243" s="73">
        <f t="shared" si="3"/>
        <v>18.888888888888889</v>
      </c>
      <c r="J243" s="9">
        <v>141760</v>
      </c>
      <c r="K243" s="6">
        <f>IF(B243="","",IFERROR(AVERAGEIFS($I$4:$I243,$B$4:$B243,B243,$I$4:$I243,"&gt;"&amp;0),""))</f>
        <v>18.888888888888889</v>
      </c>
      <c r="L243" s="9" t="str">
        <f>IF(B243="","",IF(ISNA(MATCH(B243,Client_List!$B:$B,0)),"⚠ NOT FOUND","✓"))</f>
        <v>✓</v>
      </c>
    </row>
    <row r="244" spans="1:12" ht="14" customHeight="1" x14ac:dyDescent="0.2">
      <c r="A244" s="56">
        <v>46045</v>
      </c>
      <c r="B244" s="2" t="s">
        <v>214</v>
      </c>
      <c r="C244" s="13" t="str">
        <f>IF(B244="","",IFERROR(INDEX(Client_List!$C:$C,MATCH(B244,Client_List!$B:$B,0)),""))</f>
        <v>1</v>
      </c>
      <c r="D244" s="4" t="str">
        <f>IF(B244="","",IFERROR(INDEX(Client_List!$D:$D,MATCH(B244,Client_List!$B:$B,0)),""))</f>
        <v>1C</v>
      </c>
      <c r="E244" s="4" t="str">
        <f>IF(B244="","",IFERROR(INDEX(Client_List!$K:$K,MATCH(B244,Client_List!$B:$B,0)),""))</f>
        <v>CANOLA OIL</v>
      </c>
      <c r="F244" s="5">
        <f>IF(B244="","",IFERROR(INDEX(Client_List!$J:$J,MATCH(B244,Client_List!$B:$B,0)),""))</f>
        <v>630</v>
      </c>
      <c r="G244" s="5">
        <v>318</v>
      </c>
      <c r="H244" s="4">
        <f>IF(B244="","",IFERROR(A244-LOOKUP(2,1/($B$4:$B243=B244),$A$4:$A243),""))</f>
        <v>14</v>
      </c>
      <c r="I244" s="72">
        <f t="shared" si="3"/>
        <v>22.714285714285715</v>
      </c>
      <c r="J244" s="4">
        <v>141748</v>
      </c>
      <c r="K244" s="6">
        <f>IF(B244="","",IFERROR(AVERAGEIFS($I$4:$I244,$B$4:$B244,B244,$I$4:$I244,"&gt;"&amp;0),""))</f>
        <v>22.714285714285715</v>
      </c>
      <c r="L244" s="4" t="str">
        <f>IF(B244="","",IF(ISNA(MATCH(B244,Client_List!$B:$B,0)),"⚠ NOT FOUND","✓"))</f>
        <v>✓</v>
      </c>
    </row>
    <row r="245" spans="1:12" ht="14" customHeight="1" x14ac:dyDescent="0.2">
      <c r="A245" s="57">
        <v>46045</v>
      </c>
      <c r="B245" s="7" t="s">
        <v>244</v>
      </c>
      <c r="C245" s="3" t="str">
        <f>IF(B245="","",IFERROR(INDEX(Client_List!$C:$C,MATCH(B245,Client_List!$B:$B,0)),""))</f>
        <v>4</v>
      </c>
      <c r="D245" s="9" t="str">
        <f>IF(B245="","",IFERROR(INDEX(Client_List!$D:$D,MATCH(B245,Client_List!$B:$B,0)),""))</f>
        <v>4E</v>
      </c>
      <c r="E245" s="9" t="str">
        <f>IF(B245="","",IFERROR(INDEX(Client_List!$K:$K,MATCH(B245,Client_List!$B:$B,0)),""))</f>
        <v>FRYERS CHOICE BLEND</v>
      </c>
      <c r="F245" s="10">
        <f>IF(B245="","",IFERROR(INDEX(Client_List!$J:$J,MATCH(B245,Client_List!$B:$B,0)),""))</f>
        <v>950</v>
      </c>
      <c r="G245" s="10">
        <v>494</v>
      </c>
      <c r="H245" s="9">
        <f>IF(B245="","",IFERROR(A245-LOOKUP(2,1/($B$4:$B244=B245),$A$4:$A244),""))</f>
        <v>9</v>
      </c>
      <c r="I245" s="73">
        <f t="shared" si="3"/>
        <v>54.888888888888886</v>
      </c>
      <c r="J245" s="9">
        <v>141768</v>
      </c>
      <c r="K245" s="6">
        <f>IF(B245="","",IFERROR(AVERAGEIFS($I$4:$I245,$B$4:$B245,B245,$I$4:$I245,"&gt;"&amp;0),""))</f>
        <v>54.888888888888886</v>
      </c>
      <c r="L245" s="9" t="str">
        <f>IF(B245="","",IF(ISNA(MATCH(B245,Client_List!$B:$B,0)),"⚠ NOT FOUND","✓"))</f>
        <v>✓</v>
      </c>
    </row>
    <row r="246" spans="1:12" ht="14" customHeight="1" x14ac:dyDescent="0.2">
      <c r="A246" s="56">
        <v>46045</v>
      </c>
      <c r="B246" s="2" t="s">
        <v>252</v>
      </c>
      <c r="C246" s="3" t="str">
        <f>IF(B246="","",IFERROR(INDEX(Client_List!$C:$C,MATCH(B246,Client_List!$B:$B,0)),""))</f>
        <v>4</v>
      </c>
      <c r="D246" s="4" t="str">
        <f>IF(B246="","",IFERROR(INDEX(Client_List!$D:$D,MATCH(B246,Client_List!$B:$B,0)),""))</f>
        <v>4E</v>
      </c>
      <c r="E246" s="4" t="str">
        <f>IF(B246="","",IFERROR(INDEX(Client_List!$K:$K,MATCH(B246,Client_List!$B:$B,0)),""))</f>
        <v>FRYERS CHOICE BLEND</v>
      </c>
      <c r="F246" s="5">
        <f>IF(B246="","",IFERROR(INDEX(Client_List!$J:$J,MATCH(B246,Client_List!$B:$B,0)),""))</f>
        <v>1950</v>
      </c>
      <c r="G246" s="5">
        <v>1484</v>
      </c>
      <c r="H246" s="4">
        <f>IF(B246="","",IFERROR(A246-LOOKUP(2,1/($B$4:$B245=B246),$A$4:$A245),""))</f>
        <v>9</v>
      </c>
      <c r="I246" s="72">
        <f t="shared" si="3"/>
        <v>164.88888888888889</v>
      </c>
      <c r="J246" s="4">
        <v>141766</v>
      </c>
      <c r="K246" s="6">
        <f>IF(B246="","",IFERROR(AVERAGEIFS($I$4:$I246,$B$4:$B246,B246,$I$4:$I246,"&gt;"&amp;0),""))</f>
        <v>164.88888888888889</v>
      </c>
      <c r="L246" s="4" t="str">
        <f>IF(B246="","",IF(ISNA(MATCH(B246,Client_List!$B:$B,0)),"⚠ NOT FOUND","✓"))</f>
        <v>✓</v>
      </c>
    </row>
    <row r="247" spans="1:12" ht="14" customHeight="1" x14ac:dyDescent="0.2">
      <c r="A247" s="57">
        <v>46045</v>
      </c>
      <c r="B247" s="7" t="s">
        <v>258</v>
      </c>
      <c r="C247" s="11" t="str">
        <f>IF(B247="","",IFERROR(INDEX(Client_List!$C:$C,MATCH(B247,Client_List!$B:$B,0)),""))</f>
        <v>4</v>
      </c>
      <c r="D247" s="9" t="str">
        <f>IF(B247="","",IFERROR(INDEX(Client_List!$D:$D,MATCH(B247,Client_List!$B:$B,0)),""))</f>
        <v>4F</v>
      </c>
      <c r="E247" s="9" t="str">
        <f>IF(B247="","",IFERROR(INDEX(Client_List!$K:$K,MATCH(B247,Client_List!$B:$B,0)),""))</f>
        <v>FRYERS CHOICE BLEND</v>
      </c>
      <c r="F247" s="10">
        <f>IF(B247="","",IFERROR(INDEX(Client_List!$J:$J,MATCH(B247,Client_List!$B:$B,0)),""))</f>
        <v>950</v>
      </c>
      <c r="G247" s="10">
        <v>779</v>
      </c>
      <c r="H247" s="9">
        <f>IF(B247="","",IFERROR(A247-LOOKUP(2,1/($B$4:$B246=B247),$A$4:$A246),""))</f>
        <v>16</v>
      </c>
      <c r="I247" s="73">
        <f t="shared" si="3"/>
        <v>48.6875</v>
      </c>
      <c r="J247" s="9">
        <v>141765</v>
      </c>
      <c r="K247" s="6">
        <f>IF(B247="","",IFERROR(AVERAGEIFS($I$4:$I247,$B$4:$B247,B247,$I$4:$I247,"&gt;"&amp;0),""))</f>
        <v>48.6875</v>
      </c>
      <c r="L247" s="9" t="str">
        <f>IF(B247="","",IF(ISNA(MATCH(B247,Client_List!$B:$B,0)),"⚠ NOT FOUND","✓"))</f>
        <v>✓</v>
      </c>
    </row>
    <row r="248" spans="1:12" ht="14" customHeight="1" x14ac:dyDescent="0.2">
      <c r="A248" s="56">
        <v>46045</v>
      </c>
      <c r="B248" s="2" t="s">
        <v>270</v>
      </c>
      <c r="C248" s="11" t="str">
        <f>IF(B248="","",IFERROR(INDEX(Client_List!$C:$C,MATCH(B248,Client_List!$B:$B,0)),""))</f>
        <v>3</v>
      </c>
      <c r="D248" s="4" t="str">
        <f>IF(B248="","",IFERROR(INDEX(Client_List!$D:$D,MATCH(B248,Client_List!$B:$B,0)),""))</f>
        <v>3D</v>
      </c>
      <c r="E248" s="4" t="str">
        <f>IF(B248="","",IFERROR(INDEX(Client_List!$K:$K,MATCH(B248,Client_List!$B:$B,0)),""))</f>
        <v>FRYERS CHOICE BLEND</v>
      </c>
      <c r="F248" s="5">
        <f>IF(B248="","",IFERROR(INDEX(Client_List!$J:$J,MATCH(B248,Client_List!$B:$B,0)),""))</f>
        <v>660</v>
      </c>
      <c r="G248" s="5">
        <v>421</v>
      </c>
      <c r="H248" s="4">
        <f>IF(B248="","",IFERROR(A248-LOOKUP(2,1/($B$4:$B247=B248),$A$4:$A247),""))</f>
        <v>18</v>
      </c>
      <c r="I248" s="72">
        <f t="shared" si="3"/>
        <v>23.388888888888889</v>
      </c>
      <c r="J248" s="4">
        <v>141763</v>
      </c>
      <c r="K248" s="6">
        <f>IF(B248="","",IFERROR(AVERAGEIFS($I$4:$I248,$B$4:$B248,B248,$I$4:$I248,"&gt;"&amp;0),""))</f>
        <v>23.388888888888889</v>
      </c>
      <c r="L248" s="4" t="str">
        <f>IF(B248="","",IF(ISNA(MATCH(B248,Client_List!$B:$B,0)),"⚠ NOT FOUND","✓"))</f>
        <v>✓</v>
      </c>
    </row>
    <row r="249" spans="1:12" ht="14" customHeight="1" x14ac:dyDescent="0.2">
      <c r="A249" s="57">
        <v>46045</v>
      </c>
      <c r="B249" s="7" t="s">
        <v>274</v>
      </c>
      <c r="C249" s="11" t="str">
        <f>IF(B249="","",IFERROR(INDEX(Client_List!$C:$C,MATCH(B249,Client_List!$B:$B,0)),""))</f>
        <v>3</v>
      </c>
      <c r="D249" s="9" t="str">
        <f>IF(B249="","",IFERROR(INDEX(Client_List!$D:$D,MATCH(B249,Client_List!$B:$B,0)),""))</f>
        <v>3C</v>
      </c>
      <c r="E249" s="9" t="str">
        <f>IF(B249="","",IFERROR(INDEX(Client_List!$K:$K,MATCH(B249,Client_List!$B:$B,0)),""))</f>
        <v>FRYERS CHOICE BLEND</v>
      </c>
      <c r="F249" s="10">
        <f>IF(B249="","",IFERROR(INDEX(Client_List!$J:$J,MATCH(B249,Client_List!$B:$B,0)),""))</f>
        <v>450</v>
      </c>
      <c r="G249" s="10">
        <v>387</v>
      </c>
      <c r="H249" s="9">
        <f>IF(B249="","",IFERROR(A249-LOOKUP(2,1/($B$4:$B248=B249),$A$4:$A248),""))</f>
        <v>6</v>
      </c>
      <c r="I249" s="73">
        <f t="shared" si="3"/>
        <v>64.5</v>
      </c>
      <c r="J249" s="9">
        <v>141744</v>
      </c>
      <c r="K249" s="6">
        <f>IF(B249="","",IFERROR(AVERAGEIFS($I$4:$I249,$B$4:$B249,B249,$I$4:$I249,"&gt;"&amp;0),""))</f>
        <v>49.958333333333329</v>
      </c>
      <c r="L249" s="9" t="str">
        <f>IF(B249="","",IF(ISNA(MATCH(B249,Client_List!$B:$B,0)),"⚠ NOT FOUND","✓"))</f>
        <v>✓</v>
      </c>
    </row>
    <row r="250" spans="1:12" ht="14" customHeight="1" x14ac:dyDescent="0.2">
      <c r="A250" s="56">
        <v>46045</v>
      </c>
      <c r="B250" s="2" t="s">
        <v>286</v>
      </c>
      <c r="C250" s="11" t="str">
        <f>IF(B250="","",IFERROR(INDEX(Client_List!$C:$C,MATCH(B250,Client_List!$B:$B,0)),""))</f>
        <v>3</v>
      </c>
      <c r="D250" s="4" t="str">
        <f>IF(B250="","",IFERROR(INDEX(Client_List!$D:$D,MATCH(B250,Client_List!$B:$B,0)),""))</f>
        <v>3C</v>
      </c>
      <c r="E250" s="4" t="str">
        <f>IF(B250="","",IFERROR(INDEX(Client_List!$K:$K,MATCH(B250,Client_List!$B:$B,0)),""))</f>
        <v>CANOLA OIL</v>
      </c>
      <c r="F250" s="5">
        <f>IF(B250="","",IFERROR(INDEX(Client_List!$J:$J,MATCH(B250,Client_List!$B:$B,0)),""))</f>
        <v>620</v>
      </c>
      <c r="G250" s="5">
        <v>403</v>
      </c>
      <c r="H250" s="4">
        <f>IF(B250="","",IFERROR(A250-LOOKUP(2,1/($B$4:$B249=B250),$A$4:$A249),""))</f>
        <v>15</v>
      </c>
      <c r="I250" s="72">
        <f t="shared" si="3"/>
        <v>26.866666666666667</v>
      </c>
      <c r="J250" s="4">
        <v>141746</v>
      </c>
      <c r="K250" s="6">
        <f>IF(B250="","",IFERROR(AVERAGEIFS($I$4:$I250,$B$4:$B250,B250,$I$4:$I250,"&gt;"&amp;0),""))</f>
        <v>26.866666666666667</v>
      </c>
      <c r="L250" s="4" t="str">
        <f>IF(B250="","",IF(ISNA(MATCH(B250,Client_List!$B:$B,0)),"⚠ NOT FOUND","✓"))</f>
        <v>✓</v>
      </c>
    </row>
    <row r="251" spans="1:12" ht="14" customHeight="1" x14ac:dyDescent="0.2">
      <c r="A251" s="57">
        <v>46045</v>
      </c>
      <c r="B251" s="7" t="s">
        <v>302</v>
      </c>
      <c r="C251" s="3" t="str">
        <f>IF(B251="","",IFERROR(INDEX(Client_List!$C:$C,MATCH(B251,Client_List!$B:$B,0)),""))</f>
        <v>2</v>
      </c>
      <c r="D251" s="9" t="str">
        <f>IF(B251="","",IFERROR(INDEX(Client_List!$D:$D,MATCH(B251,Client_List!$B:$B,0)),""))</f>
        <v>2D</v>
      </c>
      <c r="E251" s="9" t="str">
        <f>IF(B251="","",IFERROR(INDEX(Client_List!$K:$K,MATCH(B251,Client_List!$B:$B,0)),""))</f>
        <v>CANOLA OIL</v>
      </c>
      <c r="F251" s="10">
        <f>IF(B251="","",IFERROR(INDEX(Client_List!$J:$J,MATCH(B251,Client_List!$B:$B,0)),""))</f>
        <v>350</v>
      </c>
      <c r="G251" s="10">
        <v>138</v>
      </c>
      <c r="H251" s="9">
        <f>IF(B251="","",IFERROR(A251-LOOKUP(2,1/($B$4:$B250=B251),$A$4:$A250),""))</f>
        <v>6</v>
      </c>
      <c r="I251" s="73">
        <f t="shared" si="3"/>
        <v>23</v>
      </c>
      <c r="J251" s="9">
        <v>141751</v>
      </c>
      <c r="K251" s="6">
        <f>IF(B251="","",IFERROR(AVERAGEIFS($I$4:$I251,$B$4:$B251,B251,$I$4:$I251,"&gt;"&amp;0),""))</f>
        <v>30.611111111111111</v>
      </c>
      <c r="L251" s="9" t="str">
        <f>IF(B251="","",IF(ISNA(MATCH(B251,Client_List!$B:$B,0)),"⚠ NOT FOUND","✓"))</f>
        <v>✓</v>
      </c>
    </row>
    <row r="252" spans="1:12" ht="14" customHeight="1" x14ac:dyDescent="0.2">
      <c r="A252" s="56">
        <v>46045</v>
      </c>
      <c r="B252" s="2" t="s">
        <v>304</v>
      </c>
      <c r="C252" s="8" t="str">
        <f>IF(B252="","",IFERROR(INDEX(Client_List!$C:$C,MATCH(B252,Client_List!$B:$B,0)),""))</f>
        <v>3</v>
      </c>
      <c r="D252" s="4" t="str">
        <f>IF(B252="","",IFERROR(INDEX(Client_List!$D:$D,MATCH(B252,Client_List!$B:$B,0)),""))</f>
        <v>3B</v>
      </c>
      <c r="E252" s="4" t="str">
        <f>IF(B252="","",IFERROR(INDEX(Client_List!$K:$K,MATCH(B252,Client_List!$B:$B,0)),""))</f>
        <v>CANOLA OIL</v>
      </c>
      <c r="F252" s="5">
        <f>IF(B252="","",IFERROR(INDEX(Client_List!$J:$J,MATCH(B252,Client_List!$B:$B,0)),""))</f>
        <v>350</v>
      </c>
      <c r="G252" s="5">
        <v>330</v>
      </c>
      <c r="H252" s="4">
        <f>IF(B252="","",IFERROR(A252-LOOKUP(2,1/($B$4:$B251=B252),$A$4:$A251),""))</f>
        <v>6</v>
      </c>
      <c r="I252" s="72">
        <f t="shared" si="3"/>
        <v>55</v>
      </c>
      <c r="J252" s="4">
        <v>141747</v>
      </c>
      <c r="K252" s="6">
        <f>IF(B252="","",IFERROR(AVERAGEIFS($I$4:$I252,$B$4:$B252,B252,$I$4:$I252,"&gt;"&amp;0),""))</f>
        <v>55</v>
      </c>
      <c r="L252" s="4" t="str">
        <f>IF(B252="","",IF(ISNA(MATCH(B252,Client_List!$B:$B,0)),"⚠ NOT FOUND","✓"))</f>
        <v>✓</v>
      </c>
    </row>
    <row r="253" spans="1:12" ht="14" customHeight="1" x14ac:dyDescent="0.2">
      <c r="A253" s="57">
        <v>46045</v>
      </c>
      <c r="B253" s="7" t="s">
        <v>318</v>
      </c>
      <c r="C253" s="11" t="str">
        <f>IF(B253="","",IFERROR(INDEX(Client_List!$C:$C,MATCH(B253,Client_List!$B:$B,0)),""))</f>
        <v>2</v>
      </c>
      <c r="D253" s="9" t="str">
        <f>IF(B253="","",IFERROR(INDEX(Client_List!$D:$D,MATCH(B253,Client_List!$B:$B,0)),""))</f>
        <v>2D</v>
      </c>
      <c r="E253" s="9" t="str">
        <f>IF(B253="","",IFERROR(INDEX(Client_List!$K:$K,MATCH(B253,Client_List!$B:$B,0)),""))</f>
        <v>FRYERS CHOICE BLEND</v>
      </c>
      <c r="F253" s="10">
        <f>IF(B253="","",IFERROR(INDEX(Client_List!$J:$J,MATCH(B253,Client_List!$B:$B,0)),""))</f>
        <v>1050</v>
      </c>
      <c r="G253" s="10">
        <v>1092</v>
      </c>
      <c r="H253" s="9">
        <f>IF(B253="","",IFERROR(A253-LOOKUP(2,1/($B$4:$B252=B253),$A$4:$A252),""))</f>
        <v>17</v>
      </c>
      <c r="I253" s="73">
        <f t="shared" si="3"/>
        <v>64.235294117647058</v>
      </c>
      <c r="J253" s="9">
        <v>141750</v>
      </c>
      <c r="K253" s="6">
        <f>IF(B253="","",IFERROR(AVERAGEIFS($I$4:$I253,$B$4:$B253,B253,$I$4:$I253,"&gt;"&amp;0),""))</f>
        <v>64.235294117647058</v>
      </c>
      <c r="L253" s="9" t="str">
        <f>IF(B253="","",IF(ISNA(MATCH(B253,Client_List!$B:$B,0)),"⚠ NOT FOUND","✓"))</f>
        <v>✓</v>
      </c>
    </row>
    <row r="254" spans="1:12" ht="14" customHeight="1" x14ac:dyDescent="0.2">
      <c r="A254" s="56">
        <v>46046</v>
      </c>
      <c r="B254" s="2" t="s">
        <v>75</v>
      </c>
      <c r="C254" s="11" t="str">
        <f>IF(B254="","",IFERROR(INDEX(Client_List!$C:$C,MATCH(B254,Client_List!$B:$B,0)),""))</f>
        <v>1</v>
      </c>
      <c r="D254" s="4" t="str">
        <f>IF(B254="","",IFERROR(INDEX(Client_List!$D:$D,MATCH(B254,Client_List!$B:$B,0)),""))</f>
        <v>1D</v>
      </c>
      <c r="E254" s="4" t="str">
        <f>IF(B254="","",IFERROR(INDEX(Client_List!$K:$K,MATCH(B254,Client_List!$B:$B,0)),""))</f>
        <v>CANOLA OIL</v>
      </c>
      <c r="F254" s="5">
        <f>IF(B254="","",IFERROR(INDEX(Client_List!$J:$J,MATCH(B254,Client_List!$B:$B,0)),""))</f>
        <v>620</v>
      </c>
      <c r="G254" s="5">
        <v>549</v>
      </c>
      <c r="H254" s="4">
        <f>IF(B254="","",IFERROR(A254-LOOKUP(2,1/($B$4:$B253=B254),$A$4:$A253),""))</f>
        <v>6</v>
      </c>
      <c r="I254" s="72">
        <f t="shared" si="3"/>
        <v>91.5</v>
      </c>
      <c r="J254" s="4">
        <v>141791</v>
      </c>
      <c r="K254" s="6">
        <f>IF(B254="","",IFERROR(AVERAGEIFS($I$4:$I254,$B$4:$B254,B254,$I$4:$I254,"&gt;"&amp;0),""))</f>
        <v>111.15714285714286</v>
      </c>
      <c r="L254" s="4" t="str">
        <f>IF(B254="","",IF(ISNA(MATCH(B254,Client_List!$B:$B,0)),"⚠ NOT FOUND","✓"))</f>
        <v>✓</v>
      </c>
    </row>
    <row r="255" spans="1:12" ht="14" customHeight="1" x14ac:dyDescent="0.2">
      <c r="A255" s="57">
        <v>46046</v>
      </c>
      <c r="B255" s="7" t="s">
        <v>142</v>
      </c>
      <c r="C255" s="11" t="str">
        <f>IF(B255="","",IFERROR(INDEX(Client_List!$C:$C,MATCH(B255,Client_List!$B:$B,0)),""))</f>
        <v>4</v>
      </c>
      <c r="D255" s="9" t="str">
        <f>IF(B255="","",IFERROR(INDEX(Client_List!$D:$D,MATCH(B255,Client_List!$B:$B,0)),""))</f>
        <v>4A</v>
      </c>
      <c r="E255" s="9" t="str">
        <f>IF(B255="","",IFERROR(INDEX(Client_List!$K:$K,MATCH(B255,Client_List!$B:$B,0)),""))</f>
        <v>FRYERS CHOICE BLEND</v>
      </c>
      <c r="F255" s="10">
        <f>IF(B255="","",IFERROR(INDEX(Client_List!$J:$J,MATCH(B255,Client_List!$B:$B,0)),""))</f>
        <v>1050</v>
      </c>
      <c r="G255" s="10">
        <v>884</v>
      </c>
      <c r="H255" s="9">
        <f>IF(B255="","",IFERROR(A255-LOOKUP(2,1/($B$4:$B254=B255),$A$4:$A254),""))</f>
        <v>5</v>
      </c>
      <c r="I255" s="73">
        <f t="shared" si="3"/>
        <v>176.8</v>
      </c>
      <c r="J255" s="9">
        <v>141784</v>
      </c>
      <c r="K255" s="6">
        <f>IF(B255="","",IFERROR(AVERAGEIFS($I$4:$I255,$B$4:$B255,B255,$I$4:$I255,"&gt;"&amp;0),""))</f>
        <v>190.41874999999999</v>
      </c>
      <c r="L255" s="9" t="str">
        <f>IF(B255="","",IF(ISNA(MATCH(B255,Client_List!$B:$B,0)),"⚠ NOT FOUND","✓"))</f>
        <v>✓</v>
      </c>
    </row>
    <row r="256" spans="1:12" ht="14" customHeight="1" x14ac:dyDescent="0.2">
      <c r="A256" s="56">
        <v>46046</v>
      </c>
      <c r="B256" s="2" t="s">
        <v>152</v>
      </c>
      <c r="C256" s="8" t="str">
        <f>IF(B256="","",IFERROR(INDEX(Client_List!$C:$C,MATCH(B256,Client_List!$B:$B,0)),""))</f>
        <v>4</v>
      </c>
      <c r="D256" s="4" t="str">
        <f>IF(B256="","",IFERROR(INDEX(Client_List!$D:$D,MATCH(B256,Client_List!$B:$B,0)),""))</f>
        <v>4B</v>
      </c>
      <c r="E256" s="4" t="str">
        <f>IF(B256="","",IFERROR(INDEX(Client_List!$K:$K,MATCH(B256,Client_List!$B:$B,0)),""))</f>
        <v>CANOLA OIL</v>
      </c>
      <c r="F256" s="5">
        <f>IF(B256="","",IFERROR(INDEX(Client_List!$J:$J,MATCH(B256,Client_List!$B:$B,0)),""))</f>
        <v>950</v>
      </c>
      <c r="G256" s="5">
        <v>690</v>
      </c>
      <c r="H256" s="4">
        <f>IF(B256="","",IFERROR(A256-LOOKUP(2,1/($B$4:$B255=B256),$A$4:$A255),""))</f>
        <v>14</v>
      </c>
      <c r="I256" s="72">
        <f t="shared" si="3"/>
        <v>49.285714285714285</v>
      </c>
      <c r="J256" s="4">
        <v>141777</v>
      </c>
      <c r="K256" s="6">
        <f>IF(B256="","",IFERROR(AVERAGEIFS($I$4:$I256,$B$4:$B256,B256,$I$4:$I256,"&gt;"&amp;0),""))</f>
        <v>49.285714285714285</v>
      </c>
      <c r="L256" s="4" t="str">
        <f>IF(B256="","",IF(ISNA(MATCH(B256,Client_List!$B:$B,0)),"⚠ NOT FOUND","✓"))</f>
        <v>✓</v>
      </c>
    </row>
    <row r="257" spans="1:12" ht="14" customHeight="1" x14ac:dyDescent="0.2">
      <c r="A257" s="57">
        <v>46046</v>
      </c>
      <c r="B257" s="7" t="s">
        <v>372</v>
      </c>
      <c r="C257" s="11">
        <f>IF(B257="","",IFERROR(INDEX(Client_List!$C:$C,MATCH(B257,Client_List!$B:$B,0)),""))</f>
        <v>0</v>
      </c>
      <c r="D257" s="9" t="str">
        <f>IF(B257="","",IFERROR(INDEX(Client_List!$D:$D,MATCH(B257,Client_List!$B:$B,0)),""))</f>
        <v>F</v>
      </c>
      <c r="E257" s="9" t="str">
        <f>IF(B257="","",IFERROR(INDEX(Client_List!$K:$K,MATCH(B257,Client_List!$B:$B,0)),""))</f>
        <v>CANOLA OIL</v>
      </c>
      <c r="F257" s="10">
        <f>IF(B257="","",IFERROR(INDEX(Client_List!$J:$J,MATCH(B257,Client_List!$B:$B,0)),""))</f>
        <v>700</v>
      </c>
      <c r="G257" s="10">
        <v>296</v>
      </c>
      <c r="H257" s="9">
        <f>IF(B257="","",IFERROR(A257-LOOKUP(2,1/($B$4:$B256=B257),$A$4:$A256),""))</f>
        <v>14</v>
      </c>
      <c r="I257" s="73">
        <f t="shared" si="3"/>
        <v>21.142857142857142</v>
      </c>
      <c r="J257" s="9">
        <v>141778</v>
      </c>
      <c r="K257" s="6">
        <f>IF(B257="","",IFERROR(AVERAGEIFS($I$4:$I257,$B$4:$B257,B257,$I$4:$I257,"&gt;"&amp;0),""))</f>
        <v>21.142857142857142</v>
      </c>
      <c r="L257" s="9" t="str">
        <f>IF(B257="","",IF(ISNA(MATCH(B257,Client_List!$B:$B,0)),"⚠ NOT FOUND","✓"))</f>
        <v>✓</v>
      </c>
    </row>
    <row r="258" spans="1:12" ht="14" customHeight="1" x14ac:dyDescent="0.2">
      <c r="A258" s="56">
        <v>46046</v>
      </c>
      <c r="B258" s="2" t="s">
        <v>373</v>
      </c>
      <c r="C258" s="13">
        <f>IF(B258="","",IFERROR(INDEX(Client_List!$C:$C,MATCH(B258,Client_List!$B:$B,0)),""))</f>
        <v>0</v>
      </c>
      <c r="D258" s="4" t="str">
        <f>IF(B258="","",IFERROR(INDEX(Client_List!$D:$D,MATCH(B258,Client_List!$B:$B,0)),""))</f>
        <v>T</v>
      </c>
      <c r="E258" s="4" t="str">
        <f>IF(B258="","",IFERROR(INDEX(Client_List!$K:$K,MATCH(B258,Client_List!$B:$B,0)),""))</f>
        <v>CANOLA OIL</v>
      </c>
      <c r="F258" s="5">
        <f>IF(B258="","",IFERROR(INDEX(Client_List!$J:$J,MATCH(B258,Client_List!$B:$B,0)),""))</f>
        <v>950</v>
      </c>
      <c r="G258" s="5">
        <v>602</v>
      </c>
      <c r="H258" s="4">
        <f>IF(B258="","",IFERROR(A258-LOOKUP(2,1/($B$4:$B257=B258),$A$4:$A257),""))</f>
        <v>14</v>
      </c>
      <c r="I258" s="72">
        <f t="shared" si="3"/>
        <v>43</v>
      </c>
      <c r="J258" s="4">
        <v>141776</v>
      </c>
      <c r="K258" s="6">
        <f>IF(B258="","",IFERROR(AVERAGEIFS($I$4:$I258,$B$4:$B258,B258,$I$4:$I258,"&gt;"&amp;0),""))</f>
        <v>43</v>
      </c>
      <c r="L258" s="4" t="str">
        <f>IF(B258="","",IF(ISNA(MATCH(B258,Client_List!$B:$B,0)),"⚠ NOT FOUND","✓"))</f>
        <v>✓</v>
      </c>
    </row>
    <row r="259" spans="1:12" ht="14" customHeight="1" x14ac:dyDescent="0.2">
      <c r="A259" s="57">
        <v>46046</v>
      </c>
      <c r="B259" s="7" t="s">
        <v>230</v>
      </c>
      <c r="C259" s="12" t="str">
        <f>IF(B259="","",IFERROR(INDEX(Client_List!$C:$C,MATCH(B259,Client_List!$B:$B,0)),""))</f>
        <v>1</v>
      </c>
      <c r="D259" s="9" t="str">
        <f>IF(B259="","",IFERROR(INDEX(Client_List!$D:$D,MATCH(B259,Client_List!$B:$B,0)),""))</f>
        <v>1D</v>
      </c>
      <c r="E259" s="9" t="str">
        <f>IF(B259="","",IFERROR(INDEX(Client_List!$K:$K,MATCH(B259,Client_List!$B:$B,0)),""))</f>
        <v>CANOLA OIL</v>
      </c>
      <c r="F259" s="10">
        <f>IF(B259="","",IFERROR(INDEX(Client_List!$J:$J,MATCH(B259,Client_List!$B:$B,0)),""))</f>
        <v>660</v>
      </c>
      <c r="G259" s="10">
        <v>490</v>
      </c>
      <c r="H259" s="9">
        <f>IF(B259="","",IFERROR(A259-LOOKUP(2,1/($B$4:$B258=B259),$A$4:$A258),""))</f>
        <v>11</v>
      </c>
      <c r="I259" s="73">
        <f t="shared" si="3"/>
        <v>44.545454545454547</v>
      </c>
      <c r="J259" s="9">
        <v>141790</v>
      </c>
      <c r="K259" s="6">
        <f>IF(B259="","",IFERROR(AVERAGEIFS($I$4:$I259,$B$4:$B259,B259,$I$4:$I259,"&gt;"&amp;0),""))</f>
        <v>44.545454545454547</v>
      </c>
      <c r="L259" s="9" t="str">
        <f>IF(B259="","",IF(ISNA(MATCH(B259,Client_List!$B:$B,0)),"⚠ NOT FOUND","✓"))</f>
        <v>✓</v>
      </c>
    </row>
    <row r="260" spans="1:12" ht="14" customHeight="1" x14ac:dyDescent="0.2">
      <c r="A260" s="56">
        <v>46046</v>
      </c>
      <c r="B260" s="2" t="s">
        <v>246</v>
      </c>
      <c r="C260" s="12" t="str">
        <f>IF(B260="","",IFERROR(INDEX(Client_List!$C:$C,MATCH(B260,Client_List!$B:$B,0)),""))</f>
        <v>3</v>
      </c>
      <c r="D260" s="4" t="str">
        <f>IF(B260="","",IFERROR(INDEX(Client_List!$D:$D,MATCH(B260,Client_List!$B:$B,0)),""))</f>
        <v>3E</v>
      </c>
      <c r="E260" s="4" t="str">
        <f>IF(B260="","",IFERROR(INDEX(Client_List!$K:$K,MATCH(B260,Client_List!$B:$B,0)),""))</f>
        <v>FRYERS CHOICE BLEND</v>
      </c>
      <c r="F260" s="5">
        <f>IF(B260="","",IFERROR(INDEX(Client_List!$J:$J,MATCH(B260,Client_List!$B:$B,0)),""))</f>
        <v>950</v>
      </c>
      <c r="G260" s="5">
        <v>756</v>
      </c>
      <c r="H260" s="4">
        <f>IF(B260="","",IFERROR(A260-LOOKUP(2,1/($B$4:$B259=B260),$A$4:$A259),""))</f>
        <v>10</v>
      </c>
      <c r="I260" s="72">
        <f t="shared" ref="I260:I323" si="4">IF(B260="","",IFERROR(G260/H260,""))</f>
        <v>75.599999999999994</v>
      </c>
      <c r="J260" s="4">
        <v>141792</v>
      </c>
      <c r="K260" s="6">
        <f>IF(B260="","",IFERROR(AVERAGEIFS($I$4:$I260,$B$4:$B260,B260,$I$4:$I260,"&gt;"&amp;0),""))</f>
        <v>68.966666666666669</v>
      </c>
      <c r="L260" s="4" t="str">
        <f>IF(B260="","",IF(ISNA(MATCH(B260,Client_List!$B:$B,0)),"⚠ NOT FOUND","✓"))</f>
        <v>✓</v>
      </c>
    </row>
    <row r="261" spans="1:12" ht="14" customHeight="1" x14ac:dyDescent="0.2">
      <c r="A261" s="57">
        <v>46046</v>
      </c>
      <c r="B261" s="7" t="s">
        <v>254</v>
      </c>
      <c r="C261" s="12" t="str">
        <f>IF(B261="","",IFERROR(INDEX(Client_List!$C:$C,MATCH(B261,Client_List!$B:$B,0)),""))</f>
        <v>2</v>
      </c>
      <c r="D261" s="9" t="str">
        <f>IF(B261="","",IFERROR(INDEX(Client_List!$D:$D,MATCH(B261,Client_List!$B:$B,0)),""))</f>
        <v>2E</v>
      </c>
      <c r="E261" s="9" t="str">
        <f>IF(B261="","",IFERROR(INDEX(Client_List!$K:$K,MATCH(B261,Client_List!$B:$B,0)),""))</f>
        <v>FRYERS CHOICE BLEND</v>
      </c>
      <c r="F261" s="10">
        <f>IF(B261="","",IFERROR(INDEX(Client_List!$J:$J,MATCH(B261,Client_List!$B:$B,0)),""))</f>
        <v>1950</v>
      </c>
      <c r="G261" s="10">
        <v>1679</v>
      </c>
      <c r="H261" s="9">
        <f>IF(B261="","",IFERROR(A261-LOOKUP(2,1/($B$4:$B260=B261),$A$4:$A260),""))</f>
        <v>11</v>
      </c>
      <c r="I261" s="73">
        <f t="shared" si="4"/>
        <v>152.63636363636363</v>
      </c>
      <c r="J261" s="9">
        <v>141789</v>
      </c>
      <c r="K261" s="6">
        <f>IF(B261="","",IFERROR(AVERAGEIFS($I$4:$I261,$B$4:$B261,B261,$I$4:$I261,"&gt;"&amp;0),""))</f>
        <v>127</v>
      </c>
      <c r="L261" s="9" t="str">
        <f>IF(B261="","",IF(ISNA(MATCH(B261,Client_List!$B:$B,0)),"⚠ NOT FOUND","✓"))</f>
        <v>✓</v>
      </c>
    </row>
    <row r="262" spans="1:12" ht="14" customHeight="1" x14ac:dyDescent="0.2">
      <c r="A262" s="56">
        <v>46046</v>
      </c>
      <c r="B262" s="2" t="s">
        <v>272</v>
      </c>
      <c r="C262" s="8" t="str">
        <f>IF(B262="","",IFERROR(INDEX(Client_List!$C:$C,MATCH(B262,Client_List!$B:$B,0)),""))</f>
        <v>2</v>
      </c>
      <c r="D262" s="4" t="str">
        <f>IF(B262="","",IFERROR(INDEX(Client_List!$D:$D,MATCH(B262,Client_List!$B:$B,0)),""))</f>
        <v>2C</v>
      </c>
      <c r="E262" s="4" t="str">
        <f>IF(B262="","",IFERROR(INDEX(Client_List!$K:$K,MATCH(B262,Client_List!$B:$B,0)),""))</f>
        <v>CANOLA OIL</v>
      </c>
      <c r="F262" s="5">
        <f>IF(B262="","",IFERROR(INDEX(Client_List!$J:$J,MATCH(B262,Client_List!$B:$B,0)),""))</f>
        <v>1050</v>
      </c>
      <c r="G262" s="5">
        <v>955</v>
      </c>
      <c r="H262" s="4" t="str">
        <f>IF(B262="","",IFERROR(A262-LOOKUP(2,1/($B$4:$B261=B262),$A$4:$A261),""))</f>
        <v/>
      </c>
      <c r="I262" s="72" t="str">
        <f t="shared" si="4"/>
        <v/>
      </c>
      <c r="J262" s="4">
        <v>141788</v>
      </c>
      <c r="K262" s="6" t="str">
        <f>IF(B262="","",IFERROR(AVERAGEIFS($I$4:$I262,$B$4:$B262,B262,$I$4:$I262,"&gt;"&amp;0),""))</f>
        <v/>
      </c>
      <c r="L262" s="4" t="str">
        <f>IF(B262="","",IF(ISNA(MATCH(B262,Client_List!$B:$B,0)),"⚠ NOT FOUND","✓"))</f>
        <v>✓</v>
      </c>
    </row>
    <row r="263" spans="1:12" ht="14" customHeight="1" x14ac:dyDescent="0.2">
      <c r="A263" s="57">
        <v>46046</v>
      </c>
      <c r="B263" s="7" t="s">
        <v>306</v>
      </c>
      <c r="C263" s="12" t="str">
        <f>IF(B263="","",IFERROR(INDEX(Client_List!$C:$C,MATCH(B263,Client_List!$B:$B,0)),""))</f>
        <v>4</v>
      </c>
      <c r="D263" s="9" t="str">
        <f>IF(B263="","",IFERROR(INDEX(Client_List!$D:$D,MATCH(B263,Client_List!$B:$B,0)),""))</f>
        <v>4C</v>
      </c>
      <c r="E263" s="9" t="str">
        <f>IF(B263="","",IFERROR(INDEX(Client_List!$K:$K,MATCH(B263,Client_List!$B:$B,0)),""))</f>
        <v>FRYERS CHOICE BLEND</v>
      </c>
      <c r="F263" s="10">
        <f>IF(B263="","",IFERROR(INDEX(Client_List!$J:$J,MATCH(B263,Client_List!$B:$B,0)),""))</f>
        <v>1050</v>
      </c>
      <c r="G263" s="10">
        <v>1013</v>
      </c>
      <c r="H263" s="9">
        <f>IF(B263="","",IFERROR(A263-LOOKUP(2,1/($B$4:$B262=B263),$A$4:$A262),""))</f>
        <v>8</v>
      </c>
      <c r="I263" s="73">
        <f t="shared" si="4"/>
        <v>126.625</v>
      </c>
      <c r="J263" s="9">
        <v>141793</v>
      </c>
      <c r="K263" s="6">
        <f>IF(B263="","",IFERROR(AVERAGEIFS($I$4:$I263,$B$4:$B263,B263,$I$4:$I263,"&gt;"&amp;0),""))</f>
        <v>113.3125</v>
      </c>
      <c r="L263" s="9" t="str">
        <f>IF(B263="","",IF(ISNA(MATCH(B263,Client_List!$B:$B,0)),"⚠ NOT FOUND","✓"))</f>
        <v>✓</v>
      </c>
    </row>
    <row r="264" spans="1:12" ht="14" customHeight="1" x14ac:dyDescent="0.2">
      <c r="A264" s="56">
        <v>46046</v>
      </c>
      <c r="B264" s="2" t="s">
        <v>314</v>
      </c>
      <c r="C264" s="8" t="str">
        <f>IF(B264="","",IFERROR(INDEX(Client_List!$C:$C,MATCH(B264,Client_List!$B:$B,0)),""))</f>
        <v>1</v>
      </c>
      <c r="D264" s="4" t="str">
        <f>IF(B264="","",IFERROR(INDEX(Client_List!$D:$D,MATCH(B264,Client_List!$B:$B,0)),""))</f>
        <v>1C</v>
      </c>
      <c r="E264" s="4" t="str">
        <f>IF(B264="","",IFERROR(INDEX(Client_List!$K:$K,MATCH(B264,Client_List!$B:$B,0)),""))</f>
        <v>CANOLA OIL</v>
      </c>
      <c r="F264" s="5">
        <f>IF(B264="","",IFERROR(INDEX(Client_List!$J:$J,MATCH(B264,Client_List!$B:$B,0)),""))</f>
        <v>1050</v>
      </c>
      <c r="G264" s="5">
        <v>1127</v>
      </c>
      <c r="H264" s="4">
        <f>IF(B264="","",IFERROR(A264-LOOKUP(2,1/($B$4:$B263=B264),$A$4:$A263),""))</f>
        <v>11</v>
      </c>
      <c r="I264" s="72">
        <f t="shared" si="4"/>
        <v>102.45454545454545</v>
      </c>
      <c r="J264" s="4">
        <v>141787</v>
      </c>
      <c r="K264" s="6">
        <f>IF(B264="","",IFERROR(AVERAGEIFS($I$4:$I264,$B$4:$B264,B264,$I$4:$I264,"&gt;"&amp;0),""))</f>
        <v>102.45454545454545</v>
      </c>
      <c r="L264" s="4" t="str">
        <f>IF(B264="","",IF(ISNA(MATCH(B264,Client_List!$B:$B,0)),"⚠ NOT FOUND","✓"))</f>
        <v>✓</v>
      </c>
    </row>
    <row r="265" spans="1:12" ht="14" customHeight="1" x14ac:dyDescent="0.2">
      <c r="A265" s="57">
        <v>46046</v>
      </c>
      <c r="B265" s="7" t="s">
        <v>322</v>
      </c>
      <c r="C265" s="3" t="str">
        <f>IF(B265="","",IFERROR(INDEX(Client_List!$C:$C,MATCH(B265,Client_List!$B:$B,0)),""))</f>
        <v>4</v>
      </c>
      <c r="D265" s="9" t="str">
        <f>IF(B265="","",IFERROR(INDEX(Client_List!$D:$D,MATCH(B265,Client_List!$B:$B,0)),""))</f>
        <v>4B</v>
      </c>
      <c r="E265" s="9" t="str">
        <f>IF(B265="","",IFERROR(INDEX(Client_List!$K:$K,MATCH(B265,Client_List!$B:$B,0)),""))</f>
        <v>CANOLA OIL</v>
      </c>
      <c r="F265" s="10">
        <f>IF(B265="","",IFERROR(INDEX(Client_List!$J:$J,MATCH(B265,Client_List!$B:$B,0)),""))</f>
        <v>1050</v>
      </c>
      <c r="G265" s="10">
        <v>849</v>
      </c>
      <c r="H265" s="9" t="str">
        <f>IF(B265="","",IFERROR(A265-LOOKUP(2,1/($B$4:$B264=B265),$A$4:$A264),""))</f>
        <v/>
      </c>
      <c r="I265" s="73" t="str">
        <f t="shared" si="4"/>
        <v/>
      </c>
      <c r="J265" s="9">
        <v>141785</v>
      </c>
      <c r="K265" s="6" t="str">
        <f>IF(B265="","",IFERROR(AVERAGEIFS($I$4:$I265,$B$4:$B265,B265,$I$4:$I265,"&gt;"&amp;0),""))</f>
        <v/>
      </c>
      <c r="L265" s="9" t="str">
        <f>IF(B265="","",IF(ISNA(MATCH(B265,Client_List!$B:$B,0)),"⚠ NOT FOUND","✓"))</f>
        <v>✓</v>
      </c>
    </row>
    <row r="266" spans="1:12" ht="14" customHeight="1" x14ac:dyDescent="0.2">
      <c r="A266" s="56">
        <v>46046</v>
      </c>
      <c r="B266" s="2" t="s">
        <v>324</v>
      </c>
      <c r="C266" s="12" t="str">
        <f>IF(B266="","",IFERROR(INDEX(Client_List!$C:$C,MATCH(B266,Client_List!$B:$B,0)),""))</f>
        <v>4</v>
      </c>
      <c r="D266" s="4" t="str">
        <f>IF(B266="","",IFERROR(INDEX(Client_List!$D:$D,MATCH(B266,Client_List!$B:$B,0)),""))</f>
        <v>4B</v>
      </c>
      <c r="E266" s="4" t="str">
        <f>IF(B266="","",IFERROR(INDEX(Client_List!$K:$K,MATCH(B266,Client_List!$B:$B,0)),""))</f>
        <v>CANOLA OIL</v>
      </c>
      <c r="F266" s="5">
        <f>IF(B266="","",IFERROR(INDEX(Client_List!$J:$J,MATCH(B266,Client_List!$B:$B,0)),""))</f>
        <v>1050</v>
      </c>
      <c r="G266" s="5">
        <v>776</v>
      </c>
      <c r="H266" s="4">
        <f>IF(B266="","",IFERROR(A266-LOOKUP(2,1/($B$4:$B265=B266),$A$4:$A265),""))</f>
        <v>11</v>
      </c>
      <c r="I266" s="72">
        <f t="shared" si="4"/>
        <v>70.545454545454547</v>
      </c>
      <c r="J266" s="4">
        <v>141786</v>
      </c>
      <c r="K266" s="6">
        <f>IF(B266="","",IFERROR(AVERAGEIFS($I$4:$I266,$B$4:$B266,B266,$I$4:$I266,"&gt;"&amp;0),""))</f>
        <v>291.02272727272725</v>
      </c>
      <c r="L266" s="4" t="str">
        <f>IF(B266="","",IF(ISNA(MATCH(B266,Client_List!$B:$B,0)),"⚠ NOT FOUND","✓"))</f>
        <v>✓</v>
      </c>
    </row>
    <row r="267" spans="1:12" ht="14" customHeight="1" x14ac:dyDescent="0.2">
      <c r="A267" s="57">
        <v>46047</v>
      </c>
      <c r="B267" s="7" t="s">
        <v>56</v>
      </c>
      <c r="C267" s="8" t="str">
        <f>IF(B267="","",IFERROR(INDEX(Client_List!$C:$C,MATCH(B267,Client_List!$B:$B,0)),""))</f>
        <v>5</v>
      </c>
      <c r="D267" s="9" t="str">
        <f>IF(B267="","",IFERROR(INDEX(Client_List!$D:$D,MATCH(B267,Client_List!$B:$B,0)),""))</f>
        <v>5F</v>
      </c>
      <c r="E267" s="9" t="str">
        <f>IF(B267="","",IFERROR(INDEX(Client_List!$K:$K,MATCH(B267,Client_List!$B:$B,0)),""))</f>
        <v>CANOLA OIL</v>
      </c>
      <c r="F267" s="10">
        <f>IF(B267="","",IFERROR(INDEX(Client_List!$J:$J,MATCH(B267,Client_List!$B:$B,0)),""))</f>
        <v>900</v>
      </c>
      <c r="G267" s="10">
        <v>636</v>
      </c>
      <c r="H267" s="9">
        <f>IF(B267="","",IFERROR(A267-LOOKUP(2,1/($B$4:$B266=B267),$A$4:$A266),""))</f>
        <v>10</v>
      </c>
      <c r="I267" s="73">
        <f t="shared" si="4"/>
        <v>63.6</v>
      </c>
      <c r="J267" s="9">
        <v>141803</v>
      </c>
      <c r="K267" s="6">
        <f>IF(B267="","",IFERROR(AVERAGEIFS($I$4:$I267,$B$4:$B267,B267,$I$4:$I267,"&gt;"&amp;0),""))</f>
        <v>63.6</v>
      </c>
      <c r="L267" s="9" t="str">
        <f>IF(B267="","",IF(ISNA(MATCH(B267,Client_List!$B:$B,0)),"⚠ NOT FOUND","✓"))</f>
        <v>✓</v>
      </c>
    </row>
    <row r="268" spans="1:12" ht="14" customHeight="1" x14ac:dyDescent="0.2">
      <c r="A268" s="56">
        <v>46047</v>
      </c>
      <c r="B268" s="2" t="s">
        <v>71</v>
      </c>
      <c r="C268" s="12" t="str">
        <f>IF(B268="","",IFERROR(INDEX(Client_List!$C:$C,MATCH(B268,Client_List!$B:$B,0)),""))</f>
        <v>5</v>
      </c>
      <c r="D268" s="4" t="str">
        <f>IF(B268="","",IFERROR(INDEX(Client_List!$D:$D,MATCH(B268,Client_List!$B:$B,0)),""))</f>
        <v>5F</v>
      </c>
      <c r="E268" s="4" t="str">
        <f>IF(B268="","",IFERROR(INDEX(Client_List!$K:$K,MATCH(B268,Client_List!$B:$B,0)),""))</f>
        <v>CANOLA OIL</v>
      </c>
      <c r="F268" s="5">
        <f>IF(B268="","",IFERROR(INDEX(Client_List!$J:$J,MATCH(B268,Client_List!$B:$B,0)),""))</f>
        <v>350</v>
      </c>
      <c r="G268" s="5">
        <v>273</v>
      </c>
      <c r="H268" s="4">
        <f>IF(B268="","",IFERROR(A268-LOOKUP(2,1/($B$4:$B267=B268),$A$4:$A267),""))</f>
        <v>9</v>
      </c>
      <c r="I268" s="72">
        <f t="shared" si="4"/>
        <v>30.333333333333332</v>
      </c>
      <c r="J268" s="4">
        <v>141801</v>
      </c>
      <c r="K268" s="6">
        <f>IF(B268="","",IFERROR(AVERAGEIFS($I$4:$I268,$B$4:$B268,B268,$I$4:$I268,"&gt;"&amp;0),""))</f>
        <v>25.611111111111111</v>
      </c>
      <c r="L268" s="4" t="str">
        <f>IF(B268="","",IF(ISNA(MATCH(B268,Client_List!$B:$B,0)),"⚠ NOT FOUND","✓"))</f>
        <v>✓</v>
      </c>
    </row>
    <row r="269" spans="1:12" ht="14" customHeight="1" x14ac:dyDescent="0.2">
      <c r="A269" s="57">
        <v>46047</v>
      </c>
      <c r="B269" s="7" t="s">
        <v>120</v>
      </c>
      <c r="C269" s="3" t="str">
        <f>IF(B269="","",IFERROR(INDEX(Client_List!$C:$C,MATCH(B269,Client_List!$B:$B,0)),""))</f>
        <v>5</v>
      </c>
      <c r="D269" s="9" t="str">
        <f>IF(B269="","",IFERROR(INDEX(Client_List!$D:$D,MATCH(B269,Client_List!$B:$B,0)),""))</f>
        <v>5D</v>
      </c>
      <c r="E269" s="9" t="str">
        <f>IF(B269="","",IFERROR(INDEX(Client_List!$K:$K,MATCH(B269,Client_List!$B:$B,0)),""))</f>
        <v>FRYERS CHOICE BLEND</v>
      </c>
      <c r="F269" s="10">
        <f>IF(B269="","",IFERROR(INDEX(Client_List!$J:$J,MATCH(B269,Client_List!$B:$B,0)),""))</f>
        <v>450</v>
      </c>
      <c r="G269" s="10">
        <v>406</v>
      </c>
      <c r="H269" s="9">
        <f>IF(B269="","",IFERROR(A269-LOOKUP(2,1/($B$4:$B268=B269),$A$4:$A268),""))</f>
        <v>10</v>
      </c>
      <c r="I269" s="73">
        <f t="shared" si="4"/>
        <v>40.6</v>
      </c>
      <c r="J269" s="9">
        <v>141797</v>
      </c>
      <c r="K269" s="6">
        <f>IF(B269="","",IFERROR(AVERAGEIFS($I$4:$I269,$B$4:$B269,B269,$I$4:$I269,"&gt;"&amp;0),""))</f>
        <v>36.15</v>
      </c>
      <c r="L269" s="9" t="str">
        <f>IF(B269="","",IF(ISNA(MATCH(B269,Client_List!$B:$B,0)),"⚠ NOT FOUND","✓"))</f>
        <v>✓</v>
      </c>
    </row>
    <row r="270" spans="1:12" ht="14" customHeight="1" x14ac:dyDescent="0.2">
      <c r="A270" s="56">
        <v>46047</v>
      </c>
      <c r="B270" s="2" t="s">
        <v>136</v>
      </c>
      <c r="C270" s="12" t="str">
        <f>IF(B270="","",IFERROR(INDEX(Client_List!$C:$C,MATCH(B270,Client_List!$B:$B,0)),""))</f>
        <v>5</v>
      </c>
      <c r="D270" s="4" t="str">
        <f>IF(B270="","",IFERROR(INDEX(Client_List!$D:$D,MATCH(B270,Client_List!$B:$B,0)),""))</f>
        <v>5F</v>
      </c>
      <c r="E270" s="4" t="str">
        <f>IF(B270="","",IFERROR(INDEX(Client_List!$K:$K,MATCH(B270,Client_List!$B:$B,0)),""))</f>
        <v>FRYERS CHOICE BLEND</v>
      </c>
      <c r="F270" s="5">
        <f>IF(B270="","",IFERROR(INDEX(Client_List!$J:$J,MATCH(B270,Client_List!$B:$B,0)),""))</f>
        <v>480</v>
      </c>
      <c r="G270" s="5">
        <v>446</v>
      </c>
      <c r="H270" s="4">
        <f>IF(B270="","",IFERROR(A270-LOOKUP(2,1/($B$4:$B269=B270),$A$4:$A269),""))</f>
        <v>9</v>
      </c>
      <c r="I270" s="72">
        <f t="shared" si="4"/>
        <v>49.555555555555557</v>
      </c>
      <c r="J270" s="4">
        <v>141804</v>
      </c>
      <c r="K270" s="6">
        <f>IF(B270="","",IFERROR(AVERAGEIFS($I$4:$I270,$B$4:$B270,B270,$I$4:$I270,"&gt;"&amp;0),""))</f>
        <v>49.166666666666671</v>
      </c>
      <c r="L270" s="4" t="str">
        <f>IF(B270="","",IF(ISNA(MATCH(B270,Client_List!$B:$B,0)),"⚠ NOT FOUND","✓"))</f>
        <v>✓</v>
      </c>
    </row>
    <row r="271" spans="1:12" ht="14" customHeight="1" x14ac:dyDescent="0.2">
      <c r="A271" s="57">
        <v>46047</v>
      </c>
      <c r="B271" s="7" t="s">
        <v>176</v>
      </c>
      <c r="C271" s="8" t="str">
        <f>IF(B271="","",IFERROR(INDEX(Client_List!$C:$C,MATCH(B271,Client_List!$B:$B,0)),""))</f>
        <v>4</v>
      </c>
      <c r="D271" s="9" t="str">
        <f>IF(B271="","",IFERROR(INDEX(Client_List!$D:$D,MATCH(B271,Client_List!$B:$B,0)),""))</f>
        <v>4F</v>
      </c>
      <c r="E271" s="9" t="str">
        <f>IF(B271="","",IFERROR(INDEX(Client_List!$K:$K,MATCH(B271,Client_List!$B:$B,0)),""))</f>
        <v>CANOLA OIL</v>
      </c>
      <c r="F271" s="10">
        <f>IF(B271="","",IFERROR(INDEX(Client_List!$J:$J,MATCH(B271,Client_List!$B:$B,0)),""))</f>
        <v>950</v>
      </c>
      <c r="G271" s="10">
        <v>540</v>
      </c>
      <c r="H271" s="9">
        <f>IF(B271="","",IFERROR(A271-LOOKUP(2,1/($B$4:$B270=B271),$A$4:$A270),""))</f>
        <v>11</v>
      </c>
      <c r="I271" s="73">
        <f t="shared" si="4"/>
        <v>49.090909090909093</v>
      </c>
      <c r="J271" s="9">
        <v>141794</v>
      </c>
      <c r="K271" s="6">
        <f>IF(B271="","",IFERROR(AVERAGEIFS($I$4:$I271,$B$4:$B271,B271,$I$4:$I271,"&gt;"&amp;0),""))</f>
        <v>49.090909090909093</v>
      </c>
      <c r="L271" s="9" t="str">
        <f>IF(B271="","",IF(ISNA(MATCH(B271,Client_List!$B:$B,0)),"⚠ NOT FOUND","✓"))</f>
        <v>✓</v>
      </c>
    </row>
    <row r="272" spans="1:12" ht="14" customHeight="1" x14ac:dyDescent="0.2">
      <c r="A272" s="56">
        <v>46047</v>
      </c>
      <c r="B272" s="2" t="s">
        <v>216</v>
      </c>
      <c r="C272" s="3" t="str">
        <f>IF(B272="","",IFERROR(INDEX(Client_List!$C:$C,MATCH(B272,Client_List!$B:$B,0)),""))</f>
        <v>3</v>
      </c>
      <c r="D272" s="4" t="str">
        <f>IF(B272="","",IFERROR(INDEX(Client_List!$D:$D,MATCH(B272,Client_List!$B:$B,0)),""))</f>
        <v>3D</v>
      </c>
      <c r="E272" s="4" t="str">
        <f>IF(B272="","",IFERROR(INDEX(Client_List!$K:$K,MATCH(B272,Client_List!$B:$B,0)),""))</f>
        <v>CANOLA OIL</v>
      </c>
      <c r="F272" s="5">
        <f>IF(B272="","",IFERROR(INDEX(Client_List!$J:$J,MATCH(B272,Client_List!$B:$B,0)),""))</f>
        <v>450</v>
      </c>
      <c r="G272" s="5">
        <v>180</v>
      </c>
      <c r="H272" s="4">
        <f>IF(B272="","",IFERROR(A272-LOOKUP(2,1/($B$4:$B271=B272),$A$4:$A271),""))</f>
        <v>11</v>
      </c>
      <c r="I272" s="72">
        <f t="shared" si="4"/>
        <v>16.363636363636363</v>
      </c>
      <c r="J272" s="4">
        <v>141796</v>
      </c>
      <c r="K272" s="6">
        <f>IF(B272="","",IFERROR(AVERAGEIFS($I$4:$I272,$B$4:$B272,B272,$I$4:$I272,"&gt;"&amp;0),""))</f>
        <v>16.363636363636363</v>
      </c>
      <c r="L272" s="4" t="str">
        <f>IF(B272="","",IF(ISNA(MATCH(B272,Client_List!$B:$B,0)),"⚠ NOT FOUND","✓"))</f>
        <v>✓</v>
      </c>
    </row>
    <row r="273" spans="1:12" ht="14" customHeight="1" x14ac:dyDescent="0.2">
      <c r="A273" s="57">
        <v>46047</v>
      </c>
      <c r="B273" s="7" t="s">
        <v>224</v>
      </c>
      <c r="C273" s="3" t="str">
        <f>IF(B273="","",IFERROR(INDEX(Client_List!$C:$C,MATCH(B273,Client_List!$B:$B,0)),""))</f>
        <v>5</v>
      </c>
      <c r="D273" s="9" t="str">
        <f>IF(B273="","",IFERROR(INDEX(Client_List!$D:$D,MATCH(B273,Client_List!$B:$B,0)),""))</f>
        <v>5E</v>
      </c>
      <c r="E273" s="9" t="str">
        <f>IF(B273="","",IFERROR(INDEX(Client_List!$K:$K,MATCH(B273,Client_List!$B:$B,0)),""))</f>
        <v>CANOLA OIL</v>
      </c>
      <c r="F273" s="10">
        <f>IF(B273="","",IFERROR(INDEX(Client_List!$J:$J,MATCH(B273,Client_List!$B:$B,0)),""))</f>
        <v>450</v>
      </c>
      <c r="G273" s="10">
        <v>173</v>
      </c>
      <c r="H273" s="9">
        <f>IF(B273="","",IFERROR(A273-LOOKUP(2,1/($B$4:$B272=B273),$A$4:$A272),""))</f>
        <v>9</v>
      </c>
      <c r="I273" s="73">
        <f t="shared" si="4"/>
        <v>19.222222222222221</v>
      </c>
      <c r="J273" s="9">
        <v>141795</v>
      </c>
      <c r="K273" s="6">
        <f>IF(B273="","",IFERROR(AVERAGEIFS($I$4:$I273,$B$4:$B273,B273,$I$4:$I273,"&gt;"&amp;0),""))</f>
        <v>19.222222222222221</v>
      </c>
      <c r="L273" s="9" t="str">
        <f>IF(B273="","",IF(ISNA(MATCH(B273,Client_List!$B:$B,0)),"⚠ NOT FOUND","✓"))</f>
        <v>✓</v>
      </c>
    </row>
    <row r="274" spans="1:12" ht="14" customHeight="1" x14ac:dyDescent="0.2">
      <c r="A274" s="56">
        <v>46047</v>
      </c>
      <c r="B274" s="2" t="s">
        <v>232</v>
      </c>
      <c r="C274" s="3" t="str">
        <f>IF(B274="","",IFERROR(INDEX(Client_List!$C:$C,MATCH(B274,Client_List!$B:$B,0)),""))</f>
        <v>5</v>
      </c>
      <c r="D274" s="4" t="str">
        <f>IF(B274="","",IFERROR(INDEX(Client_List!$D:$D,MATCH(B274,Client_List!$B:$B,0)),""))</f>
        <v>5F</v>
      </c>
      <c r="E274" s="4" t="str">
        <f>IF(B274="","",IFERROR(INDEX(Client_List!$K:$K,MATCH(B274,Client_List!$B:$B,0)),""))</f>
        <v>CANOLA OIL</v>
      </c>
      <c r="F274" s="5">
        <f>IF(B274="","",IFERROR(INDEX(Client_List!$J:$J,MATCH(B274,Client_List!$B:$B,0)),""))</f>
        <v>500</v>
      </c>
      <c r="G274" s="5">
        <v>253</v>
      </c>
      <c r="H274" s="4">
        <f>IF(B274="","",IFERROR(A274-LOOKUP(2,1/($B$4:$B273=B274),$A$4:$A273),""))</f>
        <v>9</v>
      </c>
      <c r="I274" s="72">
        <f t="shared" si="4"/>
        <v>28.111111111111111</v>
      </c>
      <c r="J274" s="4">
        <v>141800</v>
      </c>
      <c r="K274" s="6">
        <f>IF(B274="","",IFERROR(AVERAGEIFS($I$4:$I274,$B$4:$B274,B274,$I$4:$I274,"&gt;"&amp;0),""))</f>
        <v>41.833333333333336</v>
      </c>
      <c r="L274" s="4" t="str">
        <f>IF(B274="","",IF(ISNA(MATCH(B274,Client_List!$B:$B,0)),"⚠ NOT FOUND","✓"))</f>
        <v>✓</v>
      </c>
    </row>
    <row r="275" spans="1:12" ht="14" customHeight="1" x14ac:dyDescent="0.2">
      <c r="A275" s="57">
        <v>46047</v>
      </c>
      <c r="B275" s="7" t="s">
        <v>240</v>
      </c>
      <c r="C275" s="3" t="str">
        <f>IF(B275="","",IFERROR(INDEX(Client_List!$C:$C,MATCH(B275,Client_List!$B:$B,0)),""))</f>
        <v>5</v>
      </c>
      <c r="D275" s="9" t="str">
        <f>IF(B275="","",IFERROR(INDEX(Client_List!$D:$D,MATCH(B275,Client_List!$B:$B,0)),""))</f>
        <v>5F</v>
      </c>
      <c r="E275" s="9" t="str">
        <f>IF(B275="","",IFERROR(INDEX(Client_List!$K:$K,MATCH(B275,Client_List!$B:$B,0)),""))</f>
        <v>CANOLA OIL</v>
      </c>
      <c r="F275" s="10">
        <f>IF(B275="","",IFERROR(INDEX(Client_List!$J:$J,MATCH(B275,Client_List!$B:$B,0)),""))</f>
        <v>350</v>
      </c>
      <c r="G275" s="10">
        <v>250</v>
      </c>
      <c r="H275" s="9">
        <f>IF(B275="","",IFERROR(A275-LOOKUP(2,1/($B$4:$B274=B275),$A$4:$A274),""))</f>
        <v>9</v>
      </c>
      <c r="I275" s="73">
        <f t="shared" si="4"/>
        <v>27.777777777777779</v>
      </c>
      <c r="J275" s="9">
        <v>141802</v>
      </c>
      <c r="K275" s="6">
        <f>IF(B275="","",IFERROR(AVERAGEIFS($I$4:$I275,$B$4:$B275,B275,$I$4:$I275,"&gt;"&amp;0),""))</f>
        <v>27.777777777777779</v>
      </c>
      <c r="L275" s="9" t="str">
        <f>IF(B275="","",IF(ISNA(MATCH(B275,Client_List!$B:$B,0)),"⚠ NOT FOUND","✓"))</f>
        <v>✓</v>
      </c>
    </row>
    <row r="276" spans="1:12" ht="14" customHeight="1" x14ac:dyDescent="0.2">
      <c r="A276" s="56">
        <v>46047</v>
      </c>
      <c r="B276" s="2" t="s">
        <v>248</v>
      </c>
      <c r="C276" s="8" t="str">
        <f>IF(B276="","",IFERROR(INDEX(Client_List!$C:$C,MATCH(B276,Client_List!$B:$B,0)),""))</f>
        <v>3</v>
      </c>
      <c r="D276" s="4" t="str">
        <f>IF(B276="","",IFERROR(INDEX(Client_List!$D:$D,MATCH(B276,Client_List!$B:$B,0)),""))</f>
        <v>3E</v>
      </c>
      <c r="E276" s="4" t="str">
        <f>IF(B276="","",IFERROR(INDEX(Client_List!$K:$K,MATCH(B276,Client_List!$B:$B,0)),""))</f>
        <v>FRYERS CHOICE BLEND</v>
      </c>
      <c r="F276" s="5">
        <f>IF(B276="","",IFERROR(INDEX(Client_List!$J:$J,MATCH(B276,Client_List!$B:$B,0)),""))</f>
        <v>950</v>
      </c>
      <c r="G276" s="5">
        <v>836</v>
      </c>
      <c r="H276" s="4">
        <f>IF(B276="","",IFERROR(A276-LOOKUP(2,1/($B$4:$B275=B276),$A$4:$A275),""))</f>
        <v>11</v>
      </c>
      <c r="I276" s="72">
        <f t="shared" si="4"/>
        <v>76</v>
      </c>
      <c r="J276" s="4">
        <v>141798</v>
      </c>
      <c r="K276" s="6">
        <f>IF(B276="","",IFERROR(AVERAGEIFS($I$4:$I276,$B$4:$B276,B276,$I$4:$I276,"&gt;"&amp;0),""))</f>
        <v>76</v>
      </c>
      <c r="L276" s="4" t="str">
        <f>IF(B276="","",IF(ISNA(MATCH(B276,Client_List!$B:$B,0)),"⚠ NOT FOUND","✓"))</f>
        <v>✓</v>
      </c>
    </row>
    <row r="277" spans="1:12" ht="14" customHeight="1" x14ac:dyDescent="0.2">
      <c r="A277" s="57">
        <v>46047</v>
      </c>
      <c r="B277" s="7" t="s">
        <v>268</v>
      </c>
      <c r="C277" s="3" t="str">
        <f>IF(B277="","",IFERROR(INDEX(Client_List!$C:$C,MATCH(B277,Client_List!$B:$B,0)),""))</f>
        <v>5</v>
      </c>
      <c r="D277" s="9" t="str">
        <f>IF(B277="","",IFERROR(INDEX(Client_List!$D:$D,MATCH(B277,Client_List!$B:$B,0)),""))</f>
        <v>5D</v>
      </c>
      <c r="E277" s="9" t="str">
        <f>IF(B277="","",IFERROR(INDEX(Client_List!$K:$K,MATCH(B277,Client_List!$B:$B,0)),""))</f>
        <v>CANOLA OIL</v>
      </c>
      <c r="F277" s="10">
        <f>IF(B277="","",IFERROR(INDEX(Client_List!$J:$J,MATCH(B277,Client_List!$B:$B,0)),""))</f>
        <v>660</v>
      </c>
      <c r="G277" s="10">
        <v>650</v>
      </c>
      <c r="H277" s="9">
        <f>IF(B277="","",IFERROR(A277-LOOKUP(2,1/($B$4:$B276=B277),$A$4:$A276),""))</f>
        <v>10</v>
      </c>
      <c r="I277" s="73">
        <f t="shared" si="4"/>
        <v>65</v>
      </c>
      <c r="J277" s="9">
        <v>141799</v>
      </c>
      <c r="K277" s="6">
        <f>IF(B277="","",IFERROR(AVERAGEIFS($I$4:$I277,$B$4:$B277,B277,$I$4:$I277,"&gt;"&amp;0),""))</f>
        <v>57.5</v>
      </c>
      <c r="L277" s="9" t="str">
        <f>IF(B277="","",IF(ISNA(MATCH(B277,Client_List!$B:$B,0)),"⚠ NOT FOUND","✓"))</f>
        <v>✓</v>
      </c>
    </row>
    <row r="278" spans="1:12" ht="14" customHeight="1" x14ac:dyDescent="0.2">
      <c r="A278" s="56">
        <v>46048</v>
      </c>
      <c r="B278" s="2" t="s">
        <v>59</v>
      </c>
      <c r="C278" s="8" t="str">
        <f>IF(B278="","",IFERROR(INDEX(Client_List!$C:$C,MATCH(B278,Client_List!$B:$B,0)),""))</f>
        <v>1</v>
      </c>
      <c r="D278" s="4" t="str">
        <f>IF(B278="","",IFERROR(INDEX(Client_List!$D:$D,MATCH(B278,Client_List!$B:$B,0)),""))</f>
        <v>1D</v>
      </c>
      <c r="E278" s="4" t="str">
        <f>IF(B278="","",IFERROR(INDEX(Client_List!$K:$K,MATCH(B278,Client_List!$B:$B,0)),""))</f>
        <v>CANOLA OIL</v>
      </c>
      <c r="F278" s="5">
        <f>IF(B278="","",IFERROR(INDEX(Client_List!$J:$J,MATCH(B278,Client_List!$B:$B,0)),""))</f>
        <v>900</v>
      </c>
      <c r="G278" s="5">
        <v>597</v>
      </c>
      <c r="H278" s="4">
        <f>IF(B278="","",IFERROR(A278-LOOKUP(2,1/($B$4:$B277=B278),$A$4:$A277),""))</f>
        <v>9</v>
      </c>
      <c r="I278" s="72">
        <f t="shared" si="4"/>
        <v>66.333333333333329</v>
      </c>
      <c r="J278" s="4">
        <v>141816</v>
      </c>
      <c r="K278" s="6">
        <f>IF(B278="","",IFERROR(AVERAGEIFS($I$4:$I278,$B$4:$B278,B278,$I$4:$I278,"&gt;"&amp;0),""))</f>
        <v>70.803030303030297</v>
      </c>
      <c r="L278" s="4" t="str">
        <f>IF(B278="","",IF(ISNA(MATCH(B278,Client_List!$B:$B,0)),"⚠ NOT FOUND","✓"))</f>
        <v>✓</v>
      </c>
    </row>
    <row r="279" spans="1:12" ht="14" customHeight="1" x14ac:dyDescent="0.2">
      <c r="A279" s="57">
        <v>46048</v>
      </c>
      <c r="B279" s="7" t="s">
        <v>94</v>
      </c>
      <c r="C279" s="3" t="str">
        <f>IF(B279="","",IFERROR(INDEX(Client_List!$C:$C,MATCH(B279,Client_List!$B:$B,0)),""))</f>
        <v>2</v>
      </c>
      <c r="D279" s="9" t="str">
        <f>IF(B279="","",IFERROR(INDEX(Client_List!$D:$D,MATCH(B279,Client_List!$B:$B,0)),""))</f>
        <v>2C</v>
      </c>
      <c r="E279" s="9" t="str">
        <f>IF(B279="","",IFERROR(INDEX(Client_List!$K:$K,MATCH(B279,Client_List!$B:$B,0)),""))</f>
        <v>CANOLA OIL</v>
      </c>
      <c r="F279" s="10">
        <f>IF(B279="","",IFERROR(INDEX(Client_List!$J:$J,MATCH(B279,Client_List!$B:$B,0)),""))</f>
        <v>450</v>
      </c>
      <c r="G279" s="10">
        <v>288</v>
      </c>
      <c r="H279" s="9">
        <f>IF(B279="","",IFERROR(A279-LOOKUP(2,1/($B$4:$B278=B279),$A$4:$A278),""))</f>
        <v>10</v>
      </c>
      <c r="I279" s="73">
        <f t="shared" si="4"/>
        <v>28.8</v>
      </c>
      <c r="J279" s="9">
        <v>141813</v>
      </c>
      <c r="K279" s="6">
        <f>IF(B279="","",IFERROR(AVERAGEIFS($I$4:$I279,$B$4:$B279,B279,$I$4:$I279,"&gt;"&amp;0),""))</f>
        <v>33.172727272727272</v>
      </c>
      <c r="L279" s="9" t="str">
        <f>IF(B279="","",IF(ISNA(MATCH(B279,Client_List!$B:$B,0)),"⚠ NOT FOUND","✓"))</f>
        <v>✓</v>
      </c>
    </row>
    <row r="280" spans="1:12" ht="14" customHeight="1" x14ac:dyDescent="0.2">
      <c r="A280" s="56">
        <v>46048</v>
      </c>
      <c r="B280" s="2" t="s">
        <v>190</v>
      </c>
      <c r="C280" s="3" t="str">
        <f>IF(B280="","",IFERROR(INDEX(Client_List!$C:$C,MATCH(B280,Client_List!$B:$B,0)),""))</f>
        <v>2</v>
      </c>
      <c r="D280" s="4" t="str">
        <f>IF(B280="","",IFERROR(INDEX(Client_List!$D:$D,MATCH(B280,Client_List!$B:$B,0)),""))</f>
        <v>2C</v>
      </c>
      <c r="E280" s="4" t="str">
        <f>IF(B280="","",IFERROR(INDEX(Client_List!$K:$K,MATCH(B280,Client_List!$B:$B,0)),""))</f>
        <v>CANOLA OIL</v>
      </c>
      <c r="F280" s="5">
        <f>IF(B280="","",IFERROR(INDEX(Client_List!$J:$J,MATCH(B280,Client_List!$B:$B,0)),""))</f>
        <v>1050</v>
      </c>
      <c r="G280" s="5">
        <v>797</v>
      </c>
      <c r="H280" s="4">
        <f>IF(B280="","",IFERROR(A280-LOOKUP(2,1/($B$4:$B279=B280),$A$4:$A279),""))</f>
        <v>6</v>
      </c>
      <c r="I280" s="72">
        <f t="shared" si="4"/>
        <v>132.83333333333334</v>
      </c>
      <c r="J280" s="4">
        <v>141809</v>
      </c>
      <c r="K280" s="6">
        <f>IF(B280="","",IFERROR(AVERAGEIFS($I$4:$I280,$B$4:$B280,B280,$I$4:$I280,"&gt;"&amp;0),""))</f>
        <v>122.30753968253968</v>
      </c>
      <c r="L280" s="4" t="str">
        <f>IF(B280="","",IF(ISNA(MATCH(B280,Client_List!$B:$B,0)),"⚠ NOT FOUND","✓"))</f>
        <v>✓</v>
      </c>
    </row>
    <row r="281" spans="1:12" ht="14" customHeight="1" x14ac:dyDescent="0.2">
      <c r="A281" s="57">
        <v>46048</v>
      </c>
      <c r="B281" s="7" t="s">
        <v>250</v>
      </c>
      <c r="C281" s="13" t="str">
        <f>IF(B281="","",IFERROR(INDEX(Client_List!$C:$C,MATCH(B281,Client_List!$B:$B,0)),""))</f>
        <v>2</v>
      </c>
      <c r="D281" s="9" t="str">
        <f>IF(B281="","",IFERROR(INDEX(Client_List!$D:$D,MATCH(B281,Client_List!$B:$B,0)),""))</f>
        <v>2D</v>
      </c>
      <c r="E281" s="9" t="str">
        <f>IF(B281="","",IFERROR(INDEX(Client_List!$K:$K,MATCH(B281,Client_List!$B:$B,0)),""))</f>
        <v>FRYERS CHOICE BLEND</v>
      </c>
      <c r="F281" s="10">
        <f>IF(B281="","",IFERROR(INDEX(Client_List!$J:$J,MATCH(B281,Client_List!$B:$B,0)),""))</f>
        <v>950</v>
      </c>
      <c r="G281" s="10">
        <v>753</v>
      </c>
      <c r="H281" s="9">
        <f>IF(B281="","",IFERROR(A281-LOOKUP(2,1/($B$4:$B280=B281),$A$4:$A280),""))</f>
        <v>6</v>
      </c>
      <c r="I281" s="73">
        <f t="shared" si="4"/>
        <v>125.5</v>
      </c>
      <c r="J281" s="9">
        <v>141807</v>
      </c>
      <c r="K281" s="6">
        <f>IF(B281="","",IFERROR(AVERAGEIFS($I$4:$I281,$B$4:$B281,B281,$I$4:$I281,"&gt;"&amp;0),""))</f>
        <v>117.60119047619048</v>
      </c>
      <c r="L281" s="9" t="str">
        <f>IF(B281="","",IF(ISNA(MATCH(B281,Client_List!$B:$B,0)),"⚠ NOT FOUND","✓"))</f>
        <v>✓</v>
      </c>
    </row>
    <row r="282" spans="1:12" ht="14" customHeight="1" x14ac:dyDescent="0.2">
      <c r="A282" s="56">
        <v>46048</v>
      </c>
      <c r="B282" s="2" t="s">
        <v>256</v>
      </c>
      <c r="C282" s="3" t="str">
        <f>IF(B282="","",IFERROR(INDEX(Client_List!$C:$C,MATCH(B282,Client_List!$B:$B,0)),""))</f>
        <v>3</v>
      </c>
      <c r="D282" s="4" t="str">
        <f>IF(B282="","",IFERROR(INDEX(Client_List!$D:$D,MATCH(B282,Client_List!$B:$B,0)),""))</f>
        <v>3E</v>
      </c>
      <c r="E282" s="4" t="str">
        <f>IF(B282="","",IFERROR(INDEX(Client_List!$K:$K,MATCH(B282,Client_List!$B:$B,0)),""))</f>
        <v>FRYERS CHOICE BLEND</v>
      </c>
      <c r="F282" s="5">
        <f>IF(B282="","",IFERROR(INDEX(Client_List!$J:$J,MATCH(B282,Client_List!$B:$B,0)),""))</f>
        <v>950</v>
      </c>
      <c r="G282" s="5">
        <v>588</v>
      </c>
      <c r="H282" s="4">
        <f>IF(B282="","",IFERROR(A282-LOOKUP(2,1/($B$4:$B281=B282),$A$4:$A281),""))</f>
        <v>6</v>
      </c>
      <c r="I282" s="72">
        <f t="shared" si="4"/>
        <v>98</v>
      </c>
      <c r="J282" s="4">
        <v>141808</v>
      </c>
      <c r="K282" s="6">
        <f>IF(B282="","",IFERROR(AVERAGEIFS($I$4:$I282,$B$4:$B282,B282,$I$4:$I282,"&gt;"&amp;0),""))</f>
        <v>93.042328042328037</v>
      </c>
      <c r="L282" s="4" t="str">
        <f>IF(B282="","",IF(ISNA(MATCH(B282,Client_List!$B:$B,0)),"⚠ NOT FOUND","✓"))</f>
        <v>✓</v>
      </c>
    </row>
    <row r="283" spans="1:12" ht="14" customHeight="1" x14ac:dyDescent="0.2">
      <c r="A283" s="57">
        <v>46048</v>
      </c>
      <c r="B283" s="7" t="s">
        <v>264</v>
      </c>
      <c r="C283" s="13" t="str">
        <f>IF(B283="","",IFERROR(INDEX(Client_List!$C:$C,MATCH(B283,Client_List!$B:$B,0)),""))</f>
        <v>2</v>
      </c>
      <c r="D283" s="9" t="str">
        <f>IF(B283="","",IFERROR(INDEX(Client_List!$D:$D,MATCH(B283,Client_List!$B:$B,0)),""))</f>
        <v>2D</v>
      </c>
      <c r="E283" s="9" t="str">
        <f>IF(B283="","",IFERROR(INDEX(Client_List!$K:$K,MATCH(B283,Client_List!$B:$B,0)),""))</f>
        <v>FRYERS CHOICE BLEND</v>
      </c>
      <c r="F283" s="10">
        <f>IF(B283="","",IFERROR(INDEX(Client_List!$J:$J,MATCH(B283,Client_List!$B:$B,0)),""))</f>
        <v>1950</v>
      </c>
      <c r="G283" s="10">
        <v>904</v>
      </c>
      <c r="H283" s="9">
        <f>IF(B283="","",IFERROR(A283-LOOKUP(2,1/($B$4:$B282=B283),$A$4:$A282),""))</f>
        <v>11</v>
      </c>
      <c r="I283" s="73">
        <f t="shared" si="4"/>
        <v>82.181818181818187</v>
      </c>
      <c r="J283" s="9">
        <v>141810</v>
      </c>
      <c r="K283" s="6">
        <f>IF(B283="","",IFERROR(AVERAGEIFS($I$4:$I283,$B$4:$B283,B283,$I$4:$I283,"&gt;"&amp;0),""))</f>
        <v>90.924242424242436</v>
      </c>
      <c r="L283" s="9" t="str">
        <f>IF(B283="","",IF(ISNA(MATCH(B283,Client_List!$B:$B,0)),"⚠ NOT FOUND","✓"))</f>
        <v>✓</v>
      </c>
    </row>
    <row r="284" spans="1:12" ht="14" customHeight="1" x14ac:dyDescent="0.2">
      <c r="A284" s="56">
        <v>46048</v>
      </c>
      <c r="B284" s="2" t="s">
        <v>288</v>
      </c>
      <c r="C284" s="13" t="str">
        <f>IF(B284="","",IFERROR(INDEX(Client_List!$C:$C,MATCH(B284,Client_List!$B:$B,0)),""))</f>
        <v>3</v>
      </c>
      <c r="D284" s="4" t="str">
        <f>IF(B284="","",IFERROR(INDEX(Client_List!$D:$D,MATCH(B284,Client_List!$B:$B,0)),""))</f>
        <v>3C</v>
      </c>
      <c r="E284" s="4" t="str">
        <f>IF(B284="","",IFERROR(INDEX(Client_List!$K:$K,MATCH(B284,Client_List!$B:$B,0)),""))</f>
        <v>CANOLA OIL</v>
      </c>
      <c r="F284" s="5">
        <f>IF(B284="","",IFERROR(INDEX(Client_List!$J:$J,MATCH(B284,Client_List!$B:$B,0)),""))</f>
        <v>620</v>
      </c>
      <c r="G284" s="5">
        <v>429</v>
      </c>
      <c r="H284" s="4">
        <f>IF(B284="","",IFERROR(A284-LOOKUP(2,1/($B$4:$B283=B284),$A$4:$A283),""))</f>
        <v>12</v>
      </c>
      <c r="I284" s="72">
        <f t="shared" si="4"/>
        <v>35.75</v>
      </c>
      <c r="J284" s="4">
        <v>141812</v>
      </c>
      <c r="K284" s="6">
        <f>IF(B284="","",IFERROR(AVERAGEIFS($I$4:$I284,$B$4:$B284,B284,$I$4:$I284,"&gt;"&amp;0),""))</f>
        <v>35.75</v>
      </c>
      <c r="L284" s="4" t="str">
        <f>IF(B284="","",IF(ISNA(MATCH(B284,Client_List!$B:$B,0)),"⚠ NOT FOUND","✓"))</f>
        <v>✓</v>
      </c>
    </row>
    <row r="285" spans="1:12" ht="14" customHeight="1" x14ac:dyDescent="0.2">
      <c r="A285" s="57">
        <v>46048</v>
      </c>
      <c r="B285" s="7" t="s">
        <v>292</v>
      </c>
      <c r="C285" s="11" t="str">
        <f>IF(B285="","",IFERROR(INDEX(Client_List!$C:$C,MATCH(B285,Client_List!$B:$B,0)),""))</f>
        <v>3</v>
      </c>
      <c r="D285" s="9" t="str">
        <f>IF(B285="","",IFERROR(INDEX(Client_List!$D:$D,MATCH(B285,Client_List!$B:$B,0)),""))</f>
        <v>3D</v>
      </c>
      <c r="E285" s="9" t="str">
        <f>IF(B285="","",IFERROR(INDEX(Client_List!$K:$K,MATCH(B285,Client_List!$B:$B,0)),""))</f>
        <v>CANOLA OIL</v>
      </c>
      <c r="F285" s="10">
        <f>IF(B285="","",IFERROR(INDEX(Client_List!$J:$J,MATCH(B285,Client_List!$B:$B,0)),""))</f>
        <v>450</v>
      </c>
      <c r="G285" s="10">
        <v>365</v>
      </c>
      <c r="H285" s="9">
        <f>IF(B285="","",IFERROR(A285-LOOKUP(2,1/($B$4:$B284=B285),$A$4:$A284),""))</f>
        <v>83</v>
      </c>
      <c r="I285" s="73">
        <f t="shared" si="4"/>
        <v>4.3975903614457827</v>
      </c>
      <c r="J285" s="9"/>
      <c r="K285" s="6">
        <f>IF(B285="","",IFERROR(AVERAGEIFS($I$4:$I285,$B$4:$B285,B285,$I$4:$I285,"&gt;"&amp;0),""))</f>
        <v>4.3975903614457827</v>
      </c>
      <c r="L285" s="9" t="str">
        <f>IF(B285="","",IF(ISNA(MATCH(B285,Client_List!$B:$B,0)),"⚠ NOT FOUND","✓"))</f>
        <v>✓</v>
      </c>
    </row>
    <row r="286" spans="1:12" ht="14" customHeight="1" x14ac:dyDescent="0.2">
      <c r="A286" s="56">
        <v>46048</v>
      </c>
      <c r="B286" s="2" t="s">
        <v>300</v>
      </c>
      <c r="C286" s="3" t="str">
        <f>IF(B286="","",IFERROR(INDEX(Client_List!$C:$C,MATCH(B286,Client_List!$B:$B,0)),""))</f>
        <v>4</v>
      </c>
      <c r="D286" s="4" t="str">
        <f>IF(B286="","",IFERROR(INDEX(Client_List!$D:$D,MATCH(B286,Client_List!$B:$B,0)),""))</f>
        <v>4C</v>
      </c>
      <c r="E286" s="4" t="str">
        <f>IF(B286="","",IFERROR(INDEX(Client_List!$K:$K,MATCH(B286,Client_List!$B:$B,0)),""))</f>
        <v>FRYERS CHOICE BLEND</v>
      </c>
      <c r="F286" s="5">
        <f>IF(B286="","",IFERROR(INDEX(Client_List!$J:$J,MATCH(B286,Client_List!$B:$B,0)),""))</f>
        <v>350</v>
      </c>
      <c r="G286" s="5">
        <v>287</v>
      </c>
      <c r="H286" s="4">
        <f>IF(B286="","",IFERROR(A286-LOOKUP(2,1/($B$4:$B285=B286),$A$4:$A285),""))</f>
        <v>7</v>
      </c>
      <c r="I286" s="72">
        <f t="shared" si="4"/>
        <v>41</v>
      </c>
      <c r="J286" s="4">
        <v>141815</v>
      </c>
      <c r="K286" s="6">
        <f>IF(B286="","",IFERROR(AVERAGEIFS($I$4:$I286,$B$4:$B286,B286,$I$4:$I286,"&gt;"&amp;0),""))</f>
        <v>41</v>
      </c>
      <c r="L286" s="4" t="str">
        <f>IF(B286="","",IF(ISNA(MATCH(B286,Client_List!$B:$B,0)),"⚠ NOT FOUND","✓"))</f>
        <v>✓</v>
      </c>
    </row>
    <row r="287" spans="1:12" ht="14" customHeight="1" x14ac:dyDescent="0.2">
      <c r="A287" s="57">
        <v>46048</v>
      </c>
      <c r="B287" s="7" t="s">
        <v>340</v>
      </c>
      <c r="C287" s="11" t="str">
        <f>IF(B287="","",IFERROR(INDEX(Client_List!$C:$C,MATCH(B287,Client_List!$B:$B,0)),""))</f>
        <v>2</v>
      </c>
      <c r="D287" s="9" t="str">
        <f>IF(B287="","",IFERROR(INDEX(Client_List!$D:$D,MATCH(B287,Client_List!$B:$B,0)),""))</f>
        <v>2C</v>
      </c>
      <c r="E287" s="9" t="str">
        <f>IF(B287="","",IFERROR(INDEX(Client_List!$K:$K,MATCH(B287,Client_List!$B:$B,0)),""))</f>
        <v>FRYERS CHOICE BLEND</v>
      </c>
      <c r="F287" s="10">
        <f>IF(B287="","",IFERROR(INDEX(Client_List!$J:$J,MATCH(B287,Client_List!$B:$B,0)),""))</f>
        <v>300</v>
      </c>
      <c r="G287" s="10">
        <v>278</v>
      </c>
      <c r="H287" s="9">
        <f>IF(B287="","",IFERROR(A287-LOOKUP(2,1/($B$4:$B286=B287),$A$4:$A286),""))</f>
        <v>7</v>
      </c>
      <c r="I287" s="73">
        <f t="shared" si="4"/>
        <v>39.714285714285715</v>
      </c>
      <c r="J287" s="9">
        <v>141814</v>
      </c>
      <c r="K287" s="6">
        <f>IF(B287="","",IFERROR(AVERAGEIFS($I$4:$I287,$B$4:$B287,B287,$I$4:$I287,"&gt;"&amp;0),""))</f>
        <v>33.084415584415581</v>
      </c>
      <c r="L287" s="9" t="str">
        <f>IF(B287="","",IF(ISNA(MATCH(B287,Client_List!$B:$B,0)),"⚠ NOT FOUND","✓"))</f>
        <v>✓</v>
      </c>
    </row>
    <row r="288" spans="1:12" ht="14" customHeight="1" x14ac:dyDescent="0.2">
      <c r="A288" s="56">
        <v>46049</v>
      </c>
      <c r="B288" s="2" t="s">
        <v>51</v>
      </c>
      <c r="C288" s="13" t="str">
        <f>IF(B288="","",IFERROR(INDEX(Client_List!$C:$C,MATCH(B288,Client_List!$B:$B,0)),""))</f>
        <v>3</v>
      </c>
      <c r="D288" s="4" t="str">
        <f>IF(B288="","",IFERROR(INDEX(Client_List!$D:$D,MATCH(B288,Client_List!$B:$B,0)),""))</f>
        <v>3D</v>
      </c>
      <c r="E288" s="4" t="str">
        <f>IF(B288="","",IFERROR(INDEX(Client_List!$K:$K,MATCH(B288,Client_List!$B:$B,0)),""))</f>
        <v>CANOLA OIL</v>
      </c>
      <c r="F288" s="5">
        <f>IF(B288="","",IFERROR(INDEX(Client_List!$J:$J,MATCH(B288,Client_List!$B:$B,0)),""))</f>
        <v>700</v>
      </c>
      <c r="G288" s="5">
        <v>510</v>
      </c>
      <c r="H288" s="4">
        <f>IF(B288="","",IFERROR(A288-LOOKUP(2,1/($B$4:$B287=B288),$A$4:$A287),""))</f>
        <v>8</v>
      </c>
      <c r="I288" s="72">
        <f t="shared" si="4"/>
        <v>63.75</v>
      </c>
      <c r="J288" s="4">
        <v>141841</v>
      </c>
      <c r="K288" s="6">
        <f>IF(B288="","",IFERROR(AVERAGEIFS($I$4:$I288,$B$4:$B288,B288,$I$4:$I288,"&gt;"&amp;0),""))</f>
        <v>59.182692307692307</v>
      </c>
      <c r="L288" s="4" t="str">
        <f>IF(B288="","",IF(ISNA(MATCH(B288,Client_List!$B:$B,0)),"⚠ NOT FOUND","✓"))</f>
        <v>✓</v>
      </c>
    </row>
    <row r="289" spans="1:12" ht="14" customHeight="1" x14ac:dyDescent="0.2">
      <c r="A289" s="57">
        <v>46049</v>
      </c>
      <c r="B289" s="7" t="s">
        <v>85</v>
      </c>
      <c r="C289" s="8" t="str">
        <f>IF(B289="","",IFERROR(INDEX(Client_List!$C:$C,MATCH(B289,Client_List!$B:$B,0)),""))</f>
        <v>2</v>
      </c>
      <c r="D289" s="9" t="str">
        <f>IF(B289="","",IFERROR(INDEX(Client_List!$D:$D,MATCH(B289,Client_List!$B:$B,0)),""))</f>
        <v>2C</v>
      </c>
      <c r="E289" s="9" t="str">
        <f>IF(B289="","",IFERROR(INDEX(Client_List!$K:$K,MATCH(B289,Client_List!$B:$B,0)),""))</f>
        <v>CANOLA OIL</v>
      </c>
      <c r="F289" s="10">
        <f>IF(B289="","",IFERROR(INDEX(Client_List!$J:$J,MATCH(B289,Client_List!$B:$B,0)),""))</f>
        <v>1050</v>
      </c>
      <c r="G289" s="10">
        <v>860</v>
      </c>
      <c r="H289" s="9" t="str">
        <f>IF(B289="","",IFERROR(A289-LOOKUP(2,1/($B$4:$B288=B289),$A$4:$A288),""))</f>
        <v/>
      </c>
      <c r="I289" s="73" t="str">
        <f t="shared" si="4"/>
        <v/>
      </c>
      <c r="J289" s="9">
        <v>141845</v>
      </c>
      <c r="K289" s="6" t="str">
        <f>IF(B289="","",IFERROR(AVERAGEIFS($I$4:$I289,$B$4:$B289,B289,$I$4:$I289,"&gt;"&amp;0),""))</f>
        <v/>
      </c>
      <c r="L289" s="9" t="str">
        <f>IF(B289="","",IF(ISNA(MATCH(B289,Client_List!$B:$B,0)),"⚠ NOT FOUND","✓"))</f>
        <v>✓</v>
      </c>
    </row>
    <row r="290" spans="1:12" ht="14" customHeight="1" x14ac:dyDescent="0.2">
      <c r="A290" s="56">
        <v>46049</v>
      </c>
      <c r="B290" s="2" t="s">
        <v>128</v>
      </c>
      <c r="C290" s="12" t="str">
        <f>IF(B290="","",IFERROR(INDEX(Client_List!$C:$C,MATCH(B290,Client_List!$B:$B,0)),""))</f>
        <v>4</v>
      </c>
      <c r="D290" s="4" t="str">
        <f>IF(B290="","",IFERROR(INDEX(Client_List!$D:$D,MATCH(B290,Client_List!$B:$B,0)),""))</f>
        <v>4E</v>
      </c>
      <c r="E290" s="4" t="str">
        <f>IF(B290="","",IFERROR(INDEX(Client_List!$K:$K,MATCH(B290,Client_List!$B:$B,0)),""))</f>
        <v>CANOLA OIL</v>
      </c>
      <c r="F290" s="5">
        <f>IF(B290="","",IFERROR(INDEX(Client_List!$J:$J,MATCH(B290,Client_List!$B:$B,0)),""))</f>
        <v>700</v>
      </c>
      <c r="G290" s="5">
        <v>510</v>
      </c>
      <c r="H290" s="4">
        <f>IF(B290="","",IFERROR(A290-LOOKUP(2,1/($B$4:$B289=B290),$A$4:$A289),""))</f>
        <v>7</v>
      </c>
      <c r="I290" s="72">
        <f t="shared" si="4"/>
        <v>72.857142857142861</v>
      </c>
      <c r="J290" s="4">
        <v>141838</v>
      </c>
      <c r="K290" s="6">
        <f>IF(B290="","",IFERROR(AVERAGEIFS($I$4:$I290,$B$4:$B290,B290,$I$4:$I290,"&gt;"&amp;0),""))</f>
        <v>70.049603174603178</v>
      </c>
      <c r="L290" s="4" t="str">
        <f>IF(B290="","",IF(ISNA(MATCH(B290,Client_List!$B:$B,0)),"⚠ NOT FOUND","✓"))</f>
        <v>✓</v>
      </c>
    </row>
    <row r="291" spans="1:12" ht="14" customHeight="1" x14ac:dyDescent="0.2">
      <c r="A291" s="57">
        <v>46049</v>
      </c>
      <c r="B291" s="7" t="s">
        <v>156</v>
      </c>
      <c r="C291" s="13" t="str">
        <f>IF(B291="","",IFERROR(INDEX(Client_List!$C:$C,MATCH(B291,Client_List!$B:$B,0)),""))</f>
        <v>4</v>
      </c>
      <c r="D291" s="9" t="str">
        <f>IF(B291="","",IFERROR(INDEX(Client_List!$D:$D,MATCH(B291,Client_List!$B:$B,0)),""))</f>
        <v>4B</v>
      </c>
      <c r="E291" s="9" t="str">
        <f>IF(B291="","",IFERROR(INDEX(Client_List!$K:$K,MATCH(B291,Client_List!$B:$B,0)),""))</f>
        <v>CANOLA OIL</v>
      </c>
      <c r="F291" s="10">
        <f>IF(B291="","",IFERROR(INDEX(Client_List!$J:$J,MATCH(B291,Client_List!$B:$B,0)),""))</f>
        <v>1050</v>
      </c>
      <c r="G291" s="10">
        <v>1017</v>
      </c>
      <c r="H291" s="9">
        <f>IF(B291="","",IFERROR(A291-LOOKUP(2,1/($B$4:$B290=B291),$A$4:$A290),""))</f>
        <v>14</v>
      </c>
      <c r="I291" s="73">
        <f t="shared" si="4"/>
        <v>72.642857142857139</v>
      </c>
      <c r="J291" s="9">
        <v>141843</v>
      </c>
      <c r="K291" s="6">
        <f>IF(B291="","",IFERROR(AVERAGEIFS($I$4:$I291,$B$4:$B291,B291,$I$4:$I291,"&gt;"&amp;0),""))</f>
        <v>72.642857142857139</v>
      </c>
      <c r="L291" s="9" t="str">
        <f>IF(B291="","",IF(ISNA(MATCH(B291,Client_List!$B:$B,0)),"⚠ NOT FOUND","✓"))</f>
        <v>✓</v>
      </c>
    </row>
    <row r="292" spans="1:12" ht="14" customHeight="1" x14ac:dyDescent="0.2">
      <c r="A292" s="56">
        <v>46049</v>
      </c>
      <c r="B292" s="2" t="s">
        <v>172</v>
      </c>
      <c r="C292" s="3" t="str">
        <f>IF(B292="","",IFERROR(INDEX(Client_List!$C:$C,MATCH(B292,Client_List!$B:$B,0)),""))</f>
        <v>2</v>
      </c>
      <c r="D292" s="4" t="str">
        <f>IF(B292="","",IFERROR(INDEX(Client_List!$D:$D,MATCH(B292,Client_List!$B:$B,0)),""))</f>
        <v>2E</v>
      </c>
      <c r="E292" s="4" t="str">
        <f>IF(B292="","",IFERROR(INDEX(Client_List!$K:$K,MATCH(B292,Client_List!$B:$B,0)),""))</f>
        <v>CANOLA OIL</v>
      </c>
      <c r="F292" s="5">
        <f>IF(B292="","",IFERROR(INDEX(Client_List!$J:$J,MATCH(B292,Client_List!$B:$B,0)),""))</f>
        <v>1050</v>
      </c>
      <c r="G292" s="5">
        <v>952</v>
      </c>
      <c r="H292" s="4">
        <f>IF(B292="","",IFERROR(A292-LOOKUP(2,1/($B$4:$B291=B292),$A$4:$A291),""))</f>
        <v>14</v>
      </c>
      <c r="I292" s="72">
        <f t="shared" si="4"/>
        <v>68</v>
      </c>
      <c r="J292" s="4">
        <v>141836</v>
      </c>
      <c r="K292" s="6">
        <f>IF(B292="","",IFERROR(AVERAGEIFS($I$4:$I292,$B$4:$B292,B292,$I$4:$I292,"&gt;"&amp;0),""))</f>
        <v>68</v>
      </c>
      <c r="L292" s="4" t="str">
        <f>IF(B292="","",IF(ISNA(MATCH(B292,Client_List!$B:$B,0)),"⚠ NOT FOUND","✓"))</f>
        <v>✓</v>
      </c>
    </row>
    <row r="293" spans="1:12" ht="14" customHeight="1" x14ac:dyDescent="0.2">
      <c r="A293" s="57">
        <v>46049</v>
      </c>
      <c r="B293" s="7" t="s">
        <v>184</v>
      </c>
      <c r="C293" s="3" t="str">
        <f>IF(B293="","",IFERROR(INDEX(Client_List!$C:$C,MATCH(B293,Client_List!$B:$B,0)),""))</f>
        <v>3</v>
      </c>
      <c r="D293" s="9" t="str">
        <f>IF(B293="","",IFERROR(INDEX(Client_List!$D:$D,MATCH(B293,Client_List!$B:$B,0)),""))</f>
        <v>3C</v>
      </c>
      <c r="E293" s="9" t="str">
        <f>IF(B293="","",IFERROR(INDEX(Client_List!$K:$K,MATCH(B293,Client_List!$B:$B,0)),""))</f>
        <v>CANOLA OIL</v>
      </c>
      <c r="F293" s="10">
        <f>IF(B293="","",IFERROR(INDEX(Client_List!$J:$J,MATCH(B293,Client_List!$B:$B,0)),""))</f>
        <v>1050</v>
      </c>
      <c r="G293" s="10">
        <v>937</v>
      </c>
      <c r="H293" s="9">
        <f>IF(B293="","",IFERROR(A293-LOOKUP(2,1/($B$4:$B292=B293),$A$4:$A292),""))</f>
        <v>7</v>
      </c>
      <c r="I293" s="73">
        <f t="shared" si="4"/>
        <v>133.85714285714286</v>
      </c>
      <c r="J293" s="9">
        <v>141840</v>
      </c>
      <c r="K293" s="6">
        <f>IF(B293="","",IFERROR(AVERAGEIFS($I$4:$I293,$B$4:$B293,B293,$I$4:$I293,"&gt;"&amp;0),""))</f>
        <v>104.2012987012987</v>
      </c>
      <c r="L293" s="9" t="str">
        <f>IF(B293="","",IF(ISNA(MATCH(B293,Client_List!$B:$B,0)),"⚠ NOT FOUND","✓"))</f>
        <v>✓</v>
      </c>
    </row>
    <row r="294" spans="1:12" ht="14" customHeight="1" x14ac:dyDescent="0.2">
      <c r="A294" s="56">
        <v>46049</v>
      </c>
      <c r="B294" s="2" t="s">
        <v>200</v>
      </c>
      <c r="C294" s="3" t="str">
        <f>IF(B294="","",IFERROR(INDEX(Client_List!$C:$C,MATCH(B294,Client_List!$B:$B,0)),""))</f>
        <v>4</v>
      </c>
      <c r="D294" s="4" t="str">
        <f>IF(B294="","",IFERROR(INDEX(Client_List!$D:$D,MATCH(B294,Client_List!$B:$B,0)),""))</f>
        <v>4E</v>
      </c>
      <c r="E294" s="4" t="str">
        <f>IF(B294="","",IFERROR(INDEX(Client_List!$K:$K,MATCH(B294,Client_List!$B:$B,0)),""))</f>
        <v>CANOLA OIL</v>
      </c>
      <c r="F294" s="5">
        <f>IF(B294="","",IFERROR(INDEX(Client_List!$J:$J,MATCH(B294,Client_List!$B:$B,0)),""))</f>
        <v>2000</v>
      </c>
      <c r="G294" s="5">
        <v>1400</v>
      </c>
      <c r="H294" s="4">
        <f>IF(B294="","",IFERROR(A294-LOOKUP(2,1/($B$4:$B293=B294),$A$4:$A293),""))</f>
        <v>25</v>
      </c>
      <c r="I294" s="72">
        <f t="shared" si="4"/>
        <v>56</v>
      </c>
      <c r="J294" s="4">
        <v>141837</v>
      </c>
      <c r="K294" s="6">
        <f>IF(B294="","",IFERROR(AVERAGEIFS($I$4:$I294,$B$4:$B294,B294,$I$4:$I294,"&gt;"&amp;0),""))</f>
        <v>56</v>
      </c>
      <c r="L294" s="4" t="str">
        <f>IF(B294="","",IF(ISNA(MATCH(B294,Client_List!$B:$B,0)),"⚠ NOT FOUND","✓"))</f>
        <v>✓</v>
      </c>
    </row>
    <row r="295" spans="1:12" ht="14" customHeight="1" x14ac:dyDescent="0.2">
      <c r="A295" s="57">
        <v>46049</v>
      </c>
      <c r="B295" s="7" t="s">
        <v>206</v>
      </c>
      <c r="C295" s="12" t="str">
        <f>IF(B295="","",IFERROR(INDEX(Client_List!$C:$C,MATCH(B295,Client_List!$B:$B,0)),""))</f>
        <v>4</v>
      </c>
      <c r="D295" s="9" t="str">
        <f>IF(B295="","",IFERROR(INDEX(Client_List!$D:$D,MATCH(B295,Client_List!$B:$B,0)),""))</f>
        <v>4C</v>
      </c>
      <c r="E295" s="9" t="str">
        <f>IF(B295="","",IFERROR(INDEX(Client_List!$K:$K,MATCH(B295,Client_List!$B:$B,0)),""))</f>
        <v>CANOLA OIL</v>
      </c>
      <c r="F295" s="10">
        <f>IF(B295="","",IFERROR(INDEX(Client_List!$J:$J,MATCH(B295,Client_List!$B:$B,0)),""))</f>
        <v>1050</v>
      </c>
      <c r="G295" s="10">
        <v>1061</v>
      </c>
      <c r="H295" s="9">
        <f>IF(B295="","",IFERROR(A295-LOOKUP(2,1/($B$4:$B294=B295),$A$4:$A294),""))</f>
        <v>12</v>
      </c>
      <c r="I295" s="73">
        <f t="shared" si="4"/>
        <v>88.416666666666671</v>
      </c>
      <c r="J295" s="9">
        <v>141844</v>
      </c>
      <c r="K295" s="6">
        <f>IF(B295="","",IFERROR(AVERAGEIFS($I$4:$I295,$B$4:$B295,B295,$I$4:$I295,"&gt;"&amp;0),""))</f>
        <v>88.416666666666671</v>
      </c>
      <c r="L295" s="9" t="str">
        <f>IF(B295="","",IF(ISNA(MATCH(B295,Client_List!$B:$B,0)),"⚠ NOT FOUND","✓"))</f>
        <v>✓</v>
      </c>
    </row>
    <row r="296" spans="1:12" ht="14" customHeight="1" x14ac:dyDescent="0.2">
      <c r="A296" s="56">
        <v>46049</v>
      </c>
      <c r="B296" s="2" t="s">
        <v>220</v>
      </c>
      <c r="C296" s="3" t="str">
        <f>IF(B296="","",IFERROR(INDEX(Client_List!$C:$C,MATCH(B296,Client_List!$B:$B,0)),""))</f>
        <v>4</v>
      </c>
      <c r="D296" s="4" t="str">
        <f>IF(B296="","",IFERROR(INDEX(Client_List!$D:$D,MATCH(B296,Client_List!$B:$B,0)),""))</f>
        <v>4A</v>
      </c>
      <c r="E296" s="4" t="str">
        <f>IF(B296="","",IFERROR(INDEX(Client_List!$K:$K,MATCH(B296,Client_List!$B:$B,0)),""))</f>
        <v>CANOLA OIL</v>
      </c>
      <c r="F296" s="5">
        <f>IF(B296="","",IFERROR(INDEX(Client_List!$J:$J,MATCH(B296,Client_List!$B:$B,0)),""))</f>
        <v>480</v>
      </c>
      <c r="G296" s="5">
        <v>373</v>
      </c>
      <c r="H296" s="4">
        <f>IF(B296="","",IFERROR(A296-LOOKUP(2,1/($B$4:$B295=B296),$A$4:$A295),""))</f>
        <v>14</v>
      </c>
      <c r="I296" s="72">
        <f t="shared" si="4"/>
        <v>26.642857142857142</v>
      </c>
      <c r="J296" s="4">
        <v>141839</v>
      </c>
      <c r="K296" s="6">
        <f>IF(B296="","",IFERROR(AVERAGEIFS($I$4:$I296,$B$4:$B296,B296,$I$4:$I296,"&gt;"&amp;0),""))</f>
        <v>26.642857142857142</v>
      </c>
      <c r="L296" s="4" t="str">
        <f>IF(B296="","",IF(ISNA(MATCH(B296,Client_List!$B:$B,0)),"⚠ NOT FOUND","✓"))</f>
        <v>✓</v>
      </c>
    </row>
    <row r="297" spans="1:12" ht="14" customHeight="1" x14ac:dyDescent="0.2">
      <c r="A297" s="57">
        <v>46049</v>
      </c>
      <c r="B297" s="7" t="s">
        <v>294</v>
      </c>
      <c r="C297" s="12" t="str">
        <f>IF(B297="","",IFERROR(INDEX(Client_List!$C:$C,MATCH(B297,Client_List!$B:$B,0)),""))</f>
        <v>4</v>
      </c>
      <c r="D297" s="9" t="str">
        <f>IF(B297="","",IFERROR(INDEX(Client_List!$D:$D,MATCH(B297,Client_List!$B:$B,0)),""))</f>
        <v>4D</v>
      </c>
      <c r="E297" s="9" t="str">
        <f>IF(B297="","",IFERROR(INDEX(Client_List!$K:$K,MATCH(B297,Client_List!$B:$B,0)),""))</f>
        <v>CANOLA OIL</v>
      </c>
      <c r="F297" s="10">
        <f>IF(B297="","",IFERROR(INDEX(Client_List!$J:$J,MATCH(B297,Client_List!$B:$B,0)),""))</f>
        <v>1500</v>
      </c>
      <c r="G297" s="10">
        <v>1252</v>
      </c>
      <c r="H297" s="9" t="str">
        <f>IF(B297="","",IFERROR(A297-LOOKUP(2,1/($B$4:$B296=B297),$A$4:$A296),""))</f>
        <v/>
      </c>
      <c r="I297" s="73" t="str">
        <f t="shared" si="4"/>
        <v/>
      </c>
      <c r="J297" s="9">
        <v>141842</v>
      </c>
      <c r="K297" s="6" t="str">
        <f>IF(B297="","",IFERROR(AVERAGEIFS($I$4:$I297,$B$4:$B297,B297,$I$4:$I297,"&gt;"&amp;0),""))</f>
        <v/>
      </c>
      <c r="L297" s="9" t="str">
        <f>IF(B297="","",IF(ISNA(MATCH(B297,Client_List!$B:$B,0)),"⚠ NOT FOUND","✓"))</f>
        <v>✓</v>
      </c>
    </row>
    <row r="298" spans="1:12" ht="14" customHeight="1" x14ac:dyDescent="0.2">
      <c r="A298" s="56">
        <v>46050</v>
      </c>
      <c r="B298" s="2" t="s">
        <v>61</v>
      </c>
      <c r="C298" s="3" t="str">
        <f>IF(B298="","",IFERROR(INDEX(Client_List!$C:$C,MATCH(B298,Client_List!$B:$B,0)),""))</f>
        <v>3</v>
      </c>
      <c r="D298" s="4" t="str">
        <f>IF(B298="","",IFERROR(INDEX(Client_List!$D:$D,MATCH(B298,Client_List!$B:$B,0)),""))</f>
        <v>3D</v>
      </c>
      <c r="E298" s="4" t="str">
        <f>IF(B298="","",IFERROR(INDEX(Client_List!$K:$K,MATCH(B298,Client_List!$B:$B,0)),""))</f>
        <v>CANOLA OIL</v>
      </c>
      <c r="F298" s="5">
        <f>IF(B298="","",IFERROR(INDEX(Client_List!$J:$J,MATCH(B298,Client_List!$B:$B,0)),""))</f>
        <v>350</v>
      </c>
      <c r="G298" s="5">
        <v>311</v>
      </c>
      <c r="H298" s="4">
        <f>IF(B298="","",IFERROR(A298-LOOKUP(2,1/($B$4:$B297=B298),$A$4:$A297),""))</f>
        <v>7</v>
      </c>
      <c r="I298" s="72">
        <f t="shared" si="4"/>
        <v>44.428571428571431</v>
      </c>
      <c r="J298" s="4">
        <v>141871</v>
      </c>
      <c r="K298" s="6">
        <f>IF(B298="","",IFERROR(AVERAGEIFS($I$4:$I298,$B$4:$B298,B298,$I$4:$I298,"&gt;"&amp;0),""))</f>
        <v>44.428571428571431</v>
      </c>
      <c r="L298" s="4" t="str">
        <f>IF(B298="","",IF(ISNA(MATCH(B298,Client_List!$B:$B,0)),"⚠ NOT FOUND","✓"))</f>
        <v>✓</v>
      </c>
    </row>
    <row r="299" spans="1:12" ht="14" customHeight="1" x14ac:dyDescent="0.2">
      <c r="A299" s="57">
        <v>46050</v>
      </c>
      <c r="B299" s="7" t="s">
        <v>118</v>
      </c>
      <c r="C299" s="13" t="str">
        <f>IF(B299="","",IFERROR(INDEX(Client_List!$C:$C,MATCH(B299,Client_List!$B:$B,0)),""))</f>
        <v>4</v>
      </c>
      <c r="D299" s="9" t="str">
        <f>IF(B299="","",IFERROR(INDEX(Client_List!$D:$D,MATCH(B299,Client_List!$B:$B,0)),""))</f>
        <v>4E</v>
      </c>
      <c r="E299" s="9" t="str">
        <f>IF(B299="","",IFERROR(INDEX(Client_List!$K:$K,MATCH(B299,Client_List!$B:$B,0)),""))</f>
        <v>CANOLA OIL</v>
      </c>
      <c r="F299" s="10">
        <f>IF(B299="","",IFERROR(INDEX(Client_List!$J:$J,MATCH(B299,Client_List!$B:$B,0)),""))</f>
        <v>2500</v>
      </c>
      <c r="G299" s="10">
        <v>2004</v>
      </c>
      <c r="H299" s="9">
        <f>IF(B299="","",IFERROR(A299-LOOKUP(2,1/($B$4:$B298=B299),$A$4:$A298),""))</f>
        <v>7</v>
      </c>
      <c r="I299" s="73">
        <f t="shared" si="4"/>
        <v>286.28571428571428</v>
      </c>
      <c r="J299" s="9">
        <v>141875</v>
      </c>
      <c r="K299" s="6">
        <f>IF(B299="","",IFERROR(AVERAGEIFS($I$4:$I299,$B$4:$B299,B299,$I$4:$I299,"&gt;"&amp;0),""))</f>
        <v>288.05079365079365</v>
      </c>
      <c r="L299" s="9" t="str">
        <f>IF(B299="","",IF(ISNA(MATCH(B299,Client_List!$B:$B,0)),"⚠ NOT FOUND","✓"))</f>
        <v>✓</v>
      </c>
    </row>
    <row r="300" spans="1:12" ht="14" customHeight="1" x14ac:dyDescent="0.2">
      <c r="A300" s="56">
        <v>46050</v>
      </c>
      <c r="B300" s="2" t="s">
        <v>134</v>
      </c>
      <c r="C300" s="11" t="str">
        <f>IF(B300="","",IFERROR(INDEX(Client_List!$C:$C,MATCH(B300,Client_List!$B:$B,0)),""))</f>
        <v>3</v>
      </c>
      <c r="D300" s="4" t="str">
        <f>IF(B300="","",IFERROR(INDEX(Client_List!$D:$D,MATCH(B300,Client_List!$B:$B,0)),""))</f>
        <v>3D</v>
      </c>
      <c r="E300" s="4" t="str">
        <f>IF(B300="","",IFERROR(INDEX(Client_List!$K:$K,MATCH(B300,Client_List!$B:$B,0)),""))</f>
        <v>CANOLA OIL</v>
      </c>
      <c r="F300" s="5">
        <f>IF(B300="","",IFERROR(INDEX(Client_List!$J:$J,MATCH(B300,Client_List!$B:$B,0)),""))</f>
        <v>1850</v>
      </c>
      <c r="G300" s="5">
        <v>1252</v>
      </c>
      <c r="H300" s="4">
        <f>IF(B300="","",IFERROR(A300-LOOKUP(2,1/($B$4:$B299=B300),$A$4:$A299),""))</f>
        <v>19</v>
      </c>
      <c r="I300" s="72">
        <f t="shared" si="4"/>
        <v>65.89473684210526</v>
      </c>
      <c r="J300" s="4">
        <v>141869</v>
      </c>
      <c r="K300" s="6">
        <f>IF(B300="","",IFERROR(AVERAGEIFS($I$4:$I300,$B$4:$B300,B300,$I$4:$I300,"&gt;"&amp;0),""))</f>
        <v>65.89473684210526</v>
      </c>
      <c r="L300" s="4" t="str">
        <f>IF(B300="","",IF(ISNA(MATCH(B300,Client_List!$B:$B,0)),"⚠ NOT FOUND","✓"))</f>
        <v>✓</v>
      </c>
    </row>
    <row r="301" spans="1:12" ht="14" customHeight="1" x14ac:dyDescent="0.2">
      <c r="A301" s="57">
        <v>46050</v>
      </c>
      <c r="B301" s="7" t="s">
        <v>140</v>
      </c>
      <c r="C301" s="12" t="str">
        <f>IF(B301="","",IFERROR(INDEX(Client_List!$C:$C,MATCH(B301,Client_List!$B:$B,0)),""))</f>
        <v>5</v>
      </c>
      <c r="D301" s="9" t="str">
        <f>IF(B301="","",IFERROR(INDEX(Client_List!$D:$D,MATCH(B301,Client_List!$B:$B,0)),""))</f>
        <v>5E</v>
      </c>
      <c r="E301" s="9" t="str">
        <f>IF(B301="","",IFERROR(INDEX(Client_List!$K:$K,MATCH(B301,Client_List!$B:$B,0)),""))</f>
        <v>CANOLA OIL</v>
      </c>
      <c r="F301" s="10">
        <f>IF(B301="","",IFERROR(INDEX(Client_List!$J:$J,MATCH(B301,Client_List!$B:$B,0)),""))</f>
        <v>350</v>
      </c>
      <c r="G301" s="10">
        <v>348</v>
      </c>
      <c r="H301" s="9">
        <f>IF(B301="","",IFERROR(A301-LOOKUP(2,1/($B$4:$B300=B301),$A$4:$A300),""))</f>
        <v>9</v>
      </c>
      <c r="I301" s="73">
        <f t="shared" si="4"/>
        <v>38.666666666666664</v>
      </c>
      <c r="J301" s="9">
        <v>141873</v>
      </c>
      <c r="K301" s="6">
        <f>IF(B301="","",IFERROR(AVERAGEIFS($I$4:$I301,$B$4:$B301,B301,$I$4:$I301,"&gt;"&amp;0),""))</f>
        <v>65.333333333333329</v>
      </c>
      <c r="L301" s="9" t="str">
        <f>IF(B301="","",IF(ISNA(MATCH(B301,Client_List!$B:$B,0)),"⚠ NOT FOUND","✓"))</f>
        <v>✓</v>
      </c>
    </row>
    <row r="302" spans="1:12" ht="14" customHeight="1" x14ac:dyDescent="0.2">
      <c r="A302" s="56">
        <v>46050</v>
      </c>
      <c r="B302" s="2" t="s">
        <v>150</v>
      </c>
      <c r="C302" s="12" t="str">
        <f>IF(B302="","",IFERROR(INDEX(Client_List!$C:$C,MATCH(B302,Client_List!$B:$B,0)),""))</f>
        <v>4</v>
      </c>
      <c r="D302" s="4" t="str">
        <f>IF(B302="","",IFERROR(INDEX(Client_List!$D:$D,MATCH(B302,Client_List!$B:$B,0)),""))</f>
        <v>4B</v>
      </c>
      <c r="E302" s="4" t="str">
        <f>IF(B302="","",IFERROR(INDEX(Client_List!$K:$K,MATCH(B302,Client_List!$B:$B,0)),""))</f>
        <v>FRYERS CHOICE BLEND</v>
      </c>
      <c r="F302" s="5">
        <f>IF(B302="","",IFERROR(INDEX(Client_List!$J:$J,MATCH(B302,Client_List!$B:$B,0)),""))</f>
        <v>620</v>
      </c>
      <c r="G302" s="5">
        <v>300</v>
      </c>
      <c r="H302" s="4" t="str">
        <f>IF(B302="","",IFERROR(A302-LOOKUP(2,1/($B$4:$B301=B302),$A$4:$A301),""))</f>
        <v/>
      </c>
      <c r="I302" s="72" t="str">
        <f t="shared" si="4"/>
        <v/>
      </c>
      <c r="J302" s="4">
        <v>141872</v>
      </c>
      <c r="K302" s="6" t="str">
        <f>IF(B302="","",IFERROR(AVERAGEIFS($I$4:$I302,$B$4:$B302,B302,$I$4:$I302,"&gt;"&amp;0),""))</f>
        <v/>
      </c>
      <c r="L302" s="4" t="str">
        <f>IF(B302="","",IF(ISNA(MATCH(B302,Client_List!$B:$B,0)),"⚠ NOT FOUND","✓"))</f>
        <v>✓</v>
      </c>
    </row>
    <row r="303" spans="1:12" ht="14" customHeight="1" x14ac:dyDescent="0.2">
      <c r="A303" s="57">
        <v>46050</v>
      </c>
      <c r="B303" s="7" t="s">
        <v>180</v>
      </c>
      <c r="C303" s="12" t="str">
        <f>IF(B303="","",IFERROR(INDEX(Client_List!$C:$C,MATCH(B303,Client_List!$B:$B,0)),""))</f>
        <v>1</v>
      </c>
      <c r="D303" s="9" t="str">
        <f>IF(B303="","",IFERROR(INDEX(Client_List!$D:$D,MATCH(B303,Client_List!$B:$B,0)),""))</f>
        <v>1D</v>
      </c>
      <c r="E303" s="9" t="str">
        <f>IF(B303="","",IFERROR(INDEX(Client_List!$K:$K,MATCH(B303,Client_List!$B:$B,0)),""))</f>
        <v>CANOLA OIL</v>
      </c>
      <c r="F303" s="10">
        <f>IF(B303="","",IFERROR(INDEX(Client_List!$J:$J,MATCH(B303,Client_List!$B:$B,0)),""))</f>
        <v>950</v>
      </c>
      <c r="G303" s="10">
        <v>711</v>
      </c>
      <c r="H303" s="9">
        <f>IF(B303="","",IFERROR(A303-LOOKUP(2,1/($B$4:$B302=B303),$A$4:$A302),""))</f>
        <v>10</v>
      </c>
      <c r="I303" s="73">
        <f t="shared" si="4"/>
        <v>71.099999999999994</v>
      </c>
      <c r="J303" s="9">
        <v>141876</v>
      </c>
      <c r="K303" s="6">
        <f>IF(B303="","",IFERROR(AVERAGEIFS($I$4:$I303,$B$4:$B303,B303,$I$4:$I303,"&gt;"&amp;0),""))</f>
        <v>76.949999999999989</v>
      </c>
      <c r="L303" s="9" t="str">
        <f>IF(B303="","",IF(ISNA(MATCH(B303,Client_List!$B:$B,0)),"⚠ NOT FOUND","✓"))</f>
        <v>✓</v>
      </c>
    </row>
    <row r="304" spans="1:12" ht="14" customHeight="1" x14ac:dyDescent="0.2">
      <c r="A304" s="56">
        <v>46050</v>
      </c>
      <c r="B304" s="2" t="s">
        <v>234</v>
      </c>
      <c r="C304" s="13" t="str">
        <f>IF(B304="","",IFERROR(INDEX(Client_List!$C:$C,MATCH(B304,Client_List!$B:$B,0)),""))</f>
        <v>4</v>
      </c>
      <c r="D304" s="4" t="str">
        <f>IF(B304="","",IFERROR(INDEX(Client_List!$D:$D,MATCH(B304,Client_List!$B:$B,0)),""))</f>
        <v>4E</v>
      </c>
      <c r="E304" s="4" t="str">
        <f>IF(B304="","",IFERROR(INDEX(Client_List!$K:$K,MATCH(B304,Client_List!$B:$B,0)),""))</f>
        <v>CANOLA OIL</v>
      </c>
      <c r="F304" s="5">
        <f>IF(B304="","",IFERROR(INDEX(Client_List!$J:$J,MATCH(B304,Client_List!$B:$B,0)),""))</f>
        <v>630</v>
      </c>
      <c r="G304" s="5">
        <v>336</v>
      </c>
      <c r="H304" s="4">
        <f>IF(B304="","",IFERROR(A304-LOOKUP(2,1/($B$4:$B303=B304),$A$4:$A303),""))</f>
        <v>14</v>
      </c>
      <c r="I304" s="72">
        <f t="shared" si="4"/>
        <v>24</v>
      </c>
      <c r="J304" s="4">
        <v>141877</v>
      </c>
      <c r="K304" s="6">
        <f>IF(B304="","",IFERROR(AVERAGEIFS($I$4:$I304,$B$4:$B304,B304,$I$4:$I304,"&gt;"&amp;0),""))</f>
        <v>24</v>
      </c>
      <c r="L304" s="4" t="str">
        <f>IF(B304="","",IF(ISNA(MATCH(B304,Client_List!$B:$B,0)),"⚠ NOT FOUND","✓"))</f>
        <v>✓</v>
      </c>
    </row>
    <row r="305" spans="1:12" ht="14" customHeight="1" x14ac:dyDescent="0.2">
      <c r="A305" s="57">
        <v>46050</v>
      </c>
      <c r="B305" s="7" t="s">
        <v>282</v>
      </c>
      <c r="C305" s="13" t="str">
        <f>IF(B305="","",IFERROR(INDEX(Client_List!$C:$C,MATCH(B305,Client_List!$B:$B,0)),""))</f>
        <v>1</v>
      </c>
      <c r="D305" s="9" t="str">
        <f>IF(B305="","",IFERROR(INDEX(Client_List!$D:$D,MATCH(B305,Client_List!$B:$B,0)),""))</f>
        <v>1E</v>
      </c>
      <c r="E305" s="9" t="str">
        <f>IF(B305="","",IFERROR(INDEX(Client_List!$K:$K,MATCH(B305,Client_List!$B:$B,0)),""))</f>
        <v>FRYERS CHOICE BLEND</v>
      </c>
      <c r="F305" s="10">
        <f>IF(B305="","",IFERROR(INDEX(Client_List!$J:$J,MATCH(B305,Client_List!$B:$B,0)),""))</f>
        <v>1100</v>
      </c>
      <c r="G305" s="10">
        <v>851</v>
      </c>
      <c r="H305" s="9">
        <f>IF(B305="","",IFERROR(A305-LOOKUP(2,1/($B$4:$B304=B305),$A$4:$A304),""))</f>
        <v>22</v>
      </c>
      <c r="I305" s="73">
        <f t="shared" si="4"/>
        <v>38.68181818181818</v>
      </c>
      <c r="J305" s="9">
        <v>141870</v>
      </c>
      <c r="K305" s="6">
        <f>IF(B305="","",IFERROR(AVERAGEIFS($I$4:$I305,$B$4:$B305,B305,$I$4:$I305,"&gt;"&amp;0),""))</f>
        <v>38.68181818181818</v>
      </c>
      <c r="L305" s="9" t="str">
        <f>IF(B305="","",IF(ISNA(MATCH(B305,Client_List!$B:$B,0)),"⚠ NOT FOUND","✓"))</f>
        <v>✓</v>
      </c>
    </row>
    <row r="306" spans="1:12" ht="14" customHeight="1" x14ac:dyDescent="0.2">
      <c r="A306" s="56">
        <v>46050</v>
      </c>
      <c r="B306" s="2" t="s">
        <v>330</v>
      </c>
      <c r="C306" s="12" t="str">
        <f>IF(B306="","",IFERROR(INDEX(Client_List!$C:$C,MATCH(B306,Client_List!$B:$B,0)),""))</f>
        <v>1</v>
      </c>
      <c r="D306" s="4" t="str">
        <f>IF(B306="","",IFERROR(INDEX(Client_List!$D:$D,MATCH(B306,Client_List!$B:$B,0)),""))</f>
        <v>1E</v>
      </c>
      <c r="E306" s="4" t="str">
        <f>IF(B306="","",IFERROR(INDEX(Client_List!$K:$K,MATCH(B306,Client_List!$B:$B,0)),""))</f>
        <v>CANOLA OIL</v>
      </c>
      <c r="F306" s="5">
        <f>IF(B306="","",IFERROR(INDEX(Client_List!$J:$J,MATCH(B306,Client_List!$B:$B,0)),""))</f>
        <v>1050</v>
      </c>
      <c r="G306" s="5">
        <v>904</v>
      </c>
      <c r="H306" s="4">
        <f>IF(B306="","",IFERROR(A306-LOOKUP(2,1/($B$4:$B305=B306),$A$4:$A305),""))</f>
        <v>22</v>
      </c>
      <c r="I306" s="72">
        <f t="shared" si="4"/>
        <v>41.090909090909093</v>
      </c>
      <c r="J306" s="4">
        <v>141874</v>
      </c>
      <c r="K306" s="6">
        <f>IF(B306="","",IFERROR(AVERAGEIFS($I$4:$I306,$B$4:$B306,B306,$I$4:$I306,"&gt;"&amp;0),""))</f>
        <v>41.090909090909093</v>
      </c>
      <c r="L306" s="4" t="str">
        <f>IF(B306="","",IF(ISNA(MATCH(B306,Client_List!$B:$B,0)),"⚠ NOT FOUND","✓"))</f>
        <v>✓</v>
      </c>
    </row>
    <row r="307" spans="1:12" ht="14" customHeight="1" x14ac:dyDescent="0.2">
      <c r="A307" s="57">
        <v>46051</v>
      </c>
      <c r="B307" s="7" t="s">
        <v>63</v>
      </c>
      <c r="C307" s="11" t="str">
        <f>IF(B307="","",IFERROR(INDEX(Client_List!$C:$C,MATCH(B307,Client_List!$B:$B,0)),""))</f>
        <v>5</v>
      </c>
      <c r="D307" s="9" t="str">
        <f>IF(B307="","",IFERROR(INDEX(Client_List!$D:$D,MATCH(B307,Client_List!$B:$B,0)),""))</f>
        <v>5D</v>
      </c>
      <c r="E307" s="9" t="str">
        <f>IF(B307="","",IFERROR(INDEX(Client_List!$K:$K,MATCH(B307,Client_List!$B:$B,0)),""))</f>
        <v>CANOLA OIL</v>
      </c>
      <c r="F307" s="10">
        <f>IF(B307="","",IFERROR(INDEX(Client_List!$J:$J,MATCH(B307,Client_List!$B:$B,0)),""))</f>
        <v>425</v>
      </c>
      <c r="G307" s="10">
        <v>310</v>
      </c>
      <c r="H307" s="9">
        <f>IF(B307="","",IFERROR(A307-LOOKUP(2,1/($B$4:$B306=B307),$A$4:$A306),""))</f>
        <v>7</v>
      </c>
      <c r="I307" s="73">
        <f t="shared" si="4"/>
        <v>44.285714285714285</v>
      </c>
      <c r="J307" s="9">
        <v>141916</v>
      </c>
      <c r="K307" s="6">
        <f>IF(B307="","",IFERROR(AVERAGEIFS($I$4:$I307,$B$4:$B307,B307,$I$4:$I307,"&gt;"&amp;0),""))</f>
        <v>36.108035714285712</v>
      </c>
      <c r="L307" s="9" t="str">
        <f>IF(B307="","",IF(ISNA(MATCH(B307,Client_List!$B:$B,0)),"⚠ NOT FOUND","✓"))</f>
        <v>✓</v>
      </c>
    </row>
    <row r="308" spans="1:12" ht="14" customHeight="1" x14ac:dyDescent="0.2">
      <c r="A308" s="56">
        <v>46051</v>
      </c>
      <c r="B308" s="2" t="s">
        <v>67</v>
      </c>
      <c r="C308" s="13" t="str">
        <f>IF(B308="","",IFERROR(INDEX(Client_List!$C:$C,MATCH(B308,Client_List!$B:$B,0)),""))</f>
        <v>5</v>
      </c>
      <c r="D308" s="4" t="str">
        <f>IF(B308="","",IFERROR(INDEX(Client_List!$D:$D,MATCH(B308,Client_List!$B:$B,0)),""))</f>
        <v>5F</v>
      </c>
      <c r="E308" s="4" t="str">
        <f>IF(B308="","",IFERROR(INDEX(Client_List!$K:$K,MATCH(B308,Client_List!$B:$B,0)),""))</f>
        <v>CANOLA OIL</v>
      </c>
      <c r="F308" s="5">
        <f>IF(B308="","",IFERROR(INDEX(Client_List!$J:$J,MATCH(B308,Client_List!$B:$B,0)),""))</f>
        <v>950</v>
      </c>
      <c r="G308" s="5">
        <v>723</v>
      </c>
      <c r="H308" s="4">
        <f>IF(B308="","",IFERROR(A308-LOOKUP(2,1/($B$4:$B307=B308),$A$4:$A307),""))</f>
        <v>9</v>
      </c>
      <c r="I308" s="72">
        <f t="shared" si="4"/>
        <v>80.333333333333329</v>
      </c>
      <c r="J308" s="4">
        <v>141910</v>
      </c>
      <c r="K308" s="6">
        <f>IF(B308="","",IFERROR(AVERAGEIFS($I$4:$I308,$B$4:$B308,B308,$I$4:$I308,"&gt;"&amp;0),""))</f>
        <v>83.121212121212125</v>
      </c>
      <c r="L308" s="4" t="str">
        <f>IF(B308="","",IF(ISNA(MATCH(B308,Client_List!$B:$B,0)),"⚠ NOT FOUND","✓"))</f>
        <v>✓</v>
      </c>
    </row>
    <row r="309" spans="1:12" ht="14" customHeight="1" x14ac:dyDescent="0.2">
      <c r="A309" s="57">
        <v>46051</v>
      </c>
      <c r="B309" s="7" t="s">
        <v>69</v>
      </c>
      <c r="C309" s="3" t="str">
        <f>IF(B309="","",IFERROR(INDEX(Client_List!$C:$C,MATCH(B309,Client_List!$B:$B,0)),""))</f>
        <v>5</v>
      </c>
      <c r="D309" s="9" t="str">
        <f>IF(B309="","",IFERROR(INDEX(Client_List!$D:$D,MATCH(B309,Client_List!$B:$B,0)),""))</f>
        <v>5D</v>
      </c>
      <c r="E309" s="9" t="str">
        <f>IF(B309="","",IFERROR(INDEX(Client_List!$K:$K,MATCH(B309,Client_List!$B:$B,0)),""))</f>
        <v>CANOLA OIL</v>
      </c>
      <c r="F309" s="10">
        <f>IF(B309="","",IFERROR(INDEX(Client_List!$J:$J,MATCH(B309,Client_List!$B:$B,0)),""))</f>
        <v>1050</v>
      </c>
      <c r="G309" s="10">
        <v>901</v>
      </c>
      <c r="H309" s="9">
        <f>IF(B309="","",IFERROR(A309-LOOKUP(2,1/($B$4:$B308=B309),$A$4:$A308),""))</f>
        <v>14</v>
      </c>
      <c r="I309" s="73">
        <f t="shared" si="4"/>
        <v>64.357142857142861</v>
      </c>
      <c r="J309" s="9">
        <v>141915</v>
      </c>
      <c r="K309" s="6">
        <f>IF(B309="","",IFERROR(AVERAGEIFS($I$4:$I309,$B$4:$B309,B309,$I$4:$I309,"&gt;"&amp;0),""))</f>
        <v>64.357142857142861</v>
      </c>
      <c r="L309" s="9" t="str">
        <f>IF(B309="","",IF(ISNA(MATCH(B309,Client_List!$B:$B,0)),"⚠ NOT FOUND","✓"))</f>
        <v>✓</v>
      </c>
    </row>
    <row r="310" spans="1:12" ht="14" customHeight="1" x14ac:dyDescent="0.2">
      <c r="A310" s="56">
        <v>46051</v>
      </c>
      <c r="B310" s="2" t="s">
        <v>77</v>
      </c>
      <c r="C310" s="13" t="str">
        <f>IF(B310="","",IFERROR(INDEX(Client_List!$C:$C,MATCH(B310,Client_List!$B:$B,0)),""))</f>
        <v>1</v>
      </c>
      <c r="D310" s="4" t="str">
        <f>IF(B310="","",IFERROR(INDEX(Client_List!$D:$D,MATCH(B310,Client_List!$B:$B,0)),""))</f>
        <v>1D</v>
      </c>
      <c r="E310" s="4" t="str">
        <f>IF(B310="","",IFERROR(INDEX(Client_List!$K:$K,MATCH(B310,Client_List!$B:$B,0)),""))</f>
        <v>CANOLA OIL</v>
      </c>
      <c r="F310" s="5">
        <f>IF(B310="","",IFERROR(INDEX(Client_List!$J:$J,MATCH(B310,Client_List!$B:$B,0)),""))</f>
        <v>620</v>
      </c>
      <c r="G310" s="5">
        <v>428</v>
      </c>
      <c r="H310" s="4">
        <f>IF(B310="","",IFERROR(A310-LOOKUP(2,1/($B$4:$B309=B310),$A$4:$A309),""))</f>
        <v>7</v>
      </c>
      <c r="I310" s="72">
        <f t="shared" si="4"/>
        <v>61.142857142857146</v>
      </c>
      <c r="J310" s="4">
        <v>141903</v>
      </c>
      <c r="K310" s="6">
        <f>IF(B310="","",IFERROR(AVERAGEIFS($I$4:$I310,$B$4:$B310,B310,$I$4:$I310,"&gt;"&amp;0),""))</f>
        <v>54.492063492063494</v>
      </c>
      <c r="L310" s="4" t="str">
        <f>IF(B310="","",IF(ISNA(MATCH(B310,Client_List!$B:$B,0)),"⚠ NOT FOUND","✓"))</f>
        <v>✓</v>
      </c>
    </row>
    <row r="311" spans="1:12" ht="14" customHeight="1" x14ac:dyDescent="0.2">
      <c r="A311" s="57">
        <v>46051</v>
      </c>
      <c r="B311" s="7" t="s">
        <v>81</v>
      </c>
      <c r="C311" s="3" t="str">
        <f>IF(B311="","",IFERROR(INDEX(Client_List!$C:$C,MATCH(B311,Client_List!$B:$B,0)),""))</f>
        <v>3</v>
      </c>
      <c r="D311" s="9" t="str">
        <f>IF(B311="","",IFERROR(INDEX(Client_List!$D:$D,MATCH(B311,Client_List!$B:$B,0)),""))</f>
        <v>3E</v>
      </c>
      <c r="E311" s="9" t="str">
        <f>IF(B311="","",IFERROR(INDEX(Client_List!$K:$K,MATCH(B311,Client_List!$B:$B,0)),""))</f>
        <v>CANOLA OIL</v>
      </c>
      <c r="F311" s="10">
        <f>IF(B311="","",IFERROR(INDEX(Client_List!$J:$J,MATCH(B311,Client_List!$B:$B,0)),""))</f>
        <v>350</v>
      </c>
      <c r="G311" s="10">
        <v>318</v>
      </c>
      <c r="H311" s="9">
        <f>IF(B311="","",IFERROR(A311-LOOKUP(2,1/($B$4:$B310=B311),$A$4:$A310),""))</f>
        <v>15</v>
      </c>
      <c r="I311" s="73">
        <f t="shared" si="4"/>
        <v>21.2</v>
      </c>
      <c r="J311" s="9">
        <v>141900</v>
      </c>
      <c r="K311" s="6">
        <f>IF(B311="","",IFERROR(AVERAGEIFS($I$4:$I311,$B$4:$B311,B311,$I$4:$I311,"&gt;"&amp;0),""))</f>
        <v>21.2</v>
      </c>
      <c r="L311" s="9" t="str">
        <f>IF(B311="","",IF(ISNA(MATCH(B311,Client_List!$B:$B,0)),"⚠ NOT FOUND","✓"))</f>
        <v>✓</v>
      </c>
    </row>
    <row r="312" spans="1:12" ht="14" customHeight="1" x14ac:dyDescent="0.2">
      <c r="A312" s="56">
        <v>46051</v>
      </c>
      <c r="B312" s="2" t="s">
        <v>114</v>
      </c>
      <c r="C312" s="11" t="str">
        <f>IF(B312="","",IFERROR(INDEX(Client_List!$C:$C,MATCH(B312,Client_List!$B:$B,0)),""))</f>
        <v>2</v>
      </c>
      <c r="D312" s="4" t="str">
        <f>IF(B312="","",IFERROR(INDEX(Client_List!$D:$D,MATCH(B312,Client_List!$B:$B,0)),""))</f>
        <v>2A</v>
      </c>
      <c r="E312" s="4" t="str">
        <f>IF(B312="","",IFERROR(INDEX(Client_List!$K:$K,MATCH(B312,Client_List!$B:$B,0)),""))</f>
        <v>FRYERS CHOICE BLEND</v>
      </c>
      <c r="F312" s="5">
        <f>IF(B312="","",IFERROR(INDEX(Client_List!$J:$J,MATCH(B312,Client_List!$B:$B,0)),""))</f>
        <v>500</v>
      </c>
      <c r="G312" s="5">
        <v>457</v>
      </c>
      <c r="H312" s="4">
        <f>IF(B312="","",IFERROR(A312-LOOKUP(2,1/($B$4:$B311=B312),$A$4:$A311),""))</f>
        <v>13</v>
      </c>
      <c r="I312" s="72">
        <f t="shared" si="4"/>
        <v>35.153846153846153</v>
      </c>
      <c r="J312" s="4">
        <v>141902</v>
      </c>
      <c r="K312" s="6">
        <f>IF(B312="","",IFERROR(AVERAGEIFS($I$4:$I312,$B$4:$B312,B312,$I$4:$I312,"&gt;"&amp;0),""))</f>
        <v>33.769230769230774</v>
      </c>
      <c r="L312" s="4" t="str">
        <f>IF(B312="","",IF(ISNA(MATCH(B312,Client_List!$B:$B,0)),"⚠ NOT FOUND","✓"))</f>
        <v>✓</v>
      </c>
    </row>
    <row r="313" spans="1:12" ht="14" customHeight="1" x14ac:dyDescent="0.2">
      <c r="A313" s="57">
        <v>46051</v>
      </c>
      <c r="B313" s="7" t="s">
        <v>124</v>
      </c>
      <c r="C313" s="11" t="str">
        <f>IF(B313="","",IFERROR(INDEX(Client_List!$C:$C,MATCH(B313,Client_List!$B:$B,0)),""))</f>
        <v>1</v>
      </c>
      <c r="D313" s="9" t="str">
        <f>IF(B313="","",IFERROR(INDEX(Client_List!$D:$D,MATCH(B313,Client_List!$B:$B,0)),""))</f>
        <v>1D</v>
      </c>
      <c r="E313" s="9" t="str">
        <f>IF(B313="","",IFERROR(INDEX(Client_List!$K:$K,MATCH(B313,Client_List!$B:$B,0)),""))</f>
        <v>CANOLA OIL</v>
      </c>
      <c r="F313" s="10">
        <f>IF(B313="","",IFERROR(INDEX(Client_List!$J:$J,MATCH(B313,Client_List!$B:$B,0)),""))</f>
        <v>350</v>
      </c>
      <c r="G313" s="10">
        <v>170</v>
      </c>
      <c r="H313" s="9">
        <f>IF(B313="","",IFERROR(A313-LOOKUP(2,1/($B$4:$B312=B313),$A$4:$A312),""))</f>
        <v>23</v>
      </c>
      <c r="I313" s="73">
        <f t="shared" si="4"/>
        <v>7.3913043478260869</v>
      </c>
      <c r="J313" s="9">
        <v>141898</v>
      </c>
      <c r="K313" s="6">
        <f>IF(B313="","",IFERROR(AVERAGEIFS($I$4:$I313,$B$4:$B313,B313,$I$4:$I313,"&gt;"&amp;0),""))</f>
        <v>7.3913043478260869</v>
      </c>
      <c r="L313" s="9" t="str">
        <f>IF(B313="","",IF(ISNA(MATCH(B313,Client_List!$B:$B,0)),"⚠ NOT FOUND","✓"))</f>
        <v>✓</v>
      </c>
    </row>
    <row r="314" spans="1:12" ht="14" customHeight="1" x14ac:dyDescent="0.2">
      <c r="A314" s="56">
        <v>46051</v>
      </c>
      <c r="B314" s="2" t="s">
        <v>138</v>
      </c>
      <c r="C314" s="3" t="str">
        <f>IF(B314="","",IFERROR(INDEX(Client_List!$C:$C,MATCH(B314,Client_List!$B:$B,0)),""))</f>
        <v>4</v>
      </c>
      <c r="D314" s="4" t="str">
        <f>IF(B314="","",IFERROR(INDEX(Client_List!$D:$D,MATCH(B314,Client_List!$B:$B,0)),""))</f>
        <v>4E</v>
      </c>
      <c r="E314" s="4" t="str">
        <f>IF(B314="","",IFERROR(INDEX(Client_List!$K:$K,MATCH(B314,Client_List!$B:$B,0)),""))</f>
        <v>CANOLA OIL</v>
      </c>
      <c r="F314" s="5">
        <f>IF(B314="","",IFERROR(INDEX(Client_List!$J:$J,MATCH(B314,Client_List!$B:$B,0)),""))</f>
        <v>350</v>
      </c>
      <c r="G314" s="5">
        <v>251</v>
      </c>
      <c r="H314" s="4">
        <f>IF(B314="","",IFERROR(A314-LOOKUP(2,1/($B$4:$B313=B314),$A$4:$A313),""))</f>
        <v>8</v>
      </c>
      <c r="I314" s="72">
        <f t="shared" si="4"/>
        <v>31.375</v>
      </c>
      <c r="J314" s="4">
        <v>141917</v>
      </c>
      <c r="K314" s="6">
        <f>IF(B314="","",IFERROR(AVERAGEIFS($I$4:$I314,$B$4:$B314,B314,$I$4:$I314,"&gt;"&amp;0),""))</f>
        <v>41.330357142857139</v>
      </c>
      <c r="L314" s="4" t="str">
        <f>IF(B314="","",IF(ISNA(MATCH(B314,Client_List!$B:$B,0)),"⚠ NOT FOUND","✓"))</f>
        <v>✓</v>
      </c>
    </row>
    <row r="315" spans="1:12" ht="14" customHeight="1" x14ac:dyDescent="0.2">
      <c r="A315" s="57">
        <v>46051</v>
      </c>
      <c r="B315" s="7" t="s">
        <v>142</v>
      </c>
      <c r="C315" s="11" t="str">
        <f>IF(B315="","",IFERROR(INDEX(Client_List!$C:$C,MATCH(B315,Client_List!$B:$B,0)),""))</f>
        <v>4</v>
      </c>
      <c r="D315" s="9" t="str">
        <f>IF(B315="","",IFERROR(INDEX(Client_List!$D:$D,MATCH(B315,Client_List!$B:$B,0)),""))</f>
        <v>4A</v>
      </c>
      <c r="E315" s="9" t="str">
        <f>IF(B315="","",IFERROR(INDEX(Client_List!$K:$K,MATCH(B315,Client_List!$B:$B,0)),""))</f>
        <v>FRYERS CHOICE BLEND</v>
      </c>
      <c r="F315" s="10">
        <f>IF(B315="","",IFERROR(INDEX(Client_List!$J:$J,MATCH(B315,Client_List!$B:$B,0)),""))</f>
        <v>1050</v>
      </c>
      <c r="G315" s="10">
        <v>788</v>
      </c>
      <c r="H315" s="9">
        <f>IF(B315="","",IFERROR(A315-LOOKUP(2,1/($B$4:$B314=B315),$A$4:$A314),""))</f>
        <v>5</v>
      </c>
      <c r="I315" s="73">
        <f t="shared" si="4"/>
        <v>157.6</v>
      </c>
      <c r="J315" s="9">
        <v>141914</v>
      </c>
      <c r="K315" s="6">
        <f>IF(B315="","",IFERROR(AVERAGEIFS($I$4:$I315,$B$4:$B315,B315,$I$4:$I315,"&gt;"&amp;0),""))</f>
        <v>183.85499999999999</v>
      </c>
      <c r="L315" s="9" t="str">
        <f>IF(B315="","",IF(ISNA(MATCH(B315,Client_List!$B:$B,0)),"⚠ NOT FOUND","✓"))</f>
        <v>✓</v>
      </c>
    </row>
    <row r="316" spans="1:12" ht="14" customHeight="1" x14ac:dyDescent="0.2">
      <c r="A316" s="56">
        <v>46051</v>
      </c>
      <c r="B316" s="2" t="s">
        <v>144</v>
      </c>
      <c r="C316" s="13" t="str">
        <f>IF(B316="","",IFERROR(INDEX(Client_List!$C:$C,MATCH(B316,Client_List!$B:$B,0)),""))</f>
        <v>4</v>
      </c>
      <c r="D316" s="4" t="str">
        <f>IF(B316="","",IFERROR(INDEX(Client_List!$D:$D,MATCH(B316,Client_List!$B:$B,0)),""))</f>
        <v>4A</v>
      </c>
      <c r="E316" s="4" t="str">
        <f>IF(B316="","",IFERROR(INDEX(Client_List!$K:$K,MATCH(B316,Client_List!$B:$B,0)),""))</f>
        <v>FRYERS CHOICE BLEND</v>
      </c>
      <c r="F316" s="5">
        <f>IF(B316="","",IFERROR(INDEX(Client_List!$J:$J,MATCH(B316,Client_List!$B:$B,0)),""))</f>
        <v>900</v>
      </c>
      <c r="G316" s="5">
        <v>399</v>
      </c>
      <c r="H316" s="4">
        <f>IF(B316="","",IFERROR(A316-LOOKUP(2,1/($B$4:$B315=B316),$A$4:$A315),""))</f>
        <v>6</v>
      </c>
      <c r="I316" s="72">
        <f t="shared" si="4"/>
        <v>66.5</v>
      </c>
      <c r="J316" s="4">
        <v>141913</v>
      </c>
      <c r="K316" s="6">
        <f>IF(B316="","",IFERROR(AVERAGEIFS($I$4:$I316,$B$4:$B316,B316,$I$4:$I316,"&gt;"&amp;0),""))</f>
        <v>63.18888888888889</v>
      </c>
      <c r="L316" s="4" t="str">
        <f>IF(B316="","",IF(ISNA(MATCH(B316,Client_List!$B:$B,0)),"⚠ NOT FOUND","✓"))</f>
        <v>✓</v>
      </c>
    </row>
    <row r="317" spans="1:12" ht="14" customHeight="1" x14ac:dyDescent="0.2">
      <c r="A317" s="57">
        <v>46051</v>
      </c>
      <c r="B317" s="7" t="s">
        <v>212</v>
      </c>
      <c r="C317" s="12" t="str">
        <f>IF(B317="","",IFERROR(INDEX(Client_List!$C:$C,MATCH(B317,Client_List!$B:$B,0)),""))</f>
        <v>2</v>
      </c>
      <c r="D317" s="9" t="str">
        <f>IF(B317="","",IFERROR(INDEX(Client_List!$D:$D,MATCH(B317,Client_List!$B:$B,0)),""))</f>
        <v>2C</v>
      </c>
      <c r="E317" s="9" t="str">
        <f>IF(B317="","",IFERROR(INDEX(Client_List!$K:$K,MATCH(B317,Client_List!$B:$B,0)),""))</f>
        <v>CANOLA OIL</v>
      </c>
      <c r="F317" s="10">
        <f>IF(B317="","",IFERROR(INDEX(Client_List!$J:$J,MATCH(B317,Client_List!$B:$B,0)),""))</f>
        <v>1050</v>
      </c>
      <c r="G317" s="10">
        <v>773</v>
      </c>
      <c r="H317" s="9" t="str">
        <f>IF(B317="","",IFERROR(A317-LOOKUP(2,1/($B$4:$B316=B317),$A$4:$A316),""))</f>
        <v/>
      </c>
      <c r="I317" s="73" t="str">
        <f t="shared" si="4"/>
        <v/>
      </c>
      <c r="J317" s="9">
        <v>141901</v>
      </c>
      <c r="K317" s="6" t="str">
        <f>IF(B317="","",IFERROR(AVERAGEIFS($I$4:$I317,$B$4:$B317,B317,$I$4:$I317,"&gt;"&amp;0),""))</f>
        <v/>
      </c>
      <c r="L317" s="9" t="str">
        <f>IF(B317="","",IF(ISNA(MATCH(B317,Client_List!$B:$B,0)),"⚠ NOT FOUND","✓"))</f>
        <v>✓</v>
      </c>
    </row>
    <row r="318" spans="1:12" ht="14" customHeight="1" x14ac:dyDescent="0.2">
      <c r="A318" s="56">
        <v>46051</v>
      </c>
      <c r="B318" s="2" t="s">
        <v>242</v>
      </c>
      <c r="C318" s="13" t="str">
        <f>IF(B318="","",IFERROR(INDEX(Client_List!$C:$C,MATCH(B318,Client_List!$B:$B,0)),""))</f>
        <v>4</v>
      </c>
      <c r="D318" s="4" t="str">
        <f>IF(B318="","",IFERROR(INDEX(Client_List!$D:$D,MATCH(B318,Client_List!$B:$B,0)),""))</f>
        <v>4D</v>
      </c>
      <c r="E318" s="4" t="str">
        <f>IF(B318="","",IFERROR(INDEX(Client_List!$K:$K,MATCH(B318,Client_List!$B:$B,0)),""))</f>
        <v>FRYERS CHOICE BLEND</v>
      </c>
      <c r="F318" s="5">
        <f>IF(B318="","",IFERROR(INDEX(Client_List!$J:$J,MATCH(B318,Client_List!$B:$B,0)),""))</f>
        <v>950</v>
      </c>
      <c r="G318" s="5">
        <v>700</v>
      </c>
      <c r="H318" s="4">
        <f>IF(B318="","",IFERROR(A318-LOOKUP(2,1/($B$4:$B317=B318),$A$4:$A317),""))</f>
        <v>10</v>
      </c>
      <c r="I318" s="72">
        <f t="shared" si="4"/>
        <v>70</v>
      </c>
      <c r="J318" s="4">
        <v>141912</v>
      </c>
      <c r="K318" s="6">
        <f>IF(B318="","",IFERROR(AVERAGEIFS($I$4:$I318,$B$4:$B318,B318,$I$4:$I318,"&gt;"&amp;0),""))</f>
        <v>70.833333333333343</v>
      </c>
      <c r="L318" s="4" t="str">
        <f>IF(B318="","",IF(ISNA(MATCH(B318,Client_List!$B:$B,0)),"⚠ NOT FOUND","✓"))</f>
        <v>✓</v>
      </c>
    </row>
    <row r="319" spans="1:12" ht="14" customHeight="1" x14ac:dyDescent="0.2">
      <c r="A319" s="57">
        <v>46051</v>
      </c>
      <c r="B319" s="7" t="s">
        <v>262</v>
      </c>
      <c r="C319" s="3" t="str">
        <f>IF(B319="","",IFERROR(INDEX(Client_List!$C:$C,MATCH(B319,Client_List!$B:$B,0)),""))</f>
        <v>2</v>
      </c>
      <c r="D319" s="9" t="str">
        <f>IF(B319="","",IFERROR(INDEX(Client_List!$D:$D,MATCH(B319,Client_List!$B:$B,0)),""))</f>
        <v>2C</v>
      </c>
      <c r="E319" s="9" t="str">
        <f>IF(B319="","",IFERROR(INDEX(Client_List!$K:$K,MATCH(B319,Client_List!$B:$B,0)),""))</f>
        <v>CANOLA OIL</v>
      </c>
      <c r="F319" s="10">
        <f>IF(B319="","",IFERROR(INDEX(Client_List!$J:$J,MATCH(B319,Client_List!$B:$B,0)),""))</f>
        <v>1950</v>
      </c>
      <c r="G319" s="10">
        <v>1391</v>
      </c>
      <c r="H319" s="9">
        <f>IF(B319="","",IFERROR(A319-LOOKUP(2,1/($B$4:$B318=B319),$A$4:$A318),""))</f>
        <v>10</v>
      </c>
      <c r="I319" s="73">
        <f t="shared" si="4"/>
        <v>139.1</v>
      </c>
      <c r="J319" s="9">
        <v>141911</v>
      </c>
      <c r="K319" s="6">
        <f>IF(B319="","",IFERROR(AVERAGEIFS($I$4:$I319,$B$4:$B319,B319,$I$4:$I319,"&gt;"&amp;0),""))</f>
        <v>162.1</v>
      </c>
      <c r="L319" s="9" t="str">
        <f>IF(B319="","",IF(ISNA(MATCH(B319,Client_List!$B:$B,0)),"⚠ NOT FOUND","✓"))</f>
        <v>✓</v>
      </c>
    </row>
    <row r="320" spans="1:12" ht="14" customHeight="1" x14ac:dyDescent="0.2">
      <c r="A320" s="56">
        <v>46051</v>
      </c>
      <c r="B320" s="2" t="s">
        <v>296</v>
      </c>
      <c r="C320" s="13" t="str">
        <f>IF(B320="","",IFERROR(INDEX(Client_List!$C:$C,MATCH(B320,Client_List!$B:$B,0)),""))</f>
        <v>4</v>
      </c>
      <c r="D320" s="4" t="str">
        <f>IF(B320="","",IFERROR(INDEX(Client_List!$D:$D,MATCH(B320,Client_List!$B:$B,0)),""))</f>
        <v>4C</v>
      </c>
      <c r="E320" s="4" t="str">
        <f>IF(B320="","",IFERROR(INDEX(Client_List!$K:$K,MATCH(B320,Client_List!$B:$B,0)),""))</f>
        <v>FRYERS CHOICE BLEND</v>
      </c>
      <c r="F320" s="5">
        <f>IF(B320="","",IFERROR(INDEX(Client_List!$J:$J,MATCH(B320,Client_List!$B:$B,0)),""))</f>
        <v>480</v>
      </c>
      <c r="G320" s="5">
        <v>379</v>
      </c>
      <c r="H320" s="4" t="str">
        <f>IF(B320="","",IFERROR(A320-LOOKUP(2,1/($B$4:$B319=B320),$A$4:$A319),""))</f>
        <v/>
      </c>
      <c r="I320" s="72" t="str">
        <f t="shared" si="4"/>
        <v/>
      </c>
      <c r="J320" s="4">
        <v>141919</v>
      </c>
      <c r="K320" s="6" t="str">
        <f>IF(B320="","",IFERROR(AVERAGEIFS($I$4:$I320,$B$4:$B320,B320,$I$4:$I320,"&gt;"&amp;0),""))</f>
        <v/>
      </c>
      <c r="L320" s="4" t="str">
        <f>IF(B320="","",IF(ISNA(MATCH(B320,Client_List!$B:$B,0)),"⚠ NOT FOUND","✓"))</f>
        <v>✓</v>
      </c>
    </row>
    <row r="321" spans="1:12" ht="14" customHeight="1" x14ac:dyDescent="0.2">
      <c r="A321" s="57">
        <v>46051</v>
      </c>
      <c r="B321" s="7" t="s">
        <v>316</v>
      </c>
      <c r="C321" s="3" t="str">
        <f>IF(B321="","",IFERROR(INDEX(Client_List!$C:$C,MATCH(B321,Client_List!$B:$B,0)),""))</f>
        <v>1</v>
      </c>
      <c r="D321" s="9" t="str">
        <f>IF(B321="","",IFERROR(INDEX(Client_List!$D:$D,MATCH(B321,Client_List!$B:$B,0)),""))</f>
        <v>1E</v>
      </c>
      <c r="E321" s="9" t="str">
        <f>IF(B321="","",IFERROR(INDEX(Client_List!$K:$K,MATCH(B321,Client_List!$B:$B,0)),""))</f>
        <v>CANOLA OIL</v>
      </c>
      <c r="F321" s="10">
        <f>IF(B321="","",IFERROR(INDEX(Client_List!$J:$J,MATCH(B321,Client_List!$B:$B,0)),""))</f>
        <v>1050</v>
      </c>
      <c r="G321" s="10">
        <v>1079</v>
      </c>
      <c r="H321" s="9">
        <f>IF(B321="","",IFERROR(A321-LOOKUP(2,1/($B$4:$B320=B321),$A$4:$A320),""))</f>
        <v>16</v>
      </c>
      <c r="I321" s="73">
        <f t="shared" si="4"/>
        <v>67.4375</v>
      </c>
      <c r="J321" s="9">
        <v>141899</v>
      </c>
      <c r="K321" s="6">
        <f>IF(B321="","",IFERROR(AVERAGEIFS($I$4:$I321,$B$4:$B321,B321,$I$4:$I321,"&gt;"&amp;0),""))</f>
        <v>67.4375</v>
      </c>
      <c r="L321" s="9" t="str">
        <f>IF(B321="","",IF(ISNA(MATCH(B321,Client_List!$B:$B,0)),"⚠ NOT FOUND","✓"))</f>
        <v>✓</v>
      </c>
    </row>
    <row r="322" spans="1:12" ht="14" customHeight="1" x14ac:dyDescent="0.2">
      <c r="A322" s="56">
        <v>46051</v>
      </c>
      <c r="B322" s="2" t="s">
        <v>334</v>
      </c>
      <c r="C322" s="8" t="str">
        <f>IF(B322="","",IFERROR(INDEX(Client_List!$C:$C,MATCH(B322,Client_List!$B:$B,0)),""))</f>
        <v>5</v>
      </c>
      <c r="D322" s="4" t="str">
        <f>IF(B322="","",IFERROR(INDEX(Client_List!$D:$D,MATCH(B322,Client_List!$B:$B,0)),""))</f>
        <v>5E</v>
      </c>
      <c r="E322" s="4" t="str">
        <f>IF(B322="","",IFERROR(INDEX(Client_List!$K:$K,MATCH(B322,Client_List!$B:$B,0)),""))</f>
        <v>CANOLA OIL</v>
      </c>
      <c r="F322" s="5">
        <f>IF(B322="","",IFERROR(INDEX(Client_List!$J:$J,MATCH(B322,Client_List!$B:$B,0)),""))</f>
        <v>1050</v>
      </c>
      <c r="G322" s="5">
        <v>520</v>
      </c>
      <c r="H322" s="4">
        <f>IF(B322="","",IFERROR(A322-LOOKUP(2,1/($B$4:$B321=B322),$A$4:$A321),""))</f>
        <v>18</v>
      </c>
      <c r="I322" s="72">
        <f t="shared" si="4"/>
        <v>28.888888888888889</v>
      </c>
      <c r="J322" s="4">
        <v>141918</v>
      </c>
      <c r="K322" s="6">
        <f>IF(B322="","",IFERROR(AVERAGEIFS($I$4:$I322,$B$4:$B322,B322,$I$4:$I322,"&gt;"&amp;0),""))</f>
        <v>28.888888888888889</v>
      </c>
      <c r="L322" s="4" t="str">
        <f>IF(B322="","",IF(ISNA(MATCH(B322,Client_List!$B:$B,0)),"⚠ NOT FOUND","✓"))</f>
        <v>✓</v>
      </c>
    </row>
    <row r="323" spans="1:12" ht="14" customHeight="1" x14ac:dyDescent="0.2">
      <c r="A323" s="57">
        <v>46051</v>
      </c>
      <c r="B323" s="7" t="s">
        <v>344</v>
      </c>
      <c r="C323" s="3" t="str">
        <f>IF(B323="","",IFERROR(INDEX(Client_List!$C:$C,MATCH(B323,Client_List!$B:$B,0)),""))</f>
        <v>2</v>
      </c>
      <c r="D323" s="9" t="str">
        <f>IF(B323="","",IFERROR(INDEX(Client_List!$D:$D,MATCH(B323,Client_List!$B:$B,0)),""))</f>
        <v>2C</v>
      </c>
      <c r="E323" s="9" t="str">
        <f>IF(B323="","",IFERROR(INDEX(Client_List!$K:$K,MATCH(B323,Client_List!$B:$B,0)),""))</f>
        <v>FRYERS CHOICE BLEND</v>
      </c>
      <c r="F323" s="10">
        <f>IF(B323="","",IFERROR(INDEX(Client_List!$J:$J,MATCH(B323,Client_List!$B:$B,0)),""))</f>
        <v>1200</v>
      </c>
      <c r="G323" s="10">
        <v>1200</v>
      </c>
      <c r="H323" s="9">
        <f>IF(B323="","",IFERROR(A323-LOOKUP(2,1/($B$4:$B322=B323),$A$4:$A322),""))</f>
        <v>26</v>
      </c>
      <c r="I323" s="73">
        <f t="shared" si="4"/>
        <v>46.153846153846153</v>
      </c>
      <c r="J323" s="9">
        <v>141896</v>
      </c>
      <c r="K323" s="6">
        <f>IF(B323="","",IFERROR(AVERAGEIFS($I$4:$I323,$B$4:$B323,B323,$I$4:$I323,"&gt;"&amp;0),""))</f>
        <v>46.153846153846153</v>
      </c>
      <c r="L323" s="9" t="str">
        <f>IF(B323="","",IF(ISNA(MATCH(B323,Client_List!$B:$B,0)),"⚠ NOT FOUND","✓"))</f>
        <v>✓</v>
      </c>
    </row>
    <row r="324" spans="1:12" ht="14" customHeight="1" x14ac:dyDescent="0.2">
      <c r="A324" s="56">
        <v>46051</v>
      </c>
      <c r="B324" s="2" t="s">
        <v>350</v>
      </c>
      <c r="C324" s="8" t="str">
        <f>IF(B324="","",IFERROR(INDEX(Client_List!$C:$C,MATCH(B324,Client_List!$B:$B,0)),""))</f>
        <v>2</v>
      </c>
      <c r="D324" s="4" t="str">
        <f>IF(B324="","",IFERROR(INDEX(Client_List!$D:$D,MATCH(B324,Client_List!$B:$B,0)),""))</f>
        <v>2D</v>
      </c>
      <c r="E324" s="4" t="str">
        <f>IF(B324="","",IFERROR(INDEX(Client_List!$K:$K,MATCH(B324,Client_List!$B:$B,0)),""))</f>
        <v>CANOLA OIL</v>
      </c>
      <c r="F324" s="5">
        <f>IF(B324="","",IFERROR(INDEX(Client_List!$J:$J,MATCH(B324,Client_List!$B:$B,0)),""))</f>
        <v>1050</v>
      </c>
      <c r="G324" s="5">
        <v>957</v>
      </c>
      <c r="H324" s="4">
        <f>IF(B324="","",IFERROR(A324-LOOKUP(2,1/($B$4:$B323=B324),$A$4:$A323),""))</f>
        <v>16</v>
      </c>
      <c r="I324" s="72">
        <f t="shared" ref="I324:I387" si="5">IF(B324="","",IFERROR(G324/H324,""))</f>
        <v>59.8125</v>
      </c>
      <c r="J324" s="4">
        <v>141897</v>
      </c>
      <c r="K324" s="6">
        <f>IF(B324="","",IFERROR(AVERAGEIFS($I$4:$I324,$B$4:$B324,B324,$I$4:$I324,"&gt;"&amp;0),""))</f>
        <v>59.8125</v>
      </c>
      <c r="L324" s="4" t="str">
        <f>IF(B324="","",IF(ISNA(MATCH(B324,Client_List!$B:$B,0)),"⚠ NOT FOUND","✓"))</f>
        <v>✓</v>
      </c>
    </row>
    <row r="325" spans="1:12" ht="14" customHeight="1" x14ac:dyDescent="0.2">
      <c r="A325" s="57">
        <v>46052</v>
      </c>
      <c r="B325" s="7" t="s">
        <v>35</v>
      </c>
      <c r="C325" s="13" t="str">
        <f>IF(B325="","",IFERROR(INDEX(Client_List!$C:$C,MATCH(B325,Client_List!$B:$B,0)),""))</f>
        <v>2</v>
      </c>
      <c r="D325" s="9" t="str">
        <f>IF(B325="","",IFERROR(INDEX(Client_List!$D:$D,MATCH(B325,Client_List!$B:$B,0)),""))</f>
        <v>2C</v>
      </c>
      <c r="E325" s="9" t="str">
        <f>IF(B325="","",IFERROR(INDEX(Client_List!$K:$K,MATCH(B325,Client_List!$B:$B,0)),""))</f>
        <v>CANOLA OIL</v>
      </c>
      <c r="F325" s="10">
        <f>IF(B325="","",IFERROR(INDEX(Client_List!$J:$J,MATCH(B325,Client_List!$B:$B,0)),""))</f>
        <v>950</v>
      </c>
      <c r="G325" s="10">
        <v>859</v>
      </c>
      <c r="H325" s="9">
        <f>IF(B325="","",IFERROR(A325-LOOKUP(2,1/($B$4:$B324=B325),$A$4:$A324),""))</f>
        <v>9</v>
      </c>
      <c r="I325" s="73">
        <f t="shared" si="5"/>
        <v>95.444444444444443</v>
      </c>
      <c r="J325" s="9">
        <v>142100</v>
      </c>
      <c r="K325" s="6">
        <f>IF(B325="","",IFERROR(AVERAGEIFS($I$4:$I325,$B$4:$B325,B325,$I$4:$I325,"&gt;"&amp;0),""))</f>
        <v>79.760683760683762</v>
      </c>
      <c r="L325" s="9" t="str">
        <f>IF(B325="","",IF(ISNA(MATCH(B325,Client_List!$B:$B,0)),"⚠ NOT FOUND","✓"))</f>
        <v>✓</v>
      </c>
    </row>
    <row r="326" spans="1:12" ht="14" customHeight="1" x14ac:dyDescent="0.2">
      <c r="A326" s="56">
        <v>46052</v>
      </c>
      <c r="B326" s="2" t="s">
        <v>43</v>
      </c>
      <c r="C326" s="11" t="str">
        <f>IF(B326="","",IFERROR(INDEX(Client_List!$C:$C,MATCH(B326,Client_List!$B:$B,0)),""))</f>
        <v>1</v>
      </c>
      <c r="D326" s="4" t="str">
        <f>IF(B326="","",IFERROR(INDEX(Client_List!$D:$D,MATCH(B326,Client_List!$B:$B,0)),""))</f>
        <v>1C</v>
      </c>
      <c r="E326" s="4" t="str">
        <f>IF(B326="","",IFERROR(INDEX(Client_List!$K:$K,MATCH(B326,Client_List!$B:$B,0)),""))</f>
        <v>FRYERS CHOICE BLEND</v>
      </c>
      <c r="F326" s="5">
        <f>IF(B326="","",IFERROR(INDEX(Client_List!$J:$J,MATCH(B326,Client_List!$B:$B,0)),""))</f>
        <v>620</v>
      </c>
      <c r="G326" s="5">
        <v>314</v>
      </c>
      <c r="H326" s="4">
        <f>IF(B326="","",IFERROR(A326-LOOKUP(2,1/($B$4:$B325=B326),$A$4:$A325),""))</f>
        <v>8</v>
      </c>
      <c r="I326" s="72">
        <f t="shared" si="5"/>
        <v>39.25</v>
      </c>
      <c r="J326" s="4">
        <v>142099</v>
      </c>
      <c r="K326" s="6">
        <f>IF(B326="","",IFERROR(AVERAGEIFS($I$4:$I326,$B$4:$B326,B326,$I$4:$I326,"&gt;"&amp;0),""))</f>
        <v>41.84375</v>
      </c>
      <c r="L326" s="4" t="str">
        <f>IF(B326="","",IF(ISNA(MATCH(B326,Client_List!$B:$B,0)),"⚠ NOT FOUND","✓"))</f>
        <v>✓</v>
      </c>
    </row>
    <row r="327" spans="1:12" ht="14" customHeight="1" x14ac:dyDescent="0.2">
      <c r="A327" s="57">
        <v>46052</v>
      </c>
      <c r="B327" s="7" t="s">
        <v>49</v>
      </c>
      <c r="C327" s="3" t="str">
        <f>IF(B327="","",IFERROR(INDEX(Client_List!$C:$C,MATCH(B327,Client_List!$B:$B,0)),""))</f>
        <v>2</v>
      </c>
      <c r="D327" s="9" t="str">
        <f>IF(B327="","",IFERROR(INDEX(Client_List!$D:$D,MATCH(B327,Client_List!$B:$B,0)),""))</f>
        <v>2C</v>
      </c>
      <c r="E327" s="9" t="str">
        <f>IF(B327="","",IFERROR(INDEX(Client_List!$K:$K,MATCH(B327,Client_List!$B:$B,0)),""))</f>
        <v>CANOLA OIL</v>
      </c>
      <c r="F327" s="10">
        <f>IF(B327="","",IFERROR(INDEX(Client_List!$J:$J,MATCH(B327,Client_List!$B:$B,0)),""))</f>
        <v>950</v>
      </c>
      <c r="G327" s="10">
        <v>623</v>
      </c>
      <c r="H327" s="9">
        <f>IF(B327="","",IFERROR(A327-LOOKUP(2,1/($B$4:$B326=B327),$A$4:$A326),""))</f>
        <v>9</v>
      </c>
      <c r="I327" s="73">
        <f t="shared" si="5"/>
        <v>69.222222222222229</v>
      </c>
      <c r="J327" s="9">
        <v>142101</v>
      </c>
      <c r="K327" s="6">
        <f>IF(B327="","",IFERROR(AVERAGEIFS($I$4:$I327,$B$4:$B327,B327,$I$4:$I327,"&gt;"&amp;0),""))</f>
        <v>73.661111111111111</v>
      </c>
      <c r="L327" s="9" t="str">
        <f>IF(B327="","",IF(ISNA(MATCH(B327,Client_List!$B:$B,0)),"⚠ NOT FOUND","✓"))</f>
        <v>✓</v>
      </c>
    </row>
    <row r="328" spans="1:12" ht="14" customHeight="1" x14ac:dyDescent="0.2">
      <c r="A328" s="56">
        <v>46052</v>
      </c>
      <c r="B328" s="2" t="s">
        <v>65</v>
      </c>
      <c r="C328" s="3" t="str">
        <f>IF(B328="","",IFERROR(INDEX(Client_List!$C:$C,MATCH(B328,Client_List!$B:$B,0)),""))</f>
        <v>5</v>
      </c>
      <c r="D328" s="4" t="str">
        <f>IF(B328="","",IFERROR(INDEX(Client_List!$D:$D,MATCH(B328,Client_List!$B:$B,0)),""))</f>
        <v>5F</v>
      </c>
      <c r="E328" s="4" t="str">
        <f>IF(B328="","",IFERROR(INDEX(Client_List!$K:$K,MATCH(B328,Client_List!$B:$B,0)),""))</f>
        <v>FRYERS CHOICE BLEND</v>
      </c>
      <c r="F328" s="5">
        <f>IF(B328="","",IFERROR(INDEX(Client_List!$J:$J,MATCH(B328,Client_List!$B:$B,0)),""))</f>
        <v>1050</v>
      </c>
      <c r="G328" s="5">
        <v>632</v>
      </c>
      <c r="H328" s="4">
        <f>IF(B328="","",IFERROR(A328-LOOKUP(2,1/($B$4:$B327=B328),$A$4:$A327),""))</f>
        <v>15</v>
      </c>
      <c r="I328" s="72">
        <f t="shared" si="5"/>
        <v>42.133333333333333</v>
      </c>
      <c r="J328" s="4">
        <v>142112</v>
      </c>
      <c r="K328" s="6">
        <f>IF(B328="","",IFERROR(AVERAGEIFS($I$4:$I328,$B$4:$B328,B328,$I$4:$I328,"&gt;"&amp;0),""))</f>
        <v>42.133333333333333</v>
      </c>
      <c r="L328" s="4" t="str">
        <f>IF(B328="","",IF(ISNA(MATCH(B328,Client_List!$B:$B,0)),"⚠ NOT FOUND","✓"))</f>
        <v>✓</v>
      </c>
    </row>
    <row r="329" spans="1:12" ht="14" customHeight="1" x14ac:dyDescent="0.2">
      <c r="A329" s="57">
        <v>46052</v>
      </c>
      <c r="B329" s="7" t="s">
        <v>365</v>
      </c>
      <c r="C329" s="11">
        <f>IF(B329="","",IFERROR(INDEX(Client_List!$C:$C,MATCH(B329,Client_List!$B:$B,0)),""))</f>
        <v>0</v>
      </c>
      <c r="D329" s="9">
        <f>IF(B329="","",IFERROR(INDEX(Client_List!$D:$D,MATCH(B329,Client_List!$B:$B,0)),""))</f>
        <v>0</v>
      </c>
      <c r="E329" s="9" t="str">
        <f>IF(B329="","",IFERROR(INDEX(Client_List!$K:$K,MATCH(B329,Client_List!$B:$B,0)),""))</f>
        <v>CANOLA OIL</v>
      </c>
      <c r="F329" s="10">
        <f>IF(B329="","",IFERROR(INDEX(Client_List!$J:$J,MATCH(B329,Client_List!$B:$B,0)),""))</f>
        <v>700</v>
      </c>
      <c r="G329" s="10">
        <v>489</v>
      </c>
      <c r="H329" s="9">
        <f>IF(B329="","",IFERROR(A329-LOOKUP(2,1/($B$4:$B328=B329),$A$4:$A328),""))</f>
        <v>8</v>
      </c>
      <c r="I329" s="73">
        <f t="shared" si="5"/>
        <v>61.125</v>
      </c>
      <c r="J329" s="9">
        <v>142095</v>
      </c>
      <c r="K329" s="6">
        <f>IF(B329="","",IFERROR(AVERAGEIFS($I$4:$I329,$B$4:$B329,B329,$I$4:$I329,"&gt;"&amp;0),""))</f>
        <v>55.22172619047619</v>
      </c>
      <c r="L329" s="9" t="str">
        <f>IF(B329="","",IF(ISNA(MATCH(B329,Client_List!$B:$B,0)),"⚠ NOT FOUND","✓"))</f>
        <v>✓</v>
      </c>
    </row>
    <row r="330" spans="1:12" ht="14" customHeight="1" x14ac:dyDescent="0.2">
      <c r="A330" s="56">
        <v>46052</v>
      </c>
      <c r="B330" s="2" t="s">
        <v>75</v>
      </c>
      <c r="C330" s="8" t="str">
        <f>IF(B330="","",IFERROR(INDEX(Client_List!$C:$C,MATCH(B330,Client_List!$B:$B,0)),""))</f>
        <v>1</v>
      </c>
      <c r="D330" s="4" t="str">
        <f>IF(B330="","",IFERROR(INDEX(Client_List!$D:$D,MATCH(B330,Client_List!$B:$B,0)),""))</f>
        <v>1D</v>
      </c>
      <c r="E330" s="4" t="str">
        <f>IF(B330="","",IFERROR(INDEX(Client_List!$K:$K,MATCH(B330,Client_List!$B:$B,0)),""))</f>
        <v>CANOLA OIL</v>
      </c>
      <c r="F330" s="5">
        <f>IF(B330="","",IFERROR(INDEX(Client_List!$J:$J,MATCH(B330,Client_List!$B:$B,0)),""))</f>
        <v>620</v>
      </c>
      <c r="G330" s="5">
        <v>812</v>
      </c>
      <c r="H330" s="4">
        <f>IF(B330="","",IFERROR(A330-LOOKUP(2,1/($B$4:$B329=B330),$A$4:$A329),""))</f>
        <v>6</v>
      </c>
      <c r="I330" s="72">
        <f t="shared" si="5"/>
        <v>135.33333333333334</v>
      </c>
      <c r="J330" s="4">
        <v>141904</v>
      </c>
      <c r="K330" s="6">
        <f>IF(B330="","",IFERROR(AVERAGEIFS($I$4:$I330,$B$4:$B330,B330,$I$4:$I330,"&gt;"&amp;0),""))</f>
        <v>117.20119047619048</v>
      </c>
      <c r="L330" s="4" t="str">
        <f>IF(B330="","",IF(ISNA(MATCH(B330,Client_List!$B:$B,0)),"⚠ NOT FOUND","✓"))</f>
        <v>✓</v>
      </c>
    </row>
    <row r="331" spans="1:12" ht="14" customHeight="1" x14ac:dyDescent="0.2">
      <c r="A331" s="57">
        <v>46052</v>
      </c>
      <c r="B331" s="7" t="s">
        <v>83</v>
      </c>
      <c r="C331" s="3" t="str">
        <f>IF(B331="","",IFERROR(INDEX(Client_List!$C:$C,MATCH(B331,Client_List!$B:$B,0)),""))</f>
        <v>4</v>
      </c>
      <c r="D331" s="9" t="str">
        <f>IF(B331="","",IFERROR(INDEX(Client_List!$D:$D,MATCH(B331,Client_List!$B:$B,0)),""))</f>
        <v>4D</v>
      </c>
      <c r="E331" s="9" t="str">
        <f>IF(B331="","",IFERROR(INDEX(Client_List!$K:$K,MATCH(B331,Client_List!$B:$B,0)),""))</f>
        <v>FRYERS CHOICE BLEND</v>
      </c>
      <c r="F331" s="10">
        <f>IF(B331="","",IFERROR(INDEX(Client_List!$J:$J,MATCH(B331,Client_List!$B:$B,0)),""))</f>
        <v>350</v>
      </c>
      <c r="G331" s="10">
        <v>279</v>
      </c>
      <c r="H331" s="9">
        <f>IF(B331="","",IFERROR(A331-LOOKUP(2,1/($B$4:$B330=B331),$A$4:$A330),""))</f>
        <v>7</v>
      </c>
      <c r="I331" s="73">
        <f t="shared" si="5"/>
        <v>39.857142857142854</v>
      </c>
      <c r="J331" s="9">
        <v>142111</v>
      </c>
      <c r="K331" s="6">
        <f>IF(B331="","",IFERROR(AVERAGEIFS($I$4:$I331,$B$4:$B331,B331,$I$4:$I331,"&gt;"&amp;0),""))</f>
        <v>42.296296296296298</v>
      </c>
      <c r="L331" s="9" t="str">
        <f>IF(B331="","",IF(ISNA(MATCH(B331,Client_List!$B:$B,0)),"⚠ NOT FOUND","✓"))</f>
        <v>✓</v>
      </c>
    </row>
    <row r="332" spans="1:12" ht="14" customHeight="1" x14ac:dyDescent="0.2">
      <c r="A332" s="56">
        <v>46052</v>
      </c>
      <c r="B332" s="2" t="s">
        <v>110</v>
      </c>
      <c r="C332" s="11" t="str">
        <f>IF(B332="","",IFERROR(INDEX(Client_List!$C:$C,MATCH(B332,Client_List!$B:$B,0)),""))</f>
        <v>1</v>
      </c>
      <c r="D332" s="4" t="str">
        <f>IF(B332="","",IFERROR(INDEX(Client_List!$D:$D,MATCH(B332,Client_List!$B:$B,0)),""))</f>
        <v>1B</v>
      </c>
      <c r="E332" s="4" t="str">
        <f>IF(B332="","",IFERROR(INDEX(Client_List!$K:$K,MATCH(B332,Client_List!$B:$B,0)),""))</f>
        <v>FRYERS CHOICE BLEND</v>
      </c>
      <c r="F332" s="5">
        <f>IF(B332="","",IFERROR(INDEX(Client_List!$J:$J,MATCH(B332,Client_List!$B:$B,0)),""))</f>
        <v>1050</v>
      </c>
      <c r="G332" s="5">
        <v>851</v>
      </c>
      <c r="H332" s="4">
        <f>IF(B332="","",IFERROR(A332-LOOKUP(2,1/($B$4:$B331=B332),$A$4:$A331),""))</f>
        <v>24</v>
      </c>
      <c r="I332" s="72">
        <f t="shared" si="5"/>
        <v>35.458333333333336</v>
      </c>
      <c r="J332" s="4">
        <v>142096</v>
      </c>
      <c r="K332" s="6">
        <f>IF(B332="","",IFERROR(AVERAGEIFS($I$4:$I332,$B$4:$B332,B332,$I$4:$I332,"&gt;"&amp;0),""))</f>
        <v>35.458333333333336</v>
      </c>
      <c r="L332" s="4" t="str">
        <f>IF(B332="","",IF(ISNA(MATCH(B332,Client_List!$B:$B,0)),"⚠ NOT FOUND","✓"))</f>
        <v>✓</v>
      </c>
    </row>
    <row r="333" spans="1:12" ht="14" customHeight="1" x14ac:dyDescent="0.2">
      <c r="A333" s="57">
        <v>46052</v>
      </c>
      <c r="B333" s="7" t="s">
        <v>146</v>
      </c>
      <c r="C333" s="8" t="str">
        <f>IF(B333="","",IFERROR(INDEX(Client_List!$C:$C,MATCH(B333,Client_List!$B:$B,0)),""))</f>
        <v>4</v>
      </c>
      <c r="D333" s="9" t="str">
        <f>IF(B333="","",IFERROR(INDEX(Client_List!$D:$D,MATCH(B333,Client_List!$B:$B,0)),""))</f>
        <v>4F</v>
      </c>
      <c r="E333" s="9" t="str">
        <f>IF(B333="","",IFERROR(INDEX(Client_List!$K:$K,MATCH(B333,Client_List!$B:$B,0)),""))</f>
        <v>CANOLA OIL</v>
      </c>
      <c r="F333" s="10">
        <f>IF(B333="","",IFERROR(INDEX(Client_List!$J:$J,MATCH(B333,Client_List!$B:$B,0)),""))</f>
        <v>950</v>
      </c>
      <c r="G333" s="10">
        <v>548</v>
      </c>
      <c r="H333" s="9">
        <f>IF(B333="","",IFERROR(A333-LOOKUP(2,1/($B$4:$B332=B333),$A$4:$A332),""))</f>
        <v>19</v>
      </c>
      <c r="I333" s="73">
        <f t="shared" si="5"/>
        <v>28.842105263157894</v>
      </c>
      <c r="J333" s="9">
        <v>142117</v>
      </c>
      <c r="K333" s="6">
        <f>IF(B333="","",IFERROR(AVERAGEIFS($I$4:$I333,$B$4:$B333,B333,$I$4:$I333,"&gt;"&amp;0),""))</f>
        <v>28.842105263157894</v>
      </c>
      <c r="L333" s="9" t="str">
        <f>IF(B333="","",IF(ISNA(MATCH(B333,Client_List!$B:$B,0)),"⚠ NOT FOUND","✓"))</f>
        <v>✓</v>
      </c>
    </row>
    <row r="334" spans="1:12" ht="14" customHeight="1" x14ac:dyDescent="0.2">
      <c r="A334" s="56">
        <v>46052</v>
      </c>
      <c r="B334" s="2" t="s">
        <v>204</v>
      </c>
      <c r="C334" s="3" t="str">
        <f>IF(B334="","",IFERROR(INDEX(Client_List!$C:$C,MATCH(B334,Client_List!$B:$B,0)),""))</f>
        <v>5</v>
      </c>
      <c r="D334" s="4" t="str">
        <f>IF(B334="","",IFERROR(INDEX(Client_List!$D:$D,MATCH(B334,Client_List!$B:$B,0)),""))</f>
        <v>5E</v>
      </c>
      <c r="E334" s="4" t="str">
        <f>IF(B334="","",IFERROR(INDEX(Client_List!$K:$K,MATCH(B334,Client_List!$B:$B,0)),""))</f>
        <v>CANOLA OIL</v>
      </c>
      <c r="F334" s="5">
        <f>IF(B334="","",IFERROR(INDEX(Client_List!$J:$J,MATCH(B334,Client_List!$B:$B,0)),""))</f>
        <v>1800</v>
      </c>
      <c r="G334" s="5">
        <v>1197</v>
      </c>
      <c r="H334" s="4">
        <f>IF(B334="","",IFERROR(A334-LOOKUP(2,1/($B$4:$B333=B334),$A$4:$A333),""))</f>
        <v>9</v>
      </c>
      <c r="I334" s="72">
        <f t="shared" si="5"/>
        <v>133</v>
      </c>
      <c r="J334" s="4">
        <v>142116</v>
      </c>
      <c r="K334" s="6">
        <f>IF(B334="","",IFERROR(AVERAGEIFS($I$4:$I334,$B$4:$B334,B334,$I$4:$I334,"&gt;"&amp;0),""))</f>
        <v>152.61507936507937</v>
      </c>
      <c r="L334" s="4" t="str">
        <f>IF(B334="","",IF(ISNA(MATCH(B334,Client_List!$B:$B,0)),"⚠ NOT FOUND","✓"))</f>
        <v>✓</v>
      </c>
    </row>
    <row r="335" spans="1:12" ht="14" customHeight="1" x14ac:dyDescent="0.2">
      <c r="A335" s="57">
        <v>46052</v>
      </c>
      <c r="B335" s="7" t="s">
        <v>236</v>
      </c>
      <c r="C335" s="12" t="str">
        <f>IF(B335="","",IFERROR(INDEX(Client_List!$C:$C,MATCH(B335,Client_List!$B:$B,0)),""))</f>
        <v>5</v>
      </c>
      <c r="D335" s="9" t="str">
        <f>IF(B335="","",IFERROR(INDEX(Client_List!$D:$D,MATCH(B335,Client_List!$B:$B,0)),""))</f>
        <v>5E</v>
      </c>
      <c r="E335" s="9" t="str">
        <f>IF(B335="","",IFERROR(INDEX(Client_List!$K:$K,MATCH(B335,Client_List!$B:$B,0)),""))</f>
        <v>CANOLA OIL</v>
      </c>
      <c r="F335" s="10">
        <f>IF(B335="","",IFERROR(INDEX(Client_List!$J:$J,MATCH(B335,Client_List!$B:$B,0)),""))</f>
        <v>500</v>
      </c>
      <c r="G335" s="10">
        <v>309</v>
      </c>
      <c r="H335" s="9">
        <f>IF(B335="","",IFERROR(A335-LOOKUP(2,1/($B$4:$B334=B335),$A$4:$A334),""))</f>
        <v>10</v>
      </c>
      <c r="I335" s="73">
        <f t="shared" si="5"/>
        <v>30.9</v>
      </c>
      <c r="J335" s="9">
        <v>142114</v>
      </c>
      <c r="K335" s="6">
        <f>IF(B335="","",IFERROR(AVERAGEIFS($I$4:$I335,$B$4:$B335,B335,$I$4:$I335,"&gt;"&amp;0),""))</f>
        <v>27.911538461538463</v>
      </c>
      <c r="L335" s="9" t="str">
        <f>IF(B335="","",IF(ISNA(MATCH(B335,Client_List!$B:$B,0)),"⚠ NOT FOUND","✓"))</f>
        <v>✓</v>
      </c>
    </row>
    <row r="336" spans="1:12" ht="14" customHeight="1" x14ac:dyDescent="0.2">
      <c r="A336" s="56">
        <v>46052</v>
      </c>
      <c r="B336" s="2" t="s">
        <v>238</v>
      </c>
      <c r="C336" s="12" t="str">
        <f>IF(B336="","",IFERROR(INDEX(Client_List!$C:$C,MATCH(B336,Client_List!$B:$B,0)),""))</f>
        <v>4</v>
      </c>
      <c r="D336" s="4" t="str">
        <f>IF(B336="","",IFERROR(INDEX(Client_List!$D:$D,MATCH(B336,Client_List!$B:$B,0)),""))</f>
        <v>4D</v>
      </c>
      <c r="E336" s="4" t="str">
        <f>IF(B336="","",IFERROR(INDEX(Client_List!$K:$K,MATCH(B336,Client_List!$B:$B,0)),""))</f>
        <v>CANOLA OIL</v>
      </c>
      <c r="F336" s="5">
        <f>IF(B336="","",IFERROR(INDEX(Client_List!$J:$J,MATCH(B336,Client_List!$B:$B,0)),""))</f>
        <v>660</v>
      </c>
      <c r="G336" s="5">
        <v>447</v>
      </c>
      <c r="H336" s="4">
        <f>IF(B336="","",IFERROR(A336-LOOKUP(2,1/($B$4:$B335=B336),$A$4:$A335),""))</f>
        <v>14</v>
      </c>
      <c r="I336" s="72">
        <f t="shared" si="5"/>
        <v>31.928571428571427</v>
      </c>
      <c r="J336" s="4">
        <v>142113</v>
      </c>
      <c r="K336" s="6">
        <f>IF(B336="","",IFERROR(AVERAGEIFS($I$4:$I336,$B$4:$B336,B336,$I$4:$I336,"&gt;"&amp;0),""))</f>
        <v>31.928571428571427</v>
      </c>
      <c r="L336" s="4" t="str">
        <f>IF(B336="","",IF(ISNA(MATCH(B336,Client_List!$B:$B,0)),"⚠ NOT FOUND","✓"))</f>
        <v>✓</v>
      </c>
    </row>
    <row r="337" spans="1:12" ht="14" customHeight="1" x14ac:dyDescent="0.2">
      <c r="A337" s="57">
        <v>46052</v>
      </c>
      <c r="B337" s="7" t="s">
        <v>260</v>
      </c>
      <c r="C337" s="3" t="str">
        <f>IF(B337="","",IFERROR(INDEX(Client_List!$C:$C,MATCH(B337,Client_List!$B:$B,0)),""))</f>
        <v>5</v>
      </c>
      <c r="D337" s="9" t="str">
        <f>IF(B337="","",IFERROR(INDEX(Client_List!$D:$D,MATCH(B337,Client_List!$B:$B,0)),""))</f>
        <v>5E</v>
      </c>
      <c r="E337" s="9" t="str">
        <f>IF(B337="","",IFERROR(INDEX(Client_List!$K:$K,MATCH(B337,Client_List!$B:$B,0)),""))</f>
        <v>FRYERS CHOICE BLEND</v>
      </c>
      <c r="F337" s="10">
        <f>IF(B337="","",IFERROR(INDEX(Client_List!$J:$J,MATCH(B337,Client_List!$B:$B,0)),""))</f>
        <v>950</v>
      </c>
      <c r="G337" s="10">
        <v>736</v>
      </c>
      <c r="H337" s="9">
        <f>IF(B337="","",IFERROR(A337-LOOKUP(2,1/($B$4:$B336=B337),$A$4:$A336),""))</f>
        <v>23</v>
      </c>
      <c r="I337" s="73">
        <f t="shared" si="5"/>
        <v>32</v>
      </c>
      <c r="J337" s="9">
        <v>142115</v>
      </c>
      <c r="K337" s="6">
        <f>IF(B337="","",IFERROR(AVERAGEIFS($I$4:$I337,$B$4:$B337,B337,$I$4:$I337,"&gt;"&amp;0),""))</f>
        <v>32</v>
      </c>
      <c r="L337" s="9" t="str">
        <f>IF(B337="","",IF(ISNA(MATCH(B337,Client_List!$B:$B,0)),"⚠ NOT FOUND","✓"))</f>
        <v>✓</v>
      </c>
    </row>
    <row r="338" spans="1:12" ht="14" customHeight="1" x14ac:dyDescent="0.2">
      <c r="A338" s="56">
        <v>46052</v>
      </c>
      <c r="B338" s="2" t="s">
        <v>298</v>
      </c>
      <c r="C338" s="3" t="str">
        <f>IF(B338="","",IFERROR(INDEX(Client_List!$C:$C,MATCH(B338,Client_List!$B:$B,0)),""))</f>
        <v>1</v>
      </c>
      <c r="D338" s="4" t="str">
        <f>IF(B338="","",IFERROR(INDEX(Client_List!$D:$D,MATCH(B338,Client_List!$B:$B,0)),""))</f>
        <v>1C</v>
      </c>
      <c r="E338" s="4" t="str">
        <f>IF(B338="","",IFERROR(INDEX(Client_List!$K:$K,MATCH(B338,Client_List!$B:$B,0)),""))</f>
        <v>CANOLA OIL</v>
      </c>
      <c r="F338" s="5">
        <f>IF(B338="","",IFERROR(INDEX(Client_List!$J:$J,MATCH(B338,Client_List!$B:$B,0)),""))</f>
        <v>950</v>
      </c>
      <c r="G338" s="5">
        <v>641</v>
      </c>
      <c r="H338" s="4">
        <f>IF(B338="","",IFERROR(A338-LOOKUP(2,1/($B$4:$B337=B338),$A$4:$A337),""))</f>
        <v>14</v>
      </c>
      <c r="I338" s="72">
        <f t="shared" si="5"/>
        <v>45.785714285714285</v>
      </c>
      <c r="J338" s="4">
        <v>142097</v>
      </c>
      <c r="K338" s="6">
        <f>IF(B338="","",IFERROR(AVERAGEIFS($I$4:$I338,$B$4:$B338,B338,$I$4:$I338,"&gt;"&amp;0),""))</f>
        <v>46.969780219780219</v>
      </c>
      <c r="L338" s="4" t="str">
        <f>IF(B338="","",IF(ISNA(MATCH(B338,Client_List!$B:$B,0)),"⚠ NOT FOUND","✓"))</f>
        <v>✓</v>
      </c>
    </row>
    <row r="339" spans="1:12" ht="14" customHeight="1" x14ac:dyDescent="0.2">
      <c r="A339" s="57">
        <v>46052</v>
      </c>
      <c r="B339" s="7" t="s">
        <v>302</v>
      </c>
      <c r="C339" s="12" t="str">
        <f>IF(B339="","",IFERROR(INDEX(Client_List!$C:$C,MATCH(B339,Client_List!$B:$B,0)),""))</f>
        <v>2</v>
      </c>
      <c r="D339" s="9" t="str">
        <f>IF(B339="","",IFERROR(INDEX(Client_List!$D:$D,MATCH(B339,Client_List!$B:$B,0)),""))</f>
        <v>2D</v>
      </c>
      <c r="E339" s="9" t="str">
        <f>IF(B339="","",IFERROR(INDEX(Client_List!$K:$K,MATCH(B339,Client_List!$B:$B,0)),""))</f>
        <v>CANOLA OIL</v>
      </c>
      <c r="F339" s="10">
        <f>IF(B339="","",IFERROR(INDEX(Client_List!$J:$J,MATCH(B339,Client_List!$B:$B,0)),""))</f>
        <v>350</v>
      </c>
      <c r="G339" s="10">
        <v>244</v>
      </c>
      <c r="H339" s="9">
        <f>IF(B339="","",IFERROR(A339-LOOKUP(2,1/($B$4:$B338=B339),$A$4:$A338),""))</f>
        <v>7</v>
      </c>
      <c r="I339" s="73">
        <f t="shared" si="5"/>
        <v>34.857142857142854</v>
      </c>
      <c r="J339" s="9">
        <v>142102</v>
      </c>
      <c r="K339" s="6">
        <f>IF(B339="","",IFERROR(AVERAGEIFS($I$4:$I339,$B$4:$B339,B339,$I$4:$I339,"&gt;"&amp;0),""))</f>
        <v>32.026455026455025</v>
      </c>
      <c r="L339" s="9" t="str">
        <f>IF(B339="","",IF(ISNA(MATCH(B339,Client_List!$B:$B,0)),"⚠ NOT FOUND","✓"))</f>
        <v>✓</v>
      </c>
    </row>
    <row r="340" spans="1:12" ht="14" customHeight="1" x14ac:dyDescent="0.2">
      <c r="A340" s="56">
        <v>46052</v>
      </c>
      <c r="B340" s="2" t="s">
        <v>326</v>
      </c>
      <c r="C340" s="8" t="str">
        <f>IF(B340="","",IFERROR(INDEX(Client_List!$C:$C,MATCH(B340,Client_List!$B:$B,0)),""))</f>
        <v>1</v>
      </c>
      <c r="D340" s="4" t="str">
        <f>IF(B340="","",IFERROR(INDEX(Client_List!$D:$D,MATCH(B340,Client_List!$B:$B,0)),""))</f>
        <v>1C</v>
      </c>
      <c r="E340" s="4" t="str">
        <f>IF(B340="","",IFERROR(INDEX(Client_List!$K:$K,MATCH(B340,Client_List!$B:$B,0)),""))</f>
        <v>FRYERS CHOICE BLEND</v>
      </c>
      <c r="F340" s="5">
        <f>IF(B340="","",IFERROR(INDEX(Client_List!$J:$J,MATCH(B340,Client_List!$B:$B,0)),""))</f>
        <v>950</v>
      </c>
      <c r="G340" s="5">
        <v>555</v>
      </c>
      <c r="H340" s="4">
        <f>IF(B340="","",IFERROR(A340-LOOKUP(2,1/($B$4:$B339=B340),$A$4:$A339),""))</f>
        <v>21</v>
      </c>
      <c r="I340" s="72">
        <f t="shared" si="5"/>
        <v>26.428571428571427</v>
      </c>
      <c r="J340" s="4">
        <v>142098</v>
      </c>
      <c r="K340" s="6">
        <f>IF(B340="","",IFERROR(AVERAGEIFS($I$4:$I340,$B$4:$B340,B340,$I$4:$I340,"&gt;"&amp;0),""))</f>
        <v>26.428571428571427</v>
      </c>
      <c r="L340" s="4" t="str">
        <f>IF(B340="","",IF(ISNA(MATCH(B340,Client_List!$B:$B,0)),"⚠ NOT FOUND","✓"))</f>
        <v>✓</v>
      </c>
    </row>
    <row r="341" spans="1:12" ht="14" customHeight="1" x14ac:dyDescent="0.2">
      <c r="A341" s="57">
        <v>46052</v>
      </c>
      <c r="B341" s="7" t="s">
        <v>342</v>
      </c>
      <c r="C341" s="3" t="str">
        <f>IF(B341="","",IFERROR(INDEX(Client_List!$C:$C,MATCH(B341,Client_List!$B:$B,0)),""))</f>
        <v>4</v>
      </c>
      <c r="D341" s="9" t="str">
        <f>IF(B341="","",IFERROR(INDEX(Client_List!$D:$D,MATCH(B341,Client_List!$B:$B,0)),""))</f>
        <v>4A</v>
      </c>
      <c r="E341" s="9" t="str">
        <f>IF(B341="","",IFERROR(INDEX(Client_List!$K:$K,MATCH(B341,Client_List!$B:$B,0)),""))</f>
        <v>FRYERS CHOICE BLEND</v>
      </c>
      <c r="F341" s="10">
        <f>IF(B341="","",IFERROR(INDEX(Client_List!$J:$J,MATCH(B341,Client_List!$B:$B,0)),""))</f>
        <v>630</v>
      </c>
      <c r="G341" s="10">
        <v>518</v>
      </c>
      <c r="H341" s="9">
        <f>IF(B341="","",IFERROR(A341-LOOKUP(2,1/($B$4:$B340=B341),$A$4:$A340),""))</f>
        <v>16</v>
      </c>
      <c r="I341" s="73">
        <f t="shared" si="5"/>
        <v>32.375</v>
      </c>
      <c r="J341" s="9">
        <v>142076</v>
      </c>
      <c r="K341" s="6">
        <f>IF(B341="","",IFERROR(AVERAGEIFS($I$4:$I341,$B$4:$B341,B341,$I$4:$I341,"&gt;"&amp;0),""))</f>
        <v>32.375</v>
      </c>
      <c r="L341" s="9" t="str">
        <f>IF(B341="","",IF(ISNA(MATCH(B341,Client_List!$B:$B,0)),"⚠ NOT FOUND","✓"))</f>
        <v>✓</v>
      </c>
    </row>
    <row r="342" spans="1:12" ht="14" customHeight="1" x14ac:dyDescent="0.2">
      <c r="A342" s="56">
        <v>46053</v>
      </c>
      <c r="B342" s="2" t="s">
        <v>364</v>
      </c>
      <c r="C342" s="8">
        <f>IF(B342="","",IFERROR(INDEX(Client_List!$C:$C,MATCH(B342,Client_List!$B:$B,0)),""))</f>
        <v>0</v>
      </c>
      <c r="D342" s="4" t="str">
        <f>IF(B342="","",IFERROR(INDEX(Client_List!$D:$D,MATCH(B342,Client_List!$B:$B,0)),""))</f>
        <v>TU</v>
      </c>
      <c r="E342" s="4" t="str">
        <f>IF(B342="","",IFERROR(INDEX(Client_List!$K:$K,MATCH(B342,Client_List!$B:$B,0)),""))</f>
        <v>FRYERS CHOICE BLEND</v>
      </c>
      <c r="F342" s="5">
        <f>IF(B342="","",IFERROR(INDEX(Client_List!$J:$J,MATCH(B342,Client_List!$B:$B,0)),""))</f>
        <v>1000</v>
      </c>
      <c r="G342" s="5">
        <v>773</v>
      </c>
      <c r="H342" s="4">
        <f>IF(B342="","",IFERROR(A342-LOOKUP(2,1/($B$4:$B341=B342),$A$4:$A341),""))</f>
        <v>14</v>
      </c>
      <c r="I342" s="72">
        <f t="shared" si="5"/>
        <v>55.214285714285715</v>
      </c>
      <c r="J342" s="4">
        <v>142135</v>
      </c>
      <c r="K342" s="6">
        <f>IF(B342="","",IFERROR(AVERAGEIFS($I$4:$I342,$B$4:$B342,B342,$I$4:$I342,"&gt;"&amp;0),""))</f>
        <v>54.142857142857139</v>
      </c>
      <c r="L342" s="4" t="str">
        <f>IF(B342="","",IF(ISNA(MATCH(B342,Client_List!$B:$B,0)),"⚠ NOT FOUND","✓"))</f>
        <v>✓</v>
      </c>
    </row>
    <row r="343" spans="1:12" ht="14" customHeight="1" x14ac:dyDescent="0.2">
      <c r="A343" s="57">
        <v>46053</v>
      </c>
      <c r="B343" s="7" t="s">
        <v>126</v>
      </c>
      <c r="C343" s="3" t="str">
        <f>IF(B343="","",IFERROR(INDEX(Client_List!$C:$C,MATCH(B343,Client_List!$B:$B,0)),""))</f>
        <v>4</v>
      </c>
      <c r="D343" s="9" t="str">
        <f>IF(B343="","",IFERROR(INDEX(Client_List!$D:$D,MATCH(B343,Client_List!$B:$B,0)),""))</f>
        <v>4D</v>
      </c>
      <c r="E343" s="9" t="str">
        <f>IF(B343="","",IFERROR(INDEX(Client_List!$K:$K,MATCH(B343,Client_List!$B:$B,0)),""))</f>
        <v>CANOLA OIL</v>
      </c>
      <c r="F343" s="10">
        <f>IF(B343="","",IFERROR(INDEX(Client_List!$J:$J,MATCH(B343,Client_List!$B:$B,0)),""))</f>
        <v>700</v>
      </c>
      <c r="G343" s="10">
        <v>534</v>
      </c>
      <c r="H343" s="9">
        <f>IF(B343="","",IFERROR(A343-LOOKUP(2,1/($B$4:$B342=B343),$A$4:$A342),""))</f>
        <v>8</v>
      </c>
      <c r="I343" s="73">
        <f t="shared" si="5"/>
        <v>66.75</v>
      </c>
      <c r="J343" s="9">
        <v>142127</v>
      </c>
      <c r="K343" s="6">
        <f>IF(B343="","",IFERROR(AVERAGEIFS($I$4:$I343,$B$4:$B343,B343,$I$4:$I343,"&gt;"&amp;0),""))</f>
        <v>65.513888888888886</v>
      </c>
      <c r="L343" s="9" t="str">
        <f>IF(B343="","",IF(ISNA(MATCH(B343,Client_List!$B:$B,0)),"⚠ NOT FOUND","✓"))</f>
        <v>✓</v>
      </c>
    </row>
    <row r="344" spans="1:12" ht="14" customHeight="1" x14ac:dyDescent="0.2">
      <c r="A344" s="56">
        <v>46053</v>
      </c>
      <c r="B344" s="2" t="s">
        <v>164</v>
      </c>
      <c r="C344" s="3" t="str">
        <f>IF(B344="","",IFERROR(INDEX(Client_List!$C:$C,MATCH(B344,Client_List!$B:$B,0)),""))</f>
        <v>3</v>
      </c>
      <c r="D344" s="4" t="str">
        <f>IF(B344="","",IFERROR(INDEX(Client_List!$D:$D,MATCH(B344,Client_List!$B:$B,0)),""))</f>
        <v>3E</v>
      </c>
      <c r="E344" s="4" t="str">
        <f>IF(B344="","",IFERROR(INDEX(Client_List!$K:$K,MATCH(B344,Client_List!$B:$B,0)),""))</f>
        <v>CANOLA OIL</v>
      </c>
      <c r="F344" s="5">
        <f>IF(B344="","",IFERROR(INDEX(Client_List!$J:$J,MATCH(B344,Client_List!$B:$B,0)),""))</f>
        <v>1050</v>
      </c>
      <c r="G344" s="5">
        <v>844</v>
      </c>
      <c r="H344" s="4">
        <f>IF(B344="","",IFERROR(A344-LOOKUP(2,1/($B$4:$B343=B344),$A$4:$A343),""))</f>
        <v>17</v>
      </c>
      <c r="I344" s="72">
        <f t="shared" si="5"/>
        <v>49.647058823529413</v>
      </c>
      <c r="J344" s="4">
        <v>142130</v>
      </c>
      <c r="K344" s="6">
        <f>IF(B344="","",IFERROR(AVERAGEIFS($I$4:$I344,$B$4:$B344,B344,$I$4:$I344,"&gt;"&amp;0),""))</f>
        <v>49.647058823529413</v>
      </c>
      <c r="L344" s="4" t="str">
        <f>IF(B344="","",IF(ISNA(MATCH(B344,Client_List!$B:$B,0)),"⚠ NOT FOUND","✓"))</f>
        <v>✓</v>
      </c>
    </row>
    <row r="345" spans="1:12" ht="14" customHeight="1" x14ac:dyDescent="0.2">
      <c r="A345" s="57">
        <v>46053</v>
      </c>
      <c r="B345" s="7" t="s">
        <v>186</v>
      </c>
      <c r="C345" s="8" t="str">
        <f>IF(B345="","",IFERROR(INDEX(Client_List!$C:$C,MATCH(B345,Client_List!$B:$B,0)),""))</f>
        <v>4</v>
      </c>
      <c r="D345" s="9" t="str">
        <f>IF(B345="","",IFERROR(INDEX(Client_List!$D:$D,MATCH(B345,Client_List!$B:$B,0)),""))</f>
        <v>4E</v>
      </c>
      <c r="E345" s="9" t="str">
        <f>IF(B345="","",IFERROR(INDEX(Client_List!$K:$K,MATCH(B345,Client_List!$B:$B,0)),""))</f>
        <v>CANOLA OIL</v>
      </c>
      <c r="F345" s="10">
        <f>IF(B345="","",IFERROR(INDEX(Client_List!$J:$J,MATCH(B345,Client_List!$B:$B,0)),""))</f>
        <v>950</v>
      </c>
      <c r="G345" s="10">
        <v>698</v>
      </c>
      <c r="H345" s="9">
        <f>IF(B345="","",IFERROR(A345-LOOKUP(2,1/($B$4:$B344=B345),$A$4:$A344),""))</f>
        <v>8</v>
      </c>
      <c r="I345" s="73">
        <f t="shared" si="5"/>
        <v>87.25</v>
      </c>
      <c r="J345" s="9">
        <v>142126</v>
      </c>
      <c r="K345" s="6">
        <f>IF(B345="","",IFERROR(AVERAGEIFS($I$4:$I345,$B$4:$B345,B345,$I$4:$I345,"&gt;"&amp;0),""))</f>
        <v>83.041666666666657</v>
      </c>
      <c r="L345" s="9" t="str">
        <f>IF(B345="","",IF(ISNA(MATCH(B345,Client_List!$B:$B,0)),"⚠ NOT FOUND","✓"))</f>
        <v>✓</v>
      </c>
    </row>
    <row r="346" spans="1:12" ht="14" customHeight="1" x14ac:dyDescent="0.2">
      <c r="A346" s="56">
        <v>46053</v>
      </c>
      <c r="B346" s="2" t="s">
        <v>367</v>
      </c>
      <c r="C346" s="8">
        <f>IF(B346="","",IFERROR(INDEX(Client_List!$C:$C,MATCH(B346,Client_List!$B:$B,0)),""))</f>
        <v>0</v>
      </c>
      <c r="D346" s="4" t="str">
        <f>IF(B346="","",IFERROR(INDEX(Client_List!$D:$D,MATCH(B346,Client_List!$B:$B,0)),""))</f>
        <v>T</v>
      </c>
      <c r="E346" s="4" t="str">
        <f>IF(B346="","",IFERROR(INDEX(Client_List!$K:$K,MATCH(B346,Client_List!$B:$B,0)),""))</f>
        <v>CANOLA OIL</v>
      </c>
      <c r="F346" s="5">
        <f>IF(B346="","",IFERROR(INDEX(Client_List!$J:$J,MATCH(B346,Client_List!$B:$B,0)),""))</f>
        <v>500</v>
      </c>
      <c r="G346" s="5">
        <v>453</v>
      </c>
      <c r="H346" s="4">
        <f>IF(B346="","",IFERROR(A346-LOOKUP(2,1/($B$4:$B345=B346),$A$4:$A345),""))</f>
        <v>14</v>
      </c>
      <c r="I346" s="72">
        <f t="shared" si="5"/>
        <v>32.357142857142854</v>
      </c>
      <c r="J346" s="4">
        <v>142136</v>
      </c>
      <c r="K346" s="6">
        <f>IF(B346="","",IFERROR(AVERAGEIFS($I$4:$I346,$B$4:$B346,B346,$I$4:$I346,"&gt;"&amp;0),""))</f>
        <v>32.5</v>
      </c>
      <c r="L346" s="4" t="str">
        <f>IF(B346="","",IF(ISNA(MATCH(B346,Client_List!$B:$B,0)),"⚠ NOT FOUND","✓"))</f>
        <v>✓</v>
      </c>
    </row>
    <row r="347" spans="1:12" ht="14" customHeight="1" x14ac:dyDescent="0.2">
      <c r="A347" s="57">
        <v>46053</v>
      </c>
      <c r="B347" s="7" t="s">
        <v>368</v>
      </c>
      <c r="C347" s="3">
        <f>IF(B347="","",IFERROR(INDEX(Client_List!$C:$C,MATCH(B347,Client_List!$B:$B,0)),""))</f>
        <v>0</v>
      </c>
      <c r="D347" s="9" t="str">
        <f>IF(B347="","",IFERROR(INDEX(Client_List!$D:$D,MATCH(B347,Client_List!$B:$B,0)),""))</f>
        <v>TU</v>
      </c>
      <c r="E347" s="9" t="str">
        <f>IF(B347="","",IFERROR(INDEX(Client_List!$K:$K,MATCH(B347,Client_List!$B:$B,0)),""))</f>
        <v>CANOLA OIL</v>
      </c>
      <c r="F347" s="10">
        <f>IF(B347="","",IFERROR(INDEX(Client_List!$J:$J,MATCH(B347,Client_List!$B:$B,0)),""))</f>
        <v>950</v>
      </c>
      <c r="G347" s="10">
        <v>580</v>
      </c>
      <c r="H347" s="9">
        <f>IF(B347="","",IFERROR(A347-LOOKUP(2,1/($B$4:$B346=B347),$A$4:$A346),""))</f>
        <v>14</v>
      </c>
      <c r="I347" s="73">
        <f t="shared" si="5"/>
        <v>41.428571428571431</v>
      </c>
      <c r="J347" s="9">
        <v>142138</v>
      </c>
      <c r="K347" s="6">
        <f>IF(B347="","",IFERROR(AVERAGEIFS($I$4:$I347,$B$4:$B347,B347,$I$4:$I347,"&gt;"&amp;0),""))</f>
        <v>45.107142857142861</v>
      </c>
      <c r="L347" s="9" t="str">
        <f>IF(B347="","",IF(ISNA(MATCH(B347,Client_List!$B:$B,0)),"⚠ NOT FOUND","✓"))</f>
        <v>✓</v>
      </c>
    </row>
    <row r="348" spans="1:12" ht="14" customHeight="1" x14ac:dyDescent="0.2">
      <c r="A348" s="56">
        <v>46053</v>
      </c>
      <c r="B348" s="2" t="s">
        <v>369</v>
      </c>
      <c r="C348" s="8">
        <f>IF(B348="","",IFERROR(INDEX(Client_List!$C:$C,MATCH(B348,Client_List!$B:$B,0)),""))</f>
        <v>0</v>
      </c>
      <c r="D348" s="4" t="str">
        <f>IF(B348="","",IFERROR(INDEX(Client_List!$D:$D,MATCH(B348,Client_List!$B:$B,0)),""))</f>
        <v>TU</v>
      </c>
      <c r="E348" s="4" t="str">
        <f>IF(B348="","",IFERROR(INDEX(Client_List!$K:$K,MATCH(B348,Client_List!$B:$B,0)),""))</f>
        <v>CANOLA OIL</v>
      </c>
      <c r="F348" s="5">
        <f>IF(B348="","",IFERROR(INDEX(Client_List!$J:$J,MATCH(B348,Client_List!$B:$B,0)),""))</f>
        <v>700</v>
      </c>
      <c r="G348" s="5">
        <v>338</v>
      </c>
      <c r="H348" s="4">
        <f>IF(B348="","",IFERROR(A348-LOOKUP(2,1/($B$4:$B347=B348),$A$4:$A347),""))</f>
        <v>14</v>
      </c>
      <c r="I348" s="72">
        <f t="shared" si="5"/>
        <v>24.142857142857142</v>
      </c>
      <c r="J348" s="4">
        <v>142137</v>
      </c>
      <c r="K348" s="6">
        <f>IF(B348="","",IFERROR(AVERAGEIFS($I$4:$I348,$B$4:$B348,B348,$I$4:$I348,"&gt;"&amp;0),""))</f>
        <v>24.535714285714285</v>
      </c>
      <c r="L348" s="4" t="str">
        <f>IF(B348="","",IF(ISNA(MATCH(B348,Client_List!$B:$B,0)),"⚠ NOT FOUND","✓"))</f>
        <v>✓</v>
      </c>
    </row>
    <row r="349" spans="1:12" ht="14" customHeight="1" x14ac:dyDescent="0.2">
      <c r="A349" s="57">
        <v>46053</v>
      </c>
      <c r="B349" s="7" t="s">
        <v>379</v>
      </c>
      <c r="C349" s="11">
        <f>IF(B349="","",IFERROR(INDEX(Client_List!$C:$C,MATCH(B349,Client_List!$B:$B,0)),""))</f>
        <v>0</v>
      </c>
      <c r="D349" s="9" t="str">
        <f>IF(B349="","",IFERROR(INDEX(Client_List!$D:$D,MATCH(B349,Client_List!$B:$B,0)),""))</f>
        <v>C</v>
      </c>
      <c r="E349" s="9" t="str">
        <f>IF(B349="","",IFERROR(INDEX(Client_List!$K:$K,MATCH(B349,Client_List!$B:$B,0)),""))</f>
        <v>FRYERS CHOICE BLEND</v>
      </c>
      <c r="F349" s="10">
        <f>IF(B349="","",IFERROR(INDEX(Client_List!$J:$J,MATCH(B349,Client_List!$B:$B,0)),""))</f>
        <v>700</v>
      </c>
      <c r="G349" s="10">
        <v>502</v>
      </c>
      <c r="H349" s="9">
        <f>IF(B349="","",IFERROR(A349-LOOKUP(2,1/($B$4:$B348=B349),$A$4:$A348),""))</f>
        <v>14</v>
      </c>
      <c r="I349" s="73">
        <f t="shared" si="5"/>
        <v>35.857142857142854</v>
      </c>
      <c r="J349" s="9">
        <v>142125</v>
      </c>
      <c r="K349" s="6">
        <f>IF(B349="","",IFERROR(AVERAGEIFS($I$4:$I349,$B$4:$B349,B349,$I$4:$I349,"&gt;"&amp;0),""))</f>
        <v>35.857142857142854</v>
      </c>
      <c r="L349" s="9" t="str">
        <f>IF(B349="","",IF(ISNA(MATCH(B349,Client_List!$B:$B,0)),"⚠ NOT FOUND","✓"))</f>
        <v>✓</v>
      </c>
    </row>
    <row r="350" spans="1:12" ht="14" customHeight="1" x14ac:dyDescent="0.2">
      <c r="A350" s="56">
        <v>46053</v>
      </c>
      <c r="B350" s="2" t="s">
        <v>370</v>
      </c>
      <c r="C350" s="3" t="str">
        <f>IF(B350="","",IFERROR(INDEX(Client_List!$C:$C,MATCH(B350,Client_List!$B:$B,0)),""))</f>
        <v>1</v>
      </c>
      <c r="D350" s="4" t="str">
        <f>IF(B350="","",IFERROR(INDEX(Client_List!$D:$D,MATCH(B350,Client_List!$B:$B,0)),""))</f>
        <v>1D</v>
      </c>
      <c r="E350" s="4" t="str">
        <f>IF(B350="","",IFERROR(INDEX(Client_List!$K:$K,MATCH(B350,Client_List!$B:$B,0)),""))</f>
        <v>CANOLA OIL</v>
      </c>
      <c r="F350" s="5">
        <f>IF(B350="","",IFERROR(INDEX(Client_List!$J:$J,MATCH(B350,Client_List!$B:$B,0)),""))</f>
        <v>2000</v>
      </c>
      <c r="G350" s="5">
        <v>1228</v>
      </c>
      <c r="H350" s="4">
        <f>IF(B350="","",IFERROR(A350-LOOKUP(2,1/($B$4:$B349=B350),$A$4:$A349),""))</f>
        <v>13</v>
      </c>
      <c r="I350" s="72">
        <f t="shared" si="5"/>
        <v>94.461538461538467</v>
      </c>
      <c r="J350" s="4">
        <v>142123</v>
      </c>
      <c r="K350" s="6">
        <f>IF(B350="","",IFERROR(AVERAGEIFS($I$4:$I350,$B$4:$B350,B350,$I$4:$I350,"&gt;"&amp;0),""))</f>
        <v>111.62362637362637</v>
      </c>
      <c r="L350" s="4" t="str">
        <f>IF(B350="","",IF(ISNA(MATCH(B350,Client_List!$B:$B,0)),"⚠ NOT FOUND","✓"))</f>
        <v>✓</v>
      </c>
    </row>
    <row r="351" spans="1:12" ht="14" customHeight="1" x14ac:dyDescent="0.2">
      <c r="A351" s="57">
        <v>46053</v>
      </c>
      <c r="B351" s="7" t="s">
        <v>276</v>
      </c>
      <c r="C351" s="13" t="str">
        <f>IF(B351="","",IFERROR(INDEX(Client_List!$C:$C,MATCH(B351,Client_List!$B:$B,0)),""))</f>
        <v>3</v>
      </c>
      <c r="D351" s="9" t="str">
        <f>IF(B351="","",IFERROR(INDEX(Client_List!$D:$D,MATCH(B351,Client_List!$B:$B,0)),""))</f>
        <v>3D</v>
      </c>
      <c r="E351" s="9" t="str">
        <f>IF(B351="","",IFERROR(INDEX(Client_List!$K:$K,MATCH(B351,Client_List!$B:$B,0)),""))</f>
        <v>FRYERS CHOICE BLEND</v>
      </c>
      <c r="F351" s="10">
        <f>IF(B351="","",IFERROR(INDEX(Client_List!$J:$J,MATCH(B351,Client_List!$B:$B,0)),""))</f>
        <v>950</v>
      </c>
      <c r="G351" s="10">
        <v>829</v>
      </c>
      <c r="H351" s="9">
        <f>IF(B351="","",IFERROR(A351-LOOKUP(2,1/($B$4:$B350=B351),$A$4:$A350),""))</f>
        <v>10</v>
      </c>
      <c r="I351" s="73">
        <f t="shared" si="5"/>
        <v>82.9</v>
      </c>
      <c r="J351" s="9">
        <v>142128</v>
      </c>
      <c r="K351" s="6">
        <f>IF(B351="","",IFERROR(AVERAGEIFS($I$4:$I351,$B$4:$B351,B351,$I$4:$I351,"&gt;"&amp;0),""))</f>
        <v>89.241798941798947</v>
      </c>
      <c r="L351" s="9" t="str">
        <f>IF(B351="","",IF(ISNA(MATCH(B351,Client_List!$B:$B,0)),"⚠ NOT FOUND","✓"))</f>
        <v>✓</v>
      </c>
    </row>
    <row r="352" spans="1:12" ht="14" customHeight="1" x14ac:dyDescent="0.2">
      <c r="A352" s="56">
        <v>46053</v>
      </c>
      <c r="B352" s="2" t="s">
        <v>320</v>
      </c>
      <c r="C352" s="12" t="str">
        <f>IF(B352="","",IFERROR(INDEX(Client_List!$C:$C,MATCH(B352,Client_List!$B:$B,0)),""))</f>
        <v>1</v>
      </c>
      <c r="D352" s="4" t="str">
        <f>IF(B352="","",IFERROR(INDEX(Client_List!$D:$D,MATCH(B352,Client_List!$B:$B,0)),""))</f>
        <v>1E</v>
      </c>
      <c r="E352" s="4" t="str">
        <f>IF(B352="","",IFERROR(INDEX(Client_List!$K:$K,MATCH(B352,Client_List!$B:$B,0)),""))</f>
        <v>CANOLA OIL</v>
      </c>
      <c r="F352" s="5">
        <f>IF(B352="","",IFERROR(INDEX(Client_List!$J:$J,MATCH(B352,Client_List!$B:$B,0)),""))</f>
        <v>1050</v>
      </c>
      <c r="G352" s="5">
        <v>968</v>
      </c>
      <c r="H352" s="4">
        <f>IF(B352="","",IFERROR(A352-LOOKUP(2,1/($B$4:$B351=B352),$A$4:$A351),""))</f>
        <v>15</v>
      </c>
      <c r="I352" s="72">
        <f t="shared" si="5"/>
        <v>64.533333333333331</v>
      </c>
      <c r="J352" s="4">
        <v>142124</v>
      </c>
      <c r="K352" s="6">
        <f>IF(B352="","",IFERROR(AVERAGEIFS($I$4:$I352,$B$4:$B352,B352,$I$4:$I352,"&gt;"&amp;0),""))</f>
        <v>64.533333333333331</v>
      </c>
      <c r="L352" s="4" t="str">
        <f>IF(B352="","",IF(ISNA(MATCH(B352,Client_List!$B:$B,0)),"⚠ NOT FOUND","✓"))</f>
        <v>✓</v>
      </c>
    </row>
    <row r="353" spans="1:12" ht="14" customHeight="1" x14ac:dyDescent="0.2">
      <c r="A353" s="57">
        <v>46054</v>
      </c>
      <c r="B353" s="7" t="s">
        <v>71</v>
      </c>
      <c r="C353" s="8" t="str">
        <f>IF(B353="","",IFERROR(INDEX(Client_List!$C:$C,MATCH(B353,Client_List!$B:$B,0)),""))</f>
        <v>5</v>
      </c>
      <c r="D353" s="9" t="str">
        <f>IF(B353="","",IFERROR(INDEX(Client_List!$D:$D,MATCH(B353,Client_List!$B:$B,0)),""))</f>
        <v>5F</v>
      </c>
      <c r="E353" s="9" t="str">
        <f>IF(B353="","",IFERROR(INDEX(Client_List!$K:$K,MATCH(B353,Client_List!$B:$B,0)),""))</f>
        <v>CANOLA OIL</v>
      </c>
      <c r="F353" s="10">
        <f>IF(B353="","",IFERROR(INDEX(Client_List!$J:$J,MATCH(B353,Client_List!$B:$B,0)),""))</f>
        <v>350</v>
      </c>
      <c r="G353" s="10">
        <v>229</v>
      </c>
      <c r="H353" s="9">
        <f>IF(B353="","",IFERROR(A353-LOOKUP(2,1/($B$4:$B352=B353),$A$4:$A352),""))</f>
        <v>7</v>
      </c>
      <c r="I353" s="73">
        <f t="shared" si="5"/>
        <v>32.714285714285715</v>
      </c>
      <c r="J353" s="9">
        <v>142159</v>
      </c>
      <c r="K353" s="6">
        <f>IF(B353="","",IFERROR(AVERAGEIFS($I$4:$I353,$B$4:$B353,B353,$I$4:$I353,"&gt;"&amp;0),""))</f>
        <v>27.978835978835978</v>
      </c>
      <c r="L353" s="9" t="str">
        <f>IF(B353="","",IF(ISNA(MATCH(B353,Client_List!$B:$B,0)),"⚠ NOT FOUND","✓"))</f>
        <v>✓</v>
      </c>
    </row>
    <row r="354" spans="1:12" ht="14" customHeight="1" x14ac:dyDescent="0.2">
      <c r="A354" s="56">
        <v>46054</v>
      </c>
      <c r="B354" s="2" t="s">
        <v>73</v>
      </c>
      <c r="C354" s="8" t="str">
        <f>IF(B354="","",IFERROR(INDEX(Client_List!$C:$C,MATCH(B354,Client_List!$B:$B,0)),""))</f>
        <v>4</v>
      </c>
      <c r="D354" s="4" t="str">
        <f>IF(B354="","",IFERROR(INDEX(Client_List!$D:$D,MATCH(B354,Client_List!$B:$B,0)),""))</f>
        <v>4D</v>
      </c>
      <c r="E354" s="4" t="str">
        <f>IF(B354="","",IFERROR(INDEX(Client_List!$K:$K,MATCH(B354,Client_List!$B:$B,0)),""))</f>
        <v>CANOLA OIL</v>
      </c>
      <c r="F354" s="5">
        <f>IF(B354="","",IFERROR(INDEX(Client_List!$J:$J,MATCH(B354,Client_List!$B:$B,0)),""))</f>
        <v>620</v>
      </c>
      <c r="G354" s="5">
        <v>414</v>
      </c>
      <c r="H354" s="4">
        <f>IF(B354="","",IFERROR(A354-LOOKUP(2,1/($B$4:$B353=B354),$A$4:$A353),""))</f>
        <v>9</v>
      </c>
      <c r="I354" s="72">
        <f t="shared" si="5"/>
        <v>46</v>
      </c>
      <c r="J354" s="4">
        <v>142161</v>
      </c>
      <c r="K354" s="6">
        <f>IF(B354="","",IFERROR(AVERAGEIFS($I$4:$I354,$B$4:$B354,B354,$I$4:$I354,"&gt;"&amp;0),""))</f>
        <v>49.777777777777779</v>
      </c>
      <c r="L354" s="4" t="str">
        <f>IF(B354="","",IF(ISNA(MATCH(B354,Client_List!$B:$B,0)),"⚠ NOT FOUND","✓"))</f>
        <v>✓</v>
      </c>
    </row>
    <row r="355" spans="1:12" ht="14" customHeight="1" x14ac:dyDescent="0.2">
      <c r="A355" s="57">
        <v>46054</v>
      </c>
      <c r="B355" s="7" t="s">
        <v>104</v>
      </c>
      <c r="C355" s="3" t="str">
        <f>IF(B355="","",IFERROR(INDEX(Client_List!$C:$C,MATCH(B355,Client_List!$B:$B,0)),""))</f>
        <v>4</v>
      </c>
      <c r="D355" s="9" t="str">
        <f>IF(B355="","",IFERROR(INDEX(Client_List!$D:$D,MATCH(B355,Client_List!$B:$B,0)),""))</f>
        <v>4E</v>
      </c>
      <c r="E355" s="9" t="str">
        <f>IF(B355="","",IFERROR(INDEX(Client_List!$K:$K,MATCH(B355,Client_List!$B:$B,0)),""))</f>
        <v>CANOLA OIL</v>
      </c>
      <c r="F355" s="10">
        <f>IF(B355="","",IFERROR(INDEX(Client_List!$J:$J,MATCH(B355,Client_List!$B:$B,0)),""))</f>
        <v>350</v>
      </c>
      <c r="G355" s="10">
        <v>371</v>
      </c>
      <c r="H355" s="9">
        <f>IF(B355="","",IFERROR(A355-LOOKUP(2,1/($B$4:$B354=B355),$A$4:$A354),""))</f>
        <v>21</v>
      </c>
      <c r="I355" s="73">
        <f t="shared" si="5"/>
        <v>17.666666666666668</v>
      </c>
      <c r="J355" s="9">
        <v>142163</v>
      </c>
      <c r="K355" s="6">
        <f>IF(B355="","",IFERROR(AVERAGEIFS($I$4:$I355,$B$4:$B355,B355,$I$4:$I355,"&gt;"&amp;0),""))</f>
        <v>17.666666666666668</v>
      </c>
      <c r="L355" s="9" t="str">
        <f>IF(B355="","",IF(ISNA(MATCH(B355,Client_List!$B:$B,0)),"⚠ NOT FOUND","✓"))</f>
        <v>✓</v>
      </c>
    </row>
    <row r="356" spans="1:12" ht="14" customHeight="1" x14ac:dyDescent="0.2">
      <c r="A356" s="56">
        <v>46054</v>
      </c>
      <c r="B356" s="2" t="s">
        <v>120</v>
      </c>
      <c r="C356" s="12" t="str">
        <f>IF(B356="","",IFERROR(INDEX(Client_List!$C:$C,MATCH(B356,Client_List!$B:$B,0)),""))</f>
        <v>5</v>
      </c>
      <c r="D356" s="4" t="str">
        <f>IF(B356="","",IFERROR(INDEX(Client_List!$D:$D,MATCH(B356,Client_List!$B:$B,0)),""))</f>
        <v>5D</v>
      </c>
      <c r="E356" s="4" t="str">
        <f>IF(B356="","",IFERROR(INDEX(Client_List!$K:$K,MATCH(B356,Client_List!$B:$B,0)),""))</f>
        <v>FRYERS CHOICE BLEND</v>
      </c>
      <c r="F356" s="5">
        <f>IF(B356="","",IFERROR(INDEX(Client_List!$J:$J,MATCH(B356,Client_List!$B:$B,0)),""))</f>
        <v>450</v>
      </c>
      <c r="G356" s="5">
        <v>255</v>
      </c>
      <c r="H356" s="4">
        <f>IF(B356="","",IFERROR(A356-LOOKUP(2,1/($B$4:$B355=B356),$A$4:$A355),""))</f>
        <v>7</v>
      </c>
      <c r="I356" s="72">
        <f t="shared" si="5"/>
        <v>36.428571428571431</v>
      </c>
      <c r="J356" s="4">
        <v>142165</v>
      </c>
      <c r="K356" s="6">
        <f>IF(B356="","",IFERROR(AVERAGEIFS($I$4:$I356,$B$4:$B356,B356,$I$4:$I356,"&gt;"&amp;0),""))</f>
        <v>36.24285714285714</v>
      </c>
      <c r="L356" s="4" t="str">
        <f>IF(B356="","",IF(ISNA(MATCH(B356,Client_List!$B:$B,0)),"⚠ NOT FOUND","✓"))</f>
        <v>✓</v>
      </c>
    </row>
    <row r="357" spans="1:12" ht="14" customHeight="1" x14ac:dyDescent="0.2">
      <c r="A357" s="57">
        <v>46054</v>
      </c>
      <c r="B357" s="7" t="s">
        <v>132</v>
      </c>
      <c r="C357" s="8" t="str">
        <f>IF(B357="","",IFERROR(INDEX(Client_List!$C:$C,MATCH(B357,Client_List!$B:$B,0)),""))</f>
        <v>3</v>
      </c>
      <c r="D357" s="9" t="str">
        <f>IF(B357="","",IFERROR(INDEX(Client_List!$D:$D,MATCH(B357,Client_List!$B:$B,0)),""))</f>
        <v>3C</v>
      </c>
      <c r="E357" s="9" t="str">
        <f>IF(B357="","",IFERROR(INDEX(Client_List!$K:$K,MATCH(B357,Client_List!$B:$B,0)),""))</f>
        <v>CANOLA OIL</v>
      </c>
      <c r="F357" s="10">
        <f>IF(B357="","",IFERROR(INDEX(Client_List!$J:$J,MATCH(B357,Client_List!$B:$B,0)),""))</f>
        <v>630</v>
      </c>
      <c r="G357" s="10">
        <v>584</v>
      </c>
      <c r="H357" s="9">
        <f>IF(B357="","",IFERROR(A357-LOOKUP(2,1/($B$4:$B356=B357),$A$4:$A356),""))</f>
        <v>18</v>
      </c>
      <c r="I357" s="73">
        <f t="shared" si="5"/>
        <v>32.444444444444443</v>
      </c>
      <c r="J357" s="9">
        <v>142129</v>
      </c>
      <c r="K357" s="6">
        <f>IF(B357="","",IFERROR(AVERAGEIFS($I$4:$I357,$B$4:$B357,B357,$I$4:$I357,"&gt;"&amp;0),""))</f>
        <v>32.444444444444443</v>
      </c>
      <c r="L357" s="9" t="str">
        <f>IF(B357="","",IF(ISNA(MATCH(B357,Client_List!$B:$B,0)),"⚠ NOT FOUND","✓"))</f>
        <v>✓</v>
      </c>
    </row>
    <row r="358" spans="1:12" ht="14" customHeight="1" x14ac:dyDescent="0.2">
      <c r="A358" s="56">
        <v>46054</v>
      </c>
      <c r="B358" s="2" t="s">
        <v>148</v>
      </c>
      <c r="C358" s="12" t="str">
        <f>IF(B358="","",IFERROR(INDEX(Client_List!$C:$C,MATCH(B358,Client_List!$B:$B,0)),""))</f>
        <v>4</v>
      </c>
      <c r="D358" s="4" t="str">
        <f>IF(B358="","",IFERROR(INDEX(Client_List!$D:$D,MATCH(B358,Client_List!$B:$B,0)),""))</f>
        <v>4B</v>
      </c>
      <c r="E358" s="4" t="str">
        <f>IF(B358="","",IFERROR(INDEX(Client_List!$K:$K,MATCH(B358,Client_List!$B:$B,0)),""))</f>
        <v>FRYERS CHOICE BLEND</v>
      </c>
      <c r="F358" s="5">
        <f>IF(B358="","",IFERROR(INDEX(Client_List!$J:$J,MATCH(B358,Client_List!$B:$B,0)),""))</f>
        <v>950</v>
      </c>
      <c r="G358" s="5">
        <v>815</v>
      </c>
      <c r="H358" s="4">
        <f>IF(B358="","",IFERROR(A358-LOOKUP(2,1/($B$4:$B357=B358),$A$4:$A357),""))</f>
        <v>10</v>
      </c>
      <c r="I358" s="72">
        <f t="shared" si="5"/>
        <v>81.5</v>
      </c>
      <c r="J358" s="4">
        <v>142122</v>
      </c>
      <c r="K358" s="6">
        <f>IF(B358="","",IFERROR(AVERAGEIFS($I$4:$I358,$B$4:$B358,B358,$I$4:$I358,"&gt;"&amp;0),""))</f>
        <v>83.550505050505038</v>
      </c>
      <c r="L358" s="4" t="str">
        <f>IF(B358="","",IF(ISNA(MATCH(B358,Client_List!$B:$B,0)),"⚠ NOT FOUND","✓"))</f>
        <v>✓</v>
      </c>
    </row>
    <row r="359" spans="1:12" ht="14" customHeight="1" x14ac:dyDescent="0.2">
      <c r="A359" s="57">
        <v>46054</v>
      </c>
      <c r="B359" s="7" t="s">
        <v>240</v>
      </c>
      <c r="C359" s="11" t="str">
        <f>IF(B359="","",IFERROR(INDEX(Client_List!$C:$C,MATCH(B359,Client_List!$B:$B,0)),""))</f>
        <v>5</v>
      </c>
      <c r="D359" s="9" t="str">
        <f>IF(B359="","",IFERROR(INDEX(Client_List!$D:$D,MATCH(B359,Client_List!$B:$B,0)),""))</f>
        <v>5F</v>
      </c>
      <c r="E359" s="9" t="str">
        <f>IF(B359="","",IFERROR(INDEX(Client_List!$K:$K,MATCH(B359,Client_List!$B:$B,0)),""))</f>
        <v>CANOLA OIL</v>
      </c>
      <c r="F359" s="10">
        <f>IF(B359="","",IFERROR(INDEX(Client_List!$J:$J,MATCH(B359,Client_List!$B:$B,0)),""))</f>
        <v>350</v>
      </c>
      <c r="G359" s="10">
        <v>180</v>
      </c>
      <c r="H359" s="9">
        <f>IF(B359="","",IFERROR(A359-LOOKUP(2,1/($B$4:$B358=B359),$A$4:$A358),""))</f>
        <v>7</v>
      </c>
      <c r="I359" s="73">
        <f t="shared" si="5"/>
        <v>25.714285714285715</v>
      </c>
      <c r="J359" s="9">
        <v>142162</v>
      </c>
      <c r="K359" s="6">
        <f>IF(B359="","",IFERROR(AVERAGEIFS($I$4:$I359,$B$4:$B359,B359,$I$4:$I359,"&gt;"&amp;0),""))</f>
        <v>26.746031746031747</v>
      </c>
      <c r="L359" s="9" t="str">
        <f>IF(B359="","",IF(ISNA(MATCH(B359,Client_List!$B:$B,0)),"⚠ NOT FOUND","✓"))</f>
        <v>✓</v>
      </c>
    </row>
    <row r="360" spans="1:12" ht="14" customHeight="1" x14ac:dyDescent="0.2">
      <c r="A360" s="56">
        <v>46054</v>
      </c>
      <c r="B360" s="2" t="s">
        <v>304</v>
      </c>
      <c r="C360" s="13" t="str">
        <f>IF(B360="","",IFERROR(INDEX(Client_List!$C:$C,MATCH(B360,Client_List!$B:$B,0)),""))</f>
        <v>3</v>
      </c>
      <c r="D360" s="4" t="str">
        <f>IF(B360="","",IFERROR(INDEX(Client_List!$D:$D,MATCH(B360,Client_List!$B:$B,0)),""))</f>
        <v>3B</v>
      </c>
      <c r="E360" s="4" t="str">
        <f>IF(B360="","",IFERROR(INDEX(Client_List!$K:$K,MATCH(B360,Client_List!$B:$B,0)),""))</f>
        <v>CANOLA OIL</v>
      </c>
      <c r="F360" s="5">
        <f>IF(B360="","",IFERROR(INDEX(Client_List!$J:$J,MATCH(B360,Client_List!$B:$B,0)),""))</f>
        <v>350</v>
      </c>
      <c r="G360" s="5">
        <v>358</v>
      </c>
      <c r="H360" s="4">
        <f>IF(B360="","",IFERROR(A360-LOOKUP(2,1/($B$4:$B359=B360),$A$4:$A359),""))</f>
        <v>9</v>
      </c>
      <c r="I360" s="72">
        <f t="shared" si="5"/>
        <v>39.777777777777779</v>
      </c>
      <c r="J360" s="4">
        <v>142158</v>
      </c>
      <c r="K360" s="6">
        <f>IF(B360="","",IFERROR(AVERAGEIFS($I$4:$I360,$B$4:$B360,B360,$I$4:$I360,"&gt;"&amp;0),""))</f>
        <v>47.388888888888886</v>
      </c>
      <c r="L360" s="4" t="str">
        <f>IF(B360="","",IF(ISNA(MATCH(B360,Client_List!$B:$B,0)),"⚠ NOT FOUND","✓"))</f>
        <v>✓</v>
      </c>
    </row>
    <row r="361" spans="1:12" ht="14" customHeight="1" x14ac:dyDescent="0.2">
      <c r="A361" s="57">
        <v>46054</v>
      </c>
      <c r="B361" s="7" t="s">
        <v>336</v>
      </c>
      <c r="C361" s="11" t="str">
        <f>IF(B361="","",IFERROR(INDEX(Client_List!$C:$C,MATCH(B361,Client_List!$B:$B,0)),""))</f>
        <v>4</v>
      </c>
      <c r="D361" s="9" t="str">
        <f>IF(B361="","",IFERROR(INDEX(Client_List!$D:$D,MATCH(B361,Client_List!$B:$B,0)),""))</f>
        <v>4D</v>
      </c>
      <c r="E361" s="9" t="str">
        <f>IF(B361="","",IFERROR(INDEX(Client_List!$K:$K,MATCH(B361,Client_List!$B:$B,0)),""))</f>
        <v>CANOLA OIL</v>
      </c>
      <c r="F361" s="10">
        <f>IF(B361="","",IFERROR(INDEX(Client_List!$J:$J,MATCH(B361,Client_List!$B:$B,0)),""))</f>
        <v>1050</v>
      </c>
      <c r="G361" s="10">
        <v>917</v>
      </c>
      <c r="H361" s="9">
        <f>IF(B361="","",IFERROR(A361-LOOKUP(2,1/($B$4:$B360=B361),$A$4:$A360),""))</f>
        <v>13</v>
      </c>
      <c r="I361" s="73">
        <f t="shared" si="5"/>
        <v>70.538461538461533</v>
      </c>
      <c r="J361" s="9">
        <v>142160</v>
      </c>
      <c r="K361" s="6">
        <f>IF(B361="","",IFERROR(AVERAGEIFS($I$4:$I361,$B$4:$B361,B361,$I$4:$I361,"&gt;"&amp;0),""))</f>
        <v>76.227564102564102</v>
      </c>
      <c r="L361" s="9" t="str">
        <f>IF(B361="","",IF(ISNA(MATCH(B361,Client_List!$B:$B,0)),"⚠ NOT FOUND","✓"))</f>
        <v>✓</v>
      </c>
    </row>
    <row r="362" spans="1:12" ht="14" customHeight="1" x14ac:dyDescent="0.2">
      <c r="A362" s="56">
        <v>46055</v>
      </c>
      <c r="B362" s="2" t="s">
        <v>31</v>
      </c>
      <c r="C362" s="13" t="str">
        <f>IF(B362="","",IFERROR(INDEX(Client_List!$C:$C,MATCH(B362,Client_List!$B:$B,0)),""))</f>
        <v>2</v>
      </c>
      <c r="D362" s="4" t="str">
        <f>IF(B362="","",IFERROR(INDEX(Client_List!$D:$D,MATCH(B362,Client_List!$B:$B,0)),""))</f>
        <v>2D</v>
      </c>
      <c r="E362" s="4" t="str">
        <f>IF(B362="","",IFERROR(INDEX(Client_List!$K:$K,MATCH(B362,Client_List!$B:$B,0)),""))</f>
        <v>FRYERS CHOICE BLEND</v>
      </c>
      <c r="F362" s="5">
        <f>IF(B362="","",IFERROR(INDEX(Client_List!$J:$J,MATCH(B362,Client_List!$B:$B,0)),""))</f>
        <v>350</v>
      </c>
      <c r="G362" s="5">
        <v>263</v>
      </c>
      <c r="H362" s="4" t="str">
        <f>IF(B362="","",IFERROR(A362-LOOKUP(2,1/($B$4:$B361=B362),$A$4:$A361),""))</f>
        <v/>
      </c>
      <c r="I362" s="72" t="str">
        <f t="shared" si="5"/>
        <v/>
      </c>
      <c r="J362" s="4">
        <v>142169</v>
      </c>
      <c r="K362" s="6" t="str">
        <f>IF(B362="","",IFERROR(AVERAGEIFS($I$4:$I362,$B$4:$B362,B362,$I$4:$I362,"&gt;"&amp;0),""))</f>
        <v/>
      </c>
      <c r="L362" s="4" t="str">
        <f>IF(B362="","",IF(ISNA(MATCH(B362,Client_List!$B:$B,0)),"⚠ NOT FOUND","✓"))</f>
        <v>✓</v>
      </c>
    </row>
    <row r="363" spans="1:12" ht="14" customHeight="1" x14ac:dyDescent="0.2">
      <c r="A363" s="57">
        <v>46055</v>
      </c>
      <c r="B363" s="7" t="s">
        <v>190</v>
      </c>
      <c r="C363" s="8" t="str">
        <f>IF(B363="","",IFERROR(INDEX(Client_List!$C:$C,MATCH(B363,Client_List!$B:$B,0)),""))</f>
        <v>2</v>
      </c>
      <c r="D363" s="9" t="str">
        <f>IF(B363="","",IFERROR(INDEX(Client_List!$D:$D,MATCH(B363,Client_List!$B:$B,0)),""))</f>
        <v>2C</v>
      </c>
      <c r="E363" s="9" t="str">
        <f>IF(B363="","",IFERROR(INDEX(Client_List!$K:$K,MATCH(B363,Client_List!$B:$B,0)),""))</f>
        <v>CANOLA OIL</v>
      </c>
      <c r="F363" s="10">
        <f>IF(B363="","",IFERROR(INDEX(Client_List!$J:$J,MATCH(B363,Client_List!$B:$B,0)),""))</f>
        <v>1050</v>
      </c>
      <c r="G363" s="10">
        <v>870</v>
      </c>
      <c r="H363" s="9">
        <f>IF(B363="","",IFERROR(A363-LOOKUP(2,1/($B$4:$B362=B363),$A$4:$A362),""))</f>
        <v>7</v>
      </c>
      <c r="I363" s="73">
        <f t="shared" si="5"/>
        <v>124.28571428571429</v>
      </c>
      <c r="J363" s="9">
        <v>142175</v>
      </c>
      <c r="K363" s="6">
        <f>IF(B363="","",IFERROR(AVERAGEIFS($I$4:$I363,$B$4:$B363,B363,$I$4:$I363,"&gt;"&amp;0),""))</f>
        <v>122.80208333333333</v>
      </c>
      <c r="L363" s="9" t="str">
        <f>IF(B363="","",IF(ISNA(MATCH(B363,Client_List!$B:$B,0)),"⚠ NOT FOUND","✓"))</f>
        <v>✓</v>
      </c>
    </row>
    <row r="364" spans="1:12" ht="14" customHeight="1" x14ac:dyDescent="0.2">
      <c r="A364" s="56">
        <v>46055</v>
      </c>
      <c r="B364" s="2" t="s">
        <v>202</v>
      </c>
      <c r="C364" s="13" t="str">
        <f>IF(B364="","",IFERROR(INDEX(Client_List!$C:$C,MATCH(B364,Client_List!$B:$B,0)),""))</f>
        <v>4</v>
      </c>
      <c r="D364" s="4" t="str">
        <f>IF(B364="","",IFERROR(INDEX(Client_List!$D:$D,MATCH(B364,Client_List!$B:$B,0)),""))</f>
        <v>4D</v>
      </c>
      <c r="E364" s="4" t="str">
        <f>IF(B364="","",IFERROR(INDEX(Client_List!$K:$K,MATCH(B364,Client_List!$B:$B,0)),""))</f>
        <v>CANOLA OIL</v>
      </c>
      <c r="F364" s="5">
        <f>IF(B364="","",IFERROR(INDEX(Client_List!$J:$J,MATCH(B364,Client_List!$B:$B,0)),""))</f>
        <v>1050</v>
      </c>
      <c r="G364" s="5">
        <v>969</v>
      </c>
      <c r="H364" s="4">
        <f>IF(B364="","",IFERROR(A364-LOOKUP(2,1/($B$4:$B363=B364),$A$4:$A363),""))</f>
        <v>11</v>
      </c>
      <c r="I364" s="72">
        <f t="shared" si="5"/>
        <v>88.090909090909093</v>
      </c>
      <c r="J364" s="4">
        <v>142172</v>
      </c>
      <c r="K364" s="6">
        <f>IF(B364="","",IFERROR(AVERAGEIFS($I$4:$I364,$B$4:$B364,B364,$I$4:$I364,"&gt;"&amp;0),""))</f>
        <v>78.645454545454555</v>
      </c>
      <c r="L364" s="4" t="str">
        <f>IF(B364="","",IF(ISNA(MATCH(B364,Client_List!$B:$B,0)),"⚠ NOT FOUND","✓"))</f>
        <v>✓</v>
      </c>
    </row>
    <row r="365" spans="1:12" ht="14" customHeight="1" x14ac:dyDescent="0.2">
      <c r="A365" s="57">
        <v>46055</v>
      </c>
      <c r="B365" s="7" t="s">
        <v>208</v>
      </c>
      <c r="C365" s="3" t="str">
        <f>IF(B365="","",IFERROR(INDEX(Client_List!$C:$C,MATCH(B365,Client_List!$B:$B,0)),""))</f>
        <v>4</v>
      </c>
      <c r="D365" s="9" t="str">
        <f>IF(B365="","",IFERROR(INDEX(Client_List!$D:$D,MATCH(B365,Client_List!$B:$B,0)),""))</f>
        <v>4C</v>
      </c>
      <c r="E365" s="9" t="str">
        <f>IF(B365="","",IFERROR(INDEX(Client_List!$K:$K,MATCH(B365,Client_List!$B:$B,0)),""))</f>
        <v>UNKNOWN</v>
      </c>
      <c r="F365" s="10">
        <f>IF(B365="","",IFERROR(INDEX(Client_List!$J:$J,MATCH(B365,Client_List!$B:$B,0)),""))</f>
        <v>1050</v>
      </c>
      <c r="G365" s="10">
        <v>887</v>
      </c>
      <c r="H365" s="9">
        <f>IF(B365="","",IFERROR(A365-LOOKUP(2,1/($B$4:$B364=B365),$A$4:$A364),""))</f>
        <v>14</v>
      </c>
      <c r="I365" s="73">
        <f t="shared" si="5"/>
        <v>63.357142857142854</v>
      </c>
      <c r="J365" s="9">
        <v>142171</v>
      </c>
      <c r="K365" s="6">
        <f>IF(B365="","",IFERROR(AVERAGEIFS($I$4:$I365,$B$4:$B365,B365,$I$4:$I365,"&gt;"&amp;0),""))</f>
        <v>63.357142857142854</v>
      </c>
      <c r="L365" s="9" t="str">
        <f>IF(B365="","",IF(ISNA(MATCH(B365,Client_List!$B:$B,0)),"⚠ NOT FOUND","✓"))</f>
        <v>✓</v>
      </c>
    </row>
    <row r="366" spans="1:12" ht="14" customHeight="1" x14ac:dyDescent="0.2">
      <c r="A366" s="56">
        <v>46055</v>
      </c>
      <c r="B366" s="2" t="s">
        <v>250</v>
      </c>
      <c r="C366" s="11" t="str">
        <f>IF(B366="","",IFERROR(INDEX(Client_List!$C:$C,MATCH(B366,Client_List!$B:$B,0)),""))</f>
        <v>2</v>
      </c>
      <c r="D366" s="4" t="str">
        <f>IF(B366="","",IFERROR(INDEX(Client_List!$D:$D,MATCH(B366,Client_List!$B:$B,0)),""))</f>
        <v>2D</v>
      </c>
      <c r="E366" s="4" t="str">
        <f>IF(B366="","",IFERROR(INDEX(Client_List!$K:$K,MATCH(B366,Client_List!$B:$B,0)),""))</f>
        <v>FRYERS CHOICE BLEND</v>
      </c>
      <c r="F366" s="5">
        <f>IF(B366="","",IFERROR(INDEX(Client_List!$J:$J,MATCH(B366,Client_List!$B:$B,0)),""))</f>
        <v>950</v>
      </c>
      <c r="G366" s="5">
        <v>744</v>
      </c>
      <c r="H366" s="4">
        <f>IF(B366="","",IFERROR(A366-LOOKUP(2,1/($B$4:$B365=B366),$A$4:$A365),""))</f>
        <v>7</v>
      </c>
      <c r="I366" s="72">
        <f t="shared" si="5"/>
        <v>106.28571428571429</v>
      </c>
      <c r="J366" s="4">
        <v>142176</v>
      </c>
      <c r="K366" s="6">
        <f>IF(B366="","",IFERROR(AVERAGEIFS($I$4:$I366,$B$4:$B366,B366,$I$4:$I366,"&gt;"&amp;0),""))</f>
        <v>114.77232142857143</v>
      </c>
      <c r="L366" s="4" t="str">
        <f>IF(B366="","",IF(ISNA(MATCH(B366,Client_List!$B:$B,0)),"⚠ NOT FOUND","✓"))</f>
        <v>✓</v>
      </c>
    </row>
    <row r="367" spans="1:12" ht="14" customHeight="1" x14ac:dyDescent="0.2">
      <c r="A367" s="57">
        <v>46055</v>
      </c>
      <c r="B367" s="7" t="s">
        <v>274</v>
      </c>
      <c r="C367" s="3" t="str">
        <f>IF(B367="","",IFERROR(INDEX(Client_List!$C:$C,MATCH(B367,Client_List!$B:$B,0)),""))</f>
        <v>3</v>
      </c>
      <c r="D367" s="9" t="str">
        <f>IF(B367="","",IFERROR(INDEX(Client_List!$D:$D,MATCH(B367,Client_List!$B:$B,0)),""))</f>
        <v>3C</v>
      </c>
      <c r="E367" s="9" t="str">
        <f>IF(B367="","",IFERROR(INDEX(Client_List!$K:$K,MATCH(B367,Client_List!$B:$B,0)),""))</f>
        <v>FRYERS CHOICE BLEND</v>
      </c>
      <c r="F367" s="10">
        <f>IF(B367="","",IFERROR(INDEX(Client_List!$J:$J,MATCH(B367,Client_List!$B:$B,0)),""))</f>
        <v>450</v>
      </c>
      <c r="G367" s="10">
        <v>446</v>
      </c>
      <c r="H367" s="9">
        <f>IF(B367="","",IFERROR(A367-LOOKUP(2,1/($B$4:$B366=B367),$A$4:$A366),""))</f>
        <v>10</v>
      </c>
      <c r="I367" s="73">
        <f t="shared" si="5"/>
        <v>44.6</v>
      </c>
      <c r="J367" s="9">
        <v>142170</v>
      </c>
      <c r="K367" s="6">
        <f>IF(B367="","",IFERROR(AVERAGEIFS($I$4:$I367,$B$4:$B367,B367,$I$4:$I367,"&gt;"&amp;0),""))</f>
        <v>48.172222222222217</v>
      </c>
      <c r="L367" s="9" t="str">
        <f>IF(B367="","",IF(ISNA(MATCH(B367,Client_List!$B:$B,0)),"⚠ NOT FOUND","✓"))</f>
        <v>✓</v>
      </c>
    </row>
    <row r="368" spans="1:12" ht="14" customHeight="1" x14ac:dyDescent="0.2">
      <c r="A368" s="56">
        <v>46056</v>
      </c>
      <c r="B368" s="2" t="s">
        <v>54</v>
      </c>
      <c r="C368" s="3" t="str">
        <f>IF(B368="","",IFERROR(INDEX(Client_List!$C:$C,MATCH(B368,Client_List!$B:$B,0)),""))</f>
        <v>4</v>
      </c>
      <c r="D368" s="4" t="str">
        <f>IF(B368="","",IFERROR(INDEX(Client_List!$D:$D,MATCH(B368,Client_List!$B:$B,0)),""))</f>
        <v>4F</v>
      </c>
      <c r="E368" s="4" t="str">
        <f>IF(B368="","",IFERROR(INDEX(Client_List!$K:$K,MATCH(B368,Client_List!$B:$B,0)),""))</f>
        <v>CANOLA OIL</v>
      </c>
      <c r="F368" s="5">
        <f>IF(B368="","",IFERROR(INDEX(Client_List!$J:$J,MATCH(B368,Client_List!$B:$B,0)),""))</f>
        <v>1000</v>
      </c>
      <c r="G368" s="5">
        <v>899</v>
      </c>
      <c r="H368" s="4">
        <f>IF(B368="","",IFERROR(A368-LOOKUP(2,1/($B$4:$B367=B368),$A$4:$A367),""))</f>
        <v>14</v>
      </c>
      <c r="I368" s="72">
        <f t="shared" si="5"/>
        <v>64.214285714285708</v>
      </c>
      <c r="J368" s="4">
        <v>142214</v>
      </c>
      <c r="K368" s="6">
        <f>IF(B368="","",IFERROR(AVERAGEIFS($I$4:$I368,$B$4:$B368,B368,$I$4:$I368,"&gt;"&amp;0),""))</f>
        <v>66.173809523809524</v>
      </c>
      <c r="L368" s="4" t="str">
        <f>IF(B368="","",IF(ISNA(MATCH(B368,Client_List!$B:$B,0)),"⚠ NOT FOUND","✓"))</f>
        <v>✓</v>
      </c>
    </row>
    <row r="369" spans="1:12" ht="14" customHeight="1" x14ac:dyDescent="0.2">
      <c r="A369" s="57">
        <v>46056</v>
      </c>
      <c r="B369" s="7" t="s">
        <v>61</v>
      </c>
      <c r="C369" s="8" t="str">
        <f>IF(B369="","",IFERROR(INDEX(Client_List!$C:$C,MATCH(B369,Client_List!$B:$B,0)),""))</f>
        <v>3</v>
      </c>
      <c r="D369" s="9" t="str">
        <f>IF(B369="","",IFERROR(INDEX(Client_List!$D:$D,MATCH(B369,Client_List!$B:$B,0)),""))</f>
        <v>3D</v>
      </c>
      <c r="E369" s="9" t="str">
        <f>IF(B369="","",IFERROR(INDEX(Client_List!$K:$K,MATCH(B369,Client_List!$B:$B,0)),""))</f>
        <v>CANOLA OIL</v>
      </c>
      <c r="F369" s="10">
        <f>IF(B369="","",IFERROR(INDEX(Client_List!$J:$J,MATCH(B369,Client_List!$B:$B,0)),""))</f>
        <v>350</v>
      </c>
      <c r="G369" s="10">
        <v>228</v>
      </c>
      <c r="H369" s="9">
        <f>IF(B369="","",IFERROR(A369-LOOKUP(2,1/($B$4:$B368=B369),$A$4:$A368),""))</f>
        <v>6</v>
      </c>
      <c r="I369" s="73">
        <f t="shared" si="5"/>
        <v>38</v>
      </c>
      <c r="J369" s="9">
        <v>142216</v>
      </c>
      <c r="K369" s="6">
        <f>IF(B369="","",IFERROR(AVERAGEIFS($I$4:$I369,$B$4:$B369,B369,$I$4:$I369,"&gt;"&amp;0),""))</f>
        <v>41.214285714285715</v>
      </c>
      <c r="L369" s="9" t="str">
        <f>IF(B369="","",IF(ISNA(MATCH(B369,Client_List!$B:$B,0)),"⚠ NOT FOUND","✓"))</f>
        <v>✓</v>
      </c>
    </row>
    <row r="370" spans="1:12" ht="14" customHeight="1" x14ac:dyDescent="0.2">
      <c r="A370" s="56">
        <v>46056</v>
      </c>
      <c r="B370" s="2" t="s">
        <v>128</v>
      </c>
      <c r="C370" s="3" t="str">
        <f>IF(B370="","",IFERROR(INDEX(Client_List!$C:$C,MATCH(B370,Client_List!$B:$B,0)),""))</f>
        <v>4</v>
      </c>
      <c r="D370" s="4" t="str">
        <f>IF(B370="","",IFERROR(INDEX(Client_List!$D:$D,MATCH(B370,Client_List!$B:$B,0)),""))</f>
        <v>4E</v>
      </c>
      <c r="E370" s="4" t="str">
        <f>IF(B370="","",IFERROR(INDEX(Client_List!$K:$K,MATCH(B370,Client_List!$B:$B,0)),""))</f>
        <v>CANOLA OIL</v>
      </c>
      <c r="F370" s="5">
        <f>IF(B370="","",IFERROR(INDEX(Client_List!$J:$J,MATCH(B370,Client_List!$B:$B,0)),""))</f>
        <v>700</v>
      </c>
      <c r="G370" s="5">
        <v>485</v>
      </c>
      <c r="H370" s="4">
        <f>IF(B370="","",IFERROR(A370-LOOKUP(2,1/($B$4:$B369=B370),$A$4:$A369),""))</f>
        <v>7</v>
      </c>
      <c r="I370" s="72">
        <f t="shared" si="5"/>
        <v>69.285714285714292</v>
      </c>
      <c r="J370" s="4">
        <v>142215</v>
      </c>
      <c r="K370" s="6">
        <f>IF(B370="","",IFERROR(AVERAGEIFS($I$4:$I370,$B$4:$B370,B370,$I$4:$I370,"&gt;"&amp;0),""))</f>
        <v>69.858630952380963</v>
      </c>
      <c r="L370" s="4" t="str">
        <f>IF(B370="","",IF(ISNA(MATCH(B370,Client_List!$B:$B,0)),"⚠ NOT FOUND","✓"))</f>
        <v>✓</v>
      </c>
    </row>
    <row r="371" spans="1:12" ht="14" customHeight="1" x14ac:dyDescent="0.2">
      <c r="A371" s="57">
        <v>46056</v>
      </c>
      <c r="B371" s="7" t="s">
        <v>142</v>
      </c>
      <c r="C371" s="11" t="str">
        <f>IF(B371="","",IFERROR(INDEX(Client_List!$C:$C,MATCH(B371,Client_List!$B:$B,0)),""))</f>
        <v>4</v>
      </c>
      <c r="D371" s="9" t="str">
        <f>IF(B371="","",IFERROR(INDEX(Client_List!$D:$D,MATCH(B371,Client_List!$B:$B,0)),""))</f>
        <v>4A</v>
      </c>
      <c r="E371" s="9" t="str">
        <f>IF(B371="","",IFERROR(INDEX(Client_List!$K:$K,MATCH(B371,Client_List!$B:$B,0)),""))</f>
        <v>FRYERS CHOICE BLEND</v>
      </c>
      <c r="F371" s="10">
        <f>IF(B371="","",IFERROR(INDEX(Client_List!$J:$J,MATCH(B371,Client_List!$B:$B,0)),""))</f>
        <v>1050</v>
      </c>
      <c r="G371" s="10">
        <v>881</v>
      </c>
      <c r="H371" s="9">
        <f>IF(B371="","",IFERROR(A371-LOOKUP(2,1/($B$4:$B370=B371),$A$4:$A370),""))</f>
        <v>5</v>
      </c>
      <c r="I371" s="73">
        <f t="shared" si="5"/>
        <v>176.2</v>
      </c>
      <c r="J371" s="9">
        <v>142209</v>
      </c>
      <c r="K371" s="6">
        <f>IF(B371="","",IFERROR(AVERAGEIFS($I$4:$I371,$B$4:$B371,B371,$I$4:$I371,"&gt;"&amp;0),""))</f>
        <v>182.57916666666665</v>
      </c>
      <c r="L371" s="9" t="str">
        <f>IF(B371="","",IF(ISNA(MATCH(B371,Client_List!$B:$B,0)),"⚠ NOT FOUND","✓"))</f>
        <v>✓</v>
      </c>
    </row>
    <row r="372" spans="1:12" ht="14" customHeight="1" x14ac:dyDescent="0.2">
      <c r="A372" s="56">
        <v>46056</v>
      </c>
      <c r="B372" s="2" t="s">
        <v>166</v>
      </c>
      <c r="C372" s="3" t="str">
        <f>IF(B372="","",IFERROR(INDEX(Client_List!$C:$C,MATCH(B372,Client_List!$B:$B,0)),""))</f>
        <v>4</v>
      </c>
      <c r="D372" s="4" t="str">
        <f>IF(B372="","",IFERROR(INDEX(Client_List!$D:$D,MATCH(B372,Client_List!$B:$B,0)),""))</f>
        <v>4B</v>
      </c>
      <c r="E372" s="4" t="str">
        <f>IF(B372="","",IFERROR(INDEX(Client_List!$K:$K,MATCH(B372,Client_List!$B:$B,0)),""))</f>
        <v>CANOLA OIL</v>
      </c>
      <c r="F372" s="5">
        <f>IF(B372="","",IFERROR(INDEX(Client_List!$J:$J,MATCH(B372,Client_List!$B:$B,0)),""))</f>
        <v>1050</v>
      </c>
      <c r="G372" s="5">
        <v>901</v>
      </c>
      <c r="H372" s="4">
        <f>IF(B372="","",IFERROR(A372-LOOKUP(2,1/($B$4:$B371=B372),$A$4:$A371),""))</f>
        <v>15</v>
      </c>
      <c r="I372" s="72">
        <f t="shared" si="5"/>
        <v>60.06666666666667</v>
      </c>
      <c r="J372" s="4">
        <v>142210</v>
      </c>
      <c r="K372" s="6">
        <f>IF(B372="","",IFERROR(AVERAGEIFS($I$4:$I372,$B$4:$B372,B372,$I$4:$I372,"&gt;"&amp;0),""))</f>
        <v>60.06666666666667</v>
      </c>
      <c r="L372" s="4" t="str">
        <f>IF(B372="","",IF(ISNA(MATCH(B372,Client_List!$B:$B,0)),"⚠ NOT FOUND","✓"))</f>
        <v>✓</v>
      </c>
    </row>
    <row r="373" spans="1:12" ht="14" customHeight="1" x14ac:dyDescent="0.2">
      <c r="A373" s="57">
        <v>46056</v>
      </c>
      <c r="B373" s="7" t="s">
        <v>216</v>
      </c>
      <c r="C373" s="8" t="str">
        <f>IF(B373="","",IFERROR(INDEX(Client_List!$C:$C,MATCH(B373,Client_List!$B:$B,0)),""))</f>
        <v>3</v>
      </c>
      <c r="D373" s="9" t="str">
        <f>IF(B373="","",IFERROR(INDEX(Client_List!$D:$D,MATCH(B373,Client_List!$B:$B,0)),""))</f>
        <v>3D</v>
      </c>
      <c r="E373" s="9" t="str">
        <f>IF(B373="","",IFERROR(INDEX(Client_List!$K:$K,MATCH(B373,Client_List!$B:$B,0)),""))</f>
        <v>CANOLA OIL</v>
      </c>
      <c r="F373" s="10">
        <f>IF(B373="","",IFERROR(INDEX(Client_List!$J:$J,MATCH(B373,Client_List!$B:$B,0)),""))</f>
        <v>450</v>
      </c>
      <c r="G373" s="10">
        <v>440</v>
      </c>
      <c r="H373" s="9">
        <f>IF(B373="","",IFERROR(A373-LOOKUP(2,1/($B$4:$B372=B373),$A$4:$A372),""))</f>
        <v>9</v>
      </c>
      <c r="I373" s="73">
        <f t="shared" si="5"/>
        <v>48.888888888888886</v>
      </c>
      <c r="J373" s="9">
        <v>142217</v>
      </c>
      <c r="K373" s="6">
        <f>IF(B373="","",IFERROR(AVERAGEIFS($I$4:$I373,$B$4:$B373,B373,$I$4:$I373,"&gt;"&amp;0),""))</f>
        <v>32.626262626262623</v>
      </c>
      <c r="L373" s="9" t="str">
        <f>IF(B373="","",IF(ISNA(MATCH(B373,Client_List!$B:$B,0)),"⚠ NOT FOUND","✓"))</f>
        <v>✓</v>
      </c>
    </row>
    <row r="374" spans="1:12" ht="14" customHeight="1" x14ac:dyDescent="0.2">
      <c r="A374" s="56">
        <v>46056</v>
      </c>
      <c r="B374" s="2" t="s">
        <v>246</v>
      </c>
      <c r="C374" s="8" t="str">
        <f>IF(B374="","",IFERROR(INDEX(Client_List!$C:$C,MATCH(B374,Client_List!$B:$B,0)),""))</f>
        <v>3</v>
      </c>
      <c r="D374" s="4" t="str">
        <f>IF(B374="","",IFERROR(INDEX(Client_List!$D:$D,MATCH(B374,Client_List!$B:$B,0)),""))</f>
        <v>3E</v>
      </c>
      <c r="E374" s="4" t="str">
        <f>IF(B374="","",IFERROR(INDEX(Client_List!$K:$K,MATCH(B374,Client_List!$B:$B,0)),""))</f>
        <v>FRYERS CHOICE BLEND</v>
      </c>
      <c r="F374" s="5">
        <f>IF(B374="","",IFERROR(INDEX(Client_List!$J:$J,MATCH(B374,Client_List!$B:$B,0)),""))</f>
        <v>950</v>
      </c>
      <c r="G374" s="5">
        <v>609</v>
      </c>
      <c r="H374" s="4">
        <f>IF(B374="","",IFERROR(A374-LOOKUP(2,1/($B$4:$B373=B374),$A$4:$A373),""))</f>
        <v>10</v>
      </c>
      <c r="I374" s="72">
        <f t="shared" si="5"/>
        <v>60.9</v>
      </c>
      <c r="J374" s="4">
        <v>142208</v>
      </c>
      <c r="K374" s="6">
        <f>IF(B374="","",IFERROR(AVERAGEIFS($I$4:$I374,$B$4:$B374,B374,$I$4:$I374,"&gt;"&amp;0),""))</f>
        <v>66.277777777777786</v>
      </c>
      <c r="L374" s="4" t="str">
        <f>IF(B374="","",IF(ISNA(MATCH(B374,Client_List!$B:$B,0)),"⚠ NOT FOUND","✓"))</f>
        <v>✓</v>
      </c>
    </row>
    <row r="375" spans="1:12" ht="14" customHeight="1" x14ac:dyDescent="0.2">
      <c r="A375" s="57">
        <v>46056</v>
      </c>
      <c r="B375" s="7" t="s">
        <v>252</v>
      </c>
      <c r="C375" s="3" t="str">
        <f>IF(B375="","",IFERROR(INDEX(Client_List!$C:$C,MATCH(B375,Client_List!$B:$B,0)),""))</f>
        <v>4</v>
      </c>
      <c r="D375" s="9" t="str">
        <f>IF(B375="","",IFERROR(INDEX(Client_List!$D:$D,MATCH(B375,Client_List!$B:$B,0)),""))</f>
        <v>4E</v>
      </c>
      <c r="E375" s="9" t="str">
        <f>IF(B375="","",IFERROR(INDEX(Client_List!$K:$K,MATCH(B375,Client_List!$B:$B,0)),""))</f>
        <v>FRYERS CHOICE BLEND</v>
      </c>
      <c r="F375" s="10">
        <f>IF(B375="","",IFERROR(INDEX(Client_List!$J:$J,MATCH(B375,Client_List!$B:$B,0)),""))</f>
        <v>1950</v>
      </c>
      <c r="G375" s="10">
        <v>1321</v>
      </c>
      <c r="H375" s="9">
        <f>IF(B375="","",IFERROR(A375-LOOKUP(2,1/($B$4:$B374=B375),$A$4:$A374),""))</f>
        <v>11</v>
      </c>
      <c r="I375" s="73">
        <f t="shared" si="5"/>
        <v>120.09090909090909</v>
      </c>
      <c r="J375" s="9">
        <v>142206</v>
      </c>
      <c r="K375" s="6">
        <f>IF(B375="","",IFERROR(AVERAGEIFS($I$4:$I375,$B$4:$B375,B375,$I$4:$I375,"&gt;"&amp;0),""))</f>
        <v>142.48989898989899</v>
      </c>
      <c r="L375" s="9" t="str">
        <f>IF(B375="","",IF(ISNA(MATCH(B375,Client_List!$B:$B,0)),"⚠ NOT FOUND","✓"))</f>
        <v>✓</v>
      </c>
    </row>
    <row r="376" spans="1:12" ht="14" customHeight="1" x14ac:dyDescent="0.2">
      <c r="A376" s="56">
        <v>46056</v>
      </c>
      <c r="B376" s="2" t="s">
        <v>256</v>
      </c>
      <c r="C376" s="3" t="str">
        <f>IF(B376="","",IFERROR(INDEX(Client_List!$C:$C,MATCH(B376,Client_List!$B:$B,0)),""))</f>
        <v>3</v>
      </c>
      <c r="D376" s="4" t="str">
        <f>IF(B376="","",IFERROR(INDEX(Client_List!$D:$D,MATCH(B376,Client_List!$B:$B,0)),""))</f>
        <v>3E</v>
      </c>
      <c r="E376" s="4" t="str">
        <f>IF(B376="","",IFERROR(INDEX(Client_List!$K:$K,MATCH(B376,Client_List!$B:$B,0)),""))</f>
        <v>FRYERS CHOICE BLEND</v>
      </c>
      <c r="F376" s="5">
        <f>IF(B376="","",IFERROR(INDEX(Client_List!$J:$J,MATCH(B376,Client_List!$B:$B,0)),""))</f>
        <v>950</v>
      </c>
      <c r="G376" s="5">
        <v>740</v>
      </c>
      <c r="H376" s="4">
        <f>IF(B376="","",IFERROR(A376-LOOKUP(2,1/($B$4:$B375=B376),$A$4:$A375),""))</f>
        <v>8</v>
      </c>
      <c r="I376" s="72">
        <f t="shared" si="5"/>
        <v>92.5</v>
      </c>
      <c r="J376" s="4">
        <v>142207</v>
      </c>
      <c r="K376" s="6">
        <f>IF(B376="","",IFERROR(AVERAGEIFS($I$4:$I376,$B$4:$B376,B376,$I$4:$I376,"&gt;"&amp;0),""))</f>
        <v>92.906746031746025</v>
      </c>
      <c r="L376" s="4" t="str">
        <f>IF(B376="","",IF(ISNA(MATCH(B376,Client_List!$B:$B,0)),"⚠ NOT FOUND","✓"))</f>
        <v>✓</v>
      </c>
    </row>
    <row r="377" spans="1:12" ht="14" customHeight="1" x14ac:dyDescent="0.2">
      <c r="A377" s="57">
        <v>46056</v>
      </c>
      <c r="B377" s="7" t="s">
        <v>268</v>
      </c>
      <c r="C377" s="12" t="str">
        <f>IF(B377="","",IFERROR(INDEX(Client_List!$C:$C,MATCH(B377,Client_List!$B:$B,0)),""))</f>
        <v>5</v>
      </c>
      <c r="D377" s="9" t="str">
        <f>IF(B377="","",IFERROR(INDEX(Client_List!$D:$D,MATCH(B377,Client_List!$B:$B,0)),""))</f>
        <v>5D</v>
      </c>
      <c r="E377" s="9" t="str">
        <f>IF(B377="","",IFERROR(INDEX(Client_List!$K:$K,MATCH(B377,Client_List!$B:$B,0)),""))</f>
        <v>CANOLA OIL</v>
      </c>
      <c r="F377" s="10">
        <f>IF(B377="","",IFERROR(INDEX(Client_List!$J:$J,MATCH(B377,Client_List!$B:$B,0)),""))</f>
        <v>660</v>
      </c>
      <c r="G377" s="10">
        <v>558</v>
      </c>
      <c r="H377" s="9">
        <f>IF(B377="","",IFERROR(A377-LOOKUP(2,1/($B$4:$B376=B377),$A$4:$A376),""))</f>
        <v>9</v>
      </c>
      <c r="I377" s="73">
        <f t="shared" si="5"/>
        <v>62</v>
      </c>
      <c r="J377" s="9">
        <v>142213</v>
      </c>
      <c r="K377" s="6">
        <f>IF(B377="","",IFERROR(AVERAGEIFS($I$4:$I377,$B$4:$B377,B377,$I$4:$I377,"&gt;"&amp;0),""))</f>
        <v>59</v>
      </c>
      <c r="L377" s="9" t="str">
        <f>IF(B377="","",IF(ISNA(MATCH(B377,Client_List!$B:$B,0)),"⚠ NOT FOUND","✓"))</f>
        <v>✓</v>
      </c>
    </row>
    <row r="378" spans="1:12" ht="14" customHeight="1" x14ac:dyDescent="0.2">
      <c r="A378" s="56">
        <v>46056</v>
      </c>
      <c r="B378" s="2" t="s">
        <v>306</v>
      </c>
      <c r="C378" s="12" t="str">
        <f>IF(B378="","",IFERROR(INDEX(Client_List!$C:$C,MATCH(B378,Client_List!$B:$B,0)),""))</f>
        <v>4</v>
      </c>
      <c r="D378" s="4" t="str">
        <f>IF(B378="","",IFERROR(INDEX(Client_List!$D:$D,MATCH(B378,Client_List!$B:$B,0)),""))</f>
        <v>4C</v>
      </c>
      <c r="E378" s="4" t="str">
        <f>IF(B378="","",IFERROR(INDEX(Client_List!$K:$K,MATCH(B378,Client_List!$B:$B,0)),""))</f>
        <v>FRYERS CHOICE BLEND</v>
      </c>
      <c r="F378" s="5">
        <f>IF(B378="","",IFERROR(INDEX(Client_List!$J:$J,MATCH(B378,Client_List!$B:$B,0)),""))</f>
        <v>1050</v>
      </c>
      <c r="G378" s="5">
        <v>1108</v>
      </c>
      <c r="H378" s="4">
        <f>IF(B378="","",IFERROR(A378-LOOKUP(2,1/($B$4:$B377=B378),$A$4:$A377),""))</f>
        <v>10</v>
      </c>
      <c r="I378" s="72">
        <f t="shared" si="5"/>
        <v>110.8</v>
      </c>
      <c r="J378" s="4">
        <v>142212</v>
      </c>
      <c r="K378" s="6">
        <f>IF(B378="","",IFERROR(AVERAGEIFS($I$4:$I378,$B$4:$B378,B378,$I$4:$I378,"&gt;"&amp;0),""))</f>
        <v>112.47500000000001</v>
      </c>
      <c r="L378" s="4" t="str">
        <f>IF(B378="","",IF(ISNA(MATCH(B378,Client_List!$B:$B,0)),"⚠ NOT FOUND","✓"))</f>
        <v>✓</v>
      </c>
    </row>
    <row r="379" spans="1:12" ht="14" customHeight="1" x14ac:dyDescent="0.2">
      <c r="A379" s="57">
        <v>46057</v>
      </c>
      <c r="B379" s="7" t="s">
        <v>75</v>
      </c>
      <c r="C379" s="3" t="str">
        <f>IF(B379="","",IFERROR(INDEX(Client_List!$C:$C,MATCH(B379,Client_List!$B:$B,0)),""))</f>
        <v>1</v>
      </c>
      <c r="D379" s="9" t="str">
        <f>IF(B379="","",IFERROR(INDEX(Client_List!$D:$D,MATCH(B379,Client_List!$B:$B,0)),""))</f>
        <v>1D</v>
      </c>
      <c r="E379" s="9" t="str">
        <f>IF(B379="","",IFERROR(INDEX(Client_List!$K:$K,MATCH(B379,Client_List!$B:$B,0)),""))</f>
        <v>CANOLA OIL</v>
      </c>
      <c r="F379" s="10">
        <f>IF(B379="","",IFERROR(INDEX(Client_List!$J:$J,MATCH(B379,Client_List!$B:$B,0)),""))</f>
        <v>620</v>
      </c>
      <c r="G379" s="10">
        <v>545</v>
      </c>
      <c r="H379" s="9">
        <f>IF(B379="","",IFERROR(A379-LOOKUP(2,1/($B$4:$B378=B379),$A$4:$A378),""))</f>
        <v>5</v>
      </c>
      <c r="I379" s="73">
        <f t="shared" si="5"/>
        <v>109</v>
      </c>
      <c r="J379" s="9">
        <v>142223</v>
      </c>
      <c r="K379" s="6">
        <f>IF(B379="","",IFERROR(AVERAGEIFS($I$4:$I379,$B$4:$B379,B379,$I$4:$I379,"&gt;"&amp;0),""))</f>
        <v>115.56095238095239</v>
      </c>
      <c r="L379" s="9" t="str">
        <f>IF(B379="","",IF(ISNA(MATCH(B379,Client_List!$B:$B,0)),"⚠ NOT FOUND","✓"))</f>
        <v>✓</v>
      </c>
    </row>
    <row r="380" spans="1:12" ht="14" customHeight="1" x14ac:dyDescent="0.2">
      <c r="A380" s="56">
        <v>46057</v>
      </c>
      <c r="B380" s="2" t="s">
        <v>112</v>
      </c>
      <c r="C380" s="3" t="str">
        <f>IF(B380="","",IFERROR(INDEX(Client_List!$C:$C,MATCH(B380,Client_List!$B:$B,0)),""))</f>
        <v>2</v>
      </c>
      <c r="D380" s="4" t="str">
        <f>IF(B380="","",IFERROR(INDEX(Client_List!$D:$D,MATCH(B380,Client_List!$B:$B,0)),""))</f>
        <v>2A</v>
      </c>
      <c r="E380" s="4" t="str">
        <f>IF(B380="","",IFERROR(INDEX(Client_List!$K:$K,MATCH(B380,Client_List!$B:$B,0)),""))</f>
        <v>FRYERS CHOICE BLEND</v>
      </c>
      <c r="F380" s="5">
        <f>IF(B380="","",IFERROR(INDEX(Client_List!$J:$J,MATCH(B380,Client_List!$B:$B,0)),""))</f>
        <v>450</v>
      </c>
      <c r="G380" s="5">
        <v>544</v>
      </c>
      <c r="H380" s="4" t="str">
        <f>IF(B380="","",IFERROR(A380-LOOKUP(2,1/($B$4:$B379=B380),$A$4:$A379),""))</f>
        <v/>
      </c>
      <c r="I380" s="72" t="str">
        <f t="shared" si="5"/>
        <v/>
      </c>
      <c r="J380" s="4">
        <v>142224</v>
      </c>
      <c r="K380" s="6" t="str">
        <f>IF(B380="","",IFERROR(AVERAGEIFS($I$4:$I380,$B$4:$B380,B380,$I$4:$I380,"&gt;"&amp;0),""))</f>
        <v/>
      </c>
      <c r="L380" s="4" t="str">
        <f>IF(B380="","",IF(ISNA(MATCH(B380,Client_List!$B:$B,0)),"⚠ NOT FOUND","✓"))</f>
        <v>✓</v>
      </c>
    </row>
    <row r="381" spans="1:12" ht="14" customHeight="1" x14ac:dyDescent="0.2">
      <c r="A381" s="57">
        <v>46057</v>
      </c>
      <c r="B381" s="7" t="s">
        <v>122</v>
      </c>
      <c r="C381" s="3" t="str">
        <f>IF(B381="","",IFERROR(INDEX(Client_List!$C:$C,MATCH(B381,Client_List!$B:$B,0)),""))</f>
        <v>3</v>
      </c>
      <c r="D381" s="9" t="str">
        <f>IF(B381="","",IFERROR(INDEX(Client_List!$D:$D,MATCH(B381,Client_List!$B:$B,0)),""))</f>
        <v>3D</v>
      </c>
      <c r="E381" s="9" t="str">
        <f>IF(B381="","",IFERROR(INDEX(Client_List!$K:$K,MATCH(B381,Client_List!$B:$B,0)),""))</f>
        <v>CANOLA OIL</v>
      </c>
      <c r="F381" s="10">
        <f>IF(B381="","",IFERROR(INDEX(Client_List!$J:$J,MATCH(B381,Client_List!$B:$B,0)),""))</f>
        <v>500</v>
      </c>
      <c r="G381" s="10">
        <v>303</v>
      </c>
      <c r="H381" s="9">
        <f>IF(B381="","",IFERROR(A381-LOOKUP(2,1/($B$4:$B380=B381),$A$4:$A380),""))</f>
        <v>19</v>
      </c>
      <c r="I381" s="73">
        <f t="shared" si="5"/>
        <v>15.947368421052632</v>
      </c>
      <c r="J381" s="9">
        <v>142226</v>
      </c>
      <c r="K381" s="6">
        <f>IF(B381="","",IFERROR(AVERAGEIFS($I$4:$I381,$B$4:$B381,B381,$I$4:$I381,"&gt;"&amp;0),""))</f>
        <v>15.947368421052632</v>
      </c>
      <c r="L381" s="9" t="str">
        <f>IF(B381="","",IF(ISNA(MATCH(B381,Client_List!$B:$B,0)),"⚠ NOT FOUND","✓"))</f>
        <v>✓</v>
      </c>
    </row>
    <row r="382" spans="1:12" ht="14" customHeight="1" x14ac:dyDescent="0.2">
      <c r="A382" s="56">
        <v>46057</v>
      </c>
      <c r="B382" s="2" t="s">
        <v>182</v>
      </c>
      <c r="C382" s="3" t="str">
        <f>IF(B382="","",IFERROR(INDEX(Client_List!$C:$C,MATCH(B382,Client_List!$B:$B,0)),""))</f>
        <v>3</v>
      </c>
      <c r="D382" s="4" t="str">
        <f>IF(B382="","",IFERROR(INDEX(Client_List!$D:$D,MATCH(B382,Client_List!$B:$B,0)),""))</f>
        <v>3D</v>
      </c>
      <c r="E382" s="4" t="str">
        <f>IF(B382="","",IFERROR(INDEX(Client_List!$K:$K,MATCH(B382,Client_List!$B:$B,0)),""))</f>
        <v>CANOLA OIL</v>
      </c>
      <c r="F382" s="5">
        <f>IF(B382="","",IFERROR(INDEX(Client_List!$J:$J,MATCH(B382,Client_List!$B:$B,0)),""))</f>
        <v>1000</v>
      </c>
      <c r="G382" s="5">
        <v>687</v>
      </c>
      <c r="H382" s="4">
        <f>IF(B382="","",IFERROR(A382-LOOKUP(2,1/($B$4:$B381=B382),$A$4:$A381),""))</f>
        <v>14</v>
      </c>
      <c r="I382" s="72">
        <f t="shared" si="5"/>
        <v>49.071428571428569</v>
      </c>
      <c r="J382" s="4">
        <v>142218</v>
      </c>
      <c r="K382" s="6">
        <f>IF(B382="","",IFERROR(AVERAGEIFS($I$4:$I382,$B$4:$B382,B382,$I$4:$I382,"&gt;"&amp;0),""))</f>
        <v>47.892857142857139</v>
      </c>
      <c r="L382" s="4" t="str">
        <f>IF(B382="","",IF(ISNA(MATCH(B382,Client_List!$B:$B,0)),"⚠ NOT FOUND","✓"))</f>
        <v>✓</v>
      </c>
    </row>
    <row r="383" spans="1:12" ht="14" customHeight="1" x14ac:dyDescent="0.2">
      <c r="A383" s="57">
        <v>46057</v>
      </c>
      <c r="B383" s="7" t="s">
        <v>222</v>
      </c>
      <c r="C383" s="3" t="str">
        <f>IF(B383="","",IFERROR(INDEX(Client_List!$C:$C,MATCH(B383,Client_List!$B:$B,0)),""))</f>
        <v>4</v>
      </c>
      <c r="D383" s="9" t="str">
        <f>IF(B383="","",IFERROR(INDEX(Client_List!$D:$D,MATCH(B383,Client_List!$B:$B,0)),""))</f>
        <v>4E</v>
      </c>
      <c r="E383" s="9" t="str">
        <f>IF(B383="","",IFERROR(INDEX(Client_List!$K:$K,MATCH(B383,Client_List!$B:$B,0)),""))</f>
        <v>CANOLA OIL</v>
      </c>
      <c r="F383" s="10">
        <f>IF(B383="","",IFERROR(INDEX(Client_List!$J:$J,MATCH(B383,Client_List!$B:$B,0)),""))</f>
        <v>630</v>
      </c>
      <c r="G383" s="10">
        <v>479</v>
      </c>
      <c r="H383" s="9">
        <f>IF(B383="","",IFERROR(A383-LOOKUP(2,1/($B$4:$B382=B383),$A$4:$A382),""))</f>
        <v>19</v>
      </c>
      <c r="I383" s="73">
        <f t="shared" si="5"/>
        <v>25.210526315789473</v>
      </c>
      <c r="J383" s="9">
        <v>142222</v>
      </c>
      <c r="K383" s="6">
        <f>IF(B383="","",IFERROR(AVERAGEIFS($I$4:$I383,$B$4:$B383,B383,$I$4:$I383,"&gt;"&amp;0),""))</f>
        <v>25.210526315789473</v>
      </c>
      <c r="L383" s="9" t="str">
        <f>IF(B383="","",IF(ISNA(MATCH(B383,Client_List!$B:$B,0)),"⚠ NOT FOUND","✓"))</f>
        <v>✓</v>
      </c>
    </row>
    <row r="384" spans="1:12" ht="14" customHeight="1" x14ac:dyDescent="0.2">
      <c r="A384" s="56">
        <v>46057</v>
      </c>
      <c r="B384" s="2" t="s">
        <v>254</v>
      </c>
      <c r="C384" s="13" t="str">
        <f>IF(B384="","",IFERROR(INDEX(Client_List!$C:$C,MATCH(B384,Client_List!$B:$B,0)),""))</f>
        <v>2</v>
      </c>
      <c r="D384" s="4" t="str">
        <f>IF(B384="","",IFERROR(INDEX(Client_List!$D:$D,MATCH(B384,Client_List!$B:$B,0)),""))</f>
        <v>2E</v>
      </c>
      <c r="E384" s="4" t="str">
        <f>IF(B384="","",IFERROR(INDEX(Client_List!$K:$K,MATCH(B384,Client_List!$B:$B,0)),""))</f>
        <v>FRYERS CHOICE BLEND</v>
      </c>
      <c r="F384" s="5">
        <f>IF(B384="","",IFERROR(INDEX(Client_List!$J:$J,MATCH(B384,Client_List!$B:$B,0)),""))</f>
        <v>1950</v>
      </c>
      <c r="G384" s="5">
        <v>1540</v>
      </c>
      <c r="H384" s="4">
        <f>IF(B384="","",IFERROR(A384-LOOKUP(2,1/($B$4:$B383=B384),$A$4:$A383),""))</f>
        <v>11</v>
      </c>
      <c r="I384" s="72">
        <f t="shared" si="5"/>
        <v>140</v>
      </c>
      <c r="J384" s="4">
        <v>142221</v>
      </c>
      <c r="K384" s="6">
        <f>IF(B384="","",IFERROR(AVERAGEIFS($I$4:$I384,$B$4:$B384,B384,$I$4:$I384,"&gt;"&amp;0),""))</f>
        <v>131.33333333333334</v>
      </c>
      <c r="L384" s="4" t="str">
        <f>IF(B384="","",IF(ISNA(MATCH(B384,Client_List!$B:$B,0)),"⚠ NOT FOUND","✓"))</f>
        <v>✓</v>
      </c>
    </row>
    <row r="385" spans="1:12" ht="14" customHeight="1" x14ac:dyDescent="0.2">
      <c r="A385" s="57">
        <v>46057</v>
      </c>
      <c r="B385" s="7" t="s">
        <v>310</v>
      </c>
      <c r="C385" s="8" t="str">
        <f>IF(B385="","",IFERROR(INDEX(Client_List!$C:$C,MATCH(B385,Client_List!$B:$B,0)),""))</f>
        <v>3</v>
      </c>
      <c r="D385" s="9" t="str">
        <f>IF(B385="","",IFERROR(INDEX(Client_List!$D:$D,MATCH(B385,Client_List!$B:$B,0)),""))</f>
        <v>3D</v>
      </c>
      <c r="E385" s="9" t="str">
        <f>IF(B385="","",IFERROR(INDEX(Client_List!$K:$K,MATCH(B385,Client_List!$B:$B,0)),""))</f>
        <v>CANOLA OIL</v>
      </c>
      <c r="F385" s="10">
        <f>IF(B385="","",IFERROR(INDEX(Client_List!$J:$J,MATCH(B385,Client_List!$B:$B,0)),""))</f>
        <v>1050</v>
      </c>
      <c r="G385" s="10">
        <v>869</v>
      </c>
      <c r="H385" s="9">
        <f>IF(B385="","",IFERROR(A385-LOOKUP(2,1/($B$4:$B384=B385),$A$4:$A384),""))</f>
        <v>14</v>
      </c>
      <c r="I385" s="73">
        <f t="shared" si="5"/>
        <v>62.071428571428569</v>
      </c>
      <c r="J385" s="9">
        <v>142228</v>
      </c>
      <c r="K385" s="6">
        <f>IF(B385="","",IFERROR(AVERAGEIFS($I$4:$I385,$B$4:$B385,B385,$I$4:$I385,"&gt;"&amp;0),""))</f>
        <v>62.071428571428569</v>
      </c>
      <c r="L385" s="9" t="str">
        <f>IF(B385="","",IF(ISNA(MATCH(B385,Client_List!$B:$B,0)),"⚠ NOT FOUND","✓"))</f>
        <v>✓</v>
      </c>
    </row>
    <row r="386" spans="1:12" ht="14" customHeight="1" x14ac:dyDescent="0.2">
      <c r="A386" s="56">
        <v>46057</v>
      </c>
      <c r="B386" s="2" t="s">
        <v>340</v>
      </c>
      <c r="C386" s="3" t="str">
        <f>IF(B386="","",IFERROR(INDEX(Client_List!$C:$C,MATCH(B386,Client_List!$B:$B,0)),""))</f>
        <v>2</v>
      </c>
      <c r="D386" s="4" t="str">
        <f>IF(B386="","",IFERROR(INDEX(Client_List!$D:$D,MATCH(B386,Client_List!$B:$B,0)),""))</f>
        <v>2C</v>
      </c>
      <c r="E386" s="4" t="str">
        <f>IF(B386="","",IFERROR(INDEX(Client_List!$K:$K,MATCH(B386,Client_List!$B:$B,0)),""))</f>
        <v>FRYERS CHOICE BLEND</v>
      </c>
      <c r="F386" s="5">
        <f>IF(B386="","",IFERROR(INDEX(Client_List!$J:$J,MATCH(B386,Client_List!$B:$B,0)),""))</f>
        <v>300</v>
      </c>
      <c r="G386" s="5">
        <v>283</v>
      </c>
      <c r="H386" s="4">
        <f>IF(B386="","",IFERROR(A386-LOOKUP(2,1/($B$4:$B385=B386),$A$4:$A385),""))</f>
        <v>9</v>
      </c>
      <c r="I386" s="72">
        <f t="shared" si="5"/>
        <v>31.444444444444443</v>
      </c>
      <c r="J386" s="4">
        <v>142225</v>
      </c>
      <c r="K386" s="6">
        <f>IF(B386="","",IFERROR(AVERAGEIFS($I$4:$I386,$B$4:$B386,B386,$I$4:$I386,"&gt;"&amp;0),""))</f>
        <v>32.537758537758535</v>
      </c>
      <c r="L386" s="4" t="str">
        <f>IF(B386="","",IF(ISNA(MATCH(B386,Client_List!$B:$B,0)),"⚠ NOT FOUND","✓"))</f>
        <v>✓</v>
      </c>
    </row>
    <row r="387" spans="1:12" ht="14" customHeight="1" x14ac:dyDescent="0.2">
      <c r="A387" s="57">
        <v>46058</v>
      </c>
      <c r="B387" s="7" t="s">
        <v>56</v>
      </c>
      <c r="C387" s="13" t="str">
        <f>IF(B387="","",IFERROR(INDEX(Client_List!$C:$C,MATCH(B387,Client_List!$B:$B,0)),""))</f>
        <v>5</v>
      </c>
      <c r="D387" s="9" t="str">
        <f>IF(B387="","",IFERROR(INDEX(Client_List!$D:$D,MATCH(B387,Client_List!$B:$B,0)),""))</f>
        <v>5F</v>
      </c>
      <c r="E387" s="9" t="str">
        <f>IF(B387="","",IFERROR(INDEX(Client_List!$K:$K,MATCH(B387,Client_List!$B:$B,0)),""))</f>
        <v>CANOLA OIL</v>
      </c>
      <c r="F387" s="10">
        <f>IF(B387="","",IFERROR(INDEX(Client_List!$J:$J,MATCH(B387,Client_List!$B:$B,0)),""))</f>
        <v>900</v>
      </c>
      <c r="G387" s="10">
        <v>575</v>
      </c>
      <c r="H387" s="9">
        <f>IF(B387="","",IFERROR(A387-LOOKUP(2,1/($B$4:$B386=B387),$A$4:$A386),""))</f>
        <v>11</v>
      </c>
      <c r="I387" s="73">
        <f t="shared" si="5"/>
        <v>52.272727272727273</v>
      </c>
      <c r="J387" s="9">
        <v>142266</v>
      </c>
      <c r="K387" s="6">
        <f>IF(B387="","",IFERROR(AVERAGEIFS($I$4:$I387,$B$4:$B387,B387,$I$4:$I387,"&gt;"&amp;0),""))</f>
        <v>57.936363636363637</v>
      </c>
      <c r="L387" s="9" t="str">
        <f>IF(B387="","",IF(ISNA(MATCH(B387,Client_List!$B:$B,0)),"⚠ NOT FOUND","✓"))</f>
        <v>✓</v>
      </c>
    </row>
    <row r="388" spans="1:12" ht="14" customHeight="1" x14ac:dyDescent="0.2">
      <c r="A388" s="56">
        <v>46058</v>
      </c>
      <c r="B388" s="2" t="s">
        <v>59</v>
      </c>
      <c r="C388" s="3" t="str">
        <f>IF(B388="","",IFERROR(INDEX(Client_List!$C:$C,MATCH(B388,Client_List!$B:$B,0)),""))</f>
        <v>1</v>
      </c>
      <c r="D388" s="4" t="str">
        <f>IF(B388="","",IFERROR(INDEX(Client_List!$D:$D,MATCH(B388,Client_List!$B:$B,0)),""))</f>
        <v>1D</v>
      </c>
      <c r="E388" s="4" t="str">
        <f>IF(B388="","",IFERROR(INDEX(Client_List!$K:$K,MATCH(B388,Client_List!$B:$B,0)),""))</f>
        <v>CANOLA OIL</v>
      </c>
      <c r="F388" s="5">
        <f>IF(B388="","",IFERROR(INDEX(Client_List!$J:$J,MATCH(B388,Client_List!$B:$B,0)),""))</f>
        <v>900</v>
      </c>
      <c r="G388" s="5">
        <v>777</v>
      </c>
      <c r="H388" s="4">
        <f>IF(B388="","",IFERROR(A388-LOOKUP(2,1/($B$4:$B387=B388),$A$4:$A387),""))</f>
        <v>10</v>
      </c>
      <c r="I388" s="72">
        <f t="shared" ref="I388:I451" si="6">IF(B388="","",IFERROR(G388/H388,""))</f>
        <v>77.7</v>
      </c>
      <c r="J388" s="4">
        <v>142253</v>
      </c>
      <c r="K388" s="6">
        <f>IF(B388="","",IFERROR(AVERAGEIFS($I$4:$I388,$B$4:$B388,B388,$I$4:$I388,"&gt;"&amp;0),""))</f>
        <v>73.102020202020199</v>
      </c>
      <c r="L388" s="4" t="str">
        <f>IF(B388="","",IF(ISNA(MATCH(B388,Client_List!$B:$B,0)),"⚠ NOT FOUND","✓"))</f>
        <v>✓</v>
      </c>
    </row>
    <row r="389" spans="1:12" ht="14" customHeight="1" x14ac:dyDescent="0.2">
      <c r="A389" s="57">
        <v>46058</v>
      </c>
      <c r="B389" s="7" t="s">
        <v>63</v>
      </c>
      <c r="C389" s="8" t="str">
        <f>IF(B389="","",IFERROR(INDEX(Client_List!$C:$C,MATCH(B389,Client_List!$B:$B,0)),""))</f>
        <v>5</v>
      </c>
      <c r="D389" s="9" t="str">
        <f>IF(B389="","",IFERROR(INDEX(Client_List!$D:$D,MATCH(B389,Client_List!$B:$B,0)),""))</f>
        <v>5D</v>
      </c>
      <c r="E389" s="9" t="str">
        <f>IF(B389="","",IFERROR(INDEX(Client_List!$K:$K,MATCH(B389,Client_List!$B:$B,0)),""))</f>
        <v>CANOLA OIL</v>
      </c>
      <c r="F389" s="10">
        <f>IF(B389="","",IFERROR(INDEX(Client_List!$J:$J,MATCH(B389,Client_List!$B:$B,0)),""))</f>
        <v>425</v>
      </c>
      <c r="G389" s="10">
        <v>247</v>
      </c>
      <c r="H389" s="9">
        <f>IF(B389="","",IFERROR(A389-LOOKUP(2,1/($B$4:$B388=B389),$A$4:$A388),""))</f>
        <v>7</v>
      </c>
      <c r="I389" s="73">
        <f t="shared" si="6"/>
        <v>35.285714285714285</v>
      </c>
      <c r="J389" s="9">
        <v>142274</v>
      </c>
      <c r="K389" s="6">
        <f>IF(B389="","",IFERROR(AVERAGEIFS($I$4:$I389,$B$4:$B389,B389,$I$4:$I389,"&gt;"&amp;0),""))</f>
        <v>35.943571428571424</v>
      </c>
      <c r="L389" s="9" t="str">
        <f>IF(B389="","",IF(ISNA(MATCH(B389,Client_List!$B:$B,0)),"⚠ NOT FOUND","✓"))</f>
        <v>✓</v>
      </c>
    </row>
    <row r="390" spans="1:12" ht="14" customHeight="1" x14ac:dyDescent="0.2">
      <c r="A390" s="56">
        <v>46058</v>
      </c>
      <c r="B390" s="2" t="s">
        <v>77</v>
      </c>
      <c r="C390" s="12" t="str">
        <f>IF(B390="","",IFERROR(INDEX(Client_List!$C:$C,MATCH(B390,Client_List!$B:$B,0)),""))</f>
        <v>1</v>
      </c>
      <c r="D390" s="4" t="str">
        <f>IF(B390="","",IFERROR(INDEX(Client_List!$D:$D,MATCH(B390,Client_List!$B:$B,0)),""))</f>
        <v>1D</v>
      </c>
      <c r="E390" s="4" t="str">
        <f>IF(B390="","",IFERROR(INDEX(Client_List!$K:$K,MATCH(B390,Client_List!$B:$B,0)),""))</f>
        <v>CANOLA OIL</v>
      </c>
      <c r="F390" s="5">
        <f>IF(B390="","",IFERROR(INDEX(Client_List!$J:$J,MATCH(B390,Client_List!$B:$B,0)),""))</f>
        <v>620</v>
      </c>
      <c r="G390" s="5">
        <v>603</v>
      </c>
      <c r="H390" s="4">
        <f>IF(B390="","",IFERROR(A390-LOOKUP(2,1/($B$4:$B389=B390),$A$4:$A389),""))</f>
        <v>7</v>
      </c>
      <c r="I390" s="72">
        <f t="shared" si="6"/>
        <v>86.142857142857139</v>
      </c>
      <c r="J390" s="4">
        <v>142252</v>
      </c>
      <c r="K390" s="6">
        <f>IF(B390="","",IFERROR(AVERAGEIFS($I$4:$I390,$B$4:$B390,B390,$I$4:$I390,"&gt;"&amp;0),""))</f>
        <v>62.404761904761905</v>
      </c>
      <c r="L390" s="4" t="str">
        <f>IF(B390="","",IF(ISNA(MATCH(B390,Client_List!$B:$B,0)),"⚠ NOT FOUND","✓"))</f>
        <v>✓</v>
      </c>
    </row>
    <row r="391" spans="1:12" ht="14" customHeight="1" x14ac:dyDescent="0.2">
      <c r="A391" s="57">
        <v>46058</v>
      </c>
      <c r="B391" s="7" t="s">
        <v>102</v>
      </c>
      <c r="C391" s="12" t="str">
        <f>IF(B391="","",IFERROR(INDEX(Client_List!$C:$C,MATCH(B391,Client_List!$B:$B,0)),""))</f>
        <v>3</v>
      </c>
      <c r="D391" s="9" t="str">
        <f>IF(B391="","",IFERROR(INDEX(Client_List!$D:$D,MATCH(B391,Client_List!$B:$B,0)),""))</f>
        <v>3C</v>
      </c>
      <c r="E391" s="9" t="str">
        <f>IF(B391="","",IFERROR(INDEX(Client_List!$K:$K,MATCH(B391,Client_List!$B:$B,0)),""))</f>
        <v>CANOLA OIL</v>
      </c>
      <c r="F391" s="10">
        <f>IF(B391="","",IFERROR(INDEX(Client_List!$J:$J,MATCH(B391,Client_List!$B:$B,0)),""))</f>
        <v>500</v>
      </c>
      <c r="G391" s="10">
        <v>417</v>
      </c>
      <c r="H391" s="9">
        <f>IF(B391="","",IFERROR(A391-LOOKUP(2,1/($B$4:$B390=B391),$A$4:$A390),""))</f>
        <v>13</v>
      </c>
      <c r="I391" s="73">
        <f t="shared" si="6"/>
        <v>32.07692307692308</v>
      </c>
      <c r="J391" s="9">
        <v>142272</v>
      </c>
      <c r="K391" s="6">
        <f>IF(B391="","",IFERROR(AVERAGEIFS($I$4:$I391,$B$4:$B391,B391,$I$4:$I391,"&gt;"&amp;0),""))</f>
        <v>33.53846153846154</v>
      </c>
      <c r="L391" s="9" t="str">
        <f>IF(B391="","",IF(ISNA(MATCH(B391,Client_List!$B:$B,0)),"⚠ NOT FOUND","✓"))</f>
        <v>✓</v>
      </c>
    </row>
    <row r="392" spans="1:12" ht="14" customHeight="1" x14ac:dyDescent="0.2">
      <c r="A392" s="56">
        <v>46058</v>
      </c>
      <c r="B392" s="2" t="s">
        <v>108</v>
      </c>
      <c r="C392" s="13" t="str">
        <f>IF(B392="","",IFERROR(INDEX(Client_List!$C:$C,MATCH(B392,Client_List!$B:$B,0)),""))</f>
        <v>1</v>
      </c>
      <c r="D392" s="4" t="str">
        <f>IF(B392="","",IFERROR(INDEX(Client_List!$D:$D,MATCH(B392,Client_List!$B:$B,0)),""))</f>
        <v>1D</v>
      </c>
      <c r="E392" s="4" t="str">
        <f>IF(B392="","",IFERROR(INDEX(Client_List!$K:$K,MATCH(B392,Client_List!$B:$B,0)),""))</f>
        <v>FRYERS CHOICE BLEND</v>
      </c>
      <c r="F392" s="5">
        <f>IF(B392="","",IFERROR(INDEX(Client_List!$J:$J,MATCH(B392,Client_List!$B:$B,0)),""))</f>
        <v>1050</v>
      </c>
      <c r="G392" s="5">
        <v>616</v>
      </c>
      <c r="H392" s="4">
        <f>IF(B392="","",IFERROR(A392-LOOKUP(2,1/($B$4:$B391=B392),$A$4:$A391),""))</f>
        <v>13</v>
      </c>
      <c r="I392" s="72">
        <f t="shared" si="6"/>
        <v>47.384615384615387</v>
      </c>
      <c r="J392" s="4">
        <v>142251</v>
      </c>
      <c r="K392" s="6">
        <f>IF(B392="","",IFERROR(AVERAGEIFS($I$4:$I392,$B$4:$B392,B392,$I$4:$I392,"&gt;"&amp;0),""))</f>
        <v>46.258974358974356</v>
      </c>
      <c r="L392" s="4" t="str">
        <f>IF(B392="","",IF(ISNA(MATCH(B392,Client_List!$B:$B,0)),"⚠ NOT FOUND","✓"))</f>
        <v>✓</v>
      </c>
    </row>
    <row r="393" spans="1:12" ht="14" customHeight="1" x14ac:dyDescent="0.2">
      <c r="A393" s="57">
        <v>46058</v>
      </c>
      <c r="B393" s="7" t="s">
        <v>118</v>
      </c>
      <c r="C393" s="12" t="str">
        <f>IF(B393="","",IFERROR(INDEX(Client_List!$C:$C,MATCH(B393,Client_List!$B:$B,0)),""))</f>
        <v>4</v>
      </c>
      <c r="D393" s="9" t="str">
        <f>IF(B393="","",IFERROR(INDEX(Client_List!$D:$D,MATCH(B393,Client_List!$B:$B,0)),""))</f>
        <v>4E</v>
      </c>
      <c r="E393" s="9" t="str">
        <f>IF(B393="","",IFERROR(INDEX(Client_List!$K:$K,MATCH(B393,Client_List!$B:$B,0)),""))</f>
        <v>CANOLA OIL</v>
      </c>
      <c r="F393" s="10">
        <f>IF(B393="","",IFERROR(INDEX(Client_List!$J:$J,MATCH(B393,Client_List!$B:$B,0)),""))</f>
        <v>2500</v>
      </c>
      <c r="G393" s="10">
        <v>1703</v>
      </c>
      <c r="H393" s="9">
        <f>IF(B393="","",IFERROR(A393-LOOKUP(2,1/($B$4:$B392=B393),$A$4:$A392),""))</f>
        <v>8</v>
      </c>
      <c r="I393" s="73">
        <f t="shared" si="6"/>
        <v>212.875</v>
      </c>
      <c r="J393" s="9">
        <v>142271</v>
      </c>
      <c r="K393" s="6">
        <f>IF(B393="","",IFERROR(AVERAGEIFS($I$4:$I393,$B$4:$B393,B393,$I$4:$I393,"&gt;"&amp;0),""))</f>
        <v>269.25684523809525</v>
      </c>
      <c r="L393" s="9" t="str">
        <f>IF(B393="","",IF(ISNA(MATCH(B393,Client_List!$B:$B,0)),"⚠ NOT FOUND","✓"))</f>
        <v>✓</v>
      </c>
    </row>
    <row r="394" spans="1:12" ht="14" customHeight="1" x14ac:dyDescent="0.2">
      <c r="A394" s="56">
        <v>46058</v>
      </c>
      <c r="B394" s="2" t="s">
        <v>136</v>
      </c>
      <c r="C394" s="8" t="str">
        <f>IF(B394="","",IFERROR(INDEX(Client_List!$C:$C,MATCH(B394,Client_List!$B:$B,0)),""))</f>
        <v>5</v>
      </c>
      <c r="D394" s="4" t="str">
        <f>IF(B394="","",IFERROR(INDEX(Client_List!$D:$D,MATCH(B394,Client_List!$B:$B,0)),""))</f>
        <v>5F</v>
      </c>
      <c r="E394" s="4" t="str">
        <f>IF(B394="","",IFERROR(INDEX(Client_List!$K:$K,MATCH(B394,Client_List!$B:$B,0)),""))</f>
        <v>FRYERS CHOICE BLEND</v>
      </c>
      <c r="F394" s="5">
        <f>IF(B394="","",IFERROR(INDEX(Client_List!$J:$J,MATCH(B394,Client_List!$B:$B,0)),""))</f>
        <v>480</v>
      </c>
      <c r="G394" s="5">
        <v>441</v>
      </c>
      <c r="H394" s="4">
        <f>IF(B394="","",IFERROR(A394-LOOKUP(2,1/($B$4:$B393=B394),$A$4:$A393),""))</f>
        <v>11</v>
      </c>
      <c r="I394" s="72">
        <f t="shared" si="6"/>
        <v>40.090909090909093</v>
      </c>
      <c r="J394" s="4">
        <v>142267</v>
      </c>
      <c r="K394" s="6">
        <f>IF(B394="","",IFERROR(AVERAGEIFS($I$4:$I394,$B$4:$B394,B394,$I$4:$I394,"&gt;"&amp;0),""))</f>
        <v>46.141414141414145</v>
      </c>
      <c r="L394" s="4" t="str">
        <f>IF(B394="","",IF(ISNA(MATCH(B394,Client_List!$B:$B,0)),"⚠ NOT FOUND","✓"))</f>
        <v>✓</v>
      </c>
    </row>
    <row r="395" spans="1:12" ht="14" customHeight="1" x14ac:dyDescent="0.2">
      <c r="A395" s="57">
        <v>46058</v>
      </c>
      <c r="B395" s="7" t="s">
        <v>140</v>
      </c>
      <c r="C395" s="8" t="str">
        <f>IF(B395="","",IFERROR(INDEX(Client_List!$C:$C,MATCH(B395,Client_List!$B:$B,0)),""))</f>
        <v>5</v>
      </c>
      <c r="D395" s="9" t="str">
        <f>IF(B395="","",IFERROR(INDEX(Client_List!$D:$D,MATCH(B395,Client_List!$B:$B,0)),""))</f>
        <v>5E</v>
      </c>
      <c r="E395" s="9" t="str">
        <f>IF(B395="","",IFERROR(INDEX(Client_List!$K:$K,MATCH(B395,Client_List!$B:$B,0)),""))</f>
        <v>CANOLA OIL</v>
      </c>
      <c r="F395" s="10">
        <f>IF(B395="","",IFERROR(INDEX(Client_List!$J:$J,MATCH(B395,Client_List!$B:$B,0)),""))</f>
        <v>350</v>
      </c>
      <c r="G395" s="10">
        <v>177</v>
      </c>
      <c r="H395" s="9">
        <f>IF(B395="","",IFERROR(A395-LOOKUP(2,1/($B$4:$B394=B395),$A$4:$A394),""))</f>
        <v>8</v>
      </c>
      <c r="I395" s="73">
        <f t="shared" si="6"/>
        <v>22.125</v>
      </c>
      <c r="J395" s="9">
        <v>142275</v>
      </c>
      <c r="K395" s="6">
        <f>IF(B395="","",IFERROR(AVERAGEIFS($I$4:$I395,$B$4:$B395,B395,$I$4:$I395,"&gt;"&amp;0),""))</f>
        <v>50.93055555555555</v>
      </c>
      <c r="L395" s="9" t="str">
        <f>IF(B395="","",IF(ISNA(MATCH(B395,Client_List!$B:$B,0)),"⚠ NOT FOUND","✓"))</f>
        <v>✓</v>
      </c>
    </row>
    <row r="396" spans="1:12" ht="14" customHeight="1" x14ac:dyDescent="0.2">
      <c r="A396" s="56">
        <v>46058</v>
      </c>
      <c r="B396" s="2" t="s">
        <v>154</v>
      </c>
      <c r="C396" s="3" t="str">
        <f>IF(B396="","",IFERROR(INDEX(Client_List!$C:$C,MATCH(B396,Client_List!$B:$B,0)),""))</f>
        <v>4</v>
      </c>
      <c r="D396" s="4" t="str">
        <f>IF(B396="","",IFERROR(INDEX(Client_List!$D:$D,MATCH(B396,Client_List!$B:$B,0)),""))</f>
        <v>4B</v>
      </c>
      <c r="E396" s="4" t="str">
        <f>IF(B396="","",IFERROR(INDEX(Client_List!$K:$K,MATCH(B396,Client_List!$B:$B,0)),""))</f>
        <v>CANOLA OIL</v>
      </c>
      <c r="F396" s="5">
        <f>IF(B396="","",IFERROR(INDEX(Client_List!$J:$J,MATCH(B396,Client_List!$B:$B,0)),""))</f>
        <v>350</v>
      </c>
      <c r="G396" s="5">
        <v>332</v>
      </c>
      <c r="H396" s="4" t="str">
        <f>IF(B396="","",IFERROR(A396-LOOKUP(2,1/($B$4:$B395=B396),$A$4:$A395),""))</f>
        <v/>
      </c>
      <c r="I396" s="72" t="str">
        <f t="shared" si="6"/>
        <v/>
      </c>
      <c r="J396" s="4">
        <v>142256</v>
      </c>
      <c r="K396" s="6" t="str">
        <f>IF(B396="","",IFERROR(AVERAGEIFS($I$4:$I396,$B$4:$B396,B396,$I$4:$I396,"&gt;"&amp;0),""))</f>
        <v/>
      </c>
      <c r="L396" s="4" t="str">
        <f>IF(B396="","",IF(ISNA(MATCH(B396,Client_List!$B:$B,0)),"⚠ NOT FOUND","✓"))</f>
        <v>✓</v>
      </c>
    </row>
    <row r="397" spans="1:12" ht="14" customHeight="1" x14ac:dyDescent="0.2">
      <c r="A397" s="57">
        <v>46058</v>
      </c>
      <c r="B397" s="7" t="s">
        <v>170</v>
      </c>
      <c r="C397" s="3" t="str">
        <f>IF(B397="","",IFERROR(INDEX(Client_List!$C:$C,MATCH(B397,Client_List!$B:$B,0)),""))</f>
        <v>3</v>
      </c>
      <c r="D397" s="9" t="str">
        <f>IF(B397="","",IFERROR(INDEX(Client_List!$D:$D,MATCH(B397,Client_List!$B:$B,0)),""))</f>
        <v>3E</v>
      </c>
      <c r="E397" s="9" t="str">
        <f>IF(B397="","",IFERROR(INDEX(Client_List!$K:$K,MATCH(B397,Client_List!$B:$B,0)),""))</f>
        <v>CANOLA OIL</v>
      </c>
      <c r="F397" s="10">
        <f>IF(B397="","",IFERROR(INDEX(Client_List!$J:$J,MATCH(B397,Client_List!$B:$B,0)),""))</f>
        <v>1050</v>
      </c>
      <c r="G397" s="10">
        <v>903</v>
      </c>
      <c r="H397" s="9">
        <f>IF(B397="","",IFERROR(A397-LOOKUP(2,1/($B$4:$B396=B397),$A$4:$A396),""))</f>
        <v>18</v>
      </c>
      <c r="I397" s="73">
        <f t="shared" si="6"/>
        <v>50.166666666666664</v>
      </c>
      <c r="J397" s="9">
        <v>142254</v>
      </c>
      <c r="K397" s="6">
        <f>IF(B397="","",IFERROR(AVERAGEIFS($I$4:$I397,$B$4:$B397,B397,$I$4:$I397,"&gt;"&amp;0),""))</f>
        <v>50.166666666666664</v>
      </c>
      <c r="L397" s="9" t="str">
        <f>IF(B397="","",IF(ISNA(MATCH(B397,Client_List!$B:$B,0)),"⚠ NOT FOUND","✓"))</f>
        <v>✓</v>
      </c>
    </row>
    <row r="398" spans="1:12" ht="14" customHeight="1" x14ac:dyDescent="0.2">
      <c r="A398" s="56">
        <v>46058</v>
      </c>
      <c r="B398" s="2" t="s">
        <v>226</v>
      </c>
      <c r="C398" s="3" t="str">
        <f>IF(B398="","",IFERROR(INDEX(Client_List!$C:$C,MATCH(B398,Client_List!$B:$B,0)),""))</f>
        <v>4</v>
      </c>
      <c r="D398" s="4" t="str">
        <f>IF(B398="","",IFERROR(INDEX(Client_List!$D:$D,MATCH(B398,Client_List!$B:$B,0)),""))</f>
        <v>4F</v>
      </c>
      <c r="E398" s="4" t="str">
        <f>IF(B398="","",IFERROR(INDEX(Client_List!$K:$K,MATCH(B398,Client_List!$B:$B,0)),""))</f>
        <v>CANOLA OIL</v>
      </c>
      <c r="F398" s="5">
        <f>IF(B398="","",IFERROR(INDEX(Client_List!$J:$J,MATCH(B398,Client_List!$B:$B,0)),""))</f>
        <v>660</v>
      </c>
      <c r="G398" s="5">
        <v>648</v>
      </c>
      <c r="H398" s="4">
        <f>IF(B398="","",IFERROR(A398-LOOKUP(2,1/($B$4:$B397=B398),$A$4:$A397),""))</f>
        <v>20</v>
      </c>
      <c r="I398" s="72">
        <f t="shared" si="6"/>
        <v>32.4</v>
      </c>
      <c r="J398" s="4">
        <v>142268</v>
      </c>
      <c r="K398" s="6">
        <f>IF(B398="","",IFERROR(AVERAGEIFS($I$4:$I398,$B$4:$B398,B398,$I$4:$I398,"&gt;"&amp;0),""))</f>
        <v>32.4</v>
      </c>
      <c r="L398" s="4" t="str">
        <f>IF(B398="","",IF(ISNA(MATCH(B398,Client_List!$B:$B,0)),"⚠ NOT FOUND","✓"))</f>
        <v>✓</v>
      </c>
    </row>
    <row r="399" spans="1:12" ht="14" customHeight="1" x14ac:dyDescent="0.2">
      <c r="A399" s="57">
        <v>46058</v>
      </c>
      <c r="B399" s="7" t="s">
        <v>232</v>
      </c>
      <c r="C399" s="12" t="str">
        <f>IF(B399="","",IFERROR(INDEX(Client_List!$C:$C,MATCH(B399,Client_List!$B:$B,0)),""))</f>
        <v>5</v>
      </c>
      <c r="D399" s="9" t="str">
        <f>IF(B399="","",IFERROR(INDEX(Client_List!$D:$D,MATCH(B399,Client_List!$B:$B,0)),""))</f>
        <v>5F</v>
      </c>
      <c r="E399" s="9" t="str">
        <f>IF(B399="","",IFERROR(INDEX(Client_List!$K:$K,MATCH(B399,Client_List!$B:$B,0)),""))</f>
        <v>CANOLA OIL</v>
      </c>
      <c r="F399" s="10">
        <f>IF(B399="","",IFERROR(INDEX(Client_List!$J:$J,MATCH(B399,Client_List!$B:$B,0)),""))</f>
        <v>500</v>
      </c>
      <c r="G399" s="10">
        <v>447</v>
      </c>
      <c r="H399" s="9">
        <f>IF(B399="","",IFERROR(A399-LOOKUP(2,1/($B$4:$B398=B399),$A$4:$A398),""))</f>
        <v>11</v>
      </c>
      <c r="I399" s="73">
        <f t="shared" si="6"/>
        <v>40.636363636363633</v>
      </c>
      <c r="J399" s="9">
        <v>142276</v>
      </c>
      <c r="K399" s="6">
        <f>IF(B399="","",IFERROR(AVERAGEIFS($I$4:$I399,$B$4:$B399,B399,$I$4:$I399,"&gt;"&amp;0),""))</f>
        <v>41.43434343434344</v>
      </c>
      <c r="L399" s="9" t="str">
        <f>IF(B399="","",IF(ISNA(MATCH(B399,Client_List!$B:$B,0)),"⚠ NOT FOUND","✓"))</f>
        <v>✓</v>
      </c>
    </row>
    <row r="400" spans="1:12" ht="14" customHeight="1" x14ac:dyDescent="0.2">
      <c r="A400" s="56">
        <v>46058</v>
      </c>
      <c r="B400" s="2" t="s">
        <v>244</v>
      </c>
      <c r="C400" s="8" t="str">
        <f>IF(B400="","",IFERROR(INDEX(Client_List!$C:$C,MATCH(B400,Client_List!$B:$B,0)),""))</f>
        <v>4</v>
      </c>
      <c r="D400" s="4" t="str">
        <f>IF(B400="","",IFERROR(INDEX(Client_List!$D:$D,MATCH(B400,Client_List!$B:$B,0)),""))</f>
        <v>4E</v>
      </c>
      <c r="E400" s="4" t="str">
        <f>IF(B400="","",IFERROR(INDEX(Client_List!$K:$K,MATCH(B400,Client_List!$B:$B,0)),""))</f>
        <v>FRYERS CHOICE BLEND</v>
      </c>
      <c r="F400" s="5">
        <f>IF(B400="","",IFERROR(INDEX(Client_List!$J:$J,MATCH(B400,Client_List!$B:$B,0)),""))</f>
        <v>950</v>
      </c>
      <c r="G400" s="5">
        <v>720</v>
      </c>
      <c r="H400" s="4">
        <f>IF(B400="","",IFERROR(A400-LOOKUP(2,1/($B$4:$B399=B400),$A$4:$A399),""))</f>
        <v>13</v>
      </c>
      <c r="I400" s="72">
        <f t="shared" si="6"/>
        <v>55.384615384615387</v>
      </c>
      <c r="J400" s="4">
        <v>142270</v>
      </c>
      <c r="K400" s="6">
        <f>IF(B400="","",IFERROR(AVERAGEIFS($I$4:$I400,$B$4:$B400,B400,$I$4:$I400,"&gt;"&amp;0),""))</f>
        <v>55.136752136752136</v>
      </c>
      <c r="L400" s="4" t="str">
        <f>IF(B400="","",IF(ISNA(MATCH(B400,Client_List!$B:$B,0)),"⚠ NOT FOUND","✓"))</f>
        <v>✓</v>
      </c>
    </row>
    <row r="401" spans="1:12" ht="14" customHeight="1" x14ac:dyDescent="0.2">
      <c r="A401" s="57">
        <v>46058</v>
      </c>
      <c r="B401" s="7" t="s">
        <v>248</v>
      </c>
      <c r="C401" s="8" t="str">
        <f>IF(B401="","",IFERROR(INDEX(Client_List!$C:$C,MATCH(B401,Client_List!$B:$B,0)),""))</f>
        <v>3</v>
      </c>
      <c r="D401" s="9" t="str">
        <f>IF(B401="","",IFERROR(INDEX(Client_List!$D:$D,MATCH(B401,Client_List!$B:$B,0)),""))</f>
        <v>3E</v>
      </c>
      <c r="E401" s="9" t="str">
        <f>IF(B401="","",IFERROR(INDEX(Client_List!$K:$K,MATCH(B401,Client_List!$B:$B,0)),""))</f>
        <v>FRYERS CHOICE BLEND</v>
      </c>
      <c r="F401" s="10">
        <f>IF(B401="","",IFERROR(INDEX(Client_List!$J:$J,MATCH(B401,Client_List!$B:$B,0)),""))</f>
        <v>950</v>
      </c>
      <c r="G401" s="10">
        <v>642</v>
      </c>
      <c r="H401" s="9">
        <f>IF(B401="","",IFERROR(A401-LOOKUP(2,1/($B$4:$B400=B401),$A$4:$A400),""))</f>
        <v>11</v>
      </c>
      <c r="I401" s="73">
        <f t="shared" si="6"/>
        <v>58.363636363636367</v>
      </c>
      <c r="J401" s="9">
        <v>142255</v>
      </c>
      <c r="K401" s="6">
        <f>IF(B401="","",IFERROR(AVERAGEIFS($I$4:$I401,$B$4:$B401,B401,$I$4:$I401,"&gt;"&amp;0),""))</f>
        <v>67.181818181818187</v>
      </c>
      <c r="L401" s="9" t="str">
        <f>IF(B401="","",IF(ISNA(MATCH(B401,Client_List!$B:$B,0)),"⚠ NOT FOUND","✓"))</f>
        <v>✓</v>
      </c>
    </row>
    <row r="402" spans="1:12" ht="14" customHeight="1" x14ac:dyDescent="0.2">
      <c r="A402" s="56">
        <v>46058</v>
      </c>
      <c r="B402" s="2" t="s">
        <v>286</v>
      </c>
      <c r="C402" s="12" t="str">
        <f>IF(B402="","",IFERROR(INDEX(Client_List!$C:$C,MATCH(B402,Client_List!$B:$B,0)),""))</f>
        <v>3</v>
      </c>
      <c r="D402" s="4" t="str">
        <f>IF(B402="","",IFERROR(INDEX(Client_List!$D:$D,MATCH(B402,Client_List!$B:$B,0)),""))</f>
        <v>3C</v>
      </c>
      <c r="E402" s="4" t="str">
        <f>IF(B402="","",IFERROR(INDEX(Client_List!$K:$K,MATCH(B402,Client_List!$B:$B,0)),""))</f>
        <v>CANOLA OIL</v>
      </c>
      <c r="F402" s="5">
        <f>IF(B402="","",IFERROR(INDEX(Client_List!$J:$J,MATCH(B402,Client_List!$B:$B,0)),""))</f>
        <v>620</v>
      </c>
      <c r="G402" s="5">
        <v>331</v>
      </c>
      <c r="H402" s="4">
        <f>IF(B402="","",IFERROR(A402-LOOKUP(2,1/($B$4:$B401=B402),$A$4:$A401),""))</f>
        <v>13</v>
      </c>
      <c r="I402" s="72">
        <f t="shared" si="6"/>
        <v>25.46153846153846</v>
      </c>
      <c r="J402" s="4">
        <v>142273</v>
      </c>
      <c r="K402" s="6">
        <f>IF(B402="","",IFERROR(AVERAGEIFS($I$4:$I402,$B$4:$B402,B402,$I$4:$I402,"&gt;"&amp;0),""))</f>
        <v>26.164102564102564</v>
      </c>
      <c r="L402" s="4" t="str">
        <f>IF(B402="","",IF(ISNA(MATCH(B402,Client_List!$B:$B,0)),"⚠ NOT FOUND","✓"))</f>
        <v>✓</v>
      </c>
    </row>
    <row r="403" spans="1:12" ht="14" customHeight="1" x14ac:dyDescent="0.2">
      <c r="A403" s="57">
        <v>46059</v>
      </c>
      <c r="B403" s="7" t="s">
        <v>38</v>
      </c>
      <c r="C403" s="8" t="str">
        <f>IF(B403="","",IFERROR(INDEX(Client_List!$C:$C,MATCH(B403,Client_List!$B:$B,0)),""))</f>
        <v>4</v>
      </c>
      <c r="D403" s="9" t="str">
        <f>IF(B403="","",IFERROR(INDEX(Client_List!$D:$D,MATCH(B403,Client_List!$B:$B,0)),""))</f>
        <v>4C</v>
      </c>
      <c r="E403" s="9" t="str">
        <f>IF(B403="","",IFERROR(INDEX(Client_List!$K:$K,MATCH(B403,Client_List!$B:$B,0)),""))</f>
        <v>CANOLA OIL</v>
      </c>
      <c r="F403" s="10">
        <f>IF(B403="","",IFERROR(INDEX(Client_List!$J:$J,MATCH(B403,Client_List!$B:$B,0)),""))</f>
        <v>900</v>
      </c>
      <c r="G403" s="10">
        <v>765</v>
      </c>
      <c r="H403" s="9">
        <f>IF(B403="","",IFERROR(A403-LOOKUP(2,1/($B$4:$B402=B403),$A$4:$A402),""))</f>
        <v>15</v>
      </c>
      <c r="I403" s="73">
        <f t="shared" si="6"/>
        <v>51</v>
      </c>
      <c r="J403" s="9">
        <v>142297</v>
      </c>
      <c r="K403" s="6">
        <f>IF(B403="","",IFERROR(AVERAGEIFS($I$4:$I403,$B$4:$B403,B403,$I$4:$I403,"&gt;"&amp;0),""))</f>
        <v>51.6</v>
      </c>
      <c r="L403" s="9" t="str">
        <f>IF(B403="","",IF(ISNA(MATCH(B403,Client_List!$B:$B,0)),"⚠ NOT FOUND","✓"))</f>
        <v>✓</v>
      </c>
    </row>
    <row r="404" spans="1:12" ht="14" customHeight="1" x14ac:dyDescent="0.2">
      <c r="A404" s="56">
        <v>46059</v>
      </c>
      <c r="B404" s="2" t="s">
        <v>366</v>
      </c>
      <c r="C404" s="3" t="str">
        <f>IF(B404="","",IFERROR(INDEX(Client_List!$C:$C,MATCH(B404,Client_List!$B:$B,0)),""))</f>
        <v>2</v>
      </c>
      <c r="D404" s="4" t="str">
        <f>IF(B404="","",IFERROR(INDEX(Client_List!$D:$D,MATCH(B404,Client_List!$B:$B,0)),""))</f>
        <v>2C</v>
      </c>
      <c r="E404" s="4" t="str">
        <f>IF(B404="","",IFERROR(INDEX(Client_List!$K:$K,MATCH(B404,Client_List!$B:$B,0)),""))</f>
        <v>CANOLA OIL</v>
      </c>
      <c r="F404" s="5">
        <f>IF(B404="","",IFERROR(INDEX(Client_List!$J:$J,MATCH(B404,Client_List!$B:$B,0)),""))</f>
        <v>350</v>
      </c>
      <c r="G404" s="5">
        <v>257</v>
      </c>
      <c r="H404" s="4">
        <f>IF(B404="","",IFERROR(A404-LOOKUP(2,1/($B$4:$B403=B404),$A$4:$A403),""))</f>
        <v>15</v>
      </c>
      <c r="I404" s="72">
        <f t="shared" si="6"/>
        <v>17.133333333333333</v>
      </c>
      <c r="J404" s="4">
        <v>142287</v>
      </c>
      <c r="K404" s="6">
        <f>IF(B404="","",IFERROR(AVERAGEIFS($I$4:$I404,$B$4:$B404,B404,$I$4:$I404,"&gt;"&amp;0),""))</f>
        <v>17.224561403508773</v>
      </c>
      <c r="L404" s="4" t="str">
        <f>IF(B404="","",IF(ISNA(MATCH(B404,Client_List!$B:$B,0)),"⚠ NOT FOUND","✓"))</f>
        <v>✓</v>
      </c>
    </row>
    <row r="405" spans="1:12" ht="14" customHeight="1" x14ac:dyDescent="0.2">
      <c r="A405" s="57">
        <v>46059</v>
      </c>
      <c r="B405" s="7" t="s">
        <v>94</v>
      </c>
      <c r="C405" s="3" t="str">
        <f>IF(B405="","",IFERROR(INDEX(Client_List!$C:$C,MATCH(B405,Client_List!$B:$B,0)),""))</f>
        <v>2</v>
      </c>
      <c r="D405" s="9" t="str">
        <f>IF(B405="","",IFERROR(INDEX(Client_List!$D:$D,MATCH(B405,Client_List!$B:$B,0)),""))</f>
        <v>2C</v>
      </c>
      <c r="E405" s="9" t="str">
        <f>IF(B405="","",IFERROR(INDEX(Client_List!$K:$K,MATCH(B405,Client_List!$B:$B,0)),""))</f>
        <v>CANOLA OIL</v>
      </c>
      <c r="F405" s="10">
        <f>IF(B405="","",IFERROR(INDEX(Client_List!$J:$J,MATCH(B405,Client_List!$B:$B,0)),""))</f>
        <v>450</v>
      </c>
      <c r="G405" s="10">
        <v>496</v>
      </c>
      <c r="H405" s="9">
        <f>IF(B405="","",IFERROR(A405-LOOKUP(2,1/($B$4:$B404=B405),$A$4:$A404),""))</f>
        <v>11</v>
      </c>
      <c r="I405" s="73">
        <f t="shared" si="6"/>
        <v>45.090909090909093</v>
      </c>
      <c r="J405" s="9">
        <v>142277</v>
      </c>
      <c r="K405" s="6">
        <f>IF(B405="","",IFERROR(AVERAGEIFS($I$4:$I405,$B$4:$B405,B405,$I$4:$I405,"&gt;"&amp;0),""))</f>
        <v>37.145454545454548</v>
      </c>
      <c r="L405" s="9" t="str">
        <f>IF(B405="","",IF(ISNA(MATCH(B405,Client_List!$B:$B,0)),"⚠ NOT FOUND","✓"))</f>
        <v>✓</v>
      </c>
    </row>
    <row r="406" spans="1:12" ht="14" customHeight="1" x14ac:dyDescent="0.2">
      <c r="A406" s="56">
        <v>46059</v>
      </c>
      <c r="B406" s="2" t="s">
        <v>100</v>
      </c>
      <c r="C406" s="12" t="str">
        <f>IF(B406="","",IFERROR(INDEX(Client_List!$C:$C,MATCH(B406,Client_List!$B:$B,0)),""))</f>
        <v>4</v>
      </c>
      <c r="D406" s="4" t="str">
        <f>IF(B406="","",IFERROR(INDEX(Client_List!$D:$D,MATCH(B406,Client_List!$B:$B,0)),""))</f>
        <v>4F</v>
      </c>
      <c r="E406" s="4" t="str">
        <f>IF(B406="","",IFERROR(INDEX(Client_List!$K:$K,MATCH(B406,Client_List!$B:$B,0)),""))</f>
        <v>CANOLA OIL</v>
      </c>
      <c r="F406" s="5">
        <f>IF(B406="","",IFERROR(INDEX(Client_List!$J:$J,MATCH(B406,Client_List!$B:$B,0)),""))</f>
        <v>700</v>
      </c>
      <c r="G406" s="5">
        <v>553</v>
      </c>
      <c r="H406" s="4">
        <f>IF(B406="","",IFERROR(A406-LOOKUP(2,1/($B$4:$B405=B406),$A$4:$A405),""))</f>
        <v>20</v>
      </c>
      <c r="I406" s="72">
        <f t="shared" si="6"/>
        <v>27.65</v>
      </c>
      <c r="J406" s="4">
        <v>142293</v>
      </c>
      <c r="K406" s="6">
        <f>IF(B406="","",IFERROR(AVERAGEIFS($I$4:$I406,$B$4:$B406,B406,$I$4:$I406,"&gt;"&amp;0),""))</f>
        <v>27.65</v>
      </c>
      <c r="L406" s="4" t="str">
        <f>IF(B406="","",IF(ISNA(MATCH(B406,Client_List!$B:$B,0)),"⚠ NOT FOUND","✓"))</f>
        <v>✓</v>
      </c>
    </row>
    <row r="407" spans="1:12" ht="14" customHeight="1" x14ac:dyDescent="0.2">
      <c r="A407" s="57">
        <v>46059</v>
      </c>
      <c r="B407" s="7" t="s">
        <v>126</v>
      </c>
      <c r="C407" s="13" t="str">
        <f>IF(B407="","",IFERROR(INDEX(Client_List!$C:$C,MATCH(B407,Client_List!$B:$B,0)),""))</f>
        <v>4</v>
      </c>
      <c r="D407" s="9" t="str">
        <f>IF(B407="","",IFERROR(INDEX(Client_List!$D:$D,MATCH(B407,Client_List!$B:$B,0)),""))</f>
        <v>4D</v>
      </c>
      <c r="E407" s="9" t="str">
        <f>IF(B407="","",IFERROR(INDEX(Client_List!$K:$K,MATCH(B407,Client_List!$B:$B,0)),""))</f>
        <v>CANOLA OIL</v>
      </c>
      <c r="F407" s="10">
        <f>IF(B407="","",IFERROR(INDEX(Client_List!$J:$J,MATCH(B407,Client_List!$B:$B,0)),""))</f>
        <v>700</v>
      </c>
      <c r="G407" s="10">
        <v>451</v>
      </c>
      <c r="H407" s="9">
        <f>IF(B407="","",IFERROR(A407-LOOKUP(2,1/($B$4:$B406=B407),$A$4:$A406),""))</f>
        <v>6</v>
      </c>
      <c r="I407" s="73">
        <f t="shared" si="6"/>
        <v>75.166666666666671</v>
      </c>
      <c r="J407" s="9">
        <v>142290</v>
      </c>
      <c r="K407" s="6">
        <f>IF(B407="","",IFERROR(AVERAGEIFS($I$4:$I407,$B$4:$B407,B407,$I$4:$I407,"&gt;"&amp;0),""))</f>
        <v>67.927083333333329</v>
      </c>
      <c r="L407" s="9" t="str">
        <f>IF(B407="","",IF(ISNA(MATCH(B407,Client_List!$B:$B,0)),"⚠ NOT FOUND","✓"))</f>
        <v>✓</v>
      </c>
    </row>
    <row r="408" spans="1:12" ht="14" customHeight="1" x14ac:dyDescent="0.2">
      <c r="A408" s="56">
        <v>46059</v>
      </c>
      <c r="B408" s="2" t="s">
        <v>138</v>
      </c>
      <c r="C408" s="3" t="str">
        <f>IF(B408="","",IFERROR(INDEX(Client_List!$C:$C,MATCH(B408,Client_List!$B:$B,0)),""))</f>
        <v>4</v>
      </c>
      <c r="D408" s="4" t="str">
        <f>IF(B408="","",IFERROR(INDEX(Client_List!$D:$D,MATCH(B408,Client_List!$B:$B,0)),""))</f>
        <v>4E</v>
      </c>
      <c r="E408" s="4" t="str">
        <f>IF(B408="","",IFERROR(INDEX(Client_List!$K:$K,MATCH(B408,Client_List!$B:$B,0)),""))</f>
        <v>CANOLA OIL</v>
      </c>
      <c r="F408" s="5">
        <f>IF(B408="","",IFERROR(INDEX(Client_List!$J:$J,MATCH(B408,Client_List!$B:$B,0)),""))</f>
        <v>350</v>
      </c>
      <c r="G408" s="5">
        <v>195</v>
      </c>
      <c r="H408" s="4">
        <f>IF(B408="","",IFERROR(A408-LOOKUP(2,1/($B$4:$B407=B408),$A$4:$A407),""))</f>
        <v>8</v>
      </c>
      <c r="I408" s="72">
        <f t="shared" si="6"/>
        <v>24.375</v>
      </c>
      <c r="J408" s="4">
        <v>142291</v>
      </c>
      <c r="K408" s="6">
        <f>IF(B408="","",IFERROR(AVERAGEIFS($I$4:$I408,$B$4:$B408,B408,$I$4:$I408,"&gt;"&amp;0),""))</f>
        <v>35.678571428571423</v>
      </c>
      <c r="L408" s="4" t="str">
        <f>IF(B408="","",IF(ISNA(MATCH(B408,Client_List!$B:$B,0)),"⚠ NOT FOUND","✓"))</f>
        <v>✓</v>
      </c>
    </row>
    <row r="409" spans="1:12" ht="14" customHeight="1" x14ac:dyDescent="0.2">
      <c r="A409" s="57">
        <v>46059</v>
      </c>
      <c r="B409" s="7" t="s">
        <v>168</v>
      </c>
      <c r="C409" s="3" t="str">
        <f>IF(B409="","",IFERROR(INDEX(Client_List!$C:$C,MATCH(B409,Client_List!$B:$B,0)),""))</f>
        <v>4</v>
      </c>
      <c r="D409" s="9" t="str">
        <f>IF(B409="","",IFERROR(INDEX(Client_List!$D:$D,MATCH(B409,Client_List!$B:$B,0)),""))</f>
        <v>4B</v>
      </c>
      <c r="E409" s="9" t="str">
        <f>IF(B409="","",IFERROR(INDEX(Client_List!$K:$K,MATCH(B409,Client_List!$B:$B,0)),""))</f>
        <v>FRYERS CHOICE BLEND</v>
      </c>
      <c r="F409" s="10">
        <f>IF(B409="","",IFERROR(INDEX(Client_List!$J:$J,MATCH(B409,Client_List!$B:$B,0)),""))</f>
        <v>620</v>
      </c>
      <c r="G409" s="10">
        <v>538</v>
      </c>
      <c r="H409" s="9">
        <f>IF(B409="","",IFERROR(A409-LOOKUP(2,1/($B$4:$B408=B409),$A$4:$A408),""))</f>
        <v>14</v>
      </c>
      <c r="I409" s="73">
        <f t="shared" si="6"/>
        <v>38.428571428571431</v>
      </c>
      <c r="J409" s="9">
        <v>142298</v>
      </c>
      <c r="K409" s="6">
        <f>IF(B409="","",IFERROR(AVERAGEIFS($I$4:$I409,$B$4:$B409,B409,$I$4:$I409,"&gt;"&amp;0),""))</f>
        <v>38.26428571428572</v>
      </c>
      <c r="L409" s="9" t="str">
        <f>IF(B409="","",IF(ISNA(MATCH(B409,Client_List!$B:$B,0)),"⚠ NOT FOUND","✓"))</f>
        <v>✓</v>
      </c>
    </row>
    <row r="410" spans="1:12" ht="14" customHeight="1" x14ac:dyDescent="0.2">
      <c r="A410" s="56">
        <v>46059</v>
      </c>
      <c r="B410" s="2" t="s">
        <v>176</v>
      </c>
      <c r="C410" s="3" t="str">
        <f>IF(B410="","",IFERROR(INDEX(Client_List!$C:$C,MATCH(B410,Client_List!$B:$B,0)),""))</f>
        <v>4</v>
      </c>
      <c r="D410" s="4" t="str">
        <f>IF(B410="","",IFERROR(INDEX(Client_List!$D:$D,MATCH(B410,Client_List!$B:$B,0)),""))</f>
        <v>4F</v>
      </c>
      <c r="E410" s="4" t="str">
        <f>IF(B410="","",IFERROR(INDEX(Client_List!$K:$K,MATCH(B410,Client_List!$B:$B,0)),""))</f>
        <v>CANOLA OIL</v>
      </c>
      <c r="F410" s="5">
        <f>IF(B410="","",IFERROR(INDEX(Client_List!$J:$J,MATCH(B410,Client_List!$B:$B,0)),""))</f>
        <v>950</v>
      </c>
      <c r="G410" s="5">
        <v>567</v>
      </c>
      <c r="H410" s="4">
        <f>IF(B410="","",IFERROR(A410-LOOKUP(2,1/($B$4:$B409=B410),$A$4:$A409),""))</f>
        <v>12</v>
      </c>
      <c r="I410" s="72">
        <f t="shared" si="6"/>
        <v>47.25</v>
      </c>
      <c r="J410" s="4">
        <v>142294</v>
      </c>
      <c r="K410" s="6">
        <f>IF(B410="","",IFERROR(AVERAGEIFS($I$4:$I410,$B$4:$B410,B410,$I$4:$I410,"&gt;"&amp;0),""))</f>
        <v>48.170454545454547</v>
      </c>
      <c r="L410" s="4" t="str">
        <f>IF(B410="","",IF(ISNA(MATCH(B410,Client_List!$B:$B,0)),"⚠ NOT FOUND","✓"))</f>
        <v>✓</v>
      </c>
    </row>
    <row r="411" spans="1:12" ht="14" customHeight="1" x14ac:dyDescent="0.2">
      <c r="A411" s="57">
        <v>46059</v>
      </c>
      <c r="B411" s="7" t="s">
        <v>180</v>
      </c>
      <c r="C411" s="3" t="str">
        <f>IF(B411="","",IFERROR(INDEX(Client_List!$C:$C,MATCH(B411,Client_List!$B:$B,0)),""))</f>
        <v>1</v>
      </c>
      <c r="D411" s="9" t="str">
        <f>IF(B411="","",IFERROR(INDEX(Client_List!$D:$D,MATCH(B411,Client_List!$B:$B,0)),""))</f>
        <v>1D</v>
      </c>
      <c r="E411" s="9" t="str">
        <f>IF(B411="","",IFERROR(INDEX(Client_List!$K:$K,MATCH(B411,Client_List!$B:$B,0)),""))</f>
        <v>CANOLA OIL</v>
      </c>
      <c r="F411" s="10">
        <f>IF(B411="","",IFERROR(INDEX(Client_List!$J:$J,MATCH(B411,Client_List!$B:$B,0)),""))</f>
        <v>950</v>
      </c>
      <c r="G411" s="10">
        <v>723</v>
      </c>
      <c r="H411" s="9">
        <f>IF(B411="","",IFERROR(A411-LOOKUP(2,1/($B$4:$B410=B411),$A$4:$A410),""))</f>
        <v>9</v>
      </c>
      <c r="I411" s="73">
        <f t="shared" si="6"/>
        <v>80.333333333333329</v>
      </c>
      <c r="J411" s="9">
        <v>142285</v>
      </c>
      <c r="K411" s="6">
        <f>IF(B411="","",IFERROR(AVERAGEIFS($I$4:$I411,$B$4:$B411,B411,$I$4:$I411,"&gt;"&amp;0),""))</f>
        <v>78.077777777777769</v>
      </c>
      <c r="L411" s="9" t="str">
        <f>IF(B411="","",IF(ISNA(MATCH(B411,Client_List!$B:$B,0)),"⚠ NOT FOUND","✓"))</f>
        <v>✓</v>
      </c>
    </row>
    <row r="412" spans="1:12" ht="14" customHeight="1" x14ac:dyDescent="0.2">
      <c r="A412" s="56">
        <v>46059</v>
      </c>
      <c r="B412" s="2" t="s">
        <v>184</v>
      </c>
      <c r="C412" s="11" t="str">
        <f>IF(B412="","",IFERROR(INDEX(Client_List!$C:$C,MATCH(B412,Client_List!$B:$B,0)),""))</f>
        <v>3</v>
      </c>
      <c r="D412" s="4" t="str">
        <f>IF(B412="","",IFERROR(INDEX(Client_List!$D:$D,MATCH(B412,Client_List!$B:$B,0)),""))</f>
        <v>3C</v>
      </c>
      <c r="E412" s="4" t="str">
        <f>IF(B412="","",IFERROR(INDEX(Client_List!$K:$K,MATCH(B412,Client_List!$B:$B,0)),""))</f>
        <v>CANOLA OIL</v>
      </c>
      <c r="F412" s="5">
        <f>IF(B412="","",IFERROR(INDEX(Client_List!$J:$J,MATCH(B412,Client_List!$B:$B,0)),""))</f>
        <v>1050</v>
      </c>
      <c r="G412" s="5">
        <v>1001</v>
      </c>
      <c r="H412" s="4">
        <f>IF(B412="","",IFERROR(A412-LOOKUP(2,1/($B$4:$B411=B412),$A$4:$A411),""))</f>
        <v>10</v>
      </c>
      <c r="I412" s="72">
        <f t="shared" si="6"/>
        <v>100.1</v>
      </c>
      <c r="J412" s="4">
        <v>142283</v>
      </c>
      <c r="K412" s="6">
        <f>IF(B412="","",IFERROR(AVERAGEIFS($I$4:$I412,$B$4:$B412,B412,$I$4:$I412,"&gt;"&amp;0),""))</f>
        <v>102.83419913419914</v>
      </c>
      <c r="L412" s="4" t="str">
        <f>IF(B412="","",IF(ISNA(MATCH(B412,Client_List!$B:$B,0)),"⚠ NOT FOUND","✓"))</f>
        <v>✓</v>
      </c>
    </row>
    <row r="413" spans="1:12" ht="14" customHeight="1" x14ac:dyDescent="0.2">
      <c r="A413" s="57">
        <v>46059</v>
      </c>
      <c r="B413" s="7" t="s">
        <v>188</v>
      </c>
      <c r="C413" s="13" t="str">
        <f>IF(B413="","",IFERROR(INDEX(Client_List!$C:$C,MATCH(B413,Client_List!$B:$B,0)),""))</f>
        <v>4</v>
      </c>
      <c r="D413" s="9" t="str">
        <f>IF(B413="","",IFERROR(INDEX(Client_List!$D:$D,MATCH(B413,Client_List!$B:$B,0)),""))</f>
        <v>4C</v>
      </c>
      <c r="E413" s="9" t="str">
        <f>IF(B413="","",IFERROR(INDEX(Client_List!$K:$K,MATCH(B413,Client_List!$B:$B,0)),""))</f>
        <v>CANOLA OIL</v>
      </c>
      <c r="F413" s="10">
        <f>IF(B413="","",IFERROR(INDEX(Client_List!$J:$J,MATCH(B413,Client_List!$B:$B,0)),""))</f>
        <v>900</v>
      </c>
      <c r="G413" s="10">
        <v>752</v>
      </c>
      <c r="H413" s="9">
        <f>IF(B413="","",IFERROR(A413-LOOKUP(2,1/($B$4:$B412=B413),$A$4:$A412),""))</f>
        <v>15</v>
      </c>
      <c r="I413" s="73">
        <f t="shared" si="6"/>
        <v>50.133333333333333</v>
      </c>
      <c r="J413" s="9">
        <v>142296</v>
      </c>
      <c r="K413" s="6">
        <f>IF(B413="","",IFERROR(AVERAGEIFS($I$4:$I413,$B$4:$B413,B413,$I$4:$I413,"&gt;"&amp;0),""))</f>
        <v>50.209523809523809</v>
      </c>
      <c r="L413" s="9" t="str">
        <f>IF(B413="","",IF(ISNA(MATCH(B413,Client_List!$B:$B,0)),"⚠ NOT FOUND","✓"))</f>
        <v>✓</v>
      </c>
    </row>
    <row r="414" spans="1:12" ht="14" customHeight="1" x14ac:dyDescent="0.2">
      <c r="A414" s="56">
        <v>46059</v>
      </c>
      <c r="B414" s="2" t="s">
        <v>230</v>
      </c>
      <c r="C414" s="11" t="str">
        <f>IF(B414="","",IFERROR(INDEX(Client_List!$C:$C,MATCH(B414,Client_List!$B:$B,0)),""))</f>
        <v>1</v>
      </c>
      <c r="D414" s="4" t="str">
        <f>IF(B414="","",IFERROR(INDEX(Client_List!$D:$D,MATCH(B414,Client_List!$B:$B,0)),""))</f>
        <v>1D</v>
      </c>
      <c r="E414" s="4" t="str">
        <f>IF(B414="","",IFERROR(INDEX(Client_List!$K:$K,MATCH(B414,Client_List!$B:$B,0)),""))</f>
        <v>CANOLA OIL</v>
      </c>
      <c r="F414" s="5">
        <f>IF(B414="","",IFERROR(INDEX(Client_List!$J:$J,MATCH(B414,Client_List!$B:$B,0)),""))</f>
        <v>660</v>
      </c>
      <c r="G414" s="5">
        <v>644</v>
      </c>
      <c r="H414" s="4">
        <f>IF(B414="","",IFERROR(A414-LOOKUP(2,1/($B$4:$B413=B414),$A$4:$A413),""))</f>
        <v>13</v>
      </c>
      <c r="I414" s="72">
        <f t="shared" si="6"/>
        <v>49.53846153846154</v>
      </c>
      <c r="J414" s="4">
        <v>142282</v>
      </c>
      <c r="K414" s="6">
        <f>IF(B414="","",IFERROR(AVERAGEIFS($I$4:$I414,$B$4:$B414,B414,$I$4:$I414,"&gt;"&amp;0),""))</f>
        <v>47.04195804195804</v>
      </c>
      <c r="L414" s="4" t="str">
        <f>IF(B414="","",IF(ISNA(MATCH(B414,Client_List!$B:$B,0)),"⚠ NOT FOUND","✓"))</f>
        <v>✓</v>
      </c>
    </row>
    <row r="415" spans="1:12" ht="14" customHeight="1" x14ac:dyDescent="0.2">
      <c r="A415" s="57">
        <v>46059</v>
      </c>
      <c r="B415" s="7" t="s">
        <v>258</v>
      </c>
      <c r="C415" s="8" t="str">
        <f>IF(B415="","",IFERROR(INDEX(Client_List!$C:$C,MATCH(B415,Client_List!$B:$B,0)),""))</f>
        <v>4</v>
      </c>
      <c r="D415" s="9" t="str">
        <f>IF(B415="","",IFERROR(INDEX(Client_List!$D:$D,MATCH(B415,Client_List!$B:$B,0)),""))</f>
        <v>4F</v>
      </c>
      <c r="E415" s="9" t="str">
        <f>IF(B415="","",IFERROR(INDEX(Client_List!$K:$K,MATCH(B415,Client_List!$B:$B,0)),""))</f>
        <v>FRYERS CHOICE BLEND</v>
      </c>
      <c r="F415" s="10">
        <f>IF(B415="","",IFERROR(INDEX(Client_List!$J:$J,MATCH(B415,Client_List!$B:$B,0)),""))</f>
        <v>950</v>
      </c>
      <c r="G415" s="10">
        <v>634</v>
      </c>
      <c r="H415" s="9">
        <f>IF(B415="","",IFERROR(A415-LOOKUP(2,1/($B$4:$B414=B415),$A$4:$A414),""))</f>
        <v>14</v>
      </c>
      <c r="I415" s="73">
        <f t="shared" si="6"/>
        <v>45.285714285714285</v>
      </c>
      <c r="J415" s="9">
        <v>142292</v>
      </c>
      <c r="K415" s="6">
        <f>IF(B415="","",IFERROR(AVERAGEIFS($I$4:$I415,$B$4:$B415,B415,$I$4:$I415,"&gt;"&amp;0),""))</f>
        <v>46.986607142857139</v>
      </c>
      <c r="L415" s="9" t="str">
        <f>IF(B415="","",IF(ISNA(MATCH(B415,Client_List!$B:$B,0)),"⚠ NOT FOUND","✓"))</f>
        <v>✓</v>
      </c>
    </row>
    <row r="416" spans="1:12" ht="14" customHeight="1" x14ac:dyDescent="0.2">
      <c r="A416" s="56">
        <v>46059</v>
      </c>
      <c r="B416" s="2" t="s">
        <v>278</v>
      </c>
      <c r="C416" s="8" t="str">
        <f>IF(B416="","",IFERROR(INDEX(Client_List!$C:$C,MATCH(B416,Client_List!$B:$B,0)),""))</f>
        <v>3</v>
      </c>
      <c r="D416" s="4" t="str">
        <f>IF(B416="","",IFERROR(INDEX(Client_List!$D:$D,MATCH(B416,Client_List!$B:$B,0)),""))</f>
        <v>3A</v>
      </c>
      <c r="E416" s="4" t="str">
        <f>IF(B416="","",IFERROR(INDEX(Client_List!$K:$K,MATCH(B416,Client_List!$B:$B,0)),""))</f>
        <v>CANOLA OIL</v>
      </c>
      <c r="F416" s="5">
        <f>IF(B416="","",IFERROR(INDEX(Client_List!$J:$J,MATCH(B416,Client_List!$B:$B,0)),""))</f>
        <v>1850</v>
      </c>
      <c r="G416" s="5">
        <v>1555</v>
      </c>
      <c r="H416" s="4">
        <f>IF(B416="","",IFERROR(A416-LOOKUP(2,1/($B$4:$B415=B416),$A$4:$A415),""))</f>
        <v>22</v>
      </c>
      <c r="I416" s="72">
        <f t="shared" si="6"/>
        <v>70.681818181818187</v>
      </c>
      <c r="J416" s="4">
        <v>142284</v>
      </c>
      <c r="K416" s="6">
        <f>IF(B416="","",IFERROR(AVERAGEIFS($I$4:$I416,$B$4:$B416,B416,$I$4:$I416,"&gt;"&amp;0),""))</f>
        <v>70.681818181818187</v>
      </c>
      <c r="L416" s="4" t="str">
        <f>IF(B416="","",IF(ISNA(MATCH(B416,Client_List!$B:$B,0)),"⚠ NOT FOUND","✓"))</f>
        <v>✓</v>
      </c>
    </row>
    <row r="417" spans="1:12" ht="14" customHeight="1" x14ac:dyDescent="0.2">
      <c r="A417" s="57">
        <v>46059</v>
      </c>
      <c r="B417" s="7" t="s">
        <v>284</v>
      </c>
      <c r="C417" s="12" t="str">
        <f>IF(B417="","",IFERROR(INDEX(Client_List!$C:$C,MATCH(B417,Client_List!$B:$B,0)),""))</f>
        <v>2</v>
      </c>
      <c r="D417" s="9" t="str">
        <f>IF(B417="","",IFERROR(INDEX(Client_List!$D:$D,MATCH(B417,Client_List!$B:$B,0)),""))</f>
        <v>2C</v>
      </c>
      <c r="E417" s="9" t="str">
        <f>IF(B417="","",IFERROR(INDEX(Client_List!$K:$K,MATCH(B417,Client_List!$B:$B,0)),""))</f>
        <v>CANOLA OIL</v>
      </c>
      <c r="F417" s="10">
        <f>IF(B417="","",IFERROR(INDEX(Client_List!$J:$J,MATCH(B417,Client_List!$B:$B,0)),""))</f>
        <v>620</v>
      </c>
      <c r="G417" s="10">
        <v>326</v>
      </c>
      <c r="H417" s="9">
        <f>IF(B417="","",IFERROR(A417-LOOKUP(2,1/($B$4:$B416=B417),$A$4:$A416),""))</f>
        <v>15</v>
      </c>
      <c r="I417" s="73">
        <f t="shared" si="6"/>
        <v>21.733333333333334</v>
      </c>
      <c r="J417" s="9">
        <v>142286</v>
      </c>
      <c r="K417" s="6">
        <f>IF(B417="","",IFERROR(AVERAGEIFS($I$4:$I417,$B$4:$B417,B417,$I$4:$I417,"&gt;"&amp;0),""))</f>
        <v>28.080952380952382</v>
      </c>
      <c r="L417" s="9" t="str">
        <f>IF(B417="","",IF(ISNA(MATCH(B417,Client_List!$B:$B,0)),"⚠ NOT FOUND","✓"))</f>
        <v>✓</v>
      </c>
    </row>
    <row r="418" spans="1:12" ht="14" customHeight="1" x14ac:dyDescent="0.2">
      <c r="A418" s="56">
        <v>46059</v>
      </c>
      <c r="B418" s="2" t="s">
        <v>312</v>
      </c>
      <c r="C418" s="3" t="str">
        <f>IF(B418="","",IFERROR(INDEX(Client_List!$C:$C,MATCH(B418,Client_List!$B:$B,0)),""))</f>
        <v>2</v>
      </c>
      <c r="D418" s="4" t="str">
        <f>IF(B418="","",IFERROR(INDEX(Client_List!$D:$D,MATCH(B418,Client_List!$B:$B,0)),""))</f>
        <v>2C</v>
      </c>
      <c r="E418" s="4" t="str">
        <f>IF(B418="","",IFERROR(INDEX(Client_List!$K:$K,MATCH(B418,Client_List!$B:$B,0)),""))</f>
        <v>CANOLA OIL</v>
      </c>
      <c r="F418" s="5">
        <f>IF(B418="","",IFERROR(INDEX(Client_List!$J:$J,MATCH(B418,Client_List!$B:$B,0)),""))</f>
        <v>1050</v>
      </c>
      <c r="G418" s="5">
        <v>902</v>
      </c>
      <c r="H418" s="4">
        <f>IF(B418="","",IFERROR(A418-LOOKUP(2,1/($B$4:$B417=B418),$A$4:$A417),""))</f>
        <v>19</v>
      </c>
      <c r="I418" s="72">
        <f t="shared" si="6"/>
        <v>47.473684210526315</v>
      </c>
      <c r="J418" s="4">
        <v>142281</v>
      </c>
      <c r="K418" s="6">
        <f>IF(B418="","",IFERROR(AVERAGEIFS($I$4:$I418,$B$4:$B418,B418,$I$4:$I418,"&gt;"&amp;0),""))</f>
        <v>47.473684210526315</v>
      </c>
      <c r="L418" s="4" t="str">
        <f>IF(B418="","",IF(ISNA(MATCH(B418,Client_List!$B:$B,0)),"⚠ NOT FOUND","✓"))</f>
        <v>✓</v>
      </c>
    </row>
    <row r="419" spans="1:12" ht="14" customHeight="1" x14ac:dyDescent="0.2">
      <c r="A419" s="57">
        <v>46059</v>
      </c>
      <c r="B419" s="7" t="s">
        <v>314</v>
      </c>
      <c r="C419" s="12" t="str">
        <f>IF(B419="","",IFERROR(INDEX(Client_List!$C:$C,MATCH(B419,Client_List!$B:$B,0)),""))</f>
        <v>1</v>
      </c>
      <c r="D419" s="9" t="str">
        <f>IF(B419="","",IFERROR(INDEX(Client_List!$D:$D,MATCH(B419,Client_List!$B:$B,0)),""))</f>
        <v>1C</v>
      </c>
      <c r="E419" s="9" t="str">
        <f>IF(B419="","",IFERROR(INDEX(Client_List!$K:$K,MATCH(B419,Client_List!$B:$B,0)),""))</f>
        <v>CANOLA OIL</v>
      </c>
      <c r="F419" s="10">
        <f>IF(B419="","",IFERROR(INDEX(Client_List!$J:$J,MATCH(B419,Client_List!$B:$B,0)),""))</f>
        <v>1050</v>
      </c>
      <c r="G419" s="10">
        <v>990</v>
      </c>
      <c r="H419" s="9">
        <f>IF(B419="","",IFERROR(A419-LOOKUP(2,1/($B$4:$B418=B419),$A$4:$A418),""))</f>
        <v>13</v>
      </c>
      <c r="I419" s="73">
        <f t="shared" si="6"/>
        <v>76.15384615384616</v>
      </c>
      <c r="J419" s="9">
        <v>142280</v>
      </c>
      <c r="K419" s="6">
        <f>IF(B419="","",IFERROR(AVERAGEIFS($I$4:$I419,$B$4:$B419,B419,$I$4:$I419,"&gt;"&amp;0),""))</f>
        <v>89.304195804195814</v>
      </c>
      <c r="L419" s="9" t="str">
        <f>IF(B419="","",IF(ISNA(MATCH(B419,Client_List!$B:$B,0)),"⚠ NOT FOUND","✓"))</f>
        <v>✓</v>
      </c>
    </row>
    <row r="420" spans="1:12" ht="14" customHeight="1" x14ac:dyDescent="0.2">
      <c r="A420" s="56">
        <v>46059</v>
      </c>
      <c r="B420" s="2" t="s">
        <v>318</v>
      </c>
      <c r="C420" s="11" t="str">
        <f>IF(B420="","",IFERROR(INDEX(Client_List!$C:$C,MATCH(B420,Client_List!$B:$B,0)),""))</f>
        <v>2</v>
      </c>
      <c r="D420" s="4" t="str">
        <f>IF(B420="","",IFERROR(INDEX(Client_List!$D:$D,MATCH(B420,Client_List!$B:$B,0)),""))</f>
        <v>2D</v>
      </c>
      <c r="E420" s="4" t="str">
        <f>IF(B420="","",IFERROR(INDEX(Client_List!$K:$K,MATCH(B420,Client_List!$B:$B,0)),""))</f>
        <v>FRYERS CHOICE BLEND</v>
      </c>
      <c r="F420" s="5">
        <f>IF(B420="","",IFERROR(INDEX(Client_List!$J:$J,MATCH(B420,Client_List!$B:$B,0)),""))</f>
        <v>1050</v>
      </c>
      <c r="G420" s="5">
        <v>925</v>
      </c>
      <c r="H420" s="4">
        <f>IF(B420="","",IFERROR(A420-LOOKUP(2,1/($B$4:$B419=B420),$A$4:$A419),""))</f>
        <v>14</v>
      </c>
      <c r="I420" s="72">
        <f t="shared" si="6"/>
        <v>66.071428571428569</v>
      </c>
      <c r="J420" s="4">
        <v>142279</v>
      </c>
      <c r="K420" s="6">
        <f>IF(B420="","",IFERROR(AVERAGEIFS($I$4:$I420,$B$4:$B420,B420,$I$4:$I420,"&gt;"&amp;0),""))</f>
        <v>65.153361344537814</v>
      </c>
      <c r="L420" s="4" t="str">
        <f>IF(B420="","",IF(ISNA(MATCH(B420,Client_List!$B:$B,0)),"⚠ NOT FOUND","✓"))</f>
        <v>✓</v>
      </c>
    </row>
    <row r="421" spans="1:12" ht="14" customHeight="1" x14ac:dyDescent="0.2">
      <c r="A421" s="57">
        <v>46060</v>
      </c>
      <c r="B421" s="7" t="s">
        <v>51</v>
      </c>
      <c r="C421" s="3" t="str">
        <f>IF(B421="","",IFERROR(INDEX(Client_List!$C:$C,MATCH(B421,Client_List!$B:$B,0)),""))</f>
        <v>3</v>
      </c>
      <c r="D421" s="9" t="str">
        <f>IF(B421="","",IFERROR(INDEX(Client_List!$D:$D,MATCH(B421,Client_List!$B:$B,0)),""))</f>
        <v>3D</v>
      </c>
      <c r="E421" s="9" t="str">
        <f>IF(B421="","",IFERROR(INDEX(Client_List!$K:$K,MATCH(B421,Client_List!$B:$B,0)),""))</f>
        <v>CANOLA OIL</v>
      </c>
      <c r="F421" s="10">
        <f>IF(B421="","",IFERROR(INDEX(Client_List!$J:$J,MATCH(B421,Client_List!$B:$B,0)),""))</f>
        <v>700</v>
      </c>
      <c r="G421" s="10">
        <v>703</v>
      </c>
      <c r="H421" s="9">
        <f>IF(B421="","",IFERROR(A421-LOOKUP(2,1/($B$4:$B420=B421),$A$4:$A420),""))</f>
        <v>11</v>
      </c>
      <c r="I421" s="73">
        <f t="shared" si="6"/>
        <v>63.909090909090907</v>
      </c>
      <c r="J421" s="9">
        <v>142335</v>
      </c>
      <c r="K421" s="6">
        <f>IF(B421="","",IFERROR(AVERAGEIFS($I$4:$I421,$B$4:$B421,B421,$I$4:$I421,"&gt;"&amp;0),""))</f>
        <v>60.758158508158509</v>
      </c>
      <c r="L421" s="9" t="str">
        <f>IF(B421="","",IF(ISNA(MATCH(B421,Client_List!$B:$B,0)),"⚠ NOT FOUND","✓"))</f>
        <v>✓</v>
      </c>
    </row>
    <row r="422" spans="1:12" ht="14" customHeight="1" x14ac:dyDescent="0.2">
      <c r="A422" s="56">
        <v>46060</v>
      </c>
      <c r="B422" s="2" t="s">
        <v>81</v>
      </c>
      <c r="C422" s="12" t="str">
        <f>IF(B422="","",IFERROR(INDEX(Client_List!$C:$C,MATCH(B422,Client_List!$B:$B,0)),""))</f>
        <v>3</v>
      </c>
      <c r="D422" s="4" t="str">
        <f>IF(B422="","",IFERROR(INDEX(Client_List!$D:$D,MATCH(B422,Client_List!$B:$B,0)),""))</f>
        <v>3E</v>
      </c>
      <c r="E422" s="4" t="str">
        <f>IF(B422="","",IFERROR(INDEX(Client_List!$K:$K,MATCH(B422,Client_List!$B:$B,0)),""))</f>
        <v>CANOLA OIL</v>
      </c>
      <c r="F422" s="5">
        <f>IF(B422="","",IFERROR(INDEX(Client_List!$J:$J,MATCH(B422,Client_List!$B:$B,0)),""))</f>
        <v>350</v>
      </c>
      <c r="G422" s="5">
        <v>178</v>
      </c>
      <c r="H422" s="4">
        <f>IF(B422="","",IFERROR(A422-LOOKUP(2,1/($B$4:$B421=B422),$A$4:$A421),""))</f>
        <v>9</v>
      </c>
      <c r="I422" s="72">
        <f t="shared" si="6"/>
        <v>19.777777777777779</v>
      </c>
      <c r="J422" s="4">
        <v>142336</v>
      </c>
      <c r="K422" s="6">
        <f>IF(B422="","",IFERROR(AVERAGEIFS($I$4:$I422,$B$4:$B422,B422,$I$4:$I422,"&gt;"&amp;0),""))</f>
        <v>20.488888888888887</v>
      </c>
      <c r="L422" s="4" t="str">
        <f>IF(B422="","",IF(ISNA(MATCH(B422,Client_List!$B:$B,0)),"⚠ NOT FOUND","✓"))</f>
        <v>✓</v>
      </c>
    </row>
    <row r="423" spans="1:12" ht="14" customHeight="1" x14ac:dyDescent="0.2">
      <c r="A423" s="57">
        <v>46060</v>
      </c>
      <c r="B423" s="7" t="s">
        <v>142</v>
      </c>
      <c r="C423" s="3" t="str">
        <f>IF(B423="","",IFERROR(INDEX(Client_List!$C:$C,MATCH(B423,Client_List!$B:$B,0)),""))</f>
        <v>4</v>
      </c>
      <c r="D423" s="9" t="str">
        <f>IF(B423="","",IFERROR(INDEX(Client_List!$D:$D,MATCH(B423,Client_List!$B:$B,0)),""))</f>
        <v>4A</v>
      </c>
      <c r="E423" s="9" t="str">
        <f>IF(B423="","",IFERROR(INDEX(Client_List!$K:$K,MATCH(B423,Client_List!$B:$B,0)),""))</f>
        <v>FRYERS CHOICE BLEND</v>
      </c>
      <c r="F423" s="10">
        <f>IF(B423="","",IFERROR(INDEX(Client_List!$J:$J,MATCH(B423,Client_List!$B:$B,0)),""))</f>
        <v>1050</v>
      </c>
      <c r="G423" s="10">
        <v>737</v>
      </c>
      <c r="H423" s="9">
        <f>IF(B423="","",IFERROR(A423-LOOKUP(2,1/($B$4:$B422=B423),$A$4:$A422),""))</f>
        <v>4</v>
      </c>
      <c r="I423" s="73">
        <f t="shared" si="6"/>
        <v>184.25</v>
      </c>
      <c r="J423" s="9">
        <v>142331</v>
      </c>
      <c r="K423" s="6">
        <f>IF(B423="","",IFERROR(AVERAGEIFS($I$4:$I423,$B$4:$B423,B423,$I$4:$I423,"&gt;"&amp;0),""))</f>
        <v>182.81785714285712</v>
      </c>
      <c r="L423" s="9" t="str">
        <f>IF(B423="","",IF(ISNA(MATCH(B423,Client_List!$B:$B,0)),"⚠ NOT FOUND","✓"))</f>
        <v>✓</v>
      </c>
    </row>
    <row r="424" spans="1:12" ht="14" customHeight="1" x14ac:dyDescent="0.2">
      <c r="A424" s="56">
        <v>46060</v>
      </c>
      <c r="B424" s="2" t="s">
        <v>144</v>
      </c>
      <c r="C424" s="12" t="str">
        <f>IF(B424="","",IFERROR(INDEX(Client_List!$C:$C,MATCH(B424,Client_List!$B:$B,0)),""))</f>
        <v>4</v>
      </c>
      <c r="D424" s="4" t="str">
        <f>IF(B424="","",IFERROR(INDEX(Client_List!$D:$D,MATCH(B424,Client_List!$B:$B,0)),""))</f>
        <v>4A</v>
      </c>
      <c r="E424" s="4" t="str">
        <f>IF(B424="","",IFERROR(INDEX(Client_List!$K:$K,MATCH(B424,Client_List!$B:$B,0)),""))</f>
        <v>FRYERS CHOICE BLEND</v>
      </c>
      <c r="F424" s="5">
        <f>IF(B424="","",IFERROR(INDEX(Client_List!$J:$J,MATCH(B424,Client_List!$B:$B,0)),""))</f>
        <v>900</v>
      </c>
      <c r="G424" s="5">
        <v>500</v>
      </c>
      <c r="H424" s="4">
        <f>IF(B424="","",IFERROR(A424-LOOKUP(2,1/($B$4:$B423=B424),$A$4:$A423),""))</f>
        <v>9</v>
      </c>
      <c r="I424" s="72">
        <f t="shared" si="6"/>
        <v>55.555555555555557</v>
      </c>
      <c r="J424" s="4">
        <v>142338</v>
      </c>
      <c r="K424" s="6">
        <f>IF(B424="","",IFERROR(AVERAGEIFS($I$4:$I424,$B$4:$B424,B424,$I$4:$I424,"&gt;"&amp;0),""))</f>
        <v>61.280555555555551</v>
      </c>
      <c r="L424" s="4" t="str">
        <f>IF(B424="","",IF(ISNA(MATCH(B424,Client_List!$B:$B,0)),"⚠ NOT FOUND","✓"))</f>
        <v>✓</v>
      </c>
    </row>
    <row r="425" spans="1:12" ht="14" customHeight="1" x14ac:dyDescent="0.2">
      <c r="A425" s="57">
        <v>46060</v>
      </c>
      <c r="B425" s="7" t="s">
        <v>152</v>
      </c>
      <c r="C425" s="8" t="str">
        <f>IF(B425="","",IFERROR(INDEX(Client_List!$C:$C,MATCH(B425,Client_List!$B:$B,0)),""))</f>
        <v>4</v>
      </c>
      <c r="D425" s="9" t="str">
        <f>IF(B425="","",IFERROR(INDEX(Client_List!$D:$D,MATCH(B425,Client_List!$B:$B,0)),""))</f>
        <v>4B</v>
      </c>
      <c r="E425" s="9" t="str">
        <f>IF(B425="","",IFERROR(INDEX(Client_List!$K:$K,MATCH(B425,Client_List!$B:$B,0)),""))</f>
        <v>CANOLA OIL</v>
      </c>
      <c r="F425" s="10">
        <f>IF(B425="","",IFERROR(INDEX(Client_List!$J:$J,MATCH(B425,Client_List!$B:$B,0)),""))</f>
        <v>950</v>
      </c>
      <c r="G425" s="10">
        <v>747</v>
      </c>
      <c r="H425" s="9">
        <f>IF(B425="","",IFERROR(A425-LOOKUP(2,1/($B$4:$B424=B425),$A$4:$A424),""))</f>
        <v>14</v>
      </c>
      <c r="I425" s="73">
        <f t="shared" si="6"/>
        <v>53.357142857142854</v>
      </c>
      <c r="J425" s="9">
        <v>142319</v>
      </c>
      <c r="K425" s="6">
        <f>IF(B425="","",IFERROR(AVERAGEIFS($I$4:$I425,$B$4:$B425,B425,$I$4:$I425,"&gt;"&amp;0),""))</f>
        <v>51.321428571428569</v>
      </c>
      <c r="L425" s="9" t="str">
        <f>IF(B425="","",IF(ISNA(MATCH(B425,Client_List!$B:$B,0)),"⚠ NOT FOUND","✓"))</f>
        <v>✓</v>
      </c>
    </row>
    <row r="426" spans="1:12" ht="14" customHeight="1" x14ac:dyDescent="0.2">
      <c r="A426" s="56">
        <v>46060</v>
      </c>
      <c r="B426" s="2" t="s">
        <v>372</v>
      </c>
      <c r="C426" s="12">
        <f>IF(B426="","",IFERROR(INDEX(Client_List!$C:$C,MATCH(B426,Client_List!$B:$B,0)),""))</f>
        <v>0</v>
      </c>
      <c r="D426" s="4" t="str">
        <f>IF(B426="","",IFERROR(INDEX(Client_List!$D:$D,MATCH(B426,Client_List!$B:$B,0)),""))</f>
        <v>F</v>
      </c>
      <c r="E426" s="4" t="str">
        <f>IF(B426="","",IFERROR(INDEX(Client_List!$K:$K,MATCH(B426,Client_List!$B:$B,0)),""))</f>
        <v>CANOLA OIL</v>
      </c>
      <c r="F426" s="5">
        <f>IF(B426="","",IFERROR(INDEX(Client_List!$J:$J,MATCH(B426,Client_List!$B:$B,0)),""))</f>
        <v>700</v>
      </c>
      <c r="G426" s="5">
        <v>214</v>
      </c>
      <c r="H426" s="4">
        <f>IF(B426="","",IFERROR(A426-LOOKUP(2,1/($B$4:$B425=B426),$A$4:$A425),""))</f>
        <v>14</v>
      </c>
      <c r="I426" s="72">
        <f t="shared" si="6"/>
        <v>15.285714285714286</v>
      </c>
      <c r="J426" s="4">
        <v>142300</v>
      </c>
      <c r="K426" s="6">
        <f>IF(B426="","",IFERROR(AVERAGEIFS($I$4:$I426,$B$4:$B426,B426,$I$4:$I426,"&gt;"&amp;0),""))</f>
        <v>18.214285714285715</v>
      </c>
      <c r="L426" s="4" t="str">
        <f>IF(B426="","",IF(ISNA(MATCH(B426,Client_List!$B:$B,0)),"⚠ NOT FOUND","✓"))</f>
        <v>✓</v>
      </c>
    </row>
    <row r="427" spans="1:12" ht="14" customHeight="1" x14ac:dyDescent="0.2">
      <c r="A427" s="57">
        <v>46060</v>
      </c>
      <c r="B427" s="7" t="s">
        <v>373</v>
      </c>
      <c r="C427" s="3">
        <f>IF(B427="","",IFERROR(INDEX(Client_List!$C:$C,MATCH(B427,Client_List!$B:$B,0)),""))</f>
        <v>0</v>
      </c>
      <c r="D427" s="9" t="str">
        <f>IF(B427="","",IFERROR(INDEX(Client_List!$D:$D,MATCH(B427,Client_List!$B:$B,0)),""))</f>
        <v>T</v>
      </c>
      <c r="E427" s="9" t="str">
        <f>IF(B427="","",IFERROR(INDEX(Client_List!$K:$K,MATCH(B427,Client_List!$B:$B,0)),""))</f>
        <v>CANOLA OIL</v>
      </c>
      <c r="F427" s="10">
        <f>IF(B427="","",IFERROR(INDEX(Client_List!$J:$J,MATCH(B427,Client_List!$B:$B,0)),""))</f>
        <v>950</v>
      </c>
      <c r="G427" s="10">
        <v>491</v>
      </c>
      <c r="H427" s="9">
        <f>IF(B427="","",IFERROR(A427-LOOKUP(2,1/($B$4:$B426=B427),$A$4:$A426),""))</f>
        <v>14</v>
      </c>
      <c r="I427" s="73">
        <f t="shared" si="6"/>
        <v>35.071428571428569</v>
      </c>
      <c r="J427" s="9">
        <v>142324</v>
      </c>
      <c r="K427" s="6">
        <f>IF(B427="","",IFERROR(AVERAGEIFS($I$4:$I427,$B$4:$B427,B427,$I$4:$I427,"&gt;"&amp;0),""))</f>
        <v>39.035714285714285</v>
      </c>
      <c r="L427" s="9" t="str">
        <f>IF(B427="","",IF(ISNA(MATCH(B427,Client_List!$B:$B,0)),"⚠ NOT FOUND","✓"))</f>
        <v>✓</v>
      </c>
    </row>
    <row r="428" spans="1:12" ht="14" customHeight="1" x14ac:dyDescent="0.2">
      <c r="A428" s="56">
        <v>46060</v>
      </c>
      <c r="B428" s="2" t="s">
        <v>374</v>
      </c>
      <c r="C428" s="13">
        <f>IF(B428="","",IFERROR(INDEX(Client_List!$C:$C,MATCH(B428,Client_List!$B:$B,0)),""))</f>
        <v>0</v>
      </c>
      <c r="D428" s="4" t="str">
        <f>IF(B428="","",IFERROR(INDEX(Client_List!$D:$D,MATCH(B428,Client_List!$B:$B,0)),""))</f>
        <v>F</v>
      </c>
      <c r="E428" s="4" t="str">
        <f>IF(B428="","",IFERROR(INDEX(Client_List!$K:$K,MATCH(B428,Client_List!$B:$B,0)),""))</f>
        <v>CANOLA OIL</v>
      </c>
      <c r="F428" s="5">
        <f>IF(B428="","",IFERROR(INDEX(Client_List!$J:$J,MATCH(B428,Client_List!$B:$B,0)),""))</f>
        <v>700</v>
      </c>
      <c r="G428" s="5">
        <v>611</v>
      </c>
      <c r="H428" s="4">
        <f>IF(B428="","",IFERROR(A428-LOOKUP(2,1/($B$4:$B427=B428),$A$4:$A427),""))</f>
        <v>28</v>
      </c>
      <c r="I428" s="72">
        <f t="shared" si="6"/>
        <v>21.821428571428573</v>
      </c>
      <c r="J428" s="4">
        <v>142320</v>
      </c>
      <c r="K428" s="6">
        <f>IF(B428="","",IFERROR(AVERAGEIFS($I$4:$I428,$B$4:$B428,B428,$I$4:$I428,"&gt;"&amp;0),""))</f>
        <v>21.821428571428573</v>
      </c>
      <c r="L428" s="4" t="str">
        <f>IF(B428="","",IF(ISNA(MATCH(B428,Client_List!$B:$B,0)),"⚠ NOT FOUND","✓"))</f>
        <v>✓</v>
      </c>
    </row>
    <row r="429" spans="1:12" ht="14" customHeight="1" x14ac:dyDescent="0.2">
      <c r="A429" s="57">
        <v>46060</v>
      </c>
      <c r="B429" s="7" t="s">
        <v>262</v>
      </c>
      <c r="C429" s="13" t="str">
        <f>IF(B429="","",IFERROR(INDEX(Client_List!$C:$C,MATCH(B429,Client_List!$B:$B,0)),""))</f>
        <v>2</v>
      </c>
      <c r="D429" s="9" t="str">
        <f>IF(B429="","",IFERROR(INDEX(Client_List!$D:$D,MATCH(B429,Client_List!$B:$B,0)),""))</f>
        <v>2C</v>
      </c>
      <c r="E429" s="9" t="str">
        <f>IF(B429="","",IFERROR(INDEX(Client_List!$K:$K,MATCH(B429,Client_List!$B:$B,0)),""))</f>
        <v>CANOLA OIL</v>
      </c>
      <c r="F429" s="10">
        <f>IF(B429="","",IFERROR(INDEX(Client_List!$J:$J,MATCH(B429,Client_List!$B:$B,0)),""))</f>
        <v>1950</v>
      </c>
      <c r="G429" s="10">
        <v>1441</v>
      </c>
      <c r="H429" s="9">
        <f>IF(B429="","",IFERROR(A429-LOOKUP(2,1/($B$4:$B428=B429),$A$4:$A428),""))</f>
        <v>9</v>
      </c>
      <c r="I429" s="73">
        <f t="shared" si="6"/>
        <v>160.11111111111111</v>
      </c>
      <c r="J429" s="9">
        <v>142340</v>
      </c>
      <c r="K429" s="6">
        <f>IF(B429="","",IFERROR(AVERAGEIFS($I$4:$I429,$B$4:$B429,B429,$I$4:$I429,"&gt;"&amp;0),""))</f>
        <v>161.43703703703704</v>
      </c>
      <c r="L429" s="9" t="str">
        <f>IF(B429="","",IF(ISNA(MATCH(B429,Client_List!$B:$B,0)),"⚠ NOT FOUND","✓"))</f>
        <v>✓</v>
      </c>
    </row>
    <row r="430" spans="1:12" ht="14" customHeight="1" x14ac:dyDescent="0.2">
      <c r="A430" s="56">
        <v>46060</v>
      </c>
      <c r="B430" s="2" t="s">
        <v>288</v>
      </c>
      <c r="C430" s="13" t="str">
        <f>IF(B430="","",IFERROR(INDEX(Client_List!$C:$C,MATCH(B430,Client_List!$B:$B,0)),""))</f>
        <v>3</v>
      </c>
      <c r="D430" s="4" t="str">
        <f>IF(B430="","",IFERROR(INDEX(Client_List!$D:$D,MATCH(B430,Client_List!$B:$B,0)),""))</f>
        <v>3C</v>
      </c>
      <c r="E430" s="4" t="str">
        <f>IF(B430="","",IFERROR(INDEX(Client_List!$K:$K,MATCH(B430,Client_List!$B:$B,0)),""))</f>
        <v>CANOLA OIL</v>
      </c>
      <c r="F430" s="5">
        <f>IF(B430="","",IFERROR(INDEX(Client_List!$J:$J,MATCH(B430,Client_List!$B:$B,0)),""))</f>
        <v>620</v>
      </c>
      <c r="G430" s="5">
        <v>563</v>
      </c>
      <c r="H430" s="4">
        <f>IF(B430="","",IFERROR(A430-LOOKUP(2,1/($B$4:$B429=B430),$A$4:$A429),""))</f>
        <v>12</v>
      </c>
      <c r="I430" s="72">
        <f t="shared" si="6"/>
        <v>46.916666666666664</v>
      </c>
      <c r="J430" s="4">
        <v>142332</v>
      </c>
      <c r="K430" s="6">
        <f>IF(B430="","",IFERROR(AVERAGEIFS($I$4:$I430,$B$4:$B430,B430,$I$4:$I430,"&gt;"&amp;0),""))</f>
        <v>41.333333333333329</v>
      </c>
      <c r="L430" s="4" t="str">
        <f>IF(B430="","",IF(ISNA(MATCH(B430,Client_List!$B:$B,0)),"⚠ NOT FOUND","✓"))</f>
        <v>✓</v>
      </c>
    </row>
    <row r="431" spans="1:12" ht="14" customHeight="1" x14ac:dyDescent="0.2">
      <c r="A431" s="57">
        <v>46060</v>
      </c>
      <c r="B431" s="7" t="s">
        <v>290</v>
      </c>
      <c r="C431" s="12" t="str">
        <f>IF(B431="","",IFERROR(INDEX(Client_List!$C:$C,MATCH(B431,Client_List!$B:$B,0)),""))</f>
        <v>3</v>
      </c>
      <c r="D431" s="9" t="str">
        <f>IF(B431="","",IFERROR(INDEX(Client_List!$D:$D,MATCH(B431,Client_List!$B:$B,0)),""))</f>
        <v>3D</v>
      </c>
      <c r="E431" s="9" t="str">
        <f>IF(B431="","",IFERROR(INDEX(Client_List!$K:$K,MATCH(B431,Client_List!$B:$B,0)),""))</f>
        <v>CANOLA OIL</v>
      </c>
      <c r="F431" s="10">
        <f>IF(B431="","",IFERROR(INDEX(Client_List!$J:$J,MATCH(B431,Client_List!$B:$B,0)),""))</f>
        <v>350</v>
      </c>
      <c r="G431" s="10">
        <v>219</v>
      </c>
      <c r="H431" s="9">
        <f>IF(B431="","",IFERROR(A431-LOOKUP(2,1/($B$4:$B430=B431),$A$4:$A430),""))</f>
        <v>16</v>
      </c>
      <c r="I431" s="73">
        <f t="shared" si="6"/>
        <v>13.6875</v>
      </c>
      <c r="J431" s="9">
        <v>142337</v>
      </c>
      <c r="K431" s="6">
        <f>IF(B431="","",IFERROR(AVERAGEIFS($I$4:$I431,$B$4:$B431,B431,$I$4:$I431,"&gt;"&amp;0),""))</f>
        <v>13.6875</v>
      </c>
      <c r="L431" s="9" t="str">
        <f>IF(B431="","",IF(ISNA(MATCH(B431,Client_List!$B:$B,0)),"⚠ NOT FOUND","✓"))</f>
        <v>✓</v>
      </c>
    </row>
    <row r="432" spans="1:12" ht="14" customHeight="1" x14ac:dyDescent="0.2">
      <c r="A432" s="56">
        <v>46060</v>
      </c>
      <c r="B432" s="2" t="s">
        <v>302</v>
      </c>
      <c r="C432" s="11" t="str">
        <f>IF(B432="","",IFERROR(INDEX(Client_List!$C:$C,MATCH(B432,Client_List!$B:$B,0)),""))</f>
        <v>2</v>
      </c>
      <c r="D432" s="4" t="str">
        <f>IF(B432="","",IFERROR(INDEX(Client_List!$D:$D,MATCH(B432,Client_List!$B:$B,0)),""))</f>
        <v>2D</v>
      </c>
      <c r="E432" s="4" t="str">
        <f>IF(B432="","",IFERROR(INDEX(Client_List!$K:$K,MATCH(B432,Client_List!$B:$B,0)),""))</f>
        <v>CANOLA OIL</v>
      </c>
      <c r="F432" s="5">
        <f>IF(B432="","",IFERROR(INDEX(Client_List!$J:$J,MATCH(B432,Client_List!$B:$B,0)),""))</f>
        <v>350</v>
      </c>
      <c r="G432" s="5">
        <v>266</v>
      </c>
      <c r="H432" s="4">
        <f>IF(B432="","",IFERROR(A432-LOOKUP(2,1/($B$4:$B431=B432),$A$4:$A431),""))</f>
        <v>8</v>
      </c>
      <c r="I432" s="72">
        <f t="shared" si="6"/>
        <v>33.25</v>
      </c>
      <c r="J432" s="4">
        <v>142339</v>
      </c>
      <c r="K432" s="6">
        <f>IF(B432="","",IFERROR(AVERAGEIFS($I$4:$I432,$B$4:$B432,B432,$I$4:$I432,"&gt;"&amp;0),""))</f>
        <v>32.332341269841265</v>
      </c>
      <c r="L432" s="4" t="str">
        <f>IF(B432="","",IF(ISNA(MATCH(B432,Client_List!$B:$B,0)),"⚠ NOT FOUND","✓"))</f>
        <v>✓</v>
      </c>
    </row>
    <row r="433" spans="1:12" ht="14" customHeight="1" x14ac:dyDescent="0.2">
      <c r="A433" s="57">
        <v>46060</v>
      </c>
      <c r="B433" s="7" t="s">
        <v>304</v>
      </c>
      <c r="C433" s="11" t="str">
        <f>IF(B433="","",IFERROR(INDEX(Client_List!$C:$C,MATCH(B433,Client_List!$B:$B,0)),""))</f>
        <v>3</v>
      </c>
      <c r="D433" s="9" t="str">
        <f>IF(B433="","",IFERROR(INDEX(Client_List!$D:$D,MATCH(B433,Client_List!$B:$B,0)),""))</f>
        <v>3B</v>
      </c>
      <c r="E433" s="9" t="str">
        <f>IF(B433="","",IFERROR(INDEX(Client_List!$K:$K,MATCH(B433,Client_List!$B:$B,0)),""))</f>
        <v>CANOLA OIL</v>
      </c>
      <c r="F433" s="10">
        <f>IF(B433="","",IFERROR(INDEX(Client_List!$J:$J,MATCH(B433,Client_List!$B:$B,0)),""))</f>
        <v>350</v>
      </c>
      <c r="G433" s="10">
        <v>258</v>
      </c>
      <c r="H433" s="9">
        <f>IF(B433="","",IFERROR(A433-LOOKUP(2,1/($B$4:$B432=B433),$A$4:$A432),""))</f>
        <v>6</v>
      </c>
      <c r="I433" s="73">
        <f t="shared" si="6"/>
        <v>43</v>
      </c>
      <c r="J433" s="9">
        <v>142321</v>
      </c>
      <c r="K433" s="6">
        <f>IF(B433="","",IFERROR(AVERAGEIFS($I$4:$I433,$B$4:$B433,B433,$I$4:$I433,"&gt;"&amp;0),""))</f>
        <v>45.925925925925924</v>
      </c>
      <c r="L433" s="9" t="str">
        <f>IF(B433="","",IF(ISNA(MATCH(B433,Client_List!$B:$B,0)),"⚠ NOT FOUND","✓"))</f>
        <v>✓</v>
      </c>
    </row>
    <row r="434" spans="1:12" ht="14" customHeight="1" x14ac:dyDescent="0.2">
      <c r="A434" s="56">
        <v>46060</v>
      </c>
      <c r="B434" s="2" t="s">
        <v>324</v>
      </c>
      <c r="C434" s="3" t="str">
        <f>IF(B434="","",IFERROR(INDEX(Client_List!$C:$C,MATCH(B434,Client_List!$B:$B,0)),""))</f>
        <v>4</v>
      </c>
      <c r="D434" s="4" t="str">
        <f>IF(B434="","",IFERROR(INDEX(Client_List!$D:$D,MATCH(B434,Client_List!$B:$B,0)),""))</f>
        <v>4B</v>
      </c>
      <c r="E434" s="4" t="str">
        <f>IF(B434="","",IFERROR(INDEX(Client_List!$K:$K,MATCH(B434,Client_List!$B:$B,0)),""))</f>
        <v>CANOLA OIL</v>
      </c>
      <c r="F434" s="5">
        <f>IF(B434="","",IFERROR(INDEX(Client_List!$J:$J,MATCH(B434,Client_List!$B:$B,0)),""))</f>
        <v>1050</v>
      </c>
      <c r="G434" s="5">
        <v>942</v>
      </c>
      <c r="H434" s="4">
        <f>IF(B434="","",IFERROR(A434-LOOKUP(2,1/($B$4:$B433=B434),$A$4:$A433),""))</f>
        <v>14</v>
      </c>
      <c r="I434" s="72">
        <f t="shared" si="6"/>
        <v>67.285714285714292</v>
      </c>
      <c r="J434" s="4">
        <v>142334</v>
      </c>
      <c r="K434" s="6">
        <f>IF(B434="","",IFERROR(AVERAGEIFS($I$4:$I434,$B$4:$B434,B434,$I$4:$I434,"&gt;"&amp;0),""))</f>
        <v>216.44372294372295</v>
      </c>
      <c r="L434" s="4" t="str">
        <f>IF(B434="","",IF(ISNA(MATCH(B434,Client_List!$B:$B,0)),"⚠ NOT FOUND","✓"))</f>
        <v>✓</v>
      </c>
    </row>
    <row r="435" spans="1:12" ht="14" customHeight="1" x14ac:dyDescent="0.2">
      <c r="A435" s="57">
        <v>46060</v>
      </c>
      <c r="B435" s="7" t="s">
        <v>328</v>
      </c>
      <c r="C435" s="11" t="str">
        <f>IF(B435="","",IFERROR(INDEX(Client_List!$C:$C,MATCH(B435,Client_List!$B:$B,0)),""))</f>
        <v>4</v>
      </c>
      <c r="D435" s="9" t="str">
        <f>IF(B435="","",IFERROR(INDEX(Client_List!$D:$D,MATCH(B435,Client_List!$B:$B,0)),""))</f>
        <v>4C</v>
      </c>
      <c r="E435" s="9" t="str">
        <f>IF(B435="","",IFERROR(INDEX(Client_List!$K:$K,MATCH(B435,Client_List!$B:$B,0)),""))</f>
        <v>CANOLA OIL</v>
      </c>
      <c r="F435" s="10">
        <f>IF(B435="","",IFERROR(INDEX(Client_List!$J:$J,MATCH(B435,Client_List!$B:$B,0)),""))</f>
        <v>1050</v>
      </c>
      <c r="G435" s="10">
        <v>986</v>
      </c>
      <c r="H435" s="9">
        <f>IF(B435="","",IFERROR(A435-LOOKUP(2,1/($B$4:$B434=B435),$A$4:$A434),""))</f>
        <v>24</v>
      </c>
      <c r="I435" s="73">
        <f t="shared" si="6"/>
        <v>41.083333333333336</v>
      </c>
      <c r="J435" s="9">
        <v>142333</v>
      </c>
      <c r="K435" s="6">
        <f>IF(B435="","",IFERROR(AVERAGEIFS($I$4:$I435,$B$4:$B435,B435,$I$4:$I435,"&gt;"&amp;0),""))</f>
        <v>41.083333333333336</v>
      </c>
      <c r="L435" s="9" t="str">
        <f>IF(B435="","",IF(ISNA(MATCH(B435,Client_List!$B:$B,0)),"⚠ NOT FOUND","✓"))</f>
        <v>✓</v>
      </c>
    </row>
    <row r="436" spans="1:12" ht="14" customHeight="1" x14ac:dyDescent="0.2">
      <c r="A436" s="56">
        <v>46060</v>
      </c>
      <c r="B436" s="2" t="s">
        <v>332</v>
      </c>
      <c r="C436" s="11" t="str">
        <f>IF(B436="","",IFERROR(INDEX(Client_List!$C:$C,MATCH(B436,Client_List!$B:$B,0)),""))</f>
        <v>2</v>
      </c>
      <c r="D436" s="4" t="str">
        <f>IF(B436="","",IFERROR(INDEX(Client_List!$D:$D,MATCH(B436,Client_List!$B:$B,0)),""))</f>
        <v>2C</v>
      </c>
      <c r="E436" s="4" t="str">
        <f>IF(B436="","",IFERROR(INDEX(Client_List!$K:$K,MATCH(B436,Client_List!$B:$B,0)),""))</f>
        <v>CANOLA OIL</v>
      </c>
      <c r="F436" s="5">
        <f>IF(B436="","",IFERROR(INDEX(Client_List!$J:$J,MATCH(B436,Client_List!$B:$B,0)),""))</f>
        <v>1050</v>
      </c>
      <c r="G436" s="5">
        <v>908</v>
      </c>
      <c r="H436" s="4">
        <f>IF(B436="","",IFERROR(A436-LOOKUP(2,1/($B$4:$B435=B436),$A$4:$A435),""))</f>
        <v>30</v>
      </c>
      <c r="I436" s="72">
        <f t="shared" si="6"/>
        <v>30.266666666666666</v>
      </c>
      <c r="J436" s="4">
        <v>142330</v>
      </c>
      <c r="K436" s="6">
        <f>IF(B436="","",IFERROR(AVERAGEIFS($I$4:$I436,$B$4:$B436,B436,$I$4:$I436,"&gt;"&amp;0),""))</f>
        <v>30.266666666666666</v>
      </c>
      <c r="L436" s="4" t="str">
        <f>IF(B436="","",IF(ISNA(MATCH(B436,Client_List!$B:$B,0)),"⚠ NOT FOUND","✓"))</f>
        <v>✓</v>
      </c>
    </row>
    <row r="437" spans="1:12" ht="14" customHeight="1" x14ac:dyDescent="0.2">
      <c r="A437" s="57">
        <v>46061</v>
      </c>
      <c r="B437" s="7" t="s">
        <v>67</v>
      </c>
      <c r="C437" s="3" t="str">
        <f>IF(B437="","",IFERROR(INDEX(Client_List!$C:$C,MATCH(B437,Client_List!$B:$B,0)),""))</f>
        <v>5</v>
      </c>
      <c r="D437" s="9" t="str">
        <f>IF(B437="","",IFERROR(INDEX(Client_List!$D:$D,MATCH(B437,Client_List!$B:$B,0)),""))</f>
        <v>5F</v>
      </c>
      <c r="E437" s="9" t="str">
        <f>IF(B437="","",IFERROR(INDEX(Client_List!$K:$K,MATCH(B437,Client_List!$B:$B,0)),""))</f>
        <v>CANOLA OIL</v>
      </c>
      <c r="F437" s="10">
        <f>IF(B437="","",IFERROR(INDEX(Client_List!$J:$J,MATCH(B437,Client_List!$B:$B,0)),""))</f>
        <v>950</v>
      </c>
      <c r="G437" s="10">
        <v>798</v>
      </c>
      <c r="H437" s="9">
        <f>IF(B437="","",IFERROR(A437-LOOKUP(2,1/($B$4:$B436=B437),$A$4:$A436),""))</f>
        <v>10</v>
      </c>
      <c r="I437" s="73">
        <f t="shared" si="6"/>
        <v>79.8</v>
      </c>
      <c r="J437" s="9">
        <v>142364</v>
      </c>
      <c r="K437" s="6">
        <f>IF(B437="","",IFERROR(AVERAGEIFS($I$4:$I437,$B$4:$B437,B437,$I$4:$I437,"&gt;"&amp;0),""))</f>
        <v>82.01414141414142</v>
      </c>
      <c r="L437" s="9" t="str">
        <f>IF(B437="","",IF(ISNA(MATCH(B437,Client_List!$B:$B,0)),"⚠ NOT FOUND","✓"))</f>
        <v>✓</v>
      </c>
    </row>
    <row r="438" spans="1:12" ht="14" customHeight="1" x14ac:dyDescent="0.2">
      <c r="A438" s="56">
        <v>46061</v>
      </c>
      <c r="B438" s="2" t="s">
        <v>365</v>
      </c>
      <c r="C438" s="3">
        <f>IF(B438="","",IFERROR(INDEX(Client_List!$C:$C,MATCH(B438,Client_List!$B:$B,0)),""))</f>
        <v>0</v>
      </c>
      <c r="D438" s="4">
        <f>IF(B438="","",IFERROR(INDEX(Client_List!$D:$D,MATCH(B438,Client_List!$B:$B,0)),""))</f>
        <v>0</v>
      </c>
      <c r="E438" s="4" t="str">
        <f>IF(B438="","",IFERROR(INDEX(Client_List!$K:$K,MATCH(B438,Client_List!$B:$B,0)),""))</f>
        <v>CANOLA OIL</v>
      </c>
      <c r="F438" s="5">
        <f>IF(B438="","",IFERROR(INDEX(Client_List!$J:$J,MATCH(B438,Client_List!$B:$B,0)),""))</f>
        <v>700</v>
      </c>
      <c r="G438" s="5">
        <v>252</v>
      </c>
      <c r="H438" s="4">
        <f>IF(B438="","",IFERROR(A438-LOOKUP(2,1/($B$4:$B437=B438),$A$4:$A437),""))</f>
        <v>9</v>
      </c>
      <c r="I438" s="72">
        <f t="shared" si="6"/>
        <v>28</v>
      </c>
      <c r="J438" s="4">
        <v>142365</v>
      </c>
      <c r="K438" s="6">
        <f>IF(B438="","",IFERROR(AVERAGEIFS($I$4:$I438,$B$4:$B438,B438,$I$4:$I438,"&gt;"&amp;0),""))</f>
        <v>49.777380952380952</v>
      </c>
      <c r="L438" s="4" t="str">
        <f>IF(B438="","",IF(ISNA(MATCH(B438,Client_List!$B:$B,0)),"⚠ NOT FOUND","✓"))</f>
        <v>✓</v>
      </c>
    </row>
    <row r="439" spans="1:12" ht="14" customHeight="1" x14ac:dyDescent="0.2">
      <c r="A439" s="57">
        <v>46061</v>
      </c>
      <c r="B439" s="7" t="s">
        <v>106</v>
      </c>
      <c r="C439" s="8" t="str">
        <f>IF(B439="","",IFERROR(INDEX(Client_List!$C:$C,MATCH(B439,Client_List!$B:$B,0)),""))</f>
        <v>4</v>
      </c>
      <c r="D439" s="9" t="str">
        <f>IF(B439="","",IFERROR(INDEX(Client_List!$D:$D,MATCH(B439,Client_List!$B:$B,0)),""))</f>
        <v>4E</v>
      </c>
      <c r="E439" s="9" t="str">
        <f>IF(B439="","",IFERROR(INDEX(Client_List!$K:$K,MATCH(B439,Client_List!$B:$B,0)),""))</f>
        <v>CANOLA OIL</v>
      </c>
      <c r="F439" s="10">
        <f>IF(B439="","",IFERROR(INDEX(Client_List!$J:$J,MATCH(B439,Client_List!$B:$B,0)),""))</f>
        <v>350</v>
      </c>
      <c r="G439" s="10">
        <v>186</v>
      </c>
      <c r="H439" s="9">
        <f>IF(B439="","",IFERROR(A439-LOOKUP(2,1/($B$4:$B438=B439),$A$4:$A438),""))</f>
        <v>17</v>
      </c>
      <c r="I439" s="73">
        <f t="shared" si="6"/>
        <v>10.941176470588236</v>
      </c>
      <c r="J439" s="9">
        <v>142357</v>
      </c>
      <c r="K439" s="6">
        <f>IF(B439="","",IFERROR(AVERAGEIFS($I$4:$I439,$B$4:$B439,B439,$I$4:$I439,"&gt;"&amp;0),""))</f>
        <v>9.0205882352941167</v>
      </c>
      <c r="L439" s="9" t="str">
        <f>IF(B439="","",IF(ISNA(MATCH(B439,Client_List!$B:$B,0)),"⚠ NOT FOUND","✓"))</f>
        <v>✓</v>
      </c>
    </row>
    <row r="440" spans="1:12" ht="14" customHeight="1" x14ac:dyDescent="0.2">
      <c r="A440" s="56">
        <v>46061</v>
      </c>
      <c r="B440" s="2" t="s">
        <v>186</v>
      </c>
      <c r="C440" s="12" t="str">
        <f>IF(B440="","",IFERROR(INDEX(Client_List!$C:$C,MATCH(B440,Client_List!$B:$B,0)),""))</f>
        <v>4</v>
      </c>
      <c r="D440" s="4" t="str">
        <f>IF(B440="","",IFERROR(INDEX(Client_List!$D:$D,MATCH(B440,Client_List!$B:$B,0)),""))</f>
        <v>4E</v>
      </c>
      <c r="E440" s="4" t="str">
        <f>IF(B440="","",IFERROR(INDEX(Client_List!$K:$K,MATCH(B440,Client_List!$B:$B,0)),""))</f>
        <v>CANOLA OIL</v>
      </c>
      <c r="F440" s="5">
        <f>IF(B440="","",IFERROR(INDEX(Client_List!$J:$J,MATCH(B440,Client_List!$B:$B,0)),""))</f>
        <v>950</v>
      </c>
      <c r="G440" s="5">
        <v>752</v>
      </c>
      <c r="H440" s="4">
        <f>IF(B440="","",IFERROR(A440-LOOKUP(2,1/($B$4:$B439=B440),$A$4:$A439),""))</f>
        <v>8</v>
      </c>
      <c r="I440" s="72">
        <f t="shared" si="6"/>
        <v>94</v>
      </c>
      <c r="J440" s="4">
        <v>142363</v>
      </c>
      <c r="K440" s="6">
        <f>IF(B440="","",IFERROR(AVERAGEIFS($I$4:$I440,$B$4:$B440,B440,$I$4:$I440,"&gt;"&amp;0),""))</f>
        <v>86.694444444444443</v>
      </c>
      <c r="L440" s="4" t="str">
        <f>IF(B440="","",IF(ISNA(MATCH(B440,Client_List!$B:$B,0)),"⚠ NOT FOUND","✓"))</f>
        <v>✓</v>
      </c>
    </row>
    <row r="441" spans="1:12" ht="14" customHeight="1" x14ac:dyDescent="0.2">
      <c r="A441" s="57">
        <v>46061</v>
      </c>
      <c r="B441" s="7" t="s">
        <v>196</v>
      </c>
      <c r="C441" s="3" t="str">
        <f>IF(B441="","",IFERROR(INDEX(Client_List!$C:$C,MATCH(B441,Client_List!$B:$B,0)),""))</f>
        <v>4</v>
      </c>
      <c r="D441" s="9" t="str">
        <f>IF(B441="","",IFERROR(INDEX(Client_List!$D:$D,MATCH(B441,Client_List!$B:$B,0)),""))</f>
        <v>4F</v>
      </c>
      <c r="E441" s="9" t="str">
        <f>IF(B441="","",IFERROR(INDEX(Client_List!$K:$K,MATCH(B441,Client_List!$B:$B,0)),""))</f>
        <v>FRYERS CHOICE BLEND</v>
      </c>
      <c r="F441" s="10">
        <f>IF(B441="","",IFERROR(INDEX(Client_List!$J:$J,MATCH(B441,Client_List!$B:$B,0)),""))</f>
        <v>620</v>
      </c>
      <c r="G441" s="10">
        <v>527</v>
      </c>
      <c r="H441" s="9">
        <f>IF(B441="","",IFERROR(A441-LOOKUP(2,1/($B$4:$B440=B441),$A$4:$A440),""))</f>
        <v>19</v>
      </c>
      <c r="I441" s="73">
        <f t="shared" si="6"/>
        <v>27.736842105263158</v>
      </c>
      <c r="J441" s="9">
        <v>142368</v>
      </c>
      <c r="K441" s="6">
        <f>IF(B441="","",IFERROR(AVERAGEIFS($I$4:$I441,$B$4:$B441,B441,$I$4:$I441,"&gt;"&amp;0),""))</f>
        <v>30.599190283400809</v>
      </c>
      <c r="L441" s="9" t="str">
        <f>IF(B441="","",IF(ISNA(MATCH(B441,Client_List!$B:$B,0)),"⚠ NOT FOUND","✓"))</f>
        <v>✓</v>
      </c>
    </row>
    <row r="442" spans="1:12" ht="14" customHeight="1" x14ac:dyDescent="0.2">
      <c r="A442" s="56">
        <v>46061</v>
      </c>
      <c r="B442" s="2" t="s">
        <v>204</v>
      </c>
      <c r="C442" s="3" t="str">
        <f>IF(B442="","",IFERROR(INDEX(Client_List!$C:$C,MATCH(B442,Client_List!$B:$B,0)),""))</f>
        <v>5</v>
      </c>
      <c r="D442" s="4" t="str">
        <f>IF(B442="","",IFERROR(INDEX(Client_List!$D:$D,MATCH(B442,Client_List!$B:$B,0)),""))</f>
        <v>5E</v>
      </c>
      <c r="E442" s="4" t="str">
        <f>IF(B442="","",IFERROR(INDEX(Client_List!$K:$K,MATCH(B442,Client_List!$B:$B,0)),""))</f>
        <v>CANOLA OIL</v>
      </c>
      <c r="F442" s="5">
        <f>IF(B442="","",IFERROR(INDEX(Client_List!$J:$J,MATCH(B442,Client_List!$B:$B,0)),""))</f>
        <v>1800</v>
      </c>
      <c r="G442" s="5">
        <v>1275</v>
      </c>
      <c r="H442" s="4">
        <f>IF(B442="","",IFERROR(A442-LOOKUP(2,1/($B$4:$B441=B442),$A$4:$A441),""))</f>
        <v>9</v>
      </c>
      <c r="I442" s="72">
        <f t="shared" si="6"/>
        <v>141.66666666666666</v>
      </c>
      <c r="J442" s="4">
        <v>142358</v>
      </c>
      <c r="K442" s="6">
        <f>IF(B442="","",IFERROR(AVERAGEIFS($I$4:$I442,$B$4:$B442,B442,$I$4:$I442,"&gt;"&amp;0),""))</f>
        <v>149.87797619047618</v>
      </c>
      <c r="L442" s="4" t="str">
        <f>IF(B442="","",IF(ISNA(MATCH(B442,Client_List!$B:$B,0)),"⚠ NOT FOUND","✓"))</f>
        <v>✓</v>
      </c>
    </row>
    <row r="443" spans="1:12" ht="14" customHeight="1" x14ac:dyDescent="0.2">
      <c r="A443" s="57">
        <v>46061</v>
      </c>
      <c r="B443" s="7" t="s">
        <v>214</v>
      </c>
      <c r="C443" s="3" t="str">
        <f>IF(B443="","",IFERROR(INDEX(Client_List!$C:$C,MATCH(B443,Client_List!$B:$B,0)),""))</f>
        <v>1</v>
      </c>
      <c r="D443" s="9" t="str">
        <f>IF(B443="","",IFERROR(INDEX(Client_List!$D:$D,MATCH(B443,Client_List!$B:$B,0)),""))</f>
        <v>1C</v>
      </c>
      <c r="E443" s="9" t="str">
        <f>IF(B443="","",IFERROR(INDEX(Client_List!$K:$K,MATCH(B443,Client_List!$B:$B,0)),""))</f>
        <v>CANOLA OIL</v>
      </c>
      <c r="F443" s="10">
        <f>IF(B443="","",IFERROR(INDEX(Client_List!$J:$J,MATCH(B443,Client_List!$B:$B,0)),""))</f>
        <v>630</v>
      </c>
      <c r="G443" s="10">
        <v>356</v>
      </c>
      <c r="H443" s="9">
        <f>IF(B443="","",IFERROR(A443-LOOKUP(2,1/($B$4:$B442=B443),$A$4:$A442),""))</f>
        <v>16</v>
      </c>
      <c r="I443" s="73">
        <f t="shared" si="6"/>
        <v>22.25</v>
      </c>
      <c r="J443" s="9">
        <v>142360</v>
      </c>
      <c r="K443" s="6">
        <f>IF(B443="","",IFERROR(AVERAGEIFS($I$4:$I443,$B$4:$B443,B443,$I$4:$I443,"&gt;"&amp;0),""))</f>
        <v>22.482142857142858</v>
      </c>
      <c r="L443" s="9" t="str">
        <f>IF(B443="","",IF(ISNA(MATCH(B443,Client_List!$B:$B,0)),"⚠ NOT FOUND","✓"))</f>
        <v>✓</v>
      </c>
    </row>
    <row r="444" spans="1:12" ht="14" customHeight="1" x14ac:dyDescent="0.2">
      <c r="A444" s="56">
        <v>46061</v>
      </c>
      <c r="B444" s="2" t="s">
        <v>224</v>
      </c>
      <c r="C444" s="12" t="str">
        <f>IF(B444="","",IFERROR(INDEX(Client_List!$C:$C,MATCH(B444,Client_List!$B:$B,0)),""))</f>
        <v>5</v>
      </c>
      <c r="D444" s="4" t="str">
        <f>IF(B444="","",IFERROR(INDEX(Client_List!$D:$D,MATCH(B444,Client_List!$B:$B,0)),""))</f>
        <v>5E</v>
      </c>
      <c r="E444" s="4" t="str">
        <f>IF(B444="","",IFERROR(INDEX(Client_List!$K:$K,MATCH(B444,Client_List!$B:$B,0)),""))</f>
        <v>CANOLA OIL</v>
      </c>
      <c r="F444" s="5">
        <f>IF(B444="","",IFERROR(INDEX(Client_List!$J:$J,MATCH(B444,Client_List!$B:$B,0)),""))</f>
        <v>450</v>
      </c>
      <c r="G444" s="5">
        <v>415</v>
      </c>
      <c r="H444" s="4">
        <f>IF(B444="","",IFERROR(A444-LOOKUP(2,1/($B$4:$B443=B444),$A$4:$A443),""))</f>
        <v>14</v>
      </c>
      <c r="I444" s="72">
        <f t="shared" si="6"/>
        <v>29.642857142857142</v>
      </c>
      <c r="J444" s="4">
        <v>142359</v>
      </c>
      <c r="K444" s="6">
        <f>IF(B444="","",IFERROR(AVERAGEIFS($I$4:$I444,$B$4:$B444,B444,$I$4:$I444,"&gt;"&amp;0),""))</f>
        <v>24.432539682539684</v>
      </c>
      <c r="L444" s="4" t="str">
        <f>IF(B444="","",IF(ISNA(MATCH(B444,Client_List!$B:$B,0)),"⚠ NOT FOUND","✓"))</f>
        <v>✓</v>
      </c>
    </row>
    <row r="445" spans="1:12" ht="14" customHeight="1" x14ac:dyDescent="0.2">
      <c r="A445" s="57">
        <v>46061</v>
      </c>
      <c r="B445" s="7" t="s">
        <v>274</v>
      </c>
      <c r="C445" s="3" t="str">
        <f>IF(B445="","",IFERROR(INDEX(Client_List!$C:$C,MATCH(B445,Client_List!$B:$B,0)),""))</f>
        <v>3</v>
      </c>
      <c r="D445" s="9" t="str">
        <f>IF(B445="","",IFERROR(INDEX(Client_List!$D:$D,MATCH(B445,Client_List!$B:$B,0)),""))</f>
        <v>3C</v>
      </c>
      <c r="E445" s="9" t="str">
        <f>IF(B445="","",IFERROR(INDEX(Client_List!$K:$K,MATCH(B445,Client_List!$B:$B,0)),""))</f>
        <v>FRYERS CHOICE BLEND</v>
      </c>
      <c r="F445" s="10">
        <f>IF(B445="","",IFERROR(INDEX(Client_List!$J:$J,MATCH(B445,Client_List!$B:$B,0)),""))</f>
        <v>450</v>
      </c>
      <c r="G445" s="10">
        <v>179</v>
      </c>
      <c r="H445" s="9">
        <f>IF(B445="","",IFERROR(A445-LOOKUP(2,1/($B$4:$B444=B445),$A$4:$A444),""))</f>
        <v>6</v>
      </c>
      <c r="I445" s="73">
        <f t="shared" si="6"/>
        <v>29.833333333333332</v>
      </c>
      <c r="J445" s="9">
        <v>142361</v>
      </c>
      <c r="K445" s="6">
        <f>IF(B445="","",IFERROR(AVERAGEIFS($I$4:$I445,$B$4:$B445,B445,$I$4:$I445,"&gt;"&amp;0),""))</f>
        <v>43.587499999999999</v>
      </c>
      <c r="L445" s="9" t="str">
        <f>IF(B445="","",IF(ISNA(MATCH(B445,Client_List!$B:$B,0)),"⚠ NOT FOUND","✓"))</f>
        <v>✓</v>
      </c>
    </row>
    <row r="446" spans="1:12" ht="14" customHeight="1" x14ac:dyDescent="0.2">
      <c r="A446" s="56">
        <v>46061</v>
      </c>
      <c r="B446" s="2" t="s">
        <v>276</v>
      </c>
      <c r="C446" s="8" t="str">
        <f>IF(B446="","",IFERROR(INDEX(Client_List!$C:$C,MATCH(B446,Client_List!$B:$B,0)),""))</f>
        <v>3</v>
      </c>
      <c r="D446" s="4" t="str">
        <f>IF(B446="","",IFERROR(INDEX(Client_List!$D:$D,MATCH(B446,Client_List!$B:$B,0)),""))</f>
        <v>3D</v>
      </c>
      <c r="E446" s="4" t="str">
        <f>IF(B446="","",IFERROR(INDEX(Client_List!$K:$K,MATCH(B446,Client_List!$B:$B,0)),""))</f>
        <v>FRYERS CHOICE BLEND</v>
      </c>
      <c r="F446" s="5">
        <f>IF(B446="","",IFERROR(INDEX(Client_List!$J:$J,MATCH(B446,Client_List!$B:$B,0)),""))</f>
        <v>950</v>
      </c>
      <c r="G446" s="5">
        <v>883</v>
      </c>
      <c r="H446" s="4">
        <f>IF(B446="","",IFERROR(A446-LOOKUP(2,1/($B$4:$B445=B446),$A$4:$A445),""))</f>
        <v>8</v>
      </c>
      <c r="I446" s="72">
        <f t="shared" si="6"/>
        <v>110.375</v>
      </c>
      <c r="J446" s="4">
        <v>142362</v>
      </c>
      <c r="K446" s="6">
        <f>IF(B446="","",IFERROR(AVERAGEIFS($I$4:$I446,$B$4:$B446,B446,$I$4:$I446,"&gt;"&amp;0),""))</f>
        <v>94.525099206349211</v>
      </c>
      <c r="L446" s="4" t="str">
        <f>IF(B446="","",IF(ISNA(MATCH(B446,Client_List!$B:$B,0)),"⚠ NOT FOUND","✓"))</f>
        <v>✓</v>
      </c>
    </row>
    <row r="447" spans="1:12" ht="14" customHeight="1" x14ac:dyDescent="0.2">
      <c r="A447" s="57">
        <v>46062</v>
      </c>
      <c r="B447" s="7" t="s">
        <v>35</v>
      </c>
      <c r="C447" s="11" t="str">
        <f>IF(B447="","",IFERROR(INDEX(Client_List!$C:$C,MATCH(B447,Client_List!$B:$B,0)),""))</f>
        <v>2</v>
      </c>
      <c r="D447" s="9" t="str">
        <f>IF(B447="","",IFERROR(INDEX(Client_List!$D:$D,MATCH(B447,Client_List!$B:$B,0)),""))</f>
        <v>2C</v>
      </c>
      <c r="E447" s="9" t="str">
        <f>IF(B447="","",IFERROR(INDEX(Client_List!$K:$K,MATCH(B447,Client_List!$B:$B,0)),""))</f>
        <v>CANOLA OIL</v>
      </c>
      <c r="F447" s="10">
        <f>IF(B447="","",IFERROR(INDEX(Client_List!$J:$J,MATCH(B447,Client_List!$B:$B,0)),""))</f>
        <v>950</v>
      </c>
      <c r="G447" s="10">
        <v>682</v>
      </c>
      <c r="H447" s="9">
        <f>IF(B447="","",IFERROR(A447-LOOKUP(2,1/($B$4:$B446=B447),$A$4:$A446),""))</f>
        <v>10</v>
      </c>
      <c r="I447" s="73">
        <f t="shared" si="6"/>
        <v>68.2</v>
      </c>
      <c r="J447" s="9">
        <v>142371</v>
      </c>
      <c r="K447" s="6">
        <f>IF(B447="","",IFERROR(AVERAGEIFS($I$4:$I447,$B$4:$B447,B447,$I$4:$I447,"&gt;"&amp;0),""))</f>
        <v>75.907122507122509</v>
      </c>
      <c r="L447" s="9" t="str">
        <f>IF(B447="","",IF(ISNA(MATCH(B447,Client_List!$B:$B,0)),"⚠ NOT FOUND","✓"))</f>
        <v>✓</v>
      </c>
    </row>
    <row r="448" spans="1:12" ht="14" customHeight="1" x14ac:dyDescent="0.2">
      <c r="A448" s="56">
        <v>46062</v>
      </c>
      <c r="B448" s="2" t="s">
        <v>49</v>
      </c>
      <c r="C448" s="11" t="str">
        <f>IF(B448="","",IFERROR(INDEX(Client_List!$C:$C,MATCH(B448,Client_List!$B:$B,0)),""))</f>
        <v>2</v>
      </c>
      <c r="D448" s="4" t="str">
        <f>IF(B448="","",IFERROR(INDEX(Client_List!$D:$D,MATCH(B448,Client_List!$B:$B,0)),""))</f>
        <v>2C</v>
      </c>
      <c r="E448" s="4" t="str">
        <f>IF(B448="","",IFERROR(INDEX(Client_List!$K:$K,MATCH(B448,Client_List!$B:$B,0)),""))</f>
        <v>CANOLA OIL</v>
      </c>
      <c r="F448" s="5">
        <f>IF(B448="","",IFERROR(INDEX(Client_List!$J:$J,MATCH(B448,Client_List!$B:$B,0)),""))</f>
        <v>950</v>
      </c>
      <c r="G448" s="5">
        <v>734</v>
      </c>
      <c r="H448" s="4">
        <f>IF(B448="","",IFERROR(A448-LOOKUP(2,1/($B$4:$B447=B448),$A$4:$A447),""))</f>
        <v>10</v>
      </c>
      <c r="I448" s="72">
        <f t="shared" si="6"/>
        <v>73.400000000000006</v>
      </c>
      <c r="J448" s="4">
        <v>142380</v>
      </c>
      <c r="K448" s="6">
        <f>IF(B448="","",IFERROR(AVERAGEIFS($I$4:$I448,$B$4:$B448,B448,$I$4:$I448,"&gt;"&amp;0),""))</f>
        <v>73.574074074074076</v>
      </c>
      <c r="L448" s="4" t="str">
        <f>IF(B448="","",IF(ISNA(MATCH(B448,Client_List!$B:$B,0)),"⚠ NOT FOUND","✓"))</f>
        <v>✓</v>
      </c>
    </row>
    <row r="449" spans="1:12" ht="14" customHeight="1" x14ac:dyDescent="0.2">
      <c r="A449" s="57">
        <v>46062</v>
      </c>
      <c r="B449" s="7" t="s">
        <v>71</v>
      </c>
      <c r="C449" s="12" t="str">
        <f>IF(B449="","",IFERROR(INDEX(Client_List!$C:$C,MATCH(B449,Client_List!$B:$B,0)),""))</f>
        <v>5</v>
      </c>
      <c r="D449" s="9" t="str">
        <f>IF(B449="","",IFERROR(INDEX(Client_List!$D:$D,MATCH(B449,Client_List!$B:$B,0)),""))</f>
        <v>5F</v>
      </c>
      <c r="E449" s="9" t="str">
        <f>IF(B449="","",IFERROR(INDEX(Client_List!$K:$K,MATCH(B449,Client_List!$B:$B,0)),""))</f>
        <v>CANOLA OIL</v>
      </c>
      <c r="F449" s="10">
        <f>IF(B449="","",IFERROR(INDEX(Client_List!$J:$J,MATCH(B449,Client_List!$B:$B,0)),""))</f>
        <v>350</v>
      </c>
      <c r="G449" s="10">
        <v>432</v>
      </c>
      <c r="H449" s="9">
        <f>IF(B449="","",IFERROR(A449-LOOKUP(2,1/($B$4:$B448=B449),$A$4:$A448),""))</f>
        <v>8</v>
      </c>
      <c r="I449" s="73">
        <f t="shared" si="6"/>
        <v>54</v>
      </c>
      <c r="J449" s="9">
        <v>142377</v>
      </c>
      <c r="K449" s="6">
        <f>IF(B449="","",IFERROR(AVERAGEIFS($I$4:$I449,$B$4:$B449,B449,$I$4:$I449,"&gt;"&amp;0),""))</f>
        <v>34.484126984126988</v>
      </c>
      <c r="L449" s="9" t="str">
        <f>IF(B449="","",IF(ISNA(MATCH(B449,Client_List!$B:$B,0)),"⚠ NOT FOUND","✓"))</f>
        <v>✓</v>
      </c>
    </row>
    <row r="450" spans="1:12" ht="14" customHeight="1" x14ac:dyDescent="0.2">
      <c r="A450" s="56">
        <v>46062</v>
      </c>
      <c r="B450" s="2" t="s">
        <v>73</v>
      </c>
      <c r="C450" s="12" t="str">
        <f>IF(B450="","",IFERROR(INDEX(Client_List!$C:$C,MATCH(B450,Client_List!$B:$B,0)),""))</f>
        <v>4</v>
      </c>
      <c r="D450" s="4" t="str">
        <f>IF(B450="","",IFERROR(INDEX(Client_List!$D:$D,MATCH(B450,Client_List!$B:$B,0)),""))</f>
        <v>4D</v>
      </c>
      <c r="E450" s="4" t="str">
        <f>IF(B450="","",IFERROR(INDEX(Client_List!$K:$K,MATCH(B450,Client_List!$B:$B,0)),""))</f>
        <v>CANOLA OIL</v>
      </c>
      <c r="F450" s="5">
        <f>IF(B450="","",IFERROR(INDEX(Client_List!$J:$J,MATCH(B450,Client_List!$B:$B,0)),""))</f>
        <v>620</v>
      </c>
      <c r="G450" s="5">
        <v>459</v>
      </c>
      <c r="H450" s="4">
        <f>IF(B450="","",IFERROR(A450-LOOKUP(2,1/($B$4:$B449=B450),$A$4:$A449),""))</f>
        <v>8</v>
      </c>
      <c r="I450" s="72">
        <f t="shared" si="6"/>
        <v>57.375</v>
      </c>
      <c r="J450" s="4">
        <v>142376</v>
      </c>
      <c r="K450" s="6">
        <f>IF(B450="","",IFERROR(AVERAGEIFS($I$4:$I450,$B$4:$B450,B450,$I$4:$I450,"&gt;"&amp;0),""))</f>
        <v>52.310185185185183</v>
      </c>
      <c r="L450" s="4" t="str">
        <f>IF(B450="","",IF(ISNA(MATCH(B450,Client_List!$B:$B,0)),"⚠ NOT FOUND","✓"))</f>
        <v>✓</v>
      </c>
    </row>
    <row r="451" spans="1:12" ht="14" customHeight="1" x14ac:dyDescent="0.2">
      <c r="A451" s="57">
        <v>46062</v>
      </c>
      <c r="B451" s="7" t="s">
        <v>156</v>
      </c>
      <c r="C451" s="12" t="str">
        <f>IF(B451="","",IFERROR(INDEX(Client_List!$C:$C,MATCH(B451,Client_List!$B:$B,0)),""))</f>
        <v>4</v>
      </c>
      <c r="D451" s="9" t="str">
        <f>IF(B451="","",IFERROR(INDEX(Client_List!$D:$D,MATCH(B451,Client_List!$B:$B,0)),""))</f>
        <v>4B</v>
      </c>
      <c r="E451" s="9" t="str">
        <f>IF(B451="","",IFERROR(INDEX(Client_List!$K:$K,MATCH(B451,Client_List!$B:$B,0)),""))</f>
        <v>CANOLA OIL</v>
      </c>
      <c r="F451" s="10">
        <f>IF(B451="","",IFERROR(INDEX(Client_List!$J:$J,MATCH(B451,Client_List!$B:$B,0)),""))</f>
        <v>1050</v>
      </c>
      <c r="G451" s="10">
        <v>918</v>
      </c>
      <c r="H451" s="9">
        <f>IF(B451="","",IFERROR(A451-LOOKUP(2,1/($B$4:$B450=B451),$A$4:$A450),""))</f>
        <v>13</v>
      </c>
      <c r="I451" s="73">
        <f t="shared" si="6"/>
        <v>70.615384615384613</v>
      </c>
      <c r="J451" s="9">
        <v>142375</v>
      </c>
      <c r="K451" s="6">
        <f>IF(B451="","",IFERROR(AVERAGEIFS($I$4:$I451,$B$4:$B451,B451,$I$4:$I451,"&gt;"&amp;0),""))</f>
        <v>71.629120879120876</v>
      </c>
      <c r="L451" s="9" t="str">
        <f>IF(B451="","",IF(ISNA(MATCH(B451,Client_List!$B:$B,0)),"⚠ NOT FOUND","✓"))</f>
        <v>✓</v>
      </c>
    </row>
    <row r="452" spans="1:12" ht="14" customHeight="1" x14ac:dyDescent="0.2">
      <c r="A452" s="56">
        <v>46062</v>
      </c>
      <c r="B452" s="2" t="s">
        <v>190</v>
      </c>
      <c r="C452" s="3" t="str">
        <f>IF(B452="","",IFERROR(INDEX(Client_List!$C:$C,MATCH(B452,Client_List!$B:$B,0)),""))</f>
        <v>2</v>
      </c>
      <c r="D452" s="4" t="str">
        <f>IF(B452="","",IFERROR(INDEX(Client_List!$D:$D,MATCH(B452,Client_List!$B:$B,0)),""))</f>
        <v>2C</v>
      </c>
      <c r="E452" s="4" t="str">
        <f>IF(B452="","",IFERROR(INDEX(Client_List!$K:$K,MATCH(B452,Client_List!$B:$B,0)),""))</f>
        <v>CANOLA OIL</v>
      </c>
      <c r="F452" s="5">
        <f>IF(B452="","",IFERROR(INDEX(Client_List!$J:$J,MATCH(B452,Client_List!$B:$B,0)),""))</f>
        <v>1050</v>
      </c>
      <c r="G452" s="5">
        <v>1069</v>
      </c>
      <c r="H452" s="4">
        <f>IF(B452="","",IFERROR(A452-LOOKUP(2,1/($B$4:$B451=B452),$A$4:$A451),""))</f>
        <v>7</v>
      </c>
      <c r="I452" s="72">
        <f t="shared" ref="I452:I515" si="7">IF(B452="","",IFERROR(G452/H452,""))</f>
        <v>152.71428571428572</v>
      </c>
      <c r="J452" s="4">
        <v>142372</v>
      </c>
      <c r="K452" s="6">
        <f>IF(B452="","",IFERROR(AVERAGEIFS($I$4:$I452,$B$4:$B452,B452,$I$4:$I452,"&gt;"&amp;0),""))</f>
        <v>128.78452380952382</v>
      </c>
      <c r="L452" s="4" t="str">
        <f>IF(B452="","",IF(ISNA(MATCH(B452,Client_List!$B:$B,0)),"⚠ NOT FOUND","✓"))</f>
        <v>✓</v>
      </c>
    </row>
    <row r="453" spans="1:12" ht="14" customHeight="1" x14ac:dyDescent="0.2">
      <c r="A453" s="57">
        <v>46062</v>
      </c>
      <c r="B453" s="7" t="s">
        <v>206</v>
      </c>
      <c r="C453" s="3" t="str">
        <f>IF(B453="","",IFERROR(INDEX(Client_List!$C:$C,MATCH(B453,Client_List!$B:$B,0)),""))</f>
        <v>4</v>
      </c>
      <c r="D453" s="9" t="str">
        <f>IF(B453="","",IFERROR(INDEX(Client_List!$D:$D,MATCH(B453,Client_List!$B:$B,0)),""))</f>
        <v>4C</v>
      </c>
      <c r="E453" s="9" t="str">
        <f>IF(B453="","",IFERROR(INDEX(Client_List!$K:$K,MATCH(B453,Client_List!$B:$B,0)),""))</f>
        <v>CANOLA OIL</v>
      </c>
      <c r="F453" s="10">
        <f>IF(B453="","",IFERROR(INDEX(Client_List!$J:$J,MATCH(B453,Client_List!$B:$B,0)),""))</f>
        <v>1050</v>
      </c>
      <c r="G453" s="10">
        <v>1019</v>
      </c>
      <c r="H453" s="9">
        <f>IF(B453="","",IFERROR(A453-LOOKUP(2,1/($B$4:$B452=B453),$A$4:$A452),""))</f>
        <v>13</v>
      </c>
      <c r="I453" s="73">
        <f t="shared" si="7"/>
        <v>78.384615384615387</v>
      </c>
      <c r="J453" s="9">
        <v>142379</v>
      </c>
      <c r="K453" s="6">
        <f>IF(B453="","",IFERROR(AVERAGEIFS($I$4:$I453,$B$4:$B453,B453,$I$4:$I453,"&gt;"&amp;0),""))</f>
        <v>83.400641025641022</v>
      </c>
      <c r="L453" s="9" t="str">
        <f>IF(B453="","",IF(ISNA(MATCH(B453,Client_List!$B:$B,0)),"⚠ NOT FOUND","✓"))</f>
        <v>✓</v>
      </c>
    </row>
    <row r="454" spans="1:12" ht="14" customHeight="1" x14ac:dyDescent="0.2">
      <c r="A454" s="56">
        <v>46062</v>
      </c>
      <c r="B454" s="2" t="s">
        <v>250</v>
      </c>
      <c r="C454" s="3" t="str">
        <f>IF(B454="","",IFERROR(INDEX(Client_List!$C:$C,MATCH(B454,Client_List!$B:$B,0)),""))</f>
        <v>2</v>
      </c>
      <c r="D454" s="4" t="str">
        <f>IF(B454="","",IFERROR(INDEX(Client_List!$D:$D,MATCH(B454,Client_List!$B:$B,0)),""))</f>
        <v>2D</v>
      </c>
      <c r="E454" s="4" t="str">
        <f>IF(B454="","",IFERROR(INDEX(Client_List!$K:$K,MATCH(B454,Client_List!$B:$B,0)),""))</f>
        <v>FRYERS CHOICE BLEND</v>
      </c>
      <c r="F454" s="5">
        <f>IF(B454="","",IFERROR(INDEX(Client_List!$J:$J,MATCH(B454,Client_List!$B:$B,0)),""))</f>
        <v>950</v>
      </c>
      <c r="G454" s="5">
        <v>942</v>
      </c>
      <c r="H454" s="4">
        <f>IF(B454="","",IFERROR(A454-LOOKUP(2,1/($B$4:$B453=B454),$A$4:$A453),""))</f>
        <v>7</v>
      </c>
      <c r="I454" s="72">
        <f t="shared" si="7"/>
        <v>134.57142857142858</v>
      </c>
      <c r="J454" s="4">
        <v>142373</v>
      </c>
      <c r="K454" s="6">
        <f>IF(B454="","",IFERROR(AVERAGEIFS($I$4:$I454,$B$4:$B454,B454,$I$4:$I454,"&gt;"&amp;0),""))</f>
        <v>118.73214285714286</v>
      </c>
      <c r="L454" s="4" t="str">
        <f>IF(B454="","",IF(ISNA(MATCH(B454,Client_List!$B:$B,0)),"⚠ NOT FOUND","✓"))</f>
        <v>✓</v>
      </c>
    </row>
    <row r="455" spans="1:12" ht="14" customHeight="1" x14ac:dyDescent="0.2">
      <c r="A455" s="57">
        <v>46062</v>
      </c>
      <c r="B455" s="7" t="s">
        <v>256</v>
      </c>
      <c r="C455" s="3" t="str">
        <f>IF(B455="","",IFERROR(INDEX(Client_List!$C:$C,MATCH(B455,Client_List!$B:$B,0)),""))</f>
        <v>3</v>
      </c>
      <c r="D455" s="9" t="str">
        <f>IF(B455="","",IFERROR(INDEX(Client_List!$D:$D,MATCH(B455,Client_List!$B:$B,0)),""))</f>
        <v>3E</v>
      </c>
      <c r="E455" s="9" t="str">
        <f>IF(B455="","",IFERROR(INDEX(Client_List!$K:$K,MATCH(B455,Client_List!$B:$B,0)),""))</f>
        <v>FRYERS CHOICE BLEND</v>
      </c>
      <c r="F455" s="10">
        <f>IF(B455="","",IFERROR(INDEX(Client_List!$J:$J,MATCH(B455,Client_List!$B:$B,0)),""))</f>
        <v>950</v>
      </c>
      <c r="G455" s="10">
        <v>587</v>
      </c>
      <c r="H455" s="9">
        <f>IF(B455="","",IFERROR(A455-LOOKUP(2,1/($B$4:$B454=B455),$A$4:$A454),""))</f>
        <v>6</v>
      </c>
      <c r="I455" s="73">
        <f t="shared" si="7"/>
        <v>97.833333333333329</v>
      </c>
      <c r="J455" s="9">
        <v>142374</v>
      </c>
      <c r="K455" s="6">
        <f>IF(B455="","",IFERROR(AVERAGEIFS($I$4:$I455,$B$4:$B455,B455,$I$4:$I455,"&gt;"&amp;0),""))</f>
        <v>93.892063492063485</v>
      </c>
      <c r="L455" s="9" t="str">
        <f>IF(B455="","",IF(ISNA(MATCH(B455,Client_List!$B:$B,0)),"⚠ NOT FOUND","✓"))</f>
        <v>✓</v>
      </c>
    </row>
    <row r="456" spans="1:12" ht="14" customHeight="1" x14ac:dyDescent="0.2">
      <c r="A456" s="56">
        <v>46062</v>
      </c>
      <c r="B456" s="2" t="s">
        <v>264</v>
      </c>
      <c r="C456" s="11" t="str">
        <f>IF(B456="","",IFERROR(INDEX(Client_List!$C:$C,MATCH(B456,Client_List!$B:$B,0)),""))</f>
        <v>2</v>
      </c>
      <c r="D456" s="4" t="str">
        <f>IF(B456="","",IFERROR(INDEX(Client_List!$D:$D,MATCH(B456,Client_List!$B:$B,0)),""))</f>
        <v>2D</v>
      </c>
      <c r="E456" s="4" t="str">
        <f>IF(B456="","",IFERROR(INDEX(Client_List!$K:$K,MATCH(B456,Client_List!$B:$B,0)),""))</f>
        <v>FRYERS CHOICE BLEND</v>
      </c>
      <c r="F456" s="5">
        <f>IF(B456="","",IFERROR(INDEX(Client_List!$J:$J,MATCH(B456,Client_List!$B:$B,0)),""))</f>
        <v>1950</v>
      </c>
      <c r="G456" s="5">
        <v>1400</v>
      </c>
      <c r="H456" s="4">
        <f>IF(B456="","",IFERROR(A456-LOOKUP(2,1/($B$4:$B455=B456),$A$4:$A455),""))</f>
        <v>14</v>
      </c>
      <c r="I456" s="72">
        <f t="shared" si="7"/>
        <v>100</v>
      </c>
      <c r="J456" s="4">
        <v>142381</v>
      </c>
      <c r="K456" s="6">
        <f>IF(B456="","",IFERROR(AVERAGEIFS($I$4:$I456,$B$4:$B456,B456,$I$4:$I456,"&gt;"&amp;0),""))</f>
        <v>93.949494949494962</v>
      </c>
      <c r="L456" s="4" t="str">
        <f>IF(B456="","",IF(ISNA(MATCH(B456,Client_List!$B:$B,0)),"⚠ NOT FOUND","✓"))</f>
        <v>✓</v>
      </c>
    </row>
    <row r="457" spans="1:12" ht="14" customHeight="1" x14ac:dyDescent="0.2">
      <c r="A457" s="57">
        <v>46062</v>
      </c>
      <c r="B457" s="7" t="s">
        <v>300</v>
      </c>
      <c r="C457" s="11" t="str">
        <f>IF(B457="","",IFERROR(INDEX(Client_List!$C:$C,MATCH(B457,Client_List!$B:$B,0)),""))</f>
        <v>4</v>
      </c>
      <c r="D457" s="9" t="str">
        <f>IF(B457="","",IFERROR(INDEX(Client_List!$D:$D,MATCH(B457,Client_List!$B:$B,0)),""))</f>
        <v>4C</v>
      </c>
      <c r="E457" s="9" t="str">
        <f>IF(B457="","",IFERROR(INDEX(Client_List!$K:$K,MATCH(B457,Client_List!$B:$B,0)),""))</f>
        <v>FRYERS CHOICE BLEND</v>
      </c>
      <c r="F457" s="10">
        <f>IF(B457="","",IFERROR(INDEX(Client_List!$J:$J,MATCH(B457,Client_List!$B:$B,0)),""))</f>
        <v>350</v>
      </c>
      <c r="G457" s="10">
        <v>176</v>
      </c>
      <c r="H457" s="9">
        <f>IF(B457="","",IFERROR(A457-LOOKUP(2,1/($B$4:$B456=B457),$A$4:$A456),""))</f>
        <v>14</v>
      </c>
      <c r="I457" s="73">
        <f t="shared" si="7"/>
        <v>12.571428571428571</v>
      </c>
      <c r="J457" s="9">
        <v>142378</v>
      </c>
      <c r="K457" s="6">
        <f>IF(B457="","",IFERROR(AVERAGEIFS($I$4:$I457,$B$4:$B457,B457,$I$4:$I457,"&gt;"&amp;0),""))</f>
        <v>26.785714285714285</v>
      </c>
      <c r="L457" s="9" t="str">
        <f>IF(B457="","",IF(ISNA(MATCH(B457,Client_List!$B:$B,0)),"⚠ NOT FOUND","✓"))</f>
        <v>✓</v>
      </c>
    </row>
    <row r="458" spans="1:12" ht="14" customHeight="1" x14ac:dyDescent="0.2">
      <c r="A458" s="56">
        <v>46063</v>
      </c>
      <c r="B458" s="2" t="s">
        <v>43</v>
      </c>
      <c r="C458" s="12" t="str">
        <f>IF(B458="","",IFERROR(INDEX(Client_List!$C:$C,MATCH(B458,Client_List!$B:$B,0)),""))</f>
        <v>1</v>
      </c>
      <c r="D458" s="4" t="str">
        <f>IF(B458="","",IFERROR(INDEX(Client_List!$D:$D,MATCH(B458,Client_List!$B:$B,0)),""))</f>
        <v>1C</v>
      </c>
      <c r="E458" s="4" t="str">
        <f>IF(B458="","",IFERROR(INDEX(Client_List!$K:$K,MATCH(B458,Client_List!$B:$B,0)),""))</f>
        <v>FRYERS CHOICE BLEND</v>
      </c>
      <c r="F458" s="5">
        <f>IF(B458="","",IFERROR(INDEX(Client_List!$J:$J,MATCH(B458,Client_List!$B:$B,0)),""))</f>
        <v>620</v>
      </c>
      <c r="G458" s="5">
        <v>526</v>
      </c>
      <c r="H458" s="4">
        <f>IF(B458="","",IFERROR(A458-LOOKUP(2,1/($B$4:$B457=B458),$A$4:$A457),""))</f>
        <v>11</v>
      </c>
      <c r="I458" s="72">
        <f t="shared" si="7"/>
        <v>47.81818181818182</v>
      </c>
      <c r="J458" s="4">
        <v>142385</v>
      </c>
      <c r="K458" s="6">
        <f>IF(B458="","",IFERROR(AVERAGEIFS($I$4:$I458,$B$4:$B458,B458,$I$4:$I458,"&gt;"&amp;0),""))</f>
        <v>43.835227272727273</v>
      </c>
      <c r="L458" s="4" t="str">
        <f>IF(B458="","",IF(ISNA(MATCH(B458,Client_List!$B:$B,0)),"⚠ NOT FOUND","✓"))</f>
        <v>✓</v>
      </c>
    </row>
    <row r="459" spans="1:12" ht="14" customHeight="1" x14ac:dyDescent="0.2">
      <c r="A459" s="57">
        <v>46063</v>
      </c>
      <c r="B459" s="7" t="s">
        <v>75</v>
      </c>
      <c r="C459" s="8" t="str">
        <f>IF(B459="","",IFERROR(INDEX(Client_List!$C:$C,MATCH(B459,Client_List!$B:$B,0)),""))</f>
        <v>1</v>
      </c>
      <c r="D459" s="9" t="str">
        <f>IF(B459="","",IFERROR(INDEX(Client_List!$D:$D,MATCH(B459,Client_List!$B:$B,0)),""))</f>
        <v>1D</v>
      </c>
      <c r="E459" s="9" t="str">
        <f>IF(B459="","",IFERROR(INDEX(Client_List!$K:$K,MATCH(B459,Client_List!$B:$B,0)),""))</f>
        <v>CANOLA OIL</v>
      </c>
      <c r="F459" s="10">
        <f>IF(B459="","",IFERROR(INDEX(Client_List!$J:$J,MATCH(B459,Client_List!$B:$B,0)),""))</f>
        <v>620</v>
      </c>
      <c r="G459" s="10">
        <v>718</v>
      </c>
      <c r="H459" s="9">
        <f>IF(B459="","",IFERROR(A459-LOOKUP(2,1/($B$4:$B458=B459),$A$4:$A458),""))</f>
        <v>6</v>
      </c>
      <c r="I459" s="73">
        <f t="shared" si="7"/>
        <v>119.66666666666667</v>
      </c>
      <c r="J459" s="9">
        <v>142391</v>
      </c>
      <c r="K459" s="6">
        <f>IF(B459="","",IFERROR(AVERAGEIFS($I$4:$I459,$B$4:$B459,B459,$I$4:$I459,"&gt;"&amp;0),""))</f>
        <v>116.24523809523809</v>
      </c>
      <c r="L459" s="9" t="str">
        <f>IF(B459="","",IF(ISNA(MATCH(B459,Client_List!$B:$B,0)),"⚠ NOT FOUND","✓"))</f>
        <v>✓</v>
      </c>
    </row>
    <row r="460" spans="1:12" ht="14" customHeight="1" x14ac:dyDescent="0.2">
      <c r="A460" s="56">
        <v>46063</v>
      </c>
      <c r="B460" s="2" t="s">
        <v>96</v>
      </c>
      <c r="C460" s="13" t="str">
        <f>IF(B460="","",IFERROR(INDEX(Client_List!$C:$C,MATCH(B460,Client_List!$B:$B,0)),""))</f>
        <v>2</v>
      </c>
      <c r="D460" s="4" t="str">
        <f>IF(B460="","",IFERROR(INDEX(Client_List!$D:$D,MATCH(B460,Client_List!$B:$B,0)),""))</f>
        <v>2C</v>
      </c>
      <c r="E460" s="4" t="str">
        <f>IF(B460="","",IFERROR(INDEX(Client_List!$K:$K,MATCH(B460,Client_List!$B:$B,0)),""))</f>
        <v>CANOLA OIL</v>
      </c>
      <c r="F460" s="5">
        <f>IF(B460="","",IFERROR(INDEX(Client_List!$J:$J,MATCH(B460,Client_List!$B:$B,0)),""))</f>
        <v>1000</v>
      </c>
      <c r="G460" s="5">
        <v>941</v>
      </c>
      <c r="H460" s="4">
        <f>IF(B460="","",IFERROR(A460-LOOKUP(2,1/($B$4:$B459=B460),$A$4:$A459),""))</f>
        <v>21</v>
      </c>
      <c r="I460" s="72">
        <f t="shared" si="7"/>
        <v>44.80952380952381</v>
      </c>
      <c r="J460" s="4">
        <v>142390</v>
      </c>
      <c r="K460" s="6">
        <f>IF(B460="","",IFERROR(AVERAGEIFS($I$4:$I460,$B$4:$B460,B460,$I$4:$I460,"&gt;"&amp;0),""))</f>
        <v>44.80952380952381</v>
      </c>
      <c r="L460" s="4" t="str">
        <f>IF(B460="","",IF(ISNA(MATCH(B460,Client_List!$B:$B,0)),"⚠ NOT FOUND","✓"))</f>
        <v>✓</v>
      </c>
    </row>
    <row r="461" spans="1:12" ht="14" customHeight="1" x14ac:dyDescent="0.2">
      <c r="A461" s="57">
        <v>46063</v>
      </c>
      <c r="B461" s="7" t="s">
        <v>116</v>
      </c>
      <c r="C461" s="13" t="str">
        <f>IF(B461="","",IFERROR(INDEX(Client_List!$C:$C,MATCH(B461,Client_List!$B:$B,0)),""))</f>
        <v>5</v>
      </c>
      <c r="D461" s="9" t="str">
        <f>IF(B461="","",IFERROR(INDEX(Client_List!$D:$D,MATCH(B461,Client_List!$B:$B,0)),""))</f>
        <v>5E</v>
      </c>
      <c r="E461" s="9" t="str">
        <f>IF(B461="","",IFERROR(INDEX(Client_List!$K:$K,MATCH(B461,Client_List!$B:$B,0)),""))</f>
        <v>FRYERS CHOICE BLEND</v>
      </c>
      <c r="F461" s="10">
        <f>IF(B461="","",IFERROR(INDEX(Client_List!$J:$J,MATCH(B461,Client_List!$B:$B,0)),""))</f>
        <v>900</v>
      </c>
      <c r="G461" s="10">
        <v>1023</v>
      </c>
      <c r="H461" s="9">
        <f>IF(B461="","",IFERROR(A461-LOOKUP(2,1/($B$4:$B460=B461),$A$4:$A460),""))</f>
        <v>26</v>
      </c>
      <c r="I461" s="73">
        <f t="shared" si="7"/>
        <v>39.346153846153847</v>
      </c>
      <c r="J461" s="9">
        <v>142384</v>
      </c>
      <c r="K461" s="6">
        <f>IF(B461="","",IFERROR(AVERAGEIFS($I$4:$I461,$B$4:$B461,B461,$I$4:$I461,"&gt;"&amp;0),""))</f>
        <v>39.346153846153847</v>
      </c>
      <c r="L461" s="9" t="str">
        <f>IF(B461="","",IF(ISNA(MATCH(B461,Client_List!$B:$B,0)),"⚠ NOT FOUND","✓"))</f>
        <v>✓</v>
      </c>
    </row>
    <row r="462" spans="1:12" ht="14" customHeight="1" x14ac:dyDescent="0.2">
      <c r="A462" s="56">
        <v>46063</v>
      </c>
      <c r="B462" s="2" t="s">
        <v>120</v>
      </c>
      <c r="C462" s="13" t="str">
        <f>IF(B462="","",IFERROR(INDEX(Client_List!$C:$C,MATCH(B462,Client_List!$B:$B,0)),""))</f>
        <v>5</v>
      </c>
      <c r="D462" s="4" t="str">
        <f>IF(B462="","",IFERROR(INDEX(Client_List!$D:$D,MATCH(B462,Client_List!$B:$B,0)),""))</f>
        <v>5D</v>
      </c>
      <c r="E462" s="4" t="str">
        <f>IF(B462="","",IFERROR(INDEX(Client_List!$K:$K,MATCH(B462,Client_List!$B:$B,0)),""))</f>
        <v>FRYERS CHOICE BLEND</v>
      </c>
      <c r="F462" s="5">
        <f>IF(B462="","",IFERROR(INDEX(Client_List!$J:$J,MATCH(B462,Client_List!$B:$B,0)),""))</f>
        <v>450</v>
      </c>
      <c r="G462" s="5">
        <v>361</v>
      </c>
      <c r="H462" s="4">
        <f>IF(B462="","",IFERROR(A462-LOOKUP(2,1/($B$4:$B461=B462),$A$4:$A461),""))</f>
        <v>9</v>
      </c>
      <c r="I462" s="72">
        <f t="shared" si="7"/>
        <v>40.111111111111114</v>
      </c>
      <c r="J462" s="4">
        <v>142388</v>
      </c>
      <c r="K462" s="6">
        <f>IF(B462="","",IFERROR(AVERAGEIFS($I$4:$I462,$B$4:$B462,B462,$I$4:$I462,"&gt;"&amp;0),""))</f>
        <v>37.209920634920636</v>
      </c>
      <c r="L462" s="4" t="str">
        <f>IF(B462="","",IF(ISNA(MATCH(B462,Client_List!$B:$B,0)),"⚠ NOT FOUND","✓"))</f>
        <v>✓</v>
      </c>
    </row>
    <row r="463" spans="1:12" ht="14" customHeight="1" x14ac:dyDescent="0.2">
      <c r="A463" s="57">
        <v>46063</v>
      </c>
      <c r="B463" s="7" t="s">
        <v>220</v>
      </c>
      <c r="C463" s="3" t="str">
        <f>IF(B463="","",IFERROR(INDEX(Client_List!$C:$C,MATCH(B463,Client_List!$B:$B,0)),""))</f>
        <v>4</v>
      </c>
      <c r="D463" s="9" t="str">
        <f>IF(B463="","",IFERROR(INDEX(Client_List!$D:$D,MATCH(B463,Client_List!$B:$B,0)),""))</f>
        <v>4A</v>
      </c>
      <c r="E463" s="9" t="str">
        <f>IF(B463="","",IFERROR(INDEX(Client_List!$K:$K,MATCH(B463,Client_List!$B:$B,0)),""))</f>
        <v>CANOLA OIL</v>
      </c>
      <c r="F463" s="10">
        <f>IF(B463="","",IFERROR(INDEX(Client_List!$J:$J,MATCH(B463,Client_List!$B:$B,0)),""))</f>
        <v>480</v>
      </c>
      <c r="G463" s="10">
        <v>329</v>
      </c>
      <c r="H463" s="9">
        <f>IF(B463="","",IFERROR(A463-LOOKUP(2,1/($B$4:$B462=B463),$A$4:$A462),""))</f>
        <v>14</v>
      </c>
      <c r="I463" s="73">
        <f t="shared" si="7"/>
        <v>23.5</v>
      </c>
      <c r="J463" s="9">
        <v>142407</v>
      </c>
      <c r="K463" s="6">
        <f>IF(B463="","",IFERROR(AVERAGEIFS($I$4:$I463,$B$4:$B463,B463,$I$4:$I463,"&gt;"&amp;0),""))</f>
        <v>25.071428571428569</v>
      </c>
      <c r="L463" s="9" t="str">
        <f>IF(B463="","",IF(ISNA(MATCH(B463,Client_List!$B:$B,0)),"⚠ NOT FOUND","✓"))</f>
        <v>✓</v>
      </c>
    </row>
    <row r="464" spans="1:12" ht="14" customHeight="1" x14ac:dyDescent="0.2">
      <c r="A464" s="56">
        <v>46063</v>
      </c>
      <c r="B464" s="2" t="s">
        <v>240</v>
      </c>
      <c r="C464" s="3" t="str">
        <f>IF(B464="","",IFERROR(INDEX(Client_List!$C:$C,MATCH(B464,Client_List!$B:$B,0)),""))</f>
        <v>5</v>
      </c>
      <c r="D464" s="4" t="str">
        <f>IF(B464="","",IFERROR(INDEX(Client_List!$D:$D,MATCH(B464,Client_List!$B:$B,0)),""))</f>
        <v>5F</v>
      </c>
      <c r="E464" s="4" t="str">
        <f>IF(B464="","",IFERROR(INDEX(Client_List!$K:$K,MATCH(B464,Client_List!$B:$B,0)),""))</f>
        <v>CANOLA OIL</v>
      </c>
      <c r="F464" s="5">
        <f>IF(B464="","",IFERROR(INDEX(Client_List!$J:$J,MATCH(B464,Client_List!$B:$B,0)),""))</f>
        <v>350</v>
      </c>
      <c r="G464" s="5">
        <v>383</v>
      </c>
      <c r="H464" s="4">
        <f>IF(B464="","",IFERROR(A464-LOOKUP(2,1/($B$4:$B463=B464),$A$4:$A463),""))</f>
        <v>9</v>
      </c>
      <c r="I464" s="72">
        <f t="shared" si="7"/>
        <v>42.555555555555557</v>
      </c>
      <c r="J464" s="4">
        <v>142389</v>
      </c>
      <c r="K464" s="6">
        <f>IF(B464="","",IFERROR(AVERAGEIFS($I$4:$I464,$B$4:$B464,B464,$I$4:$I464,"&gt;"&amp;0),""))</f>
        <v>32.015873015873019</v>
      </c>
      <c r="L464" s="4" t="str">
        <f>IF(B464="","",IF(ISNA(MATCH(B464,Client_List!$B:$B,0)),"⚠ NOT FOUND","✓"))</f>
        <v>✓</v>
      </c>
    </row>
    <row r="465" spans="1:12" ht="14" customHeight="1" x14ac:dyDescent="0.2">
      <c r="A465" s="57">
        <v>46063</v>
      </c>
      <c r="B465" s="7" t="s">
        <v>370</v>
      </c>
      <c r="C465" s="3" t="str">
        <f>IF(B465="","",IFERROR(INDEX(Client_List!$C:$C,MATCH(B465,Client_List!$B:$B,0)),""))</f>
        <v>1</v>
      </c>
      <c r="D465" s="9" t="str">
        <f>IF(B465="","",IFERROR(INDEX(Client_List!$D:$D,MATCH(B465,Client_List!$B:$B,0)),""))</f>
        <v>1D</v>
      </c>
      <c r="E465" s="9" t="str">
        <f>IF(B465="","",IFERROR(INDEX(Client_List!$K:$K,MATCH(B465,Client_List!$B:$B,0)),""))</f>
        <v>CANOLA OIL</v>
      </c>
      <c r="F465" s="10">
        <f>IF(B465="","",IFERROR(INDEX(Client_List!$J:$J,MATCH(B465,Client_List!$B:$B,0)),""))</f>
        <v>2000</v>
      </c>
      <c r="G465" s="10">
        <v>1682</v>
      </c>
      <c r="H465" s="9">
        <f>IF(B465="","",IFERROR(A465-LOOKUP(2,1/($B$4:$B464=B465),$A$4:$A464),""))</f>
        <v>10</v>
      </c>
      <c r="I465" s="73">
        <f t="shared" si="7"/>
        <v>168.2</v>
      </c>
      <c r="J465" s="9">
        <v>142392</v>
      </c>
      <c r="K465" s="6">
        <f>IF(B465="","",IFERROR(AVERAGEIFS($I$4:$I465,$B$4:$B465,B465,$I$4:$I465,"&gt;"&amp;0),""))</f>
        <v>130.48241758241758</v>
      </c>
      <c r="L465" s="9" t="str">
        <f>IF(B465="","",IF(ISNA(MATCH(B465,Client_List!$B:$B,0)),"⚠ NOT FOUND","✓"))</f>
        <v>✓</v>
      </c>
    </row>
    <row r="466" spans="1:12" ht="14" customHeight="1" x14ac:dyDescent="0.2">
      <c r="A466" s="56">
        <v>46063</v>
      </c>
      <c r="B466" s="2" t="s">
        <v>280</v>
      </c>
      <c r="C466" s="3" t="str">
        <f>IF(B466="","",IFERROR(INDEX(Client_List!$C:$C,MATCH(B466,Client_List!$B:$B,0)),""))</f>
        <v>5</v>
      </c>
      <c r="D466" s="4" t="str">
        <f>IF(B466="","",IFERROR(INDEX(Client_List!$D:$D,MATCH(B466,Client_List!$B:$B,0)),""))</f>
        <v>5E</v>
      </c>
      <c r="E466" s="4" t="str">
        <f>IF(B466="","",IFERROR(INDEX(Client_List!$K:$K,MATCH(B466,Client_List!$B:$B,0)),""))</f>
        <v>CANOLA OIL</v>
      </c>
      <c r="F466" s="5">
        <f>IF(B466="","",IFERROR(INDEX(Client_List!$J:$J,MATCH(B466,Client_List!$B:$B,0)),""))</f>
        <v>1050</v>
      </c>
      <c r="G466" s="5">
        <v>1077</v>
      </c>
      <c r="H466" s="4">
        <f>IF(B466="","",IFERROR(A466-LOOKUP(2,1/($B$4:$B465=B466),$A$4:$A465),""))</f>
        <v>19</v>
      </c>
      <c r="I466" s="72">
        <f t="shared" si="7"/>
        <v>56.684210526315788</v>
      </c>
      <c r="J466" s="4">
        <v>142386</v>
      </c>
      <c r="K466" s="6">
        <f>IF(B466="","",IFERROR(AVERAGEIFS($I$4:$I466,$B$4:$B466,B466,$I$4:$I466,"&gt;"&amp;0),""))</f>
        <v>60.900928792569658</v>
      </c>
      <c r="L466" s="4" t="str">
        <f>IF(B466="","",IF(ISNA(MATCH(B466,Client_List!$B:$B,0)),"⚠ NOT FOUND","✓"))</f>
        <v>✓</v>
      </c>
    </row>
    <row r="467" spans="1:12" ht="14" customHeight="1" x14ac:dyDescent="0.2">
      <c r="A467" s="57">
        <v>46063</v>
      </c>
      <c r="B467" s="7" t="s">
        <v>336</v>
      </c>
      <c r="C467" s="3" t="str">
        <f>IF(B467="","",IFERROR(INDEX(Client_List!$C:$C,MATCH(B467,Client_List!$B:$B,0)),""))</f>
        <v>4</v>
      </c>
      <c r="D467" s="9" t="str">
        <f>IF(B467="","",IFERROR(INDEX(Client_List!$D:$D,MATCH(B467,Client_List!$B:$B,0)),""))</f>
        <v>4D</v>
      </c>
      <c r="E467" s="9" t="str">
        <f>IF(B467="","",IFERROR(INDEX(Client_List!$K:$K,MATCH(B467,Client_List!$B:$B,0)),""))</f>
        <v>CANOLA OIL</v>
      </c>
      <c r="F467" s="10">
        <f>IF(B467="","",IFERROR(INDEX(Client_List!$J:$J,MATCH(B467,Client_List!$B:$B,0)),""))</f>
        <v>1050</v>
      </c>
      <c r="G467" s="10">
        <v>1050</v>
      </c>
      <c r="H467" s="9">
        <f>IF(B467="","",IFERROR(A467-LOOKUP(2,1/($B$4:$B466=B467),$A$4:$A466),""))</f>
        <v>9</v>
      </c>
      <c r="I467" s="73">
        <f t="shared" si="7"/>
        <v>116.66666666666667</v>
      </c>
      <c r="J467" s="9">
        <v>142387</v>
      </c>
      <c r="K467" s="6">
        <f>IF(B467="","",IFERROR(AVERAGEIFS($I$4:$I467,$B$4:$B467,B467,$I$4:$I467,"&gt;"&amp;0),""))</f>
        <v>89.707264957264954</v>
      </c>
      <c r="L467" s="9" t="str">
        <f>IF(B467="","",IF(ISNA(MATCH(B467,Client_List!$B:$B,0)),"⚠ NOT FOUND","✓"))</f>
        <v>✓</v>
      </c>
    </row>
    <row r="468" spans="1:12" ht="14" customHeight="1" x14ac:dyDescent="0.2">
      <c r="A468" s="56">
        <v>46063</v>
      </c>
      <c r="B468" s="2" t="s">
        <v>342</v>
      </c>
      <c r="C468" s="3" t="str">
        <f>IF(B468="","",IFERROR(INDEX(Client_List!$C:$C,MATCH(B468,Client_List!$B:$B,0)),""))</f>
        <v>4</v>
      </c>
      <c r="D468" s="4" t="str">
        <f>IF(B468="","",IFERROR(INDEX(Client_List!$D:$D,MATCH(B468,Client_List!$B:$B,0)),""))</f>
        <v>4A</v>
      </c>
      <c r="E468" s="4" t="str">
        <f>IF(B468="","",IFERROR(INDEX(Client_List!$K:$K,MATCH(B468,Client_List!$B:$B,0)),""))</f>
        <v>FRYERS CHOICE BLEND</v>
      </c>
      <c r="F468" s="5">
        <f>IF(B468="","",IFERROR(INDEX(Client_List!$J:$J,MATCH(B468,Client_List!$B:$B,0)),""))</f>
        <v>630</v>
      </c>
      <c r="G468" s="5">
        <v>478</v>
      </c>
      <c r="H468" s="4">
        <f>IF(B468="","",IFERROR(A468-LOOKUP(2,1/($B$4:$B467=B468),$A$4:$A467),""))</f>
        <v>11</v>
      </c>
      <c r="I468" s="72">
        <f t="shared" si="7"/>
        <v>43.454545454545453</v>
      </c>
      <c r="J468" s="4">
        <v>142406</v>
      </c>
      <c r="K468" s="6">
        <f>IF(B468="","",IFERROR(AVERAGEIFS($I$4:$I468,$B$4:$B468,B468,$I$4:$I468,"&gt;"&amp;0),""))</f>
        <v>37.914772727272727</v>
      </c>
      <c r="L468" s="4" t="str">
        <f>IF(B468="","",IF(ISNA(MATCH(B468,Client_List!$B:$B,0)),"⚠ NOT FOUND","✓"))</f>
        <v>✓</v>
      </c>
    </row>
    <row r="469" spans="1:12" ht="14" customHeight="1" x14ac:dyDescent="0.2">
      <c r="A469" s="57">
        <v>46064</v>
      </c>
      <c r="B469" s="7" t="s">
        <v>61</v>
      </c>
      <c r="C469" s="3" t="str">
        <f>IF(B469="","",IFERROR(INDEX(Client_List!$C:$C,MATCH(B469,Client_List!$B:$B,0)),""))</f>
        <v>3</v>
      </c>
      <c r="D469" s="9" t="str">
        <f>IF(B469="","",IFERROR(INDEX(Client_List!$D:$D,MATCH(B469,Client_List!$B:$B,0)),""))</f>
        <v>3D</v>
      </c>
      <c r="E469" s="9" t="str">
        <f>IF(B469="","",IFERROR(INDEX(Client_List!$K:$K,MATCH(B469,Client_List!$B:$B,0)),""))</f>
        <v>CANOLA OIL</v>
      </c>
      <c r="F469" s="10">
        <f>IF(B469="","",IFERROR(INDEX(Client_List!$J:$J,MATCH(B469,Client_List!$B:$B,0)),""))</f>
        <v>350</v>
      </c>
      <c r="G469" s="10">
        <v>354</v>
      </c>
      <c r="H469" s="9">
        <f>IF(B469="","",IFERROR(A469-LOOKUP(2,1/($B$4:$B468=B469),$A$4:$A468),""))</f>
        <v>8</v>
      </c>
      <c r="I469" s="73">
        <f t="shared" si="7"/>
        <v>44.25</v>
      </c>
      <c r="J469" s="9">
        <v>142413</v>
      </c>
      <c r="K469" s="6">
        <f>IF(B469="","",IFERROR(AVERAGEIFS($I$4:$I469,$B$4:$B469,B469,$I$4:$I469,"&gt;"&amp;0),""))</f>
        <v>42.226190476190474</v>
      </c>
      <c r="L469" s="9" t="str">
        <f>IF(B469="","",IF(ISNA(MATCH(B469,Client_List!$B:$B,0)),"⚠ NOT FOUND","✓"))</f>
        <v>✓</v>
      </c>
    </row>
    <row r="470" spans="1:12" ht="14" customHeight="1" x14ac:dyDescent="0.2">
      <c r="A470" s="56">
        <v>46064</v>
      </c>
      <c r="B470" s="2" t="s">
        <v>87</v>
      </c>
      <c r="C470" s="8" t="str">
        <f>IF(B470="","",IFERROR(INDEX(Client_List!$C:$C,MATCH(B470,Client_List!$B:$B,0)),""))</f>
        <v>2</v>
      </c>
      <c r="D470" s="4" t="str">
        <f>IF(B470="","",IFERROR(INDEX(Client_List!$D:$D,MATCH(B470,Client_List!$B:$B,0)),""))</f>
        <v>2D</v>
      </c>
      <c r="E470" s="4" t="str">
        <f>IF(B470="","",IFERROR(INDEX(Client_List!$K:$K,MATCH(B470,Client_List!$B:$B,0)),""))</f>
        <v>CANOLA OIL</v>
      </c>
      <c r="F470" s="5">
        <f>IF(B470="","",IFERROR(INDEX(Client_List!$J:$J,MATCH(B470,Client_List!$B:$B,0)),""))</f>
        <v>2500</v>
      </c>
      <c r="G470" s="5">
        <v>1809</v>
      </c>
      <c r="H470" s="4">
        <f>IF(B470="","",IFERROR(A470-LOOKUP(2,1/($B$4:$B469=B470),$A$4:$A469),""))</f>
        <v>28</v>
      </c>
      <c r="I470" s="72">
        <f t="shared" si="7"/>
        <v>64.607142857142861</v>
      </c>
      <c r="J470" s="4">
        <v>142417</v>
      </c>
      <c r="K470" s="6">
        <f>IF(B470="","",IFERROR(AVERAGEIFS($I$4:$I470,$B$4:$B470,B470,$I$4:$I470,"&gt;"&amp;0),""))</f>
        <v>89.011904761904759</v>
      </c>
      <c r="L470" s="4" t="str">
        <f>IF(B470="","",IF(ISNA(MATCH(B470,Client_List!$B:$B,0)),"⚠ NOT FOUND","✓"))</f>
        <v>✓</v>
      </c>
    </row>
    <row r="471" spans="1:12" ht="14" customHeight="1" x14ac:dyDescent="0.2">
      <c r="A471" s="57">
        <v>46064</v>
      </c>
      <c r="B471" s="7" t="s">
        <v>128</v>
      </c>
      <c r="C471" s="13" t="str">
        <f>IF(B471="","",IFERROR(INDEX(Client_List!$C:$C,MATCH(B471,Client_List!$B:$B,0)),""))</f>
        <v>4</v>
      </c>
      <c r="D471" s="9" t="str">
        <f>IF(B471="","",IFERROR(INDEX(Client_List!$D:$D,MATCH(B471,Client_List!$B:$B,0)),""))</f>
        <v>4E</v>
      </c>
      <c r="E471" s="9" t="str">
        <f>IF(B471="","",IFERROR(INDEX(Client_List!$K:$K,MATCH(B471,Client_List!$B:$B,0)),""))</f>
        <v>CANOLA OIL</v>
      </c>
      <c r="F471" s="10">
        <f>IF(B471="","",IFERROR(INDEX(Client_List!$J:$J,MATCH(B471,Client_List!$B:$B,0)),""))</f>
        <v>700</v>
      </c>
      <c r="G471" s="10">
        <v>556</v>
      </c>
      <c r="H471" s="9">
        <f>IF(B471="","",IFERROR(A471-LOOKUP(2,1/($B$4:$B470=B471),$A$4:$A470),""))</f>
        <v>8</v>
      </c>
      <c r="I471" s="73">
        <f t="shared" si="7"/>
        <v>69.5</v>
      </c>
      <c r="J471" s="9">
        <v>142411</v>
      </c>
      <c r="K471" s="6">
        <f>IF(B471="","",IFERROR(AVERAGEIFS($I$4:$I471,$B$4:$B471,B471,$I$4:$I471,"&gt;"&amp;0),""))</f>
        <v>69.786904761904765</v>
      </c>
      <c r="L471" s="9" t="str">
        <f>IF(B471="","",IF(ISNA(MATCH(B471,Client_List!$B:$B,0)),"⚠ NOT FOUND","✓"))</f>
        <v>✓</v>
      </c>
    </row>
    <row r="472" spans="1:12" ht="14" customHeight="1" x14ac:dyDescent="0.2">
      <c r="A472" s="56">
        <v>46064</v>
      </c>
      <c r="B472" s="2" t="s">
        <v>130</v>
      </c>
      <c r="C472" s="13" t="str">
        <f>IF(B472="","",IFERROR(INDEX(Client_List!$C:$C,MATCH(B472,Client_List!$B:$B,0)),""))</f>
        <v>4</v>
      </c>
      <c r="D472" s="4" t="str">
        <f>IF(B472="","",IFERROR(INDEX(Client_List!$D:$D,MATCH(B472,Client_List!$B:$B,0)),""))</f>
        <v>4E</v>
      </c>
      <c r="E472" s="4" t="str">
        <f>IF(B472="","",IFERROR(INDEX(Client_List!$K:$K,MATCH(B472,Client_List!$B:$B,0)),""))</f>
        <v>FRYERS CHOICE BLEND</v>
      </c>
      <c r="F472" s="5">
        <f>IF(B472="","",IFERROR(INDEX(Client_List!$J:$J,MATCH(B472,Client_List!$B:$B,0)),""))</f>
        <v>2500</v>
      </c>
      <c r="G472" s="5">
        <v>2049</v>
      </c>
      <c r="H472" s="4">
        <f>IF(B472="","",IFERROR(A472-LOOKUP(2,1/($B$4:$B471=B472),$A$4:$A471),""))</f>
        <v>22</v>
      </c>
      <c r="I472" s="72">
        <f t="shared" si="7"/>
        <v>93.13636363636364</v>
      </c>
      <c r="J472" s="4">
        <v>142410</v>
      </c>
      <c r="K472" s="6">
        <f>IF(B472="","",IFERROR(AVERAGEIFS($I$4:$I472,$B$4:$B472,B472,$I$4:$I472,"&gt;"&amp;0),""))</f>
        <v>115.86818181818182</v>
      </c>
      <c r="L472" s="4" t="str">
        <f>IF(B472="","",IF(ISNA(MATCH(B472,Client_List!$B:$B,0)),"⚠ NOT FOUND","✓"))</f>
        <v>✓</v>
      </c>
    </row>
    <row r="473" spans="1:12" ht="14" customHeight="1" x14ac:dyDescent="0.2">
      <c r="A473" s="57">
        <v>46064</v>
      </c>
      <c r="B473" s="7" t="s">
        <v>148</v>
      </c>
      <c r="C473" s="3" t="str">
        <f>IF(B473="","",IFERROR(INDEX(Client_List!$C:$C,MATCH(B473,Client_List!$B:$B,0)),""))</f>
        <v>4</v>
      </c>
      <c r="D473" s="9" t="str">
        <f>IF(B473="","",IFERROR(INDEX(Client_List!$D:$D,MATCH(B473,Client_List!$B:$B,0)),""))</f>
        <v>4B</v>
      </c>
      <c r="E473" s="9" t="str">
        <f>IF(B473="","",IFERROR(INDEX(Client_List!$K:$K,MATCH(B473,Client_List!$B:$B,0)),""))</f>
        <v>FRYERS CHOICE BLEND</v>
      </c>
      <c r="F473" s="10">
        <f>IF(B473="","",IFERROR(INDEX(Client_List!$J:$J,MATCH(B473,Client_List!$B:$B,0)),""))</f>
        <v>950</v>
      </c>
      <c r="G473" s="10">
        <v>828</v>
      </c>
      <c r="H473" s="9">
        <f>IF(B473="","",IFERROR(A473-LOOKUP(2,1/($B$4:$B472=B473),$A$4:$A472),""))</f>
        <v>10</v>
      </c>
      <c r="I473" s="73">
        <f t="shared" si="7"/>
        <v>82.8</v>
      </c>
      <c r="J473" s="9">
        <v>142418</v>
      </c>
      <c r="K473" s="6">
        <f>IF(B473="","",IFERROR(AVERAGEIFS($I$4:$I473,$B$4:$B473,B473,$I$4:$I473,"&gt;"&amp;0),""))</f>
        <v>83.362878787878785</v>
      </c>
      <c r="L473" s="9" t="str">
        <f>IF(B473="","",IF(ISNA(MATCH(B473,Client_List!$B:$B,0)),"⚠ NOT FOUND","✓"))</f>
        <v>✓</v>
      </c>
    </row>
    <row r="474" spans="1:12" ht="14" customHeight="1" x14ac:dyDescent="0.2">
      <c r="A474" s="56">
        <v>46064</v>
      </c>
      <c r="B474" s="2" t="s">
        <v>172</v>
      </c>
      <c r="C474" s="8" t="str">
        <f>IF(B474="","",IFERROR(INDEX(Client_List!$C:$C,MATCH(B474,Client_List!$B:$B,0)),""))</f>
        <v>2</v>
      </c>
      <c r="D474" s="4" t="str">
        <f>IF(B474="","",IFERROR(INDEX(Client_List!$D:$D,MATCH(B474,Client_List!$B:$B,0)),""))</f>
        <v>2E</v>
      </c>
      <c r="E474" s="4" t="str">
        <f>IF(B474="","",IFERROR(INDEX(Client_List!$K:$K,MATCH(B474,Client_List!$B:$B,0)),""))</f>
        <v>CANOLA OIL</v>
      </c>
      <c r="F474" s="5">
        <f>IF(B474="","",IFERROR(INDEX(Client_List!$J:$J,MATCH(B474,Client_List!$B:$B,0)),""))</f>
        <v>1050</v>
      </c>
      <c r="G474" s="5">
        <v>962</v>
      </c>
      <c r="H474" s="4">
        <f>IF(B474="","",IFERROR(A474-LOOKUP(2,1/($B$4:$B473=B474),$A$4:$A473),""))</f>
        <v>15</v>
      </c>
      <c r="I474" s="72">
        <f t="shared" si="7"/>
        <v>64.13333333333334</v>
      </c>
      <c r="J474" s="4">
        <v>142416</v>
      </c>
      <c r="K474" s="6">
        <f>IF(B474="","",IFERROR(AVERAGEIFS($I$4:$I474,$B$4:$B474,B474,$I$4:$I474,"&gt;"&amp;0),""))</f>
        <v>66.066666666666663</v>
      </c>
      <c r="L474" s="4" t="str">
        <f>IF(B474="","",IF(ISNA(MATCH(B474,Client_List!$B:$B,0)),"⚠ NOT FOUND","✓"))</f>
        <v>✓</v>
      </c>
    </row>
    <row r="475" spans="1:12" ht="14" customHeight="1" x14ac:dyDescent="0.2">
      <c r="A475" s="57">
        <v>46064</v>
      </c>
      <c r="B475" s="7" t="s">
        <v>242</v>
      </c>
      <c r="C475" s="13" t="str">
        <f>IF(B475="","",IFERROR(INDEX(Client_List!$C:$C,MATCH(B475,Client_List!$B:$B,0)),""))</f>
        <v>4</v>
      </c>
      <c r="D475" s="9" t="str">
        <f>IF(B475="","",IFERROR(INDEX(Client_List!$D:$D,MATCH(B475,Client_List!$B:$B,0)),""))</f>
        <v>4D</v>
      </c>
      <c r="E475" s="9" t="str">
        <f>IF(B475="","",IFERROR(INDEX(Client_List!$K:$K,MATCH(B475,Client_List!$B:$B,0)),""))</f>
        <v>FRYERS CHOICE BLEND</v>
      </c>
      <c r="F475" s="10">
        <f>IF(B475="","",IFERROR(INDEX(Client_List!$J:$J,MATCH(B475,Client_List!$B:$B,0)),""))</f>
        <v>950</v>
      </c>
      <c r="G475" s="10">
        <v>934</v>
      </c>
      <c r="H475" s="9">
        <f>IF(B475="","",IFERROR(A475-LOOKUP(2,1/($B$4:$B474=B475),$A$4:$A474),""))</f>
        <v>13</v>
      </c>
      <c r="I475" s="73">
        <f t="shared" si="7"/>
        <v>71.84615384615384</v>
      </c>
      <c r="J475" s="9">
        <v>142409</v>
      </c>
      <c r="K475" s="6">
        <f>IF(B475="","",IFERROR(AVERAGEIFS($I$4:$I475,$B$4:$B475,B475,$I$4:$I475,"&gt;"&amp;0),""))</f>
        <v>71.17094017094017</v>
      </c>
      <c r="L475" s="9" t="str">
        <f>IF(B475="","",IF(ISNA(MATCH(B475,Client_List!$B:$B,0)),"⚠ NOT FOUND","✓"))</f>
        <v>✓</v>
      </c>
    </row>
    <row r="476" spans="1:12" ht="14" customHeight="1" x14ac:dyDescent="0.2">
      <c r="A476" s="56">
        <v>46064</v>
      </c>
      <c r="B476" s="2" t="s">
        <v>270</v>
      </c>
      <c r="C476" s="12" t="str">
        <f>IF(B476="","",IFERROR(INDEX(Client_List!$C:$C,MATCH(B476,Client_List!$B:$B,0)),""))</f>
        <v>3</v>
      </c>
      <c r="D476" s="4" t="str">
        <f>IF(B476="","",IFERROR(INDEX(Client_List!$D:$D,MATCH(B476,Client_List!$B:$B,0)),""))</f>
        <v>3D</v>
      </c>
      <c r="E476" s="4" t="str">
        <f>IF(B476="","",IFERROR(INDEX(Client_List!$K:$K,MATCH(B476,Client_List!$B:$B,0)),""))</f>
        <v>FRYERS CHOICE BLEND</v>
      </c>
      <c r="F476" s="5">
        <f>IF(B476="","",IFERROR(INDEX(Client_List!$J:$J,MATCH(B476,Client_List!$B:$B,0)),""))</f>
        <v>660</v>
      </c>
      <c r="G476" s="5">
        <v>413</v>
      </c>
      <c r="H476" s="4">
        <f>IF(B476="","",IFERROR(A476-LOOKUP(2,1/($B$4:$B475=B476),$A$4:$A475),""))</f>
        <v>19</v>
      </c>
      <c r="I476" s="72">
        <f t="shared" si="7"/>
        <v>21.736842105263158</v>
      </c>
      <c r="J476" s="4">
        <v>142412</v>
      </c>
      <c r="K476" s="6">
        <f>IF(B476="","",IFERROR(AVERAGEIFS($I$4:$I476,$B$4:$B476,B476,$I$4:$I476,"&gt;"&amp;0),""))</f>
        <v>22.562865497076025</v>
      </c>
      <c r="L476" s="4" t="str">
        <f>IF(B476="","",IF(ISNA(MATCH(B476,Client_List!$B:$B,0)),"⚠ NOT FOUND","✓"))</f>
        <v>✓</v>
      </c>
    </row>
    <row r="477" spans="1:12" ht="14" customHeight="1" x14ac:dyDescent="0.2">
      <c r="A477" s="57">
        <v>46065</v>
      </c>
      <c r="B477" s="7" t="s">
        <v>63</v>
      </c>
      <c r="C477" s="11" t="str">
        <f>IF(B477="","",IFERROR(INDEX(Client_List!$C:$C,MATCH(B477,Client_List!$B:$B,0)),""))</f>
        <v>5</v>
      </c>
      <c r="D477" s="9" t="str">
        <f>IF(B477="","",IFERROR(INDEX(Client_List!$D:$D,MATCH(B477,Client_List!$B:$B,0)),""))</f>
        <v>5D</v>
      </c>
      <c r="E477" s="9" t="str">
        <f>IF(B477="","",IFERROR(INDEX(Client_List!$K:$K,MATCH(B477,Client_List!$B:$B,0)),""))</f>
        <v>CANOLA OIL</v>
      </c>
      <c r="F477" s="10">
        <f>IF(B477="","",IFERROR(INDEX(Client_List!$J:$J,MATCH(B477,Client_List!$B:$B,0)),""))</f>
        <v>425</v>
      </c>
      <c r="G477" s="10">
        <v>165</v>
      </c>
      <c r="H477" s="9">
        <f>IF(B477="","",IFERROR(A477-LOOKUP(2,1/($B$4:$B476=B477),$A$4:$A476),""))</f>
        <v>7</v>
      </c>
      <c r="I477" s="73">
        <f t="shared" si="7"/>
        <v>23.571428571428573</v>
      </c>
      <c r="J477" s="9">
        <v>142445</v>
      </c>
      <c r="K477" s="6">
        <f>IF(B477="","",IFERROR(AVERAGEIFS($I$4:$I477,$B$4:$B477,B477,$I$4:$I477,"&gt;"&amp;0),""))</f>
        <v>33.881547619047616</v>
      </c>
      <c r="L477" s="9" t="str">
        <f>IF(B477="","",IF(ISNA(MATCH(B477,Client_List!$B:$B,0)),"⚠ NOT FOUND","✓"))</f>
        <v>✓</v>
      </c>
    </row>
    <row r="478" spans="1:12" ht="14" customHeight="1" x14ac:dyDescent="0.2">
      <c r="A478" s="56">
        <v>46065</v>
      </c>
      <c r="B478" s="2" t="s">
        <v>65</v>
      </c>
      <c r="C478" s="13" t="str">
        <f>IF(B478="","",IFERROR(INDEX(Client_List!$C:$C,MATCH(B478,Client_List!$B:$B,0)),""))</f>
        <v>5</v>
      </c>
      <c r="D478" s="4" t="str">
        <f>IF(B478="","",IFERROR(INDEX(Client_List!$D:$D,MATCH(B478,Client_List!$B:$B,0)),""))</f>
        <v>5F</v>
      </c>
      <c r="E478" s="4" t="str">
        <f>IF(B478="","",IFERROR(INDEX(Client_List!$K:$K,MATCH(B478,Client_List!$B:$B,0)),""))</f>
        <v>FRYERS CHOICE BLEND</v>
      </c>
      <c r="F478" s="5">
        <f>IF(B478="","",IFERROR(INDEX(Client_List!$J:$J,MATCH(B478,Client_List!$B:$B,0)),""))</f>
        <v>1050</v>
      </c>
      <c r="G478" s="5">
        <v>653</v>
      </c>
      <c r="H478" s="4">
        <f>IF(B478="","",IFERROR(A478-LOOKUP(2,1/($B$4:$B477=B478),$A$4:$A477),""))</f>
        <v>13</v>
      </c>
      <c r="I478" s="72">
        <f t="shared" si="7"/>
        <v>50.230769230769234</v>
      </c>
      <c r="J478" s="4">
        <v>142444</v>
      </c>
      <c r="K478" s="6">
        <f>IF(B478="","",IFERROR(AVERAGEIFS($I$4:$I478,$B$4:$B478,B478,$I$4:$I478,"&gt;"&amp;0),""))</f>
        <v>46.182051282051283</v>
      </c>
      <c r="L478" s="4" t="str">
        <f>IF(B478="","",IF(ISNA(MATCH(B478,Client_List!$B:$B,0)),"⚠ NOT FOUND","✓"))</f>
        <v>✓</v>
      </c>
    </row>
    <row r="479" spans="1:12" ht="14" customHeight="1" x14ac:dyDescent="0.2">
      <c r="A479" s="57">
        <v>46065</v>
      </c>
      <c r="B479" s="7" t="s">
        <v>90</v>
      </c>
      <c r="C479" s="11" t="str">
        <f>IF(B479="","",IFERROR(INDEX(Client_List!$C:$C,MATCH(B479,Client_List!$B:$B,0)),""))</f>
        <v>2</v>
      </c>
      <c r="D479" s="9" t="str">
        <f>IF(B479="","",IFERROR(INDEX(Client_List!$D:$D,MATCH(B479,Client_List!$B:$B,0)),""))</f>
        <v>2C</v>
      </c>
      <c r="E479" s="9" t="str">
        <f>IF(B479="","",IFERROR(INDEX(Client_List!$K:$K,MATCH(B479,Client_List!$B:$B,0)),""))</f>
        <v>CANOLA OIL</v>
      </c>
      <c r="F479" s="10">
        <f>IF(B479="","",IFERROR(INDEX(Client_List!$J:$J,MATCH(B479,Client_List!$B:$B,0)),""))</f>
        <v>1000</v>
      </c>
      <c r="G479" s="10">
        <v>882</v>
      </c>
      <c r="H479" s="9">
        <f>IF(B479="","",IFERROR(A479-LOOKUP(2,1/($B$4:$B478=B479),$A$4:$A478),""))</f>
        <v>30</v>
      </c>
      <c r="I479" s="73">
        <f t="shared" si="7"/>
        <v>29.4</v>
      </c>
      <c r="J479" s="9">
        <v>142456</v>
      </c>
      <c r="K479" s="6">
        <f>IF(B479="","",IFERROR(AVERAGEIFS($I$4:$I479,$B$4:$B479,B479,$I$4:$I479,"&gt;"&amp;0),""))</f>
        <v>29.4</v>
      </c>
      <c r="L479" s="9" t="str">
        <f>IF(B479="","",IF(ISNA(MATCH(B479,Client_List!$B:$B,0)),"⚠ NOT FOUND","✓"))</f>
        <v>✓</v>
      </c>
    </row>
    <row r="480" spans="1:12" ht="14" customHeight="1" x14ac:dyDescent="0.2">
      <c r="A480" s="56">
        <v>46065</v>
      </c>
      <c r="B480" s="2" t="s">
        <v>112</v>
      </c>
      <c r="C480" s="12" t="str">
        <f>IF(B480="","",IFERROR(INDEX(Client_List!$C:$C,MATCH(B480,Client_List!$B:$B,0)),""))</f>
        <v>2</v>
      </c>
      <c r="D480" s="4" t="str">
        <f>IF(B480="","",IFERROR(INDEX(Client_List!$D:$D,MATCH(B480,Client_List!$B:$B,0)),""))</f>
        <v>2A</v>
      </c>
      <c r="E480" s="4" t="str">
        <f>IF(B480="","",IFERROR(INDEX(Client_List!$K:$K,MATCH(B480,Client_List!$B:$B,0)),""))</f>
        <v>FRYERS CHOICE BLEND</v>
      </c>
      <c r="F480" s="5">
        <f>IF(B480="","",IFERROR(INDEX(Client_List!$J:$J,MATCH(B480,Client_List!$B:$B,0)),""))</f>
        <v>450</v>
      </c>
      <c r="G480" s="5">
        <v>408</v>
      </c>
      <c r="H480" s="4">
        <f>IF(B480="","",IFERROR(A480-LOOKUP(2,1/($B$4:$B479=B480),$A$4:$A479),""))</f>
        <v>8</v>
      </c>
      <c r="I480" s="72">
        <f t="shared" si="7"/>
        <v>51</v>
      </c>
      <c r="J480" s="4">
        <v>142451</v>
      </c>
      <c r="K480" s="6">
        <f>IF(B480="","",IFERROR(AVERAGEIFS($I$4:$I480,$B$4:$B480,B480,$I$4:$I480,"&gt;"&amp;0),""))</f>
        <v>51</v>
      </c>
      <c r="L480" s="4" t="str">
        <f>IF(B480="","",IF(ISNA(MATCH(B480,Client_List!$B:$B,0)),"⚠ NOT FOUND","✓"))</f>
        <v>✓</v>
      </c>
    </row>
    <row r="481" spans="1:12" ht="14" customHeight="1" x14ac:dyDescent="0.2">
      <c r="A481" s="57">
        <v>46065</v>
      </c>
      <c r="B481" s="7" t="s">
        <v>114</v>
      </c>
      <c r="C481" s="3" t="str">
        <f>IF(B481="","",IFERROR(INDEX(Client_List!$C:$C,MATCH(B481,Client_List!$B:$B,0)),""))</f>
        <v>2</v>
      </c>
      <c r="D481" s="9" t="str">
        <f>IF(B481="","",IFERROR(INDEX(Client_List!$D:$D,MATCH(B481,Client_List!$B:$B,0)),""))</f>
        <v>2A</v>
      </c>
      <c r="E481" s="9" t="str">
        <f>IF(B481="","",IFERROR(INDEX(Client_List!$K:$K,MATCH(B481,Client_List!$B:$B,0)),""))</f>
        <v>FRYERS CHOICE BLEND</v>
      </c>
      <c r="F481" s="10">
        <f>IF(B481="","",IFERROR(INDEX(Client_List!$J:$J,MATCH(B481,Client_List!$B:$B,0)),""))</f>
        <v>500</v>
      </c>
      <c r="G481" s="10">
        <v>485</v>
      </c>
      <c r="H481" s="9">
        <f>IF(B481="","",IFERROR(A481-LOOKUP(2,1/($B$4:$B480=B481),$A$4:$A480),""))</f>
        <v>14</v>
      </c>
      <c r="I481" s="73">
        <f t="shared" si="7"/>
        <v>34.642857142857146</v>
      </c>
      <c r="J481" s="9">
        <v>142453</v>
      </c>
      <c r="K481" s="6">
        <f>IF(B481="","",IFERROR(AVERAGEIFS($I$4:$I481,$B$4:$B481,B481,$I$4:$I481,"&gt;"&amp;0),""))</f>
        <v>34.060439560439562</v>
      </c>
      <c r="L481" s="9" t="str">
        <f>IF(B481="","",IF(ISNA(MATCH(B481,Client_List!$B:$B,0)),"⚠ NOT FOUND","✓"))</f>
        <v>✓</v>
      </c>
    </row>
    <row r="482" spans="1:12" ht="14" customHeight="1" x14ac:dyDescent="0.2">
      <c r="A482" s="56">
        <v>46065</v>
      </c>
      <c r="B482" s="2" t="s">
        <v>138</v>
      </c>
      <c r="C482" s="11" t="str">
        <f>IF(B482="","",IFERROR(INDEX(Client_List!$C:$C,MATCH(B482,Client_List!$B:$B,0)),""))</f>
        <v>4</v>
      </c>
      <c r="D482" s="4" t="str">
        <f>IF(B482="","",IFERROR(INDEX(Client_List!$D:$D,MATCH(B482,Client_List!$B:$B,0)),""))</f>
        <v>4E</v>
      </c>
      <c r="E482" s="4" t="str">
        <f>IF(B482="","",IFERROR(INDEX(Client_List!$K:$K,MATCH(B482,Client_List!$B:$B,0)),""))</f>
        <v>CANOLA OIL</v>
      </c>
      <c r="F482" s="5">
        <f>IF(B482="","",IFERROR(INDEX(Client_List!$J:$J,MATCH(B482,Client_List!$B:$B,0)),""))</f>
        <v>350</v>
      </c>
      <c r="G482" s="5">
        <v>300</v>
      </c>
      <c r="H482" s="4">
        <f>IF(B482="","",IFERROR(A482-LOOKUP(2,1/($B$4:$B481=B482),$A$4:$A481),""))</f>
        <v>6</v>
      </c>
      <c r="I482" s="72">
        <f t="shared" si="7"/>
        <v>50</v>
      </c>
      <c r="J482" s="4">
        <v>142441</v>
      </c>
      <c r="K482" s="6">
        <f>IF(B482="","",IFERROR(AVERAGEIFS($I$4:$I482,$B$4:$B482,B482,$I$4:$I482,"&gt;"&amp;0),""))</f>
        <v>39.258928571428569</v>
      </c>
      <c r="L482" s="4" t="str">
        <f>IF(B482="","",IF(ISNA(MATCH(B482,Client_List!$B:$B,0)),"⚠ NOT FOUND","✓"))</f>
        <v>✓</v>
      </c>
    </row>
    <row r="483" spans="1:12" ht="14" customHeight="1" x14ac:dyDescent="0.2">
      <c r="A483" s="57">
        <v>46065</v>
      </c>
      <c r="B483" s="7" t="s">
        <v>140</v>
      </c>
      <c r="C483" s="11" t="str">
        <f>IF(B483="","",IFERROR(INDEX(Client_List!$C:$C,MATCH(B483,Client_List!$B:$B,0)),""))</f>
        <v>5</v>
      </c>
      <c r="D483" s="9" t="str">
        <f>IF(B483="","",IFERROR(INDEX(Client_List!$D:$D,MATCH(B483,Client_List!$B:$B,0)),""))</f>
        <v>5E</v>
      </c>
      <c r="E483" s="9" t="str">
        <f>IF(B483="","",IFERROR(INDEX(Client_List!$K:$K,MATCH(B483,Client_List!$B:$B,0)),""))</f>
        <v>CANOLA OIL</v>
      </c>
      <c r="F483" s="10">
        <f>IF(B483="","",IFERROR(INDEX(Client_List!$J:$J,MATCH(B483,Client_List!$B:$B,0)),""))</f>
        <v>350</v>
      </c>
      <c r="G483" s="10">
        <v>78</v>
      </c>
      <c r="H483" s="9">
        <f>IF(B483="","",IFERROR(A483-LOOKUP(2,1/($B$4:$B482=B483),$A$4:$A482),""))</f>
        <v>7</v>
      </c>
      <c r="I483" s="73">
        <f t="shared" si="7"/>
        <v>11.142857142857142</v>
      </c>
      <c r="J483" s="9">
        <v>142443</v>
      </c>
      <c r="K483" s="6">
        <f>IF(B483="","",IFERROR(AVERAGEIFS($I$4:$I483,$B$4:$B483,B483,$I$4:$I483,"&gt;"&amp;0),""))</f>
        <v>40.983630952380949</v>
      </c>
      <c r="L483" s="9" t="str">
        <f>IF(B483="","",IF(ISNA(MATCH(B483,Client_List!$B:$B,0)),"⚠ NOT FOUND","✓"))</f>
        <v>✓</v>
      </c>
    </row>
    <row r="484" spans="1:12" ht="14" customHeight="1" x14ac:dyDescent="0.2">
      <c r="A484" s="56">
        <v>46065</v>
      </c>
      <c r="B484" s="2" t="s">
        <v>200</v>
      </c>
      <c r="C484" s="11" t="str">
        <f>IF(B484="","",IFERROR(INDEX(Client_List!$C:$C,MATCH(B484,Client_List!$B:$B,0)),""))</f>
        <v>4</v>
      </c>
      <c r="D484" s="4" t="str">
        <f>IF(B484="","",IFERROR(INDEX(Client_List!$D:$D,MATCH(B484,Client_List!$B:$B,0)),""))</f>
        <v>4E</v>
      </c>
      <c r="E484" s="4" t="str">
        <f>IF(B484="","",IFERROR(INDEX(Client_List!$K:$K,MATCH(B484,Client_List!$B:$B,0)),""))</f>
        <v>CANOLA OIL</v>
      </c>
      <c r="F484" s="5">
        <f>IF(B484="","",IFERROR(INDEX(Client_List!$J:$J,MATCH(B484,Client_List!$B:$B,0)),""))</f>
        <v>2000</v>
      </c>
      <c r="G484" s="5">
        <v>1705</v>
      </c>
      <c r="H484" s="4">
        <f>IF(B484="","",IFERROR(A484-LOOKUP(2,1/($B$4:$B483=B484),$A$4:$A483),""))</f>
        <v>16</v>
      </c>
      <c r="I484" s="72">
        <f t="shared" si="7"/>
        <v>106.5625</v>
      </c>
      <c r="J484" s="4">
        <v>142440</v>
      </c>
      <c r="K484" s="6">
        <f>IF(B484="","",IFERROR(AVERAGEIFS($I$4:$I484,$B$4:$B484,B484,$I$4:$I484,"&gt;"&amp;0),""))</f>
        <v>81.28125</v>
      </c>
      <c r="L484" s="4" t="str">
        <f>IF(B484="","",IF(ISNA(MATCH(B484,Client_List!$B:$B,0)),"⚠ NOT FOUND","✓"))</f>
        <v>✓</v>
      </c>
    </row>
    <row r="485" spans="1:12" ht="14" customHeight="1" x14ac:dyDescent="0.2">
      <c r="A485" s="57">
        <v>46065</v>
      </c>
      <c r="B485" s="7" t="s">
        <v>218</v>
      </c>
      <c r="C485" s="11" t="str">
        <f>IF(B485="","",IFERROR(INDEX(Client_List!$C:$C,MATCH(B485,Client_List!$B:$B,0)),""))</f>
        <v>4</v>
      </c>
      <c r="D485" s="9" t="str">
        <f>IF(B485="","",IFERROR(INDEX(Client_List!$D:$D,MATCH(B485,Client_List!$B:$B,0)),""))</f>
        <v>4C</v>
      </c>
      <c r="E485" s="9" t="str">
        <f>IF(B485="","",IFERROR(INDEX(Client_List!$K:$K,MATCH(B485,Client_List!$B:$B,0)),""))</f>
        <v>CANOLA OIL</v>
      </c>
      <c r="F485" s="10">
        <f>IF(B485="","",IFERROR(INDEX(Client_List!$J:$J,MATCH(B485,Client_List!$B:$B,0)),""))</f>
        <v>630</v>
      </c>
      <c r="G485" s="10">
        <v>383</v>
      </c>
      <c r="H485" s="9">
        <f>IF(B485="","",IFERROR(A485-LOOKUP(2,1/($B$4:$B484=B485),$A$4:$A484),""))</f>
        <v>21</v>
      </c>
      <c r="I485" s="73">
        <f t="shared" si="7"/>
        <v>18.238095238095237</v>
      </c>
      <c r="J485" s="9">
        <v>142454</v>
      </c>
      <c r="K485" s="6">
        <f>IF(B485="","",IFERROR(AVERAGEIFS($I$4:$I485,$B$4:$B485,B485,$I$4:$I485,"&gt;"&amp;0),""))</f>
        <v>18.238095238095237</v>
      </c>
      <c r="L485" s="9" t="str">
        <f>IF(B485="","",IF(ISNA(MATCH(B485,Client_List!$B:$B,0)),"⚠ NOT FOUND","✓"))</f>
        <v>✓</v>
      </c>
    </row>
    <row r="486" spans="1:12" ht="14" customHeight="1" x14ac:dyDescent="0.2">
      <c r="A486" s="56">
        <v>46065</v>
      </c>
      <c r="B486" s="2" t="s">
        <v>236</v>
      </c>
      <c r="C486" s="3" t="str">
        <f>IF(B486="","",IFERROR(INDEX(Client_List!$C:$C,MATCH(B486,Client_List!$B:$B,0)),""))</f>
        <v>5</v>
      </c>
      <c r="D486" s="4" t="str">
        <f>IF(B486="","",IFERROR(INDEX(Client_List!$D:$D,MATCH(B486,Client_List!$B:$B,0)),""))</f>
        <v>5E</v>
      </c>
      <c r="E486" s="4" t="str">
        <f>IF(B486="","",IFERROR(INDEX(Client_List!$K:$K,MATCH(B486,Client_List!$B:$B,0)),""))</f>
        <v>CANOLA OIL</v>
      </c>
      <c r="F486" s="5">
        <f>IF(B486="","",IFERROR(INDEX(Client_List!$J:$J,MATCH(B486,Client_List!$B:$B,0)),""))</f>
        <v>500</v>
      </c>
      <c r="G486" s="5">
        <v>456</v>
      </c>
      <c r="H486" s="4">
        <f>IF(B486="","",IFERROR(A486-LOOKUP(2,1/($B$4:$B485=B486),$A$4:$A485),""))</f>
        <v>13</v>
      </c>
      <c r="I486" s="72">
        <f t="shared" si="7"/>
        <v>35.07692307692308</v>
      </c>
      <c r="J486" s="4">
        <v>142442</v>
      </c>
      <c r="K486" s="6">
        <f>IF(B486="","",IFERROR(AVERAGEIFS($I$4:$I486,$B$4:$B486,B486,$I$4:$I486,"&gt;"&amp;0),""))</f>
        <v>30.3</v>
      </c>
      <c r="L486" s="4" t="str">
        <f>IF(B486="","",IF(ISNA(MATCH(B486,Client_List!$B:$B,0)),"⚠ NOT FOUND","✓"))</f>
        <v>✓</v>
      </c>
    </row>
    <row r="487" spans="1:12" ht="14" customHeight="1" x14ac:dyDescent="0.2">
      <c r="A487" s="57">
        <v>46065</v>
      </c>
      <c r="B487" s="7" t="s">
        <v>376</v>
      </c>
      <c r="C487" s="3">
        <f>IF(B487="","",IFERROR(INDEX(Client_List!$C:$C,MATCH(B487,Client_List!$B:$B,0)),""))</f>
        <v>0</v>
      </c>
      <c r="D487" s="9" t="str">
        <f>IF(B487="","",IFERROR(INDEX(Client_List!$D:$D,MATCH(B487,Client_List!$B:$B,0)),""))</f>
        <v>P</v>
      </c>
      <c r="E487" s="9" t="str">
        <f>IF(B487="","",IFERROR(INDEX(Client_List!$K:$K,MATCH(B487,Client_List!$B:$B,0)),""))</f>
        <v>CANOLA OIL</v>
      </c>
      <c r="F487" s="10">
        <f>IF(B487="","",IFERROR(INDEX(Client_List!$J:$J,MATCH(B487,Client_List!$B:$B,0)),""))</f>
        <v>1800</v>
      </c>
      <c r="G487" s="10">
        <v>1001</v>
      </c>
      <c r="H487" s="9">
        <f>IF(B487="","",IFERROR(A487-LOOKUP(2,1/($B$4:$B486=B487),$A$4:$A486),""))</f>
        <v>28</v>
      </c>
      <c r="I487" s="73">
        <f t="shared" si="7"/>
        <v>35.75</v>
      </c>
      <c r="J487" s="9">
        <v>142457</v>
      </c>
      <c r="K487" s="6">
        <f>IF(B487="","",IFERROR(AVERAGEIFS($I$4:$I487,$B$4:$B487,B487,$I$4:$I487,"&gt;"&amp;0),""))</f>
        <v>35.75</v>
      </c>
      <c r="L487" s="9" t="str">
        <f>IF(B487="","",IF(ISNA(MATCH(B487,Client_List!$B:$B,0)),"⚠ NOT FOUND","✓"))</f>
        <v>✓</v>
      </c>
    </row>
    <row r="488" spans="1:12" ht="14" customHeight="1" x14ac:dyDescent="0.2">
      <c r="A488" s="56">
        <v>46065</v>
      </c>
      <c r="B488" s="2" t="s">
        <v>268</v>
      </c>
      <c r="C488" s="3" t="str">
        <f>IF(B488="","",IFERROR(INDEX(Client_List!$C:$C,MATCH(B488,Client_List!$B:$B,0)),""))</f>
        <v>5</v>
      </c>
      <c r="D488" s="4" t="str">
        <f>IF(B488="","",IFERROR(INDEX(Client_List!$D:$D,MATCH(B488,Client_List!$B:$B,0)),""))</f>
        <v>5D</v>
      </c>
      <c r="E488" s="4" t="str">
        <f>IF(B488="","",IFERROR(INDEX(Client_List!$K:$K,MATCH(B488,Client_List!$B:$B,0)),""))</f>
        <v>CANOLA OIL</v>
      </c>
      <c r="F488" s="5">
        <f>IF(B488="","",IFERROR(INDEX(Client_List!$J:$J,MATCH(B488,Client_List!$B:$B,0)),""))</f>
        <v>660</v>
      </c>
      <c r="G488" s="5">
        <v>524</v>
      </c>
      <c r="H488" s="4">
        <f>IF(B488="","",IFERROR(A488-LOOKUP(2,1/($B$4:$B487=B488),$A$4:$A487),""))</f>
        <v>9</v>
      </c>
      <c r="I488" s="72">
        <f t="shared" si="7"/>
        <v>58.222222222222221</v>
      </c>
      <c r="J488" s="4">
        <v>142439</v>
      </c>
      <c r="K488" s="6">
        <f>IF(B488="","",IFERROR(AVERAGEIFS($I$4:$I488,$B$4:$B488,B488,$I$4:$I488,"&gt;"&amp;0),""))</f>
        <v>58.805555555555557</v>
      </c>
      <c r="L488" s="4" t="str">
        <f>IF(B488="","",IF(ISNA(MATCH(B488,Client_List!$B:$B,0)),"⚠ NOT FOUND","✓"))</f>
        <v>✓</v>
      </c>
    </row>
    <row r="489" spans="1:12" ht="14" customHeight="1" x14ac:dyDescent="0.2">
      <c r="A489" s="57">
        <v>46065</v>
      </c>
      <c r="B489" s="7" t="s">
        <v>377</v>
      </c>
      <c r="C489" s="13">
        <f>IF(B489="","",IFERROR(INDEX(Client_List!$C:$C,MATCH(B489,Client_List!$B:$B,0)),""))</f>
        <v>0</v>
      </c>
      <c r="D489" s="9" t="str">
        <f>IF(B489="","",IFERROR(INDEX(Client_List!$D:$D,MATCH(B489,Client_List!$B:$B,0)),""))</f>
        <v>P</v>
      </c>
      <c r="E489" s="9" t="str">
        <f>IF(B489="","",IFERROR(INDEX(Client_List!$K:$K,MATCH(B489,Client_List!$B:$B,0)),""))</f>
        <v>CANOLA OIL</v>
      </c>
      <c r="F489" s="10">
        <f>IF(B489="","",IFERROR(INDEX(Client_List!$J:$J,MATCH(B489,Client_List!$B:$B,0)),""))</f>
        <v>1050</v>
      </c>
      <c r="G489" s="10">
        <v>1066</v>
      </c>
      <c r="H489" s="9">
        <f>IF(B489="","",IFERROR(A489-LOOKUP(2,1/($B$4:$B488=B489),$A$4:$A488),""))</f>
        <v>28</v>
      </c>
      <c r="I489" s="73">
        <f t="shared" si="7"/>
        <v>38.071428571428569</v>
      </c>
      <c r="J489" s="9">
        <v>142449</v>
      </c>
      <c r="K489" s="6">
        <f>IF(B489="","",IFERROR(AVERAGEIFS($I$4:$I489,$B$4:$B489,B489,$I$4:$I489,"&gt;"&amp;0),""))</f>
        <v>38.071428571428569</v>
      </c>
      <c r="L489" s="9" t="str">
        <f>IF(B489="","",IF(ISNA(MATCH(B489,Client_List!$B:$B,0)),"⚠ NOT FOUND","✓"))</f>
        <v>✓</v>
      </c>
    </row>
    <row r="490" spans="1:12" ht="14" customHeight="1" x14ac:dyDescent="0.2">
      <c r="A490" s="56">
        <v>46065</v>
      </c>
      <c r="B490" s="2" t="s">
        <v>344</v>
      </c>
      <c r="C490" s="12" t="str">
        <f>IF(B490="","",IFERROR(INDEX(Client_List!$C:$C,MATCH(B490,Client_List!$B:$B,0)),""))</f>
        <v>2</v>
      </c>
      <c r="D490" s="4" t="str">
        <f>IF(B490="","",IFERROR(INDEX(Client_List!$D:$D,MATCH(B490,Client_List!$B:$B,0)),""))</f>
        <v>2C</v>
      </c>
      <c r="E490" s="4" t="str">
        <f>IF(B490="","",IFERROR(INDEX(Client_List!$K:$K,MATCH(B490,Client_List!$B:$B,0)),""))</f>
        <v>FRYERS CHOICE BLEND</v>
      </c>
      <c r="F490" s="5">
        <f>IF(B490="","",IFERROR(INDEX(Client_List!$J:$J,MATCH(B490,Client_List!$B:$B,0)),""))</f>
        <v>1200</v>
      </c>
      <c r="G490" s="5">
        <v>874</v>
      </c>
      <c r="H490" s="4">
        <f>IF(B490="","",IFERROR(A490-LOOKUP(2,1/($B$4:$B489=B490),$A$4:$A489),""))</f>
        <v>14</v>
      </c>
      <c r="I490" s="72">
        <f t="shared" si="7"/>
        <v>62.428571428571431</v>
      </c>
      <c r="J490" s="4">
        <v>142452</v>
      </c>
      <c r="K490" s="6">
        <f>IF(B490="","",IFERROR(AVERAGEIFS($I$4:$I490,$B$4:$B490,B490,$I$4:$I490,"&gt;"&amp;0),""))</f>
        <v>54.291208791208788</v>
      </c>
      <c r="L490" s="4" t="str">
        <f>IF(B490="","",IF(ISNA(MATCH(B490,Client_List!$B:$B,0)),"⚠ NOT FOUND","✓"))</f>
        <v>✓</v>
      </c>
    </row>
    <row r="491" spans="1:12" ht="14" customHeight="1" x14ac:dyDescent="0.2">
      <c r="A491" s="57">
        <v>46065</v>
      </c>
      <c r="B491" s="7" t="s">
        <v>346</v>
      </c>
      <c r="C491" s="8" t="str">
        <f>IF(B491="","",IFERROR(INDEX(Client_List!$C:$C,MATCH(B491,Client_List!$B:$B,0)),""))</f>
        <v>3</v>
      </c>
      <c r="D491" s="9" t="str">
        <f>IF(B491="","",IFERROR(INDEX(Client_List!$D:$D,MATCH(B491,Client_List!$B:$B,0)),""))</f>
        <v>3C</v>
      </c>
      <c r="E491" s="9" t="str">
        <f>IF(B491="","",IFERROR(INDEX(Client_List!$K:$K,MATCH(B491,Client_List!$B:$B,0)),""))</f>
        <v>FRYERS CHOICE BLEND</v>
      </c>
      <c r="F491" s="10">
        <f>IF(B491="","",IFERROR(INDEX(Client_List!$J:$J,MATCH(B491,Client_List!$B:$B,0)),""))</f>
        <v>1850</v>
      </c>
      <c r="G491" s="10">
        <v>1883</v>
      </c>
      <c r="H491" s="9" t="str">
        <f>IF(B491="","",IFERROR(A491-LOOKUP(2,1/($B$4:$B490=B491),$A$4:$A490),""))</f>
        <v/>
      </c>
      <c r="I491" s="73" t="str">
        <f t="shared" si="7"/>
        <v/>
      </c>
      <c r="J491" s="9">
        <v>142455</v>
      </c>
      <c r="K491" s="6" t="str">
        <f>IF(B491="","",IFERROR(AVERAGEIFS($I$4:$I491,$B$4:$B491,B491,$I$4:$I491,"&gt;"&amp;0),""))</f>
        <v/>
      </c>
      <c r="L491" s="9" t="str">
        <f>IF(B491="","",IF(ISNA(MATCH(B491,Client_List!$B:$B,0)),"⚠ NOT FOUND","✓"))</f>
        <v>✓</v>
      </c>
    </row>
    <row r="492" spans="1:12" ht="14" customHeight="1" x14ac:dyDescent="0.2">
      <c r="A492" s="56">
        <v>46066</v>
      </c>
      <c r="B492" s="2" t="s">
        <v>59</v>
      </c>
      <c r="C492" s="8" t="str">
        <f>IF(B492="","",IFERROR(INDEX(Client_List!$C:$C,MATCH(B492,Client_List!$B:$B,0)),""))</f>
        <v>1</v>
      </c>
      <c r="D492" s="4" t="str">
        <f>IF(B492="","",IFERROR(INDEX(Client_List!$D:$D,MATCH(B492,Client_List!$B:$B,0)),""))</f>
        <v>1D</v>
      </c>
      <c r="E492" s="4" t="str">
        <f>IF(B492="","",IFERROR(INDEX(Client_List!$K:$K,MATCH(B492,Client_List!$B:$B,0)),""))</f>
        <v>CANOLA OIL</v>
      </c>
      <c r="F492" s="5">
        <f>IF(B492="","",IFERROR(INDEX(Client_List!$J:$J,MATCH(B492,Client_List!$B:$B,0)),""))</f>
        <v>900</v>
      </c>
      <c r="G492" s="5">
        <v>595</v>
      </c>
      <c r="H492" s="4">
        <f>IF(B492="","",IFERROR(A492-LOOKUP(2,1/($B$4:$B491=B492),$A$4:$A491),""))</f>
        <v>8</v>
      </c>
      <c r="I492" s="72">
        <f t="shared" si="7"/>
        <v>74.375</v>
      </c>
      <c r="J492" s="4">
        <v>142510</v>
      </c>
      <c r="K492" s="6">
        <f>IF(B492="","",IFERROR(AVERAGEIFS($I$4:$I492,$B$4:$B492,B492,$I$4:$I492,"&gt;"&amp;0),""))</f>
        <v>73.420265151515153</v>
      </c>
      <c r="L492" s="4" t="str">
        <f>IF(B492="","",IF(ISNA(MATCH(B492,Client_List!$B:$B,0)),"⚠ NOT FOUND","✓"))</f>
        <v>✓</v>
      </c>
    </row>
    <row r="493" spans="1:12" ht="14" customHeight="1" x14ac:dyDescent="0.2">
      <c r="A493" s="57">
        <v>46066</v>
      </c>
      <c r="B493" s="7" t="s">
        <v>365</v>
      </c>
      <c r="C493" s="13">
        <f>IF(B493="","",IFERROR(INDEX(Client_List!$C:$C,MATCH(B493,Client_List!$B:$B,0)),""))</f>
        <v>0</v>
      </c>
      <c r="D493" s="9">
        <f>IF(B493="","",IFERROR(INDEX(Client_List!$D:$D,MATCH(B493,Client_List!$B:$B,0)),""))</f>
        <v>0</v>
      </c>
      <c r="E493" s="9" t="str">
        <f>IF(B493="","",IFERROR(INDEX(Client_List!$K:$K,MATCH(B493,Client_List!$B:$B,0)),""))</f>
        <v>CANOLA OIL</v>
      </c>
      <c r="F493" s="10">
        <f>IF(B493="","",IFERROR(INDEX(Client_List!$J:$J,MATCH(B493,Client_List!$B:$B,0)),""))</f>
        <v>700</v>
      </c>
      <c r="G493" s="10">
        <v>492</v>
      </c>
      <c r="H493" s="9">
        <f>IF(B493="","",IFERROR(A493-LOOKUP(2,1/($B$4:$B492=B493),$A$4:$A492),""))</f>
        <v>5</v>
      </c>
      <c r="I493" s="73">
        <f t="shared" si="7"/>
        <v>98.4</v>
      </c>
      <c r="J493" s="9">
        <v>142505</v>
      </c>
      <c r="K493" s="6">
        <f>IF(B493="","",IFERROR(AVERAGEIFS($I$4:$I493,$B$4:$B493,B493,$I$4:$I493,"&gt;"&amp;0),""))</f>
        <v>57.881150793650797</v>
      </c>
      <c r="L493" s="9" t="str">
        <f>IF(B493="","",IF(ISNA(MATCH(B493,Client_List!$B:$B,0)),"⚠ NOT FOUND","✓"))</f>
        <v>✓</v>
      </c>
    </row>
    <row r="494" spans="1:12" ht="14" customHeight="1" x14ac:dyDescent="0.2">
      <c r="A494" s="56">
        <v>46066</v>
      </c>
      <c r="B494" s="2" t="s">
        <v>77</v>
      </c>
      <c r="C494" s="8" t="str">
        <f>IF(B494="","",IFERROR(INDEX(Client_List!$C:$C,MATCH(B494,Client_List!$B:$B,0)),""))</f>
        <v>1</v>
      </c>
      <c r="D494" s="4" t="str">
        <f>IF(B494="","",IFERROR(INDEX(Client_List!$D:$D,MATCH(B494,Client_List!$B:$B,0)),""))</f>
        <v>1D</v>
      </c>
      <c r="E494" s="4" t="str">
        <f>IF(B494="","",IFERROR(INDEX(Client_List!$K:$K,MATCH(B494,Client_List!$B:$B,0)),""))</f>
        <v>CANOLA OIL</v>
      </c>
      <c r="F494" s="5">
        <f>IF(B494="","",IFERROR(INDEX(Client_List!$J:$J,MATCH(B494,Client_List!$B:$B,0)),""))</f>
        <v>620</v>
      </c>
      <c r="G494" s="5">
        <v>673</v>
      </c>
      <c r="H494" s="4">
        <f>IF(B494="","",IFERROR(A494-LOOKUP(2,1/($B$4:$B493=B494),$A$4:$A493),""))</f>
        <v>8</v>
      </c>
      <c r="I494" s="72">
        <f t="shared" si="7"/>
        <v>84.125</v>
      </c>
      <c r="J494" s="4">
        <v>142504</v>
      </c>
      <c r="K494" s="6">
        <f>IF(B494="","",IFERROR(AVERAGEIFS($I$4:$I494,$B$4:$B494,B494,$I$4:$I494,"&gt;"&amp;0),""))</f>
        <v>66.748809523809513</v>
      </c>
      <c r="L494" s="4" t="str">
        <f>IF(B494="","",IF(ISNA(MATCH(B494,Client_List!$B:$B,0)),"⚠ NOT FOUND","✓"))</f>
        <v>✓</v>
      </c>
    </row>
    <row r="495" spans="1:12" ht="14" customHeight="1" x14ac:dyDescent="0.2">
      <c r="A495" s="57">
        <v>46066</v>
      </c>
      <c r="B495" s="7" t="s">
        <v>83</v>
      </c>
      <c r="C495" s="3" t="str">
        <f>IF(B495="","",IFERROR(INDEX(Client_List!$C:$C,MATCH(B495,Client_List!$B:$B,0)),""))</f>
        <v>4</v>
      </c>
      <c r="D495" s="9" t="str">
        <f>IF(B495="","",IFERROR(INDEX(Client_List!$D:$D,MATCH(B495,Client_List!$B:$B,0)),""))</f>
        <v>4D</v>
      </c>
      <c r="E495" s="9" t="str">
        <f>IF(B495="","",IFERROR(INDEX(Client_List!$K:$K,MATCH(B495,Client_List!$B:$B,0)),""))</f>
        <v>FRYERS CHOICE BLEND</v>
      </c>
      <c r="F495" s="10">
        <f>IF(B495="","",IFERROR(INDEX(Client_List!$J:$J,MATCH(B495,Client_List!$B:$B,0)),""))</f>
        <v>350</v>
      </c>
      <c r="G495" s="10">
        <v>297</v>
      </c>
      <c r="H495" s="9">
        <f>IF(B495="","",IFERROR(A495-LOOKUP(2,1/($B$4:$B494=B495),$A$4:$A494),""))</f>
        <v>14</v>
      </c>
      <c r="I495" s="73">
        <f t="shared" si="7"/>
        <v>21.214285714285715</v>
      </c>
      <c r="J495" s="9">
        <v>142495</v>
      </c>
      <c r="K495" s="6">
        <f>IF(B495="","",IFERROR(AVERAGEIFS($I$4:$I495,$B$4:$B495,B495,$I$4:$I495,"&gt;"&amp;0),""))</f>
        <v>37.025793650793652</v>
      </c>
      <c r="L495" s="9" t="str">
        <f>IF(B495="","",IF(ISNA(MATCH(B495,Client_List!$B:$B,0)),"⚠ NOT FOUND","✓"))</f>
        <v>✓</v>
      </c>
    </row>
    <row r="496" spans="1:12" ht="14" customHeight="1" x14ac:dyDescent="0.2">
      <c r="A496" s="56">
        <v>46066</v>
      </c>
      <c r="B496" s="2" t="s">
        <v>98</v>
      </c>
      <c r="C496" s="12" t="str">
        <f>IF(B496="","",IFERROR(INDEX(Client_List!$C:$C,MATCH(B496,Client_List!$B:$B,0)),""))</f>
        <v>4</v>
      </c>
      <c r="D496" s="4" t="str">
        <f>IF(B496="","",IFERROR(INDEX(Client_List!$D:$D,MATCH(B496,Client_List!$B:$B,0)),""))</f>
        <v>4D</v>
      </c>
      <c r="E496" s="4" t="str">
        <f>IF(B496="","",IFERROR(INDEX(Client_List!$K:$K,MATCH(B496,Client_List!$B:$B,0)),""))</f>
        <v>CANOLA OIL</v>
      </c>
      <c r="F496" s="5">
        <f>IF(B496="","",IFERROR(INDEX(Client_List!$J:$J,MATCH(B496,Client_List!$B:$B,0)),""))</f>
        <v>350</v>
      </c>
      <c r="G496" s="5">
        <v>265</v>
      </c>
      <c r="H496" s="4">
        <f>IF(B496="","",IFERROR(A496-LOOKUP(2,1/($B$4:$B495=B496),$A$4:$A495),""))</f>
        <v>22</v>
      </c>
      <c r="I496" s="72">
        <f t="shared" si="7"/>
        <v>12.045454545454545</v>
      </c>
      <c r="J496" s="4">
        <v>142493</v>
      </c>
      <c r="K496" s="6">
        <f>IF(B496="","",IFERROR(AVERAGEIFS($I$4:$I496,$B$4:$B496,B496,$I$4:$I496,"&gt;"&amp;0),""))</f>
        <v>12.045454545454545</v>
      </c>
      <c r="L496" s="4" t="str">
        <f>IF(B496="","",IF(ISNA(MATCH(B496,Client_List!$B:$B,0)),"⚠ NOT FOUND","✓"))</f>
        <v>✓</v>
      </c>
    </row>
    <row r="497" spans="1:12" ht="14" customHeight="1" x14ac:dyDescent="0.2">
      <c r="A497" s="57">
        <v>46066</v>
      </c>
      <c r="B497" s="7" t="s">
        <v>126</v>
      </c>
      <c r="C497" s="3" t="str">
        <f>IF(B497="","",IFERROR(INDEX(Client_List!$C:$C,MATCH(B497,Client_List!$B:$B,0)),""))</f>
        <v>4</v>
      </c>
      <c r="D497" s="9" t="str">
        <f>IF(B497="","",IFERROR(INDEX(Client_List!$D:$D,MATCH(B497,Client_List!$B:$B,0)),""))</f>
        <v>4D</v>
      </c>
      <c r="E497" s="9" t="str">
        <f>IF(B497="","",IFERROR(INDEX(Client_List!$K:$K,MATCH(B497,Client_List!$B:$B,0)),""))</f>
        <v>CANOLA OIL</v>
      </c>
      <c r="F497" s="10">
        <f>IF(B497="","",IFERROR(INDEX(Client_List!$J:$J,MATCH(B497,Client_List!$B:$B,0)),""))</f>
        <v>700</v>
      </c>
      <c r="G497" s="10">
        <v>490</v>
      </c>
      <c r="H497" s="9">
        <f>IF(B497="","",IFERROR(A497-LOOKUP(2,1/($B$4:$B496=B497),$A$4:$A496),""))</f>
        <v>7</v>
      </c>
      <c r="I497" s="73">
        <f t="shared" si="7"/>
        <v>70</v>
      </c>
      <c r="J497" s="9">
        <v>142490</v>
      </c>
      <c r="K497" s="6">
        <f>IF(B497="","",IFERROR(AVERAGEIFS($I$4:$I497,$B$4:$B497,B497,$I$4:$I497,"&gt;"&amp;0),""))</f>
        <v>68.341666666666669</v>
      </c>
      <c r="L497" s="9" t="str">
        <f>IF(B497="","",IF(ISNA(MATCH(B497,Client_List!$B:$B,0)),"⚠ NOT FOUND","✓"))</f>
        <v>✓</v>
      </c>
    </row>
    <row r="498" spans="1:12" ht="14" customHeight="1" x14ac:dyDescent="0.2">
      <c r="A498" s="56">
        <v>46066</v>
      </c>
      <c r="B498" s="2" t="s">
        <v>142</v>
      </c>
      <c r="C498" s="13" t="str">
        <f>IF(B498="","",IFERROR(INDEX(Client_List!$C:$C,MATCH(B498,Client_List!$B:$B,0)),""))</f>
        <v>4</v>
      </c>
      <c r="D498" s="4" t="str">
        <f>IF(B498="","",IFERROR(INDEX(Client_List!$D:$D,MATCH(B498,Client_List!$B:$B,0)),""))</f>
        <v>4A</v>
      </c>
      <c r="E498" s="4" t="str">
        <f>IF(B498="","",IFERROR(INDEX(Client_List!$K:$K,MATCH(B498,Client_List!$B:$B,0)),""))</f>
        <v>FRYERS CHOICE BLEND</v>
      </c>
      <c r="F498" s="5">
        <f>IF(B498="","",IFERROR(INDEX(Client_List!$J:$J,MATCH(B498,Client_List!$B:$B,0)),""))</f>
        <v>1050</v>
      </c>
      <c r="G498" s="5">
        <v>975</v>
      </c>
      <c r="H498" s="4">
        <f>IF(B498="","",IFERROR(A498-LOOKUP(2,1/($B$4:$B497=B498),$A$4:$A497),""))</f>
        <v>6</v>
      </c>
      <c r="I498" s="72">
        <f t="shared" si="7"/>
        <v>162.5</v>
      </c>
      <c r="J498" s="4">
        <v>142512</v>
      </c>
      <c r="K498" s="6">
        <f>IF(B498="","",IFERROR(AVERAGEIFS($I$4:$I498,$B$4:$B498,B498,$I$4:$I498,"&gt;"&amp;0),""))</f>
        <v>180.27812499999999</v>
      </c>
      <c r="L498" s="4" t="str">
        <f>IF(B498="","",IF(ISNA(MATCH(B498,Client_List!$B:$B,0)),"⚠ NOT FOUND","✓"))</f>
        <v>✓</v>
      </c>
    </row>
    <row r="499" spans="1:12" ht="14" customHeight="1" x14ac:dyDescent="0.2">
      <c r="A499" s="57">
        <v>46066</v>
      </c>
      <c r="B499" s="7" t="s">
        <v>194</v>
      </c>
      <c r="C499" s="8" t="str">
        <f>IF(B499="","",IFERROR(INDEX(Client_List!$C:$C,MATCH(B499,Client_List!$B:$B,0)),""))</f>
        <v>4</v>
      </c>
      <c r="D499" s="9" t="str">
        <f>IF(B499="","",IFERROR(INDEX(Client_List!$D:$D,MATCH(B499,Client_List!$B:$B,0)),""))</f>
        <v>4A</v>
      </c>
      <c r="E499" s="9" t="str">
        <f>IF(B499="","",IFERROR(INDEX(Client_List!$K:$K,MATCH(B499,Client_List!$B:$B,0)),""))</f>
        <v>FRYERS CHOICE BLEND</v>
      </c>
      <c r="F499" s="10">
        <f>IF(B499="","",IFERROR(INDEX(Client_List!$J:$J,MATCH(B499,Client_List!$B:$B,0)),""))</f>
        <v>620</v>
      </c>
      <c r="G499" s="10">
        <v>388</v>
      </c>
      <c r="H499" s="9">
        <f>IF(B499="","",IFERROR(A499-LOOKUP(2,1/($B$4:$B498=B499),$A$4:$A498),""))</f>
        <v>21</v>
      </c>
      <c r="I499" s="73">
        <f t="shared" si="7"/>
        <v>18.476190476190474</v>
      </c>
      <c r="J499" s="9">
        <v>142509</v>
      </c>
      <c r="K499" s="6">
        <f>IF(B499="","",IFERROR(AVERAGEIFS($I$4:$I499,$B$4:$B499,B499,$I$4:$I499,"&gt;"&amp;0),""))</f>
        <v>18.682539682539684</v>
      </c>
      <c r="L499" s="9" t="str">
        <f>IF(B499="","",IF(ISNA(MATCH(B499,Client_List!$B:$B,0)),"⚠ NOT FOUND","✓"))</f>
        <v>✓</v>
      </c>
    </row>
    <row r="500" spans="1:12" ht="14" customHeight="1" x14ac:dyDescent="0.2">
      <c r="A500" s="56">
        <v>46066</v>
      </c>
      <c r="B500" s="2" t="s">
        <v>210</v>
      </c>
      <c r="C500" s="12" t="str">
        <f>IF(B500="","",IFERROR(INDEX(Client_List!$C:$C,MATCH(B500,Client_List!$B:$B,0)),""))</f>
        <v>4</v>
      </c>
      <c r="D500" s="4" t="str">
        <f>IF(B500="","",IFERROR(INDEX(Client_List!$D:$D,MATCH(B500,Client_List!$B:$B,0)),""))</f>
        <v>4C</v>
      </c>
      <c r="E500" s="4" t="str">
        <f>IF(B500="","",IFERROR(INDEX(Client_List!$K:$K,MATCH(B500,Client_List!$B:$B,0)),""))</f>
        <v>CANOLA OIL</v>
      </c>
      <c r="F500" s="5">
        <f>IF(B500="","",IFERROR(INDEX(Client_List!$J:$J,MATCH(B500,Client_List!$B:$B,0)),""))</f>
        <v>630</v>
      </c>
      <c r="G500" s="5">
        <v>505</v>
      </c>
      <c r="H500" s="4">
        <f>IF(B500="","",IFERROR(A500-LOOKUP(2,1/($B$4:$B499=B500),$A$4:$A499),""))</f>
        <v>22</v>
      </c>
      <c r="I500" s="72">
        <f t="shared" si="7"/>
        <v>22.954545454545453</v>
      </c>
      <c r="J500" s="4">
        <v>142491</v>
      </c>
      <c r="K500" s="6">
        <f>IF(B500="","",IFERROR(AVERAGEIFS($I$4:$I500,$B$4:$B500,B500,$I$4:$I500,"&gt;"&amp;0),""))</f>
        <v>22.954545454545453</v>
      </c>
      <c r="L500" s="4" t="str">
        <f>IF(B500="","",IF(ISNA(MATCH(B500,Client_List!$B:$B,0)),"⚠ NOT FOUND","✓"))</f>
        <v>✓</v>
      </c>
    </row>
    <row r="501" spans="1:12" ht="14" customHeight="1" x14ac:dyDescent="0.2">
      <c r="A501" s="57">
        <v>46066</v>
      </c>
      <c r="B501" s="7" t="s">
        <v>252</v>
      </c>
      <c r="C501" s="12" t="str">
        <f>IF(B501="","",IFERROR(INDEX(Client_List!$C:$C,MATCH(B501,Client_List!$B:$B,0)),""))</f>
        <v>4</v>
      </c>
      <c r="D501" s="9" t="str">
        <f>IF(B501="","",IFERROR(INDEX(Client_List!$D:$D,MATCH(B501,Client_List!$B:$B,0)),""))</f>
        <v>4E</v>
      </c>
      <c r="E501" s="9" t="str">
        <f>IF(B501="","",IFERROR(INDEX(Client_List!$K:$K,MATCH(B501,Client_List!$B:$B,0)),""))</f>
        <v>FRYERS CHOICE BLEND</v>
      </c>
      <c r="F501" s="10">
        <f>IF(B501="","",IFERROR(INDEX(Client_List!$J:$J,MATCH(B501,Client_List!$B:$B,0)),""))</f>
        <v>1950</v>
      </c>
      <c r="G501" s="10">
        <v>1451</v>
      </c>
      <c r="H501" s="9">
        <f>IF(B501="","",IFERROR(A501-LOOKUP(2,1/($B$4:$B500=B501),$A$4:$A500),""))</f>
        <v>10</v>
      </c>
      <c r="I501" s="73">
        <f t="shared" si="7"/>
        <v>145.1</v>
      </c>
      <c r="J501" s="9">
        <v>142494</v>
      </c>
      <c r="K501" s="6">
        <f>IF(B501="","",IFERROR(AVERAGEIFS($I$4:$I501,$B$4:$B501,B501,$I$4:$I501,"&gt;"&amp;0),""))</f>
        <v>143.35993265993264</v>
      </c>
      <c r="L501" s="9" t="str">
        <f>IF(B501="","",IF(ISNA(MATCH(B501,Client_List!$B:$B,0)),"⚠ NOT FOUND","✓"))</f>
        <v>✓</v>
      </c>
    </row>
    <row r="502" spans="1:12" ht="14" customHeight="1" x14ac:dyDescent="0.2">
      <c r="A502" s="56">
        <v>46066</v>
      </c>
      <c r="B502" s="2" t="s">
        <v>278</v>
      </c>
      <c r="C502" s="8" t="str">
        <f>IF(B502="","",IFERROR(INDEX(Client_List!$C:$C,MATCH(B502,Client_List!$B:$B,0)),""))</f>
        <v>3</v>
      </c>
      <c r="D502" s="4" t="str">
        <f>IF(B502="","",IFERROR(INDEX(Client_List!$D:$D,MATCH(B502,Client_List!$B:$B,0)),""))</f>
        <v>3A</v>
      </c>
      <c r="E502" s="4" t="str">
        <f>IF(B502="","",IFERROR(INDEX(Client_List!$K:$K,MATCH(B502,Client_List!$B:$B,0)),""))</f>
        <v>CANOLA OIL</v>
      </c>
      <c r="F502" s="5">
        <f>IF(B502="","",IFERROR(INDEX(Client_List!$J:$J,MATCH(B502,Client_List!$B:$B,0)),""))</f>
        <v>1850</v>
      </c>
      <c r="G502" s="5">
        <v>600</v>
      </c>
      <c r="H502" s="4">
        <f>IF(B502="","",IFERROR(A502-LOOKUP(2,1/($B$4:$B501=B502),$A$4:$A501),""))</f>
        <v>7</v>
      </c>
      <c r="I502" s="72">
        <f t="shared" si="7"/>
        <v>85.714285714285708</v>
      </c>
      <c r="J502" s="4">
        <v>142450</v>
      </c>
      <c r="K502" s="6">
        <f>IF(B502="","",IFERROR(AVERAGEIFS($I$4:$I502,$B$4:$B502,B502,$I$4:$I502,"&gt;"&amp;0),""))</f>
        <v>78.198051948051955</v>
      </c>
      <c r="L502" s="4" t="str">
        <f>IF(B502="","",IF(ISNA(MATCH(B502,Client_List!$B:$B,0)),"⚠ NOT FOUND","✓"))</f>
        <v>✓</v>
      </c>
    </row>
    <row r="503" spans="1:12" ht="14" customHeight="1" x14ac:dyDescent="0.2">
      <c r="A503" s="57">
        <v>46066</v>
      </c>
      <c r="B503" s="7" t="s">
        <v>282</v>
      </c>
      <c r="C503" s="8" t="str">
        <f>IF(B503="","",IFERROR(INDEX(Client_List!$C:$C,MATCH(B503,Client_List!$B:$B,0)),""))</f>
        <v>1</v>
      </c>
      <c r="D503" s="9" t="str">
        <f>IF(B503="","",IFERROR(INDEX(Client_List!$D:$D,MATCH(B503,Client_List!$B:$B,0)),""))</f>
        <v>1E</v>
      </c>
      <c r="E503" s="9" t="str">
        <f>IF(B503="","",IFERROR(INDEX(Client_List!$K:$K,MATCH(B503,Client_List!$B:$B,0)),""))</f>
        <v>FRYERS CHOICE BLEND</v>
      </c>
      <c r="F503" s="10">
        <f>IF(B503="","",IFERROR(INDEX(Client_List!$J:$J,MATCH(B503,Client_List!$B:$B,0)),""))</f>
        <v>1100</v>
      </c>
      <c r="G503" s="10">
        <v>867</v>
      </c>
      <c r="H503" s="9">
        <f>IF(B503="","",IFERROR(A503-LOOKUP(2,1/($B$4:$B502=B503),$A$4:$A502),""))</f>
        <v>16</v>
      </c>
      <c r="I503" s="73">
        <f t="shared" si="7"/>
        <v>54.1875</v>
      </c>
      <c r="J503" s="9">
        <v>142511</v>
      </c>
      <c r="K503" s="6">
        <f>IF(B503="","",IFERROR(AVERAGEIFS($I$4:$I503,$B$4:$B503,B503,$I$4:$I503,"&gt;"&amp;0),""))</f>
        <v>46.434659090909093</v>
      </c>
      <c r="L503" s="9" t="str">
        <f>IF(B503="","",IF(ISNA(MATCH(B503,Client_List!$B:$B,0)),"⚠ NOT FOUND","✓"))</f>
        <v>✓</v>
      </c>
    </row>
    <row r="504" spans="1:12" ht="14" customHeight="1" x14ac:dyDescent="0.2">
      <c r="A504" s="56">
        <v>46066</v>
      </c>
      <c r="B504" s="2" t="s">
        <v>298</v>
      </c>
      <c r="C504" s="8" t="str">
        <f>IF(B504="","",IFERROR(INDEX(Client_List!$C:$C,MATCH(B504,Client_List!$B:$B,0)),""))</f>
        <v>1</v>
      </c>
      <c r="D504" s="4" t="str">
        <f>IF(B504="","",IFERROR(INDEX(Client_List!$D:$D,MATCH(B504,Client_List!$B:$B,0)),""))</f>
        <v>1C</v>
      </c>
      <c r="E504" s="4" t="str">
        <f>IF(B504="","",IFERROR(INDEX(Client_List!$K:$K,MATCH(B504,Client_List!$B:$B,0)),""))</f>
        <v>CANOLA OIL</v>
      </c>
      <c r="F504" s="5">
        <f>IF(B504="","",IFERROR(INDEX(Client_List!$J:$J,MATCH(B504,Client_List!$B:$B,0)),""))</f>
        <v>950</v>
      </c>
      <c r="G504" s="5">
        <v>634</v>
      </c>
      <c r="H504" s="4">
        <f>IF(B504="","",IFERROR(A504-LOOKUP(2,1/($B$4:$B503=B504),$A$4:$A503),""))</f>
        <v>14</v>
      </c>
      <c r="I504" s="72">
        <f t="shared" si="7"/>
        <v>45.285714285714285</v>
      </c>
      <c r="J504" s="4">
        <v>142506</v>
      </c>
      <c r="K504" s="6">
        <f>IF(B504="","",IFERROR(AVERAGEIFS($I$4:$I504,$B$4:$B504,B504,$I$4:$I504,"&gt;"&amp;0),""))</f>
        <v>46.408424908424905</v>
      </c>
      <c r="L504" s="4" t="str">
        <f>IF(B504="","",IF(ISNA(MATCH(B504,Client_List!$B:$B,0)),"⚠ NOT FOUND","✓"))</f>
        <v>✓</v>
      </c>
    </row>
    <row r="505" spans="1:12" ht="14" customHeight="1" x14ac:dyDescent="0.2">
      <c r="A505" s="57">
        <v>46066</v>
      </c>
      <c r="B505" s="7" t="s">
        <v>300</v>
      </c>
      <c r="C505" s="12" t="str">
        <f>IF(B505="","",IFERROR(INDEX(Client_List!$C:$C,MATCH(B505,Client_List!$B:$B,0)),""))</f>
        <v>4</v>
      </c>
      <c r="D505" s="9" t="str">
        <f>IF(B505="","",IFERROR(INDEX(Client_List!$D:$D,MATCH(B505,Client_List!$B:$B,0)),""))</f>
        <v>4C</v>
      </c>
      <c r="E505" s="9" t="str">
        <f>IF(B505="","",IFERROR(INDEX(Client_List!$K:$K,MATCH(B505,Client_List!$B:$B,0)),""))</f>
        <v>FRYERS CHOICE BLEND</v>
      </c>
      <c r="F505" s="10">
        <f>IF(B505="","",IFERROR(INDEX(Client_List!$J:$J,MATCH(B505,Client_List!$B:$B,0)),""))</f>
        <v>350</v>
      </c>
      <c r="G505" s="10">
        <v>194</v>
      </c>
      <c r="H505" s="9">
        <f>IF(B505="","",IFERROR(A505-LOOKUP(2,1/($B$4:$B504=B505),$A$4:$A504),""))</f>
        <v>4</v>
      </c>
      <c r="I505" s="73">
        <f t="shared" si="7"/>
        <v>48.5</v>
      </c>
      <c r="J505" s="9">
        <v>142492</v>
      </c>
      <c r="K505" s="6">
        <f>IF(B505="","",IFERROR(AVERAGEIFS($I$4:$I505,$B$4:$B505,B505,$I$4:$I505,"&gt;"&amp;0),""))</f>
        <v>34.023809523809526</v>
      </c>
      <c r="L505" s="9" t="str">
        <f>IF(B505="","",IF(ISNA(MATCH(B505,Client_List!$B:$B,0)),"⚠ NOT FOUND","✓"))</f>
        <v>✓</v>
      </c>
    </row>
    <row r="506" spans="1:12" ht="14" customHeight="1" x14ac:dyDescent="0.2">
      <c r="A506" s="56">
        <v>46066</v>
      </c>
      <c r="B506" s="2" t="s">
        <v>304</v>
      </c>
      <c r="C506" s="13" t="str">
        <f>IF(B506="","",IFERROR(INDEX(Client_List!$C:$C,MATCH(B506,Client_List!$B:$B,0)),""))</f>
        <v>3</v>
      </c>
      <c r="D506" s="4" t="str">
        <f>IF(B506="","",IFERROR(INDEX(Client_List!$D:$D,MATCH(B506,Client_List!$B:$B,0)),""))</f>
        <v>3B</v>
      </c>
      <c r="E506" s="4" t="str">
        <f>IF(B506="","",IFERROR(INDEX(Client_List!$K:$K,MATCH(B506,Client_List!$B:$B,0)),""))</f>
        <v>CANOLA OIL</v>
      </c>
      <c r="F506" s="5">
        <f>IF(B506="","",IFERROR(INDEX(Client_List!$J:$J,MATCH(B506,Client_List!$B:$B,0)),""))</f>
        <v>350</v>
      </c>
      <c r="G506" s="5">
        <v>245</v>
      </c>
      <c r="H506" s="4">
        <f>IF(B506="","",IFERROR(A506-LOOKUP(2,1/($B$4:$B505=B506),$A$4:$A505),""))</f>
        <v>6</v>
      </c>
      <c r="I506" s="72">
        <f t="shared" si="7"/>
        <v>40.833333333333336</v>
      </c>
      <c r="J506" s="4">
        <v>142508</v>
      </c>
      <c r="K506" s="6">
        <f>IF(B506="","",IFERROR(AVERAGEIFS($I$4:$I506,$B$4:$B506,B506,$I$4:$I506,"&gt;"&amp;0),""))</f>
        <v>44.652777777777779</v>
      </c>
      <c r="L506" s="4" t="str">
        <f>IF(B506="","",IF(ISNA(MATCH(B506,Client_List!$B:$B,0)),"⚠ NOT FOUND","✓"))</f>
        <v>✓</v>
      </c>
    </row>
    <row r="507" spans="1:12" ht="14" customHeight="1" x14ac:dyDescent="0.2">
      <c r="A507" s="57">
        <v>46066</v>
      </c>
      <c r="B507" s="7" t="s">
        <v>320</v>
      </c>
      <c r="C507" s="8" t="str">
        <f>IF(B507="","",IFERROR(INDEX(Client_List!$C:$C,MATCH(B507,Client_List!$B:$B,0)),""))</f>
        <v>1</v>
      </c>
      <c r="D507" s="9" t="str">
        <f>IF(B507="","",IFERROR(INDEX(Client_List!$D:$D,MATCH(B507,Client_List!$B:$B,0)),""))</f>
        <v>1E</v>
      </c>
      <c r="E507" s="9" t="str">
        <f>IF(B507="","",IFERROR(INDEX(Client_List!$K:$K,MATCH(B507,Client_List!$B:$B,0)),""))</f>
        <v>CANOLA OIL</v>
      </c>
      <c r="F507" s="10">
        <f>IF(B507="","",IFERROR(INDEX(Client_List!$J:$J,MATCH(B507,Client_List!$B:$B,0)),""))</f>
        <v>1050</v>
      </c>
      <c r="G507" s="10">
        <v>913</v>
      </c>
      <c r="H507" s="9">
        <f>IF(B507="","",IFERROR(A507-LOOKUP(2,1/($B$4:$B506=B507),$A$4:$A506),""))</f>
        <v>13</v>
      </c>
      <c r="I507" s="73">
        <f t="shared" si="7"/>
        <v>70.230769230769226</v>
      </c>
      <c r="J507" s="9">
        <v>142503</v>
      </c>
      <c r="K507" s="6">
        <f>IF(B507="","",IFERROR(AVERAGEIFS($I$4:$I507,$B$4:$B507,B507,$I$4:$I507,"&gt;"&amp;0),""))</f>
        <v>67.382051282051279</v>
      </c>
      <c r="L507" s="9" t="str">
        <f>IF(B507="","",IF(ISNA(MATCH(B507,Client_List!$B:$B,0)),"⚠ NOT FOUND","✓"))</f>
        <v>✓</v>
      </c>
    </row>
    <row r="508" spans="1:12" ht="14" customHeight="1" x14ac:dyDescent="0.2">
      <c r="A508" s="56">
        <v>46066</v>
      </c>
      <c r="B508" s="2" t="s">
        <v>340</v>
      </c>
      <c r="C508" s="3" t="str">
        <f>IF(B508="","",IFERROR(INDEX(Client_List!$C:$C,MATCH(B508,Client_List!$B:$B,0)),""))</f>
        <v>2</v>
      </c>
      <c r="D508" s="4" t="str">
        <f>IF(B508="","",IFERROR(INDEX(Client_List!$D:$D,MATCH(B508,Client_List!$B:$B,0)),""))</f>
        <v>2C</v>
      </c>
      <c r="E508" s="4" t="str">
        <f>IF(B508="","",IFERROR(INDEX(Client_List!$K:$K,MATCH(B508,Client_List!$B:$B,0)),""))</f>
        <v>FRYERS CHOICE BLEND</v>
      </c>
      <c r="F508" s="5">
        <f>IF(B508="","",IFERROR(INDEX(Client_List!$J:$J,MATCH(B508,Client_List!$B:$B,0)),""))</f>
        <v>300</v>
      </c>
      <c r="G508" s="5">
        <v>230</v>
      </c>
      <c r="H508" s="4">
        <f>IF(B508="","",IFERROR(A508-LOOKUP(2,1/($B$4:$B507=B508),$A$4:$A507),""))</f>
        <v>9</v>
      </c>
      <c r="I508" s="72">
        <f t="shared" si="7"/>
        <v>25.555555555555557</v>
      </c>
      <c r="J508" s="4">
        <v>142507</v>
      </c>
      <c r="K508" s="6">
        <f>IF(B508="","",IFERROR(AVERAGEIFS($I$4:$I508,$B$4:$B508,B508,$I$4:$I508,"&gt;"&amp;0),""))</f>
        <v>30.79220779220779</v>
      </c>
      <c r="L508" s="4" t="str">
        <f>IF(B508="","",IF(ISNA(MATCH(B508,Client_List!$B:$B,0)),"⚠ NOT FOUND","✓"))</f>
        <v>✓</v>
      </c>
    </row>
    <row r="509" spans="1:12" ht="14" customHeight="1" x14ac:dyDescent="0.2">
      <c r="A509" s="57">
        <v>46067</v>
      </c>
      <c r="B509" s="7" t="s">
        <v>364</v>
      </c>
      <c r="C509" s="3">
        <f>IF(B509="","",IFERROR(INDEX(Client_List!$C:$C,MATCH(B509,Client_List!$B:$B,0)),""))</f>
        <v>0</v>
      </c>
      <c r="D509" s="9" t="str">
        <f>IF(B509="","",IFERROR(INDEX(Client_List!$D:$D,MATCH(B509,Client_List!$B:$B,0)),""))</f>
        <v>TU</v>
      </c>
      <c r="E509" s="9" t="str">
        <f>IF(B509="","",IFERROR(INDEX(Client_List!$K:$K,MATCH(B509,Client_List!$B:$B,0)),""))</f>
        <v>FRYERS CHOICE BLEND</v>
      </c>
      <c r="F509" s="10">
        <f>IF(B509="","",IFERROR(INDEX(Client_List!$J:$J,MATCH(B509,Client_List!$B:$B,0)),""))</f>
        <v>1000</v>
      </c>
      <c r="G509" s="10">
        <v>708</v>
      </c>
      <c r="H509" s="9">
        <f>IF(B509="","",IFERROR(A509-LOOKUP(2,1/($B$4:$B508=B509),$A$4:$A508),""))</f>
        <v>14</v>
      </c>
      <c r="I509" s="73">
        <f t="shared" si="7"/>
        <v>50.571428571428569</v>
      </c>
      <c r="J509" s="9">
        <v>142535</v>
      </c>
      <c r="K509" s="6">
        <f>IF(B509="","",IFERROR(AVERAGEIFS($I$4:$I509,$B$4:$B509,B509,$I$4:$I509,"&gt;"&amp;0),""))</f>
        <v>52.952380952380942</v>
      </c>
      <c r="L509" s="9" t="str">
        <f>IF(B509="","",IF(ISNA(MATCH(B509,Client_List!$B:$B,0)),"⚠ NOT FOUND","✓"))</f>
        <v>✓</v>
      </c>
    </row>
    <row r="510" spans="1:12" ht="14" customHeight="1" x14ac:dyDescent="0.2">
      <c r="A510" s="56">
        <v>46067</v>
      </c>
      <c r="B510" s="2" t="s">
        <v>69</v>
      </c>
      <c r="C510" s="3" t="str">
        <f>IF(B510="","",IFERROR(INDEX(Client_List!$C:$C,MATCH(B510,Client_List!$B:$B,0)),""))</f>
        <v>5</v>
      </c>
      <c r="D510" s="4" t="str">
        <f>IF(B510="","",IFERROR(INDEX(Client_List!$D:$D,MATCH(B510,Client_List!$B:$B,0)),""))</f>
        <v>5D</v>
      </c>
      <c r="E510" s="4" t="str">
        <f>IF(B510="","",IFERROR(INDEX(Client_List!$K:$K,MATCH(B510,Client_List!$B:$B,0)),""))</f>
        <v>CANOLA OIL</v>
      </c>
      <c r="F510" s="5">
        <f>IF(B510="","",IFERROR(INDEX(Client_List!$J:$J,MATCH(B510,Client_List!$B:$B,0)),""))</f>
        <v>1050</v>
      </c>
      <c r="G510" s="5">
        <v>977</v>
      </c>
      <c r="H510" s="4">
        <f>IF(B510="","",IFERROR(A510-LOOKUP(2,1/($B$4:$B509=B510),$A$4:$A509),""))</f>
        <v>16</v>
      </c>
      <c r="I510" s="72">
        <f t="shared" si="7"/>
        <v>61.0625</v>
      </c>
      <c r="J510" s="4">
        <v>142553</v>
      </c>
      <c r="K510" s="6">
        <f>IF(B510="","",IFERROR(AVERAGEIFS($I$4:$I510,$B$4:$B510,B510,$I$4:$I510,"&gt;"&amp;0),""))</f>
        <v>62.709821428571431</v>
      </c>
      <c r="L510" s="4" t="str">
        <f>IF(B510="","",IF(ISNA(MATCH(B510,Client_List!$B:$B,0)),"⚠ NOT FOUND","✓"))</f>
        <v>✓</v>
      </c>
    </row>
    <row r="511" spans="1:12" ht="14" customHeight="1" x14ac:dyDescent="0.2">
      <c r="A511" s="57">
        <v>46067</v>
      </c>
      <c r="B511" s="7" t="s">
        <v>380</v>
      </c>
      <c r="C511" s="11">
        <f>IF(B511="","",IFERROR(INDEX(Client_List!$C:$C,MATCH(B511,Client_List!$B:$B,0)),""))</f>
        <v>0</v>
      </c>
      <c r="D511" s="9">
        <f>IF(B511="","",IFERROR(INDEX(Client_List!$D:$D,MATCH(B511,Client_List!$B:$B,0)),""))</f>
        <v>0</v>
      </c>
      <c r="E511" s="9" t="str">
        <f>IF(B511="","",IFERROR(INDEX(Client_List!$K:$K,MATCH(B511,Client_List!$B:$B,0)),""))</f>
        <v>CANOLA OIL</v>
      </c>
      <c r="F511" s="10">
        <f>IF(B511="","",IFERROR(INDEX(Client_List!$J:$J,MATCH(B511,Client_List!$B:$B,0)),""))</f>
        <v>2500</v>
      </c>
      <c r="G511" s="10">
        <v>1636</v>
      </c>
      <c r="H511" s="9" t="str">
        <f>IF(B511="","",IFERROR(A511-LOOKUP(2,1/($B$4:$B510=B511),$A$4:$A510),""))</f>
        <v/>
      </c>
      <c r="I511" s="73" t="str">
        <f t="shared" si="7"/>
        <v/>
      </c>
      <c r="J511" s="9">
        <v>142540</v>
      </c>
      <c r="K511" s="6" t="str">
        <f>IF(B511="","",IFERROR(AVERAGEIFS($I$4:$I511,$B$4:$B511,B511,$I$4:$I511,"&gt;"&amp;0),""))</f>
        <v/>
      </c>
      <c r="L511" s="9" t="str">
        <f>IF(B511="","",IF(ISNA(MATCH(B511,Client_List!$B:$B,0)),"⚠ NOT FOUND","✓"))</f>
        <v>✓</v>
      </c>
    </row>
    <row r="512" spans="1:12" ht="14" customHeight="1" x14ac:dyDescent="0.2">
      <c r="A512" s="56">
        <v>46067</v>
      </c>
      <c r="B512" s="2" t="s">
        <v>367</v>
      </c>
      <c r="C512" s="3">
        <f>IF(B512="","",IFERROR(INDEX(Client_List!$C:$C,MATCH(B512,Client_List!$B:$B,0)),""))</f>
        <v>0</v>
      </c>
      <c r="D512" s="4" t="str">
        <f>IF(B512="","",IFERROR(INDEX(Client_List!$D:$D,MATCH(B512,Client_List!$B:$B,0)),""))</f>
        <v>T</v>
      </c>
      <c r="E512" s="4" t="str">
        <f>IF(B512="","",IFERROR(INDEX(Client_List!$K:$K,MATCH(B512,Client_List!$B:$B,0)),""))</f>
        <v>CANOLA OIL</v>
      </c>
      <c r="F512" s="5">
        <f>IF(B512="","",IFERROR(INDEX(Client_List!$J:$J,MATCH(B512,Client_List!$B:$B,0)),""))</f>
        <v>500</v>
      </c>
      <c r="G512" s="5">
        <v>345</v>
      </c>
      <c r="H512" s="4">
        <f>IF(B512="","",IFERROR(A512-LOOKUP(2,1/($B$4:$B511=B512),$A$4:$A511),""))</f>
        <v>14</v>
      </c>
      <c r="I512" s="72">
        <f t="shared" si="7"/>
        <v>24.642857142857142</v>
      </c>
      <c r="J512" s="4">
        <v>142539</v>
      </c>
      <c r="K512" s="6">
        <f>IF(B512="","",IFERROR(AVERAGEIFS($I$4:$I512,$B$4:$B512,B512,$I$4:$I512,"&gt;"&amp;0),""))</f>
        <v>29.88095238095238</v>
      </c>
      <c r="L512" s="4" t="str">
        <f>IF(B512="","",IF(ISNA(MATCH(B512,Client_List!$B:$B,0)),"⚠ NOT FOUND","✓"))</f>
        <v>✓</v>
      </c>
    </row>
    <row r="513" spans="1:12" ht="14" customHeight="1" x14ac:dyDescent="0.2">
      <c r="A513" s="57">
        <v>46067</v>
      </c>
      <c r="B513" s="7" t="s">
        <v>368</v>
      </c>
      <c r="C513" s="11">
        <f>IF(B513="","",IFERROR(INDEX(Client_List!$C:$C,MATCH(B513,Client_List!$B:$B,0)),""))</f>
        <v>0</v>
      </c>
      <c r="D513" s="9" t="str">
        <f>IF(B513="","",IFERROR(INDEX(Client_List!$D:$D,MATCH(B513,Client_List!$B:$B,0)),""))</f>
        <v>TU</v>
      </c>
      <c r="E513" s="9" t="str">
        <f>IF(B513="","",IFERROR(INDEX(Client_List!$K:$K,MATCH(B513,Client_List!$B:$B,0)),""))</f>
        <v>CANOLA OIL</v>
      </c>
      <c r="F513" s="10">
        <f>IF(B513="","",IFERROR(INDEX(Client_List!$J:$J,MATCH(B513,Client_List!$B:$B,0)),""))</f>
        <v>950</v>
      </c>
      <c r="G513" s="10">
        <v>633</v>
      </c>
      <c r="H513" s="9">
        <f>IF(B513="","",IFERROR(A513-LOOKUP(2,1/($B$4:$B512=B513),$A$4:$A512),""))</f>
        <v>14</v>
      </c>
      <c r="I513" s="73">
        <f t="shared" si="7"/>
        <v>45.214285714285715</v>
      </c>
      <c r="J513" s="9">
        <v>142551</v>
      </c>
      <c r="K513" s="6">
        <f>IF(B513="","",IFERROR(AVERAGEIFS($I$4:$I513,$B$4:$B513,B513,$I$4:$I513,"&gt;"&amp;0),""))</f>
        <v>45.142857142857146</v>
      </c>
      <c r="L513" s="9" t="str">
        <f>IF(B513="","",IF(ISNA(MATCH(B513,Client_List!$B:$B,0)),"⚠ NOT FOUND","✓"))</f>
        <v>✓</v>
      </c>
    </row>
    <row r="514" spans="1:12" ht="14" customHeight="1" x14ac:dyDescent="0.2">
      <c r="A514" s="56">
        <v>46067</v>
      </c>
      <c r="B514" s="2" t="s">
        <v>369</v>
      </c>
      <c r="C514" s="11">
        <f>IF(B514="","",IFERROR(INDEX(Client_List!$C:$C,MATCH(B514,Client_List!$B:$B,0)),""))</f>
        <v>0</v>
      </c>
      <c r="D514" s="4" t="str">
        <f>IF(B514="","",IFERROR(INDEX(Client_List!$D:$D,MATCH(B514,Client_List!$B:$B,0)),""))</f>
        <v>TU</v>
      </c>
      <c r="E514" s="4" t="str">
        <f>IF(B514="","",IFERROR(INDEX(Client_List!$K:$K,MATCH(B514,Client_List!$B:$B,0)),""))</f>
        <v>CANOLA OIL</v>
      </c>
      <c r="F514" s="5">
        <f>IF(B514="","",IFERROR(INDEX(Client_List!$J:$J,MATCH(B514,Client_List!$B:$B,0)),""))</f>
        <v>700</v>
      </c>
      <c r="G514" s="5">
        <v>372</v>
      </c>
      <c r="H514" s="4">
        <f>IF(B514="","",IFERROR(A514-LOOKUP(2,1/($B$4:$B513=B514),$A$4:$A513),""))</f>
        <v>14</v>
      </c>
      <c r="I514" s="72">
        <f t="shared" si="7"/>
        <v>26.571428571428573</v>
      </c>
      <c r="J514" s="4">
        <v>142550</v>
      </c>
      <c r="K514" s="6">
        <f>IF(B514="","",IFERROR(AVERAGEIFS($I$4:$I514,$B$4:$B514,B514,$I$4:$I514,"&gt;"&amp;0),""))</f>
        <v>25.214285714285712</v>
      </c>
      <c r="L514" s="4" t="str">
        <f>IF(B514="","",IF(ISNA(MATCH(B514,Client_List!$B:$B,0)),"⚠ NOT FOUND","✓"))</f>
        <v>✓</v>
      </c>
    </row>
    <row r="515" spans="1:12" ht="14" customHeight="1" x14ac:dyDescent="0.2">
      <c r="A515" s="57">
        <v>46067</v>
      </c>
      <c r="B515" s="7" t="s">
        <v>379</v>
      </c>
      <c r="C515" s="12">
        <f>IF(B515="","",IFERROR(INDEX(Client_List!$C:$C,MATCH(B515,Client_List!$B:$B,0)),""))</f>
        <v>0</v>
      </c>
      <c r="D515" s="9" t="str">
        <f>IF(B515="","",IFERROR(INDEX(Client_List!$D:$D,MATCH(B515,Client_List!$B:$B,0)),""))</f>
        <v>C</v>
      </c>
      <c r="E515" s="9" t="str">
        <f>IF(B515="","",IFERROR(INDEX(Client_List!$K:$K,MATCH(B515,Client_List!$B:$B,0)),""))</f>
        <v>FRYERS CHOICE BLEND</v>
      </c>
      <c r="F515" s="10">
        <f>IF(B515="","",IFERROR(INDEX(Client_List!$J:$J,MATCH(B515,Client_List!$B:$B,0)),""))</f>
        <v>700</v>
      </c>
      <c r="G515" s="10">
        <v>515</v>
      </c>
      <c r="H515" s="9">
        <f>IF(B515="","",IFERROR(A515-LOOKUP(2,1/($B$4:$B514=B515),$A$4:$A514),""))</f>
        <v>14</v>
      </c>
      <c r="I515" s="73">
        <f t="shared" si="7"/>
        <v>36.785714285714285</v>
      </c>
      <c r="J515" s="9">
        <v>142566</v>
      </c>
      <c r="K515" s="6">
        <f>IF(B515="","",IFERROR(AVERAGEIFS($I$4:$I515,$B$4:$B515,B515,$I$4:$I515,"&gt;"&amp;0),""))</f>
        <v>36.321428571428569</v>
      </c>
      <c r="L515" s="9" t="str">
        <f>IF(B515="","",IF(ISNA(MATCH(B515,Client_List!$B:$B,0)),"⚠ NOT FOUND","✓"))</f>
        <v>✓</v>
      </c>
    </row>
    <row r="516" spans="1:12" ht="14" customHeight="1" x14ac:dyDescent="0.2">
      <c r="A516" s="56">
        <v>46067</v>
      </c>
      <c r="B516" s="2" t="s">
        <v>330</v>
      </c>
      <c r="C516" s="3" t="str">
        <f>IF(B516="","",IFERROR(INDEX(Client_List!$C:$C,MATCH(B516,Client_List!$B:$B,0)),""))</f>
        <v>1</v>
      </c>
      <c r="D516" s="4" t="str">
        <f>IF(B516="","",IFERROR(INDEX(Client_List!$D:$D,MATCH(B516,Client_List!$B:$B,0)),""))</f>
        <v>1E</v>
      </c>
      <c r="E516" s="4" t="str">
        <f>IF(B516="","",IFERROR(INDEX(Client_List!$K:$K,MATCH(B516,Client_List!$B:$B,0)),""))</f>
        <v>CANOLA OIL</v>
      </c>
      <c r="F516" s="5">
        <f>IF(B516="","",IFERROR(INDEX(Client_List!$J:$J,MATCH(B516,Client_List!$B:$B,0)),""))</f>
        <v>1050</v>
      </c>
      <c r="G516" s="5">
        <v>877</v>
      </c>
      <c r="H516" s="4">
        <f>IF(B516="","",IFERROR(A516-LOOKUP(2,1/($B$4:$B515=B516),$A$4:$A515),""))</f>
        <v>17</v>
      </c>
      <c r="I516" s="72">
        <f t="shared" ref="I516:I579" si="8">IF(B516="","",IFERROR(G516/H516,""))</f>
        <v>51.588235294117645</v>
      </c>
      <c r="J516" s="4">
        <v>142502</v>
      </c>
      <c r="K516" s="6">
        <f>IF(B516="","",IFERROR(AVERAGEIFS($I$4:$I516,$B$4:$B516,B516,$I$4:$I516,"&gt;"&amp;0),""))</f>
        <v>46.339572192513373</v>
      </c>
      <c r="L516" s="4" t="str">
        <f>IF(B516="","",IF(ISNA(MATCH(B516,Client_List!$B:$B,0)),"⚠ NOT FOUND","✓"))</f>
        <v>✓</v>
      </c>
    </row>
    <row r="517" spans="1:12" ht="14" customHeight="1" x14ac:dyDescent="0.2">
      <c r="A517" s="57">
        <v>46067</v>
      </c>
      <c r="B517" s="7" t="s">
        <v>334</v>
      </c>
      <c r="C517" s="8" t="str">
        <f>IF(B517="","",IFERROR(INDEX(Client_List!$C:$C,MATCH(B517,Client_List!$B:$B,0)),""))</f>
        <v>5</v>
      </c>
      <c r="D517" s="9" t="str">
        <f>IF(B517="","",IFERROR(INDEX(Client_List!$D:$D,MATCH(B517,Client_List!$B:$B,0)),""))</f>
        <v>5E</v>
      </c>
      <c r="E517" s="9" t="str">
        <f>IF(B517="","",IFERROR(INDEX(Client_List!$K:$K,MATCH(B517,Client_List!$B:$B,0)),""))</f>
        <v>CANOLA OIL</v>
      </c>
      <c r="F517" s="10">
        <f>IF(B517="","",IFERROR(INDEX(Client_List!$J:$J,MATCH(B517,Client_List!$B:$B,0)),""))</f>
        <v>1050</v>
      </c>
      <c r="G517" s="10">
        <v>902</v>
      </c>
      <c r="H517" s="9">
        <f>IF(B517="","",IFERROR(A517-LOOKUP(2,1/($B$4:$B516=B517),$A$4:$A516),""))</f>
        <v>16</v>
      </c>
      <c r="I517" s="73">
        <f t="shared" si="8"/>
        <v>56.375</v>
      </c>
      <c r="J517" s="9">
        <v>142552</v>
      </c>
      <c r="K517" s="6">
        <f>IF(B517="","",IFERROR(AVERAGEIFS($I$4:$I517,$B$4:$B517,B517,$I$4:$I517,"&gt;"&amp;0),""))</f>
        <v>42.631944444444443</v>
      </c>
      <c r="L517" s="9" t="str">
        <f>IF(B517="","",IF(ISNA(MATCH(B517,Client_List!$B:$B,0)),"⚠ NOT FOUND","✓"))</f>
        <v>✓</v>
      </c>
    </row>
    <row r="518" spans="1:12" ht="14" customHeight="1" x14ac:dyDescent="0.2">
      <c r="A518" s="56">
        <v>46067</v>
      </c>
      <c r="B518" s="2" t="s">
        <v>350</v>
      </c>
      <c r="C518" s="3" t="str">
        <f>IF(B518="","",IFERROR(INDEX(Client_List!$C:$C,MATCH(B518,Client_List!$B:$B,0)),""))</f>
        <v>2</v>
      </c>
      <c r="D518" s="4" t="str">
        <f>IF(B518="","",IFERROR(INDEX(Client_List!$D:$D,MATCH(B518,Client_List!$B:$B,0)),""))</f>
        <v>2D</v>
      </c>
      <c r="E518" s="4" t="str">
        <f>IF(B518="","",IFERROR(INDEX(Client_List!$K:$K,MATCH(B518,Client_List!$B:$B,0)),""))</f>
        <v>CANOLA OIL</v>
      </c>
      <c r="F518" s="5">
        <f>IF(B518="","",IFERROR(INDEX(Client_List!$J:$J,MATCH(B518,Client_List!$B:$B,0)),""))</f>
        <v>1050</v>
      </c>
      <c r="G518" s="5">
        <v>988</v>
      </c>
      <c r="H518" s="4">
        <f>IF(B518="","",IFERROR(A518-LOOKUP(2,1/($B$4:$B517=B518),$A$4:$A517),""))</f>
        <v>16</v>
      </c>
      <c r="I518" s="72">
        <f t="shared" si="8"/>
        <v>61.75</v>
      </c>
      <c r="J518" s="4">
        <v>142554</v>
      </c>
      <c r="K518" s="6">
        <f>IF(B518="","",IFERROR(AVERAGEIFS($I$4:$I518,$B$4:$B518,B518,$I$4:$I518,"&gt;"&amp;0),""))</f>
        <v>60.78125</v>
      </c>
      <c r="L518" s="4" t="str">
        <f>IF(B518="","",IF(ISNA(MATCH(B518,Client_List!$B:$B,0)),"⚠ NOT FOUND","✓"))</f>
        <v>✓</v>
      </c>
    </row>
    <row r="519" spans="1:12" ht="14" customHeight="1" x14ac:dyDescent="0.2">
      <c r="A519" s="57">
        <v>46068</v>
      </c>
      <c r="B519" s="7" t="s">
        <v>38</v>
      </c>
      <c r="C519" s="8" t="str">
        <f>IF(B519="","",IFERROR(INDEX(Client_List!$C:$C,MATCH(B519,Client_List!$B:$B,0)),""))</f>
        <v>4</v>
      </c>
      <c r="D519" s="9" t="str">
        <f>IF(B519="","",IFERROR(INDEX(Client_List!$D:$D,MATCH(B519,Client_List!$B:$B,0)),""))</f>
        <v>4C</v>
      </c>
      <c r="E519" s="9" t="str">
        <f>IF(B519="","",IFERROR(INDEX(Client_List!$K:$K,MATCH(B519,Client_List!$B:$B,0)),""))</f>
        <v>CANOLA OIL</v>
      </c>
      <c r="F519" s="10">
        <f>IF(B519="","",IFERROR(INDEX(Client_List!$J:$J,MATCH(B519,Client_List!$B:$B,0)),""))</f>
        <v>900</v>
      </c>
      <c r="G519" s="10">
        <v>479</v>
      </c>
      <c r="H519" s="9">
        <f>IF(B519="","",IFERROR(A519-LOOKUP(2,1/($B$4:$B518=B519),$A$4:$A518),""))</f>
        <v>9</v>
      </c>
      <c r="I519" s="73">
        <f t="shared" si="8"/>
        <v>53.222222222222221</v>
      </c>
      <c r="J519" s="9">
        <v>142591</v>
      </c>
      <c r="K519" s="6">
        <f>IF(B519="","",IFERROR(AVERAGEIFS($I$4:$I519,$B$4:$B519,B519,$I$4:$I519,"&gt;"&amp;0),""))</f>
        <v>52.140740740740739</v>
      </c>
      <c r="L519" s="9" t="str">
        <f>IF(B519="","",IF(ISNA(MATCH(B519,Client_List!$B:$B,0)),"⚠ NOT FOUND","✓"))</f>
        <v>✓</v>
      </c>
    </row>
    <row r="520" spans="1:12" ht="14" customHeight="1" x14ac:dyDescent="0.2">
      <c r="A520" s="56">
        <v>46068</v>
      </c>
      <c r="B520" s="2" t="s">
        <v>56</v>
      </c>
      <c r="C520" s="3" t="str">
        <f>IF(B520="","",IFERROR(INDEX(Client_List!$C:$C,MATCH(B520,Client_List!$B:$B,0)),""))</f>
        <v>5</v>
      </c>
      <c r="D520" s="4" t="str">
        <f>IF(B520="","",IFERROR(INDEX(Client_List!$D:$D,MATCH(B520,Client_List!$B:$B,0)),""))</f>
        <v>5F</v>
      </c>
      <c r="E520" s="4" t="str">
        <f>IF(B520="","",IFERROR(INDEX(Client_List!$K:$K,MATCH(B520,Client_List!$B:$B,0)),""))</f>
        <v>CANOLA OIL</v>
      </c>
      <c r="F520" s="5">
        <f>IF(B520="","",IFERROR(INDEX(Client_List!$J:$J,MATCH(B520,Client_List!$B:$B,0)),""))</f>
        <v>900</v>
      </c>
      <c r="G520" s="5">
        <v>482</v>
      </c>
      <c r="H520" s="4">
        <f>IF(B520="","",IFERROR(A520-LOOKUP(2,1/($B$4:$B519=B520),$A$4:$A519),""))</f>
        <v>10</v>
      </c>
      <c r="I520" s="72">
        <f t="shared" si="8"/>
        <v>48.2</v>
      </c>
      <c r="J520" s="4">
        <v>142590</v>
      </c>
      <c r="K520" s="6">
        <f>IF(B520="","",IFERROR(AVERAGEIFS($I$4:$I520,$B$4:$B520,B520,$I$4:$I520,"&gt;"&amp;0),""))</f>
        <v>54.690909090909088</v>
      </c>
      <c r="L520" s="4" t="str">
        <f>IF(B520="","",IF(ISNA(MATCH(B520,Client_List!$B:$B,0)),"⚠ NOT FOUND","✓"))</f>
        <v>✓</v>
      </c>
    </row>
    <row r="521" spans="1:12" ht="14" customHeight="1" x14ac:dyDescent="0.2">
      <c r="A521" s="57">
        <v>46068</v>
      </c>
      <c r="B521" s="7" t="s">
        <v>71</v>
      </c>
      <c r="C521" s="3" t="str">
        <f>IF(B521="","",IFERROR(INDEX(Client_List!$C:$C,MATCH(B521,Client_List!$B:$B,0)),""))</f>
        <v>5</v>
      </c>
      <c r="D521" s="9" t="str">
        <f>IF(B521="","",IFERROR(INDEX(Client_List!$D:$D,MATCH(B521,Client_List!$B:$B,0)),""))</f>
        <v>5F</v>
      </c>
      <c r="E521" s="9" t="str">
        <f>IF(B521="","",IFERROR(INDEX(Client_List!$K:$K,MATCH(B521,Client_List!$B:$B,0)),""))</f>
        <v>CANOLA OIL</v>
      </c>
      <c r="F521" s="10">
        <f>IF(B521="","",IFERROR(INDEX(Client_List!$J:$J,MATCH(B521,Client_List!$B:$B,0)),""))</f>
        <v>350</v>
      </c>
      <c r="G521" s="10">
        <v>197</v>
      </c>
      <c r="H521" s="9">
        <f>IF(B521="","",IFERROR(A521-LOOKUP(2,1/($B$4:$B520=B521),$A$4:$A520),""))</f>
        <v>6</v>
      </c>
      <c r="I521" s="73">
        <f t="shared" si="8"/>
        <v>32.833333333333336</v>
      </c>
      <c r="J521" s="9">
        <v>142592</v>
      </c>
      <c r="K521" s="6">
        <f>IF(B521="","",IFERROR(AVERAGEIFS($I$4:$I521,$B$4:$B521,B521,$I$4:$I521,"&gt;"&amp;0),""))</f>
        <v>34.153968253968259</v>
      </c>
      <c r="L521" s="9" t="str">
        <f>IF(B521="","",IF(ISNA(MATCH(B521,Client_List!$B:$B,0)),"⚠ NOT FOUND","✓"))</f>
        <v>✓</v>
      </c>
    </row>
    <row r="522" spans="1:12" ht="14" customHeight="1" x14ac:dyDescent="0.2">
      <c r="A522" s="56">
        <v>46068</v>
      </c>
      <c r="B522" s="2" t="s">
        <v>136</v>
      </c>
      <c r="C522" s="8" t="str">
        <f>IF(B522="","",IFERROR(INDEX(Client_List!$C:$C,MATCH(B522,Client_List!$B:$B,0)),""))</f>
        <v>5</v>
      </c>
      <c r="D522" s="4" t="str">
        <f>IF(B522="","",IFERROR(INDEX(Client_List!$D:$D,MATCH(B522,Client_List!$B:$B,0)),""))</f>
        <v>5F</v>
      </c>
      <c r="E522" s="4" t="str">
        <f>IF(B522="","",IFERROR(INDEX(Client_List!$K:$K,MATCH(B522,Client_List!$B:$B,0)),""))</f>
        <v>FRYERS CHOICE BLEND</v>
      </c>
      <c r="F522" s="5">
        <f>IF(B522="","",IFERROR(INDEX(Client_List!$J:$J,MATCH(B522,Client_List!$B:$B,0)),""))</f>
        <v>480</v>
      </c>
      <c r="G522" s="5">
        <v>482</v>
      </c>
      <c r="H522" s="4">
        <f>IF(B522="","",IFERROR(A522-LOOKUP(2,1/($B$4:$B521=B522),$A$4:$A521),""))</f>
        <v>10</v>
      </c>
      <c r="I522" s="72">
        <f t="shared" si="8"/>
        <v>48.2</v>
      </c>
      <c r="J522" s="4">
        <v>142589</v>
      </c>
      <c r="K522" s="6">
        <f>IF(B522="","",IFERROR(AVERAGEIFS($I$4:$I522,$B$4:$B522,B522,$I$4:$I522,"&gt;"&amp;0),""))</f>
        <v>46.656060606060606</v>
      </c>
      <c r="L522" s="4" t="str">
        <f>IF(B522="","",IF(ISNA(MATCH(B522,Client_List!$B:$B,0)),"⚠ NOT FOUND","✓"))</f>
        <v>✓</v>
      </c>
    </row>
    <row r="523" spans="1:12" ht="14" customHeight="1" x14ac:dyDescent="0.2">
      <c r="A523" s="57">
        <v>46068</v>
      </c>
      <c r="B523" s="7" t="s">
        <v>166</v>
      </c>
      <c r="C523" s="8" t="str">
        <f>IF(B523="","",IFERROR(INDEX(Client_List!$C:$C,MATCH(B523,Client_List!$B:$B,0)),""))</f>
        <v>4</v>
      </c>
      <c r="D523" s="9" t="str">
        <f>IF(B523="","",IFERROR(INDEX(Client_List!$D:$D,MATCH(B523,Client_List!$B:$B,0)),""))</f>
        <v>4B</v>
      </c>
      <c r="E523" s="9" t="str">
        <f>IF(B523="","",IFERROR(INDEX(Client_List!$K:$K,MATCH(B523,Client_List!$B:$B,0)),""))</f>
        <v>CANOLA OIL</v>
      </c>
      <c r="F523" s="10">
        <f>IF(B523="","",IFERROR(INDEX(Client_List!$J:$J,MATCH(B523,Client_List!$B:$B,0)),""))</f>
        <v>1050</v>
      </c>
      <c r="G523" s="10">
        <v>998</v>
      </c>
      <c r="H523" s="9">
        <f>IF(B523="","",IFERROR(A523-LOOKUP(2,1/($B$4:$B522=B523),$A$4:$A522),""))</f>
        <v>12</v>
      </c>
      <c r="I523" s="73">
        <f t="shared" si="8"/>
        <v>83.166666666666671</v>
      </c>
      <c r="J523" s="9">
        <v>142587</v>
      </c>
      <c r="K523" s="6">
        <f>IF(B523="","",IFERROR(AVERAGEIFS($I$4:$I523,$B$4:$B523,B523,$I$4:$I523,"&gt;"&amp;0),""))</f>
        <v>71.616666666666674</v>
      </c>
      <c r="L523" s="9" t="str">
        <f>IF(B523="","",IF(ISNA(MATCH(B523,Client_List!$B:$B,0)),"⚠ NOT FOUND","✓"))</f>
        <v>✓</v>
      </c>
    </row>
    <row r="524" spans="1:12" ht="14" customHeight="1" x14ac:dyDescent="0.2">
      <c r="A524" s="56">
        <v>46068</v>
      </c>
      <c r="B524" s="2" t="s">
        <v>232</v>
      </c>
      <c r="C524" s="3" t="str">
        <f>IF(B524="","",IFERROR(INDEX(Client_List!$C:$C,MATCH(B524,Client_List!$B:$B,0)),""))</f>
        <v>5</v>
      </c>
      <c r="D524" s="4" t="str">
        <f>IF(B524="","",IFERROR(INDEX(Client_List!$D:$D,MATCH(B524,Client_List!$B:$B,0)),""))</f>
        <v>5F</v>
      </c>
      <c r="E524" s="4" t="str">
        <f>IF(B524="","",IFERROR(INDEX(Client_List!$K:$K,MATCH(B524,Client_List!$B:$B,0)),""))</f>
        <v>CANOLA OIL</v>
      </c>
      <c r="F524" s="5">
        <f>IF(B524="","",IFERROR(INDEX(Client_List!$J:$J,MATCH(B524,Client_List!$B:$B,0)),""))</f>
        <v>500</v>
      </c>
      <c r="G524" s="5">
        <v>429</v>
      </c>
      <c r="H524" s="4">
        <f>IF(B524="","",IFERROR(A524-LOOKUP(2,1/($B$4:$B523=B524),$A$4:$A523),""))</f>
        <v>10</v>
      </c>
      <c r="I524" s="72">
        <f t="shared" si="8"/>
        <v>42.9</v>
      </c>
      <c r="J524" s="4">
        <v>142593</v>
      </c>
      <c r="K524" s="6">
        <f>IF(B524="","",IFERROR(AVERAGEIFS($I$4:$I524,$B$4:$B524,B524,$I$4:$I524,"&gt;"&amp;0),""))</f>
        <v>41.800757575757579</v>
      </c>
      <c r="L524" s="4" t="str">
        <f>IF(B524="","",IF(ISNA(MATCH(B524,Client_List!$B:$B,0)),"⚠ NOT FOUND","✓"))</f>
        <v>✓</v>
      </c>
    </row>
    <row r="525" spans="1:12" ht="14" customHeight="1" x14ac:dyDescent="0.2">
      <c r="A525" s="57">
        <v>46068</v>
      </c>
      <c r="B525" s="7" t="s">
        <v>238</v>
      </c>
      <c r="C525" s="3" t="str">
        <f>IF(B525="","",IFERROR(INDEX(Client_List!$C:$C,MATCH(B525,Client_List!$B:$B,0)),""))</f>
        <v>4</v>
      </c>
      <c r="D525" s="9" t="str">
        <f>IF(B525="","",IFERROR(INDEX(Client_List!$D:$D,MATCH(B525,Client_List!$B:$B,0)),""))</f>
        <v>4D</v>
      </c>
      <c r="E525" s="9" t="str">
        <f>IF(B525="","",IFERROR(INDEX(Client_List!$K:$K,MATCH(B525,Client_List!$B:$B,0)),""))</f>
        <v>CANOLA OIL</v>
      </c>
      <c r="F525" s="10">
        <f>IF(B525="","",IFERROR(INDEX(Client_List!$J:$J,MATCH(B525,Client_List!$B:$B,0)),""))</f>
        <v>660</v>
      </c>
      <c r="G525" s="10">
        <v>362</v>
      </c>
      <c r="H525" s="9">
        <f>IF(B525="","",IFERROR(A525-LOOKUP(2,1/($B$4:$B524=B525),$A$4:$A524),""))</f>
        <v>16</v>
      </c>
      <c r="I525" s="73">
        <f t="shared" si="8"/>
        <v>22.625</v>
      </c>
      <c r="J525" s="9">
        <v>142588</v>
      </c>
      <c r="K525" s="6">
        <f>IF(B525="","",IFERROR(AVERAGEIFS($I$4:$I525,$B$4:$B525,B525,$I$4:$I525,"&gt;"&amp;0),""))</f>
        <v>27.276785714285715</v>
      </c>
      <c r="L525" s="9" t="str">
        <f>IF(B525="","",IF(ISNA(MATCH(B525,Client_List!$B:$B,0)),"⚠ NOT FOUND","✓"))</f>
        <v>✓</v>
      </c>
    </row>
    <row r="526" spans="1:12" ht="14" customHeight="1" x14ac:dyDescent="0.2">
      <c r="A526" s="56">
        <v>46068</v>
      </c>
      <c r="B526" s="2" t="s">
        <v>306</v>
      </c>
      <c r="C526" s="3" t="str">
        <f>IF(B526="","",IFERROR(INDEX(Client_List!$C:$C,MATCH(B526,Client_List!$B:$B,0)),""))</f>
        <v>4</v>
      </c>
      <c r="D526" s="4" t="str">
        <f>IF(B526="","",IFERROR(INDEX(Client_List!$D:$D,MATCH(B526,Client_List!$B:$B,0)),""))</f>
        <v>4C</v>
      </c>
      <c r="E526" s="4" t="str">
        <f>IF(B526="","",IFERROR(INDEX(Client_List!$K:$K,MATCH(B526,Client_List!$B:$B,0)),""))</f>
        <v>FRYERS CHOICE BLEND</v>
      </c>
      <c r="F526" s="5">
        <f>IF(B526="","",IFERROR(INDEX(Client_List!$J:$J,MATCH(B526,Client_List!$B:$B,0)),""))</f>
        <v>1050</v>
      </c>
      <c r="G526" s="5">
        <v>1078</v>
      </c>
      <c r="H526" s="4">
        <f>IF(B526="","",IFERROR(A526-LOOKUP(2,1/($B$4:$B525=B526),$A$4:$A525),""))</f>
        <v>12</v>
      </c>
      <c r="I526" s="72">
        <f t="shared" si="8"/>
        <v>89.833333333333329</v>
      </c>
      <c r="J526" s="4">
        <v>142586</v>
      </c>
      <c r="K526" s="6">
        <f>IF(B526="","",IFERROR(AVERAGEIFS($I$4:$I526,$B$4:$B526,B526,$I$4:$I526,"&gt;"&amp;0),""))</f>
        <v>106.81458333333333</v>
      </c>
      <c r="L526" s="4" t="str">
        <f>IF(B526="","",IF(ISNA(MATCH(B526,Client_List!$B:$B,0)),"⚠ NOT FOUND","✓"))</f>
        <v>✓</v>
      </c>
    </row>
    <row r="527" spans="1:12" ht="14" customHeight="1" x14ac:dyDescent="0.2">
      <c r="A527" s="57">
        <v>46069</v>
      </c>
      <c r="B527" s="7" t="s">
        <v>75</v>
      </c>
      <c r="C527" s="12" t="str">
        <f>IF(B527="","",IFERROR(INDEX(Client_List!$C:$C,MATCH(B527,Client_List!$B:$B,0)),""))</f>
        <v>1</v>
      </c>
      <c r="D527" s="9" t="str">
        <f>IF(B527="","",IFERROR(INDEX(Client_List!$D:$D,MATCH(B527,Client_List!$B:$B,0)),""))</f>
        <v>1D</v>
      </c>
      <c r="E527" s="9" t="str">
        <f>IF(B527="","",IFERROR(INDEX(Client_List!$K:$K,MATCH(B527,Client_List!$B:$B,0)),""))</f>
        <v>CANOLA OIL</v>
      </c>
      <c r="F527" s="10">
        <f>IF(B527="","",IFERROR(INDEX(Client_List!$J:$J,MATCH(B527,Client_List!$B:$B,0)),""))</f>
        <v>620</v>
      </c>
      <c r="G527" s="10">
        <v>577</v>
      </c>
      <c r="H527" s="9">
        <f>IF(B527="","",IFERROR(A527-LOOKUP(2,1/($B$4:$B526=B527),$A$4:$A526),""))</f>
        <v>6</v>
      </c>
      <c r="I527" s="73">
        <f t="shared" si="8"/>
        <v>96.166666666666671</v>
      </c>
      <c r="J527" s="9">
        <v>142601</v>
      </c>
      <c r="K527" s="6">
        <f>IF(B527="","",IFERROR(AVERAGEIFS($I$4:$I527,$B$4:$B527,B527,$I$4:$I527,"&gt;"&amp;0),""))</f>
        <v>113.37687074829931</v>
      </c>
      <c r="L527" s="9" t="str">
        <f>IF(B527="","",IF(ISNA(MATCH(B527,Client_List!$B:$B,0)),"⚠ NOT FOUND","✓"))</f>
        <v>✓</v>
      </c>
    </row>
    <row r="528" spans="1:12" ht="14" customHeight="1" x14ac:dyDescent="0.2">
      <c r="A528" s="56">
        <v>46069</v>
      </c>
      <c r="B528" s="2" t="s">
        <v>94</v>
      </c>
      <c r="C528" s="13" t="str">
        <f>IF(B528="","",IFERROR(INDEX(Client_List!$C:$C,MATCH(B528,Client_List!$B:$B,0)),""))</f>
        <v>2</v>
      </c>
      <c r="D528" s="4" t="str">
        <f>IF(B528="","",IFERROR(INDEX(Client_List!$D:$D,MATCH(B528,Client_List!$B:$B,0)),""))</f>
        <v>2C</v>
      </c>
      <c r="E528" s="4" t="str">
        <f>IF(B528="","",IFERROR(INDEX(Client_List!$K:$K,MATCH(B528,Client_List!$B:$B,0)),""))</f>
        <v>CANOLA OIL</v>
      </c>
      <c r="F528" s="5">
        <f>IF(B528="","",IFERROR(INDEX(Client_List!$J:$J,MATCH(B528,Client_List!$B:$B,0)),""))</f>
        <v>450</v>
      </c>
      <c r="G528" s="5">
        <v>343</v>
      </c>
      <c r="H528" s="4">
        <f>IF(B528="","",IFERROR(A528-LOOKUP(2,1/($B$4:$B527=B528),$A$4:$A527),""))</f>
        <v>10</v>
      </c>
      <c r="I528" s="72">
        <f t="shared" si="8"/>
        <v>34.299999999999997</v>
      </c>
      <c r="J528" s="4">
        <v>142607</v>
      </c>
      <c r="K528" s="6">
        <f>IF(B528="","",IFERROR(AVERAGEIFS($I$4:$I528,$B$4:$B528,B528,$I$4:$I528,"&gt;"&amp;0),""))</f>
        <v>36.434090909090912</v>
      </c>
      <c r="L528" s="4" t="str">
        <f>IF(B528="","",IF(ISNA(MATCH(B528,Client_List!$B:$B,0)),"⚠ NOT FOUND","✓"))</f>
        <v>✓</v>
      </c>
    </row>
    <row r="529" spans="1:12" ht="14" customHeight="1" x14ac:dyDescent="0.2">
      <c r="A529" s="57">
        <v>46069</v>
      </c>
      <c r="B529" s="7" t="s">
        <v>132</v>
      </c>
      <c r="C529" s="13" t="str">
        <f>IF(B529="","",IFERROR(INDEX(Client_List!$C:$C,MATCH(B529,Client_List!$B:$B,0)),""))</f>
        <v>3</v>
      </c>
      <c r="D529" s="9" t="str">
        <f>IF(B529="","",IFERROR(INDEX(Client_List!$D:$D,MATCH(B529,Client_List!$B:$B,0)),""))</f>
        <v>3C</v>
      </c>
      <c r="E529" s="9" t="str">
        <f>IF(B529="","",IFERROR(INDEX(Client_List!$K:$K,MATCH(B529,Client_List!$B:$B,0)),""))</f>
        <v>CANOLA OIL</v>
      </c>
      <c r="F529" s="10">
        <f>IF(B529="","",IFERROR(INDEX(Client_List!$J:$J,MATCH(B529,Client_List!$B:$B,0)),""))</f>
        <v>630</v>
      </c>
      <c r="G529" s="10">
        <v>629</v>
      </c>
      <c r="H529" s="9">
        <f>IF(B529="","",IFERROR(A529-LOOKUP(2,1/($B$4:$B528=B529),$A$4:$A528),""))</f>
        <v>15</v>
      </c>
      <c r="I529" s="73">
        <f t="shared" si="8"/>
        <v>41.93333333333333</v>
      </c>
      <c r="J529" s="9">
        <v>142612</v>
      </c>
      <c r="K529" s="6">
        <f>IF(B529="","",IFERROR(AVERAGEIFS($I$4:$I529,$B$4:$B529,B529,$I$4:$I529,"&gt;"&amp;0),""))</f>
        <v>37.188888888888883</v>
      </c>
      <c r="L529" s="9" t="str">
        <f>IF(B529="","",IF(ISNA(MATCH(B529,Client_List!$B:$B,0)),"⚠ NOT FOUND","✓"))</f>
        <v>✓</v>
      </c>
    </row>
    <row r="530" spans="1:12" ht="14" customHeight="1" x14ac:dyDescent="0.2">
      <c r="A530" s="56">
        <v>46069</v>
      </c>
      <c r="B530" s="2" t="s">
        <v>164</v>
      </c>
      <c r="C530" s="12" t="str">
        <f>IF(B530="","",IFERROR(INDEX(Client_List!$C:$C,MATCH(B530,Client_List!$B:$B,0)),""))</f>
        <v>3</v>
      </c>
      <c r="D530" s="4" t="str">
        <f>IF(B530="","",IFERROR(INDEX(Client_List!$D:$D,MATCH(B530,Client_List!$B:$B,0)),""))</f>
        <v>3E</v>
      </c>
      <c r="E530" s="4" t="str">
        <f>IF(B530="","",IFERROR(INDEX(Client_List!$K:$K,MATCH(B530,Client_List!$B:$B,0)),""))</f>
        <v>CANOLA OIL</v>
      </c>
      <c r="F530" s="5">
        <f>IF(B530="","",IFERROR(INDEX(Client_List!$J:$J,MATCH(B530,Client_List!$B:$B,0)),""))</f>
        <v>1050</v>
      </c>
      <c r="G530" s="5">
        <v>949</v>
      </c>
      <c r="H530" s="4">
        <f>IF(B530="","",IFERROR(A530-LOOKUP(2,1/($B$4:$B529=B530),$A$4:$A529),""))</f>
        <v>16</v>
      </c>
      <c r="I530" s="72">
        <f t="shared" si="8"/>
        <v>59.3125</v>
      </c>
      <c r="J530" s="4">
        <v>142611</v>
      </c>
      <c r="K530" s="6">
        <f>IF(B530="","",IFERROR(AVERAGEIFS($I$4:$I530,$B$4:$B530,B530,$I$4:$I530,"&gt;"&amp;0),""))</f>
        <v>54.47977941176471</v>
      </c>
      <c r="L530" s="4" t="str">
        <f>IF(B530="","",IF(ISNA(MATCH(B530,Client_List!$B:$B,0)),"⚠ NOT FOUND","✓"))</f>
        <v>✓</v>
      </c>
    </row>
    <row r="531" spans="1:12" ht="14" customHeight="1" x14ac:dyDescent="0.2">
      <c r="A531" s="57">
        <v>46069</v>
      </c>
      <c r="B531" s="7" t="s">
        <v>180</v>
      </c>
      <c r="C531" s="11" t="str">
        <f>IF(B531="","",IFERROR(INDEX(Client_List!$C:$C,MATCH(B531,Client_List!$B:$B,0)),""))</f>
        <v>1</v>
      </c>
      <c r="D531" s="9" t="str">
        <f>IF(B531="","",IFERROR(INDEX(Client_List!$D:$D,MATCH(B531,Client_List!$B:$B,0)),""))</f>
        <v>1D</v>
      </c>
      <c r="E531" s="9" t="str">
        <f>IF(B531="","",IFERROR(INDEX(Client_List!$K:$K,MATCH(B531,Client_List!$B:$B,0)),""))</f>
        <v>CANOLA OIL</v>
      </c>
      <c r="F531" s="10">
        <f>IF(B531="","",IFERROR(INDEX(Client_List!$J:$J,MATCH(B531,Client_List!$B:$B,0)),""))</f>
        <v>950</v>
      </c>
      <c r="G531" s="10">
        <v>699</v>
      </c>
      <c r="H531" s="9">
        <f>IF(B531="","",IFERROR(A531-LOOKUP(2,1/($B$4:$B530=B531),$A$4:$A530),""))</f>
        <v>10</v>
      </c>
      <c r="I531" s="73">
        <f t="shared" si="8"/>
        <v>69.900000000000006</v>
      </c>
      <c r="J531" s="9">
        <v>142603</v>
      </c>
      <c r="K531" s="6">
        <f>IF(B531="","",IFERROR(AVERAGEIFS($I$4:$I531,$B$4:$B531,B531,$I$4:$I531,"&gt;"&amp;0),""))</f>
        <v>76.033333333333331</v>
      </c>
      <c r="L531" s="9" t="str">
        <f>IF(B531="","",IF(ISNA(MATCH(B531,Client_List!$B:$B,0)),"⚠ NOT FOUND","✓"))</f>
        <v>✓</v>
      </c>
    </row>
    <row r="532" spans="1:12" ht="14" customHeight="1" x14ac:dyDescent="0.2">
      <c r="A532" s="56">
        <v>46069</v>
      </c>
      <c r="B532" s="2" t="s">
        <v>184</v>
      </c>
      <c r="C532" s="8" t="str">
        <f>IF(B532="","",IFERROR(INDEX(Client_List!$C:$C,MATCH(B532,Client_List!$B:$B,0)),""))</f>
        <v>3</v>
      </c>
      <c r="D532" s="4" t="str">
        <f>IF(B532="","",IFERROR(INDEX(Client_List!$D:$D,MATCH(B532,Client_List!$B:$B,0)),""))</f>
        <v>3C</v>
      </c>
      <c r="E532" s="4" t="str">
        <f>IF(B532="","",IFERROR(INDEX(Client_List!$K:$K,MATCH(B532,Client_List!$B:$B,0)),""))</f>
        <v>CANOLA OIL</v>
      </c>
      <c r="F532" s="5">
        <f>IF(B532="","",IFERROR(INDEX(Client_List!$J:$J,MATCH(B532,Client_List!$B:$B,0)),""))</f>
        <v>1050</v>
      </c>
      <c r="G532" s="5">
        <v>1056</v>
      </c>
      <c r="H532" s="4">
        <f>IF(B532="","",IFERROR(A532-LOOKUP(2,1/($B$4:$B531=B532),$A$4:$A531),""))</f>
        <v>10</v>
      </c>
      <c r="I532" s="72">
        <f t="shared" si="8"/>
        <v>105.6</v>
      </c>
      <c r="J532" s="4">
        <v>142606</v>
      </c>
      <c r="K532" s="6">
        <f>IF(B532="","",IFERROR(AVERAGEIFS($I$4:$I532,$B$4:$B532,B532,$I$4:$I532,"&gt;"&amp;0),""))</f>
        <v>103.52564935064936</v>
      </c>
      <c r="L532" s="4" t="str">
        <f>IF(B532="","",IF(ISNA(MATCH(B532,Client_List!$B:$B,0)),"⚠ NOT FOUND","✓"))</f>
        <v>✓</v>
      </c>
    </row>
    <row r="533" spans="1:12" ht="14" customHeight="1" x14ac:dyDescent="0.2">
      <c r="A533" s="57">
        <v>46069</v>
      </c>
      <c r="B533" s="7" t="s">
        <v>186</v>
      </c>
      <c r="C533" s="3" t="str">
        <f>IF(B533="","",IFERROR(INDEX(Client_List!$C:$C,MATCH(B533,Client_List!$B:$B,0)),""))</f>
        <v>4</v>
      </c>
      <c r="D533" s="9" t="str">
        <f>IF(B533="","",IFERROR(INDEX(Client_List!$D:$D,MATCH(B533,Client_List!$B:$B,0)),""))</f>
        <v>4E</v>
      </c>
      <c r="E533" s="9" t="str">
        <f>IF(B533="","",IFERROR(INDEX(Client_List!$K:$K,MATCH(B533,Client_List!$B:$B,0)),""))</f>
        <v>CANOLA OIL</v>
      </c>
      <c r="F533" s="10">
        <f>IF(B533="","",IFERROR(INDEX(Client_List!$J:$J,MATCH(B533,Client_List!$B:$B,0)),""))</f>
        <v>950</v>
      </c>
      <c r="G533" s="10">
        <v>710</v>
      </c>
      <c r="H533" s="9">
        <f>IF(B533="","",IFERROR(A533-LOOKUP(2,1/($B$4:$B532=B533),$A$4:$A532),""))</f>
        <v>8</v>
      </c>
      <c r="I533" s="73">
        <f t="shared" si="8"/>
        <v>88.75</v>
      </c>
      <c r="J533" s="9">
        <v>142610</v>
      </c>
      <c r="K533" s="6">
        <f>IF(B533="","",IFERROR(AVERAGEIFS($I$4:$I533,$B$4:$B533,B533,$I$4:$I533,"&gt;"&amp;0),""))</f>
        <v>87.208333333333329</v>
      </c>
      <c r="L533" s="9" t="str">
        <f>IF(B533="","",IF(ISNA(MATCH(B533,Client_List!$B:$B,0)),"⚠ NOT FOUND","✓"))</f>
        <v>✓</v>
      </c>
    </row>
    <row r="534" spans="1:12" ht="14" customHeight="1" x14ac:dyDescent="0.2">
      <c r="A534" s="56">
        <v>46069</v>
      </c>
      <c r="B534" s="2" t="s">
        <v>190</v>
      </c>
      <c r="C534" s="13" t="str">
        <f>IF(B534="","",IFERROR(INDEX(Client_List!$C:$C,MATCH(B534,Client_List!$B:$B,0)),""))</f>
        <v>2</v>
      </c>
      <c r="D534" s="4" t="str">
        <f>IF(B534="","",IFERROR(INDEX(Client_List!$D:$D,MATCH(B534,Client_List!$B:$B,0)),""))</f>
        <v>2C</v>
      </c>
      <c r="E534" s="4" t="str">
        <f>IF(B534="","",IFERROR(INDEX(Client_List!$K:$K,MATCH(B534,Client_List!$B:$B,0)),""))</f>
        <v>CANOLA OIL</v>
      </c>
      <c r="F534" s="5">
        <f>IF(B534="","",IFERROR(INDEX(Client_List!$J:$J,MATCH(B534,Client_List!$B:$B,0)),""))</f>
        <v>1050</v>
      </c>
      <c r="G534" s="5">
        <v>1047</v>
      </c>
      <c r="H534" s="4">
        <f>IF(B534="","",IFERROR(A534-LOOKUP(2,1/($B$4:$B533=B534),$A$4:$A533),""))</f>
        <v>7</v>
      </c>
      <c r="I534" s="72">
        <f t="shared" si="8"/>
        <v>149.57142857142858</v>
      </c>
      <c r="J534" s="4">
        <v>142608</v>
      </c>
      <c r="K534" s="6">
        <f>IF(B534="","",IFERROR(AVERAGEIFS($I$4:$I534,$B$4:$B534,B534,$I$4:$I534,"&gt;"&amp;0),""))</f>
        <v>132.24900793650792</v>
      </c>
      <c r="L534" s="4" t="str">
        <f>IF(B534="","",IF(ISNA(MATCH(B534,Client_List!$B:$B,0)),"⚠ NOT FOUND","✓"))</f>
        <v>✓</v>
      </c>
    </row>
    <row r="535" spans="1:12" ht="14" customHeight="1" x14ac:dyDescent="0.2">
      <c r="A535" s="57">
        <v>46069</v>
      </c>
      <c r="B535" s="7" t="s">
        <v>202</v>
      </c>
      <c r="C535" s="13" t="str">
        <f>IF(B535="","",IFERROR(INDEX(Client_List!$C:$C,MATCH(B535,Client_List!$B:$B,0)),""))</f>
        <v>4</v>
      </c>
      <c r="D535" s="9" t="str">
        <f>IF(B535="","",IFERROR(INDEX(Client_List!$D:$D,MATCH(B535,Client_List!$B:$B,0)),""))</f>
        <v>4D</v>
      </c>
      <c r="E535" s="9" t="str">
        <f>IF(B535="","",IFERROR(INDEX(Client_List!$K:$K,MATCH(B535,Client_List!$B:$B,0)),""))</f>
        <v>CANOLA OIL</v>
      </c>
      <c r="F535" s="10">
        <f>IF(B535="","",IFERROR(INDEX(Client_List!$J:$J,MATCH(B535,Client_List!$B:$B,0)),""))</f>
        <v>1050</v>
      </c>
      <c r="G535" s="10">
        <v>1048</v>
      </c>
      <c r="H535" s="9">
        <f>IF(B535="","",IFERROR(A535-LOOKUP(2,1/($B$4:$B534=B535),$A$4:$A534),""))</f>
        <v>14</v>
      </c>
      <c r="I535" s="73">
        <f t="shared" si="8"/>
        <v>74.857142857142861</v>
      </c>
      <c r="J535" s="9">
        <v>142595</v>
      </c>
      <c r="K535" s="6">
        <f>IF(B535="","",IFERROR(AVERAGEIFS($I$4:$I535,$B$4:$B535,B535,$I$4:$I535,"&gt;"&amp;0),""))</f>
        <v>77.382683982683986</v>
      </c>
      <c r="L535" s="9" t="str">
        <f>IF(B535="","",IF(ISNA(MATCH(B535,Client_List!$B:$B,0)),"⚠ NOT FOUND","✓"))</f>
        <v>✓</v>
      </c>
    </row>
    <row r="536" spans="1:12" ht="14" customHeight="1" x14ac:dyDescent="0.2">
      <c r="A536" s="56">
        <v>46069</v>
      </c>
      <c r="B536" s="2" t="s">
        <v>230</v>
      </c>
      <c r="C536" s="3" t="str">
        <f>IF(B536="","",IFERROR(INDEX(Client_List!$C:$C,MATCH(B536,Client_List!$B:$B,0)),""))</f>
        <v>1</v>
      </c>
      <c r="D536" s="4" t="str">
        <f>IF(B536="","",IFERROR(INDEX(Client_List!$D:$D,MATCH(B536,Client_List!$B:$B,0)),""))</f>
        <v>1D</v>
      </c>
      <c r="E536" s="4" t="str">
        <f>IF(B536="","",IFERROR(INDEX(Client_List!$K:$K,MATCH(B536,Client_List!$B:$B,0)),""))</f>
        <v>CANOLA OIL</v>
      </c>
      <c r="F536" s="5">
        <f>IF(B536="","",IFERROR(INDEX(Client_List!$J:$J,MATCH(B536,Client_List!$B:$B,0)),""))</f>
        <v>660</v>
      </c>
      <c r="G536" s="5">
        <v>499</v>
      </c>
      <c r="H536" s="4">
        <f>IF(B536="","",IFERROR(A536-LOOKUP(2,1/($B$4:$B535=B536),$A$4:$A535),""))</f>
        <v>10</v>
      </c>
      <c r="I536" s="72">
        <f t="shared" si="8"/>
        <v>49.9</v>
      </c>
      <c r="J536" s="4">
        <v>142602</v>
      </c>
      <c r="K536" s="6">
        <f>IF(B536="","",IFERROR(AVERAGEIFS($I$4:$I536,$B$4:$B536,B536,$I$4:$I536,"&gt;"&amp;0),""))</f>
        <v>47.994638694638695</v>
      </c>
      <c r="L536" s="4" t="str">
        <f>IF(B536="","",IF(ISNA(MATCH(B536,Client_List!$B:$B,0)),"⚠ NOT FOUND","✓"))</f>
        <v>✓</v>
      </c>
    </row>
    <row r="537" spans="1:12" ht="14" customHeight="1" x14ac:dyDescent="0.2">
      <c r="A537" s="57">
        <v>46069</v>
      </c>
      <c r="B537" s="7" t="s">
        <v>246</v>
      </c>
      <c r="C537" s="3" t="str">
        <f>IF(B537="","",IFERROR(INDEX(Client_List!$C:$C,MATCH(B537,Client_List!$B:$B,0)),""))</f>
        <v>3</v>
      </c>
      <c r="D537" s="9" t="str">
        <f>IF(B537="","",IFERROR(INDEX(Client_List!$D:$D,MATCH(B537,Client_List!$B:$B,0)),""))</f>
        <v>3E</v>
      </c>
      <c r="E537" s="9" t="str">
        <f>IF(B537="","",IFERROR(INDEX(Client_List!$K:$K,MATCH(B537,Client_List!$B:$B,0)),""))</f>
        <v>FRYERS CHOICE BLEND</v>
      </c>
      <c r="F537" s="10">
        <f>IF(B537="","",IFERROR(INDEX(Client_List!$J:$J,MATCH(B537,Client_List!$B:$B,0)),""))</f>
        <v>950</v>
      </c>
      <c r="G537" s="10">
        <v>857</v>
      </c>
      <c r="H537" s="9">
        <f>IF(B537="","",IFERROR(A537-LOOKUP(2,1/($B$4:$B536=B537),$A$4:$A536),""))</f>
        <v>13</v>
      </c>
      <c r="I537" s="73">
        <f t="shared" si="8"/>
        <v>65.92307692307692</v>
      </c>
      <c r="J537" s="9">
        <v>142597</v>
      </c>
      <c r="K537" s="6">
        <f>IF(B537="","",IFERROR(AVERAGEIFS($I$4:$I537,$B$4:$B537,B537,$I$4:$I537,"&gt;"&amp;0),""))</f>
        <v>66.189102564102569</v>
      </c>
      <c r="L537" s="9" t="str">
        <f>IF(B537="","",IF(ISNA(MATCH(B537,Client_List!$B:$B,0)),"⚠ NOT FOUND","✓"))</f>
        <v>✓</v>
      </c>
    </row>
    <row r="538" spans="1:12" ht="14" customHeight="1" x14ac:dyDescent="0.2">
      <c r="A538" s="56">
        <v>46069</v>
      </c>
      <c r="B538" s="2" t="s">
        <v>250</v>
      </c>
      <c r="C538" s="8" t="str">
        <f>IF(B538="","",IFERROR(INDEX(Client_List!$C:$C,MATCH(B538,Client_List!$B:$B,0)),""))</f>
        <v>2</v>
      </c>
      <c r="D538" s="4" t="str">
        <f>IF(B538="","",IFERROR(INDEX(Client_List!$D:$D,MATCH(B538,Client_List!$B:$B,0)),""))</f>
        <v>2D</v>
      </c>
      <c r="E538" s="4" t="str">
        <f>IF(B538="","",IFERROR(INDEX(Client_List!$K:$K,MATCH(B538,Client_List!$B:$B,0)),""))</f>
        <v>FRYERS CHOICE BLEND</v>
      </c>
      <c r="F538" s="5">
        <f>IF(B538="","",IFERROR(INDEX(Client_List!$J:$J,MATCH(B538,Client_List!$B:$B,0)),""))</f>
        <v>950</v>
      </c>
      <c r="G538" s="5">
        <v>859</v>
      </c>
      <c r="H538" s="4">
        <f>IF(B538="","",IFERROR(A538-LOOKUP(2,1/($B$4:$B537=B538),$A$4:$A537),""))</f>
        <v>7</v>
      </c>
      <c r="I538" s="72">
        <f t="shared" si="8"/>
        <v>122.71428571428571</v>
      </c>
      <c r="J538" s="4">
        <v>142599</v>
      </c>
      <c r="K538" s="6">
        <f>IF(B538="","",IFERROR(AVERAGEIFS($I$4:$I538,$B$4:$B538,B538,$I$4:$I538,"&gt;"&amp;0),""))</f>
        <v>119.39583333333333</v>
      </c>
      <c r="L538" s="4" t="str">
        <f>IF(B538="","",IF(ISNA(MATCH(B538,Client_List!$B:$B,0)),"⚠ NOT FOUND","✓"))</f>
        <v>✓</v>
      </c>
    </row>
    <row r="539" spans="1:12" ht="14" customHeight="1" x14ac:dyDescent="0.2">
      <c r="A539" s="57">
        <v>46069</v>
      </c>
      <c r="B539" s="7" t="s">
        <v>254</v>
      </c>
      <c r="C539" s="3" t="str">
        <f>IF(B539="","",IFERROR(INDEX(Client_List!$C:$C,MATCH(B539,Client_List!$B:$B,0)),""))</f>
        <v>2</v>
      </c>
      <c r="D539" s="9" t="str">
        <f>IF(B539="","",IFERROR(INDEX(Client_List!$D:$D,MATCH(B539,Client_List!$B:$B,0)),""))</f>
        <v>2E</v>
      </c>
      <c r="E539" s="9" t="str">
        <f>IF(B539="","",IFERROR(INDEX(Client_List!$K:$K,MATCH(B539,Client_List!$B:$B,0)),""))</f>
        <v>FRYERS CHOICE BLEND</v>
      </c>
      <c r="F539" s="10">
        <f>IF(B539="","",IFERROR(INDEX(Client_List!$J:$J,MATCH(B539,Client_List!$B:$B,0)),""))</f>
        <v>1950</v>
      </c>
      <c r="G539" s="10">
        <v>2004</v>
      </c>
      <c r="H539" s="9">
        <f>IF(B539="","",IFERROR(A539-LOOKUP(2,1/($B$4:$B538=B539),$A$4:$A538),""))</f>
        <v>12</v>
      </c>
      <c r="I539" s="73">
        <f t="shared" si="8"/>
        <v>167</v>
      </c>
      <c r="J539" s="9">
        <v>142598</v>
      </c>
      <c r="K539" s="6">
        <f>IF(B539="","",IFERROR(AVERAGEIFS($I$4:$I539,$B$4:$B539,B539,$I$4:$I539,"&gt;"&amp;0),""))</f>
        <v>140.25</v>
      </c>
      <c r="L539" s="9" t="str">
        <f>IF(B539="","",IF(ISNA(MATCH(B539,Client_List!$B:$B,0)),"⚠ NOT FOUND","✓"))</f>
        <v>✓</v>
      </c>
    </row>
    <row r="540" spans="1:12" ht="14" customHeight="1" x14ac:dyDescent="0.2">
      <c r="A540" s="56">
        <v>46069</v>
      </c>
      <c r="B540" s="2" t="s">
        <v>256</v>
      </c>
      <c r="C540" s="3" t="str">
        <f>IF(B540="","",IFERROR(INDEX(Client_List!$C:$C,MATCH(B540,Client_List!$B:$B,0)),""))</f>
        <v>3</v>
      </c>
      <c r="D540" s="4" t="str">
        <f>IF(B540="","",IFERROR(INDEX(Client_List!$D:$D,MATCH(B540,Client_List!$B:$B,0)),""))</f>
        <v>3E</v>
      </c>
      <c r="E540" s="4" t="str">
        <f>IF(B540="","",IFERROR(INDEX(Client_List!$K:$K,MATCH(B540,Client_List!$B:$B,0)),""))</f>
        <v>FRYERS CHOICE BLEND</v>
      </c>
      <c r="F540" s="5">
        <f>IF(B540="","",IFERROR(INDEX(Client_List!$J:$J,MATCH(B540,Client_List!$B:$B,0)),""))</f>
        <v>950</v>
      </c>
      <c r="G540" s="5">
        <v>675</v>
      </c>
      <c r="H540" s="4">
        <f>IF(B540="","",IFERROR(A540-LOOKUP(2,1/($B$4:$B539=B540),$A$4:$A539),""))</f>
        <v>7</v>
      </c>
      <c r="I540" s="72">
        <f t="shared" si="8"/>
        <v>96.428571428571431</v>
      </c>
      <c r="J540" s="4">
        <v>142596</v>
      </c>
      <c r="K540" s="6">
        <f>IF(B540="","",IFERROR(AVERAGEIFS($I$4:$I540,$B$4:$B540,B540,$I$4:$I540,"&gt;"&amp;0),""))</f>
        <v>94.314814814814795</v>
      </c>
      <c r="L540" s="4" t="str">
        <f>IF(B540="","",IF(ISNA(MATCH(B540,Client_List!$B:$B,0)),"⚠ NOT FOUND","✓"))</f>
        <v>✓</v>
      </c>
    </row>
    <row r="541" spans="1:12" ht="14" customHeight="1" x14ac:dyDescent="0.2">
      <c r="A541" s="57">
        <v>46069</v>
      </c>
      <c r="B541" s="7" t="s">
        <v>274</v>
      </c>
      <c r="C541" s="3" t="str">
        <f>IF(B541="","",IFERROR(INDEX(Client_List!$C:$C,MATCH(B541,Client_List!$B:$B,0)),""))</f>
        <v>3</v>
      </c>
      <c r="D541" s="9" t="str">
        <f>IF(B541="","",IFERROR(INDEX(Client_List!$D:$D,MATCH(B541,Client_List!$B:$B,0)),""))</f>
        <v>3C</v>
      </c>
      <c r="E541" s="9" t="str">
        <f>IF(B541="","",IFERROR(INDEX(Client_List!$K:$K,MATCH(B541,Client_List!$B:$B,0)),""))</f>
        <v>FRYERS CHOICE BLEND</v>
      </c>
      <c r="F541" s="10">
        <f>IF(B541="","",IFERROR(INDEX(Client_List!$J:$J,MATCH(B541,Client_List!$B:$B,0)),""))</f>
        <v>450</v>
      </c>
      <c r="G541" s="10">
        <v>344</v>
      </c>
      <c r="H541" s="9">
        <f>IF(B541="","",IFERROR(A541-LOOKUP(2,1/($B$4:$B540=B541),$A$4:$A540),""))</f>
        <v>8</v>
      </c>
      <c r="I541" s="73">
        <f t="shared" si="8"/>
        <v>43</v>
      </c>
      <c r="J541" s="9">
        <v>142605</v>
      </c>
      <c r="K541" s="6">
        <f>IF(B541="","",IFERROR(AVERAGEIFS($I$4:$I541,$B$4:$B541,B541,$I$4:$I541,"&gt;"&amp;0),""))</f>
        <v>43.47</v>
      </c>
      <c r="L541" s="9" t="str">
        <f>IF(B541="","",IF(ISNA(MATCH(B541,Client_List!$B:$B,0)),"⚠ NOT FOUND","✓"))</f>
        <v>✓</v>
      </c>
    </row>
    <row r="542" spans="1:12" ht="14" customHeight="1" x14ac:dyDescent="0.2">
      <c r="A542" s="56">
        <v>46069</v>
      </c>
      <c r="B542" s="2" t="s">
        <v>276</v>
      </c>
      <c r="C542" s="11" t="str">
        <f>IF(B542="","",IFERROR(INDEX(Client_List!$C:$C,MATCH(B542,Client_List!$B:$B,0)),""))</f>
        <v>3</v>
      </c>
      <c r="D542" s="4" t="str">
        <f>IF(B542="","",IFERROR(INDEX(Client_List!$D:$D,MATCH(B542,Client_List!$B:$B,0)),""))</f>
        <v>3D</v>
      </c>
      <c r="E542" s="4" t="str">
        <f>IF(B542="","",IFERROR(INDEX(Client_List!$K:$K,MATCH(B542,Client_List!$B:$B,0)),""))</f>
        <v>FRYERS CHOICE BLEND</v>
      </c>
      <c r="F542" s="5">
        <f>IF(B542="","",IFERROR(INDEX(Client_List!$J:$J,MATCH(B542,Client_List!$B:$B,0)),""))</f>
        <v>950</v>
      </c>
      <c r="G542" s="5">
        <v>774</v>
      </c>
      <c r="H542" s="4">
        <f>IF(B542="","",IFERROR(A542-LOOKUP(2,1/($B$4:$B541=B542),$A$4:$A541),""))</f>
        <v>8</v>
      </c>
      <c r="I542" s="72">
        <f t="shared" si="8"/>
        <v>96.75</v>
      </c>
      <c r="J542" s="4">
        <v>142609</v>
      </c>
      <c r="K542" s="6">
        <f>IF(B542="","",IFERROR(AVERAGEIFS($I$4:$I542,$B$4:$B542,B542,$I$4:$I542,"&gt;"&amp;0),""))</f>
        <v>94.970079365079371</v>
      </c>
      <c r="L542" s="4" t="str">
        <f>IF(B542="","",IF(ISNA(MATCH(B542,Client_List!$B:$B,0)),"⚠ NOT FOUND","✓"))</f>
        <v>✓</v>
      </c>
    </row>
    <row r="543" spans="1:12" ht="14" customHeight="1" x14ac:dyDescent="0.2">
      <c r="A543" s="57">
        <v>46069</v>
      </c>
      <c r="B543" s="7" t="s">
        <v>302</v>
      </c>
      <c r="C543" s="8" t="str">
        <f>IF(B543="","",IFERROR(INDEX(Client_List!$C:$C,MATCH(B543,Client_List!$B:$B,0)),""))</f>
        <v>2</v>
      </c>
      <c r="D543" s="9" t="str">
        <f>IF(B543="","",IFERROR(INDEX(Client_List!$D:$D,MATCH(B543,Client_List!$B:$B,0)),""))</f>
        <v>2D</v>
      </c>
      <c r="E543" s="9" t="str">
        <f>IF(B543="","",IFERROR(INDEX(Client_List!$K:$K,MATCH(B543,Client_List!$B:$B,0)),""))</f>
        <v>CANOLA OIL</v>
      </c>
      <c r="F543" s="10">
        <f>IF(B543="","",IFERROR(INDEX(Client_List!$J:$J,MATCH(B543,Client_List!$B:$B,0)),""))</f>
        <v>350</v>
      </c>
      <c r="G543" s="10">
        <v>271</v>
      </c>
      <c r="H543" s="9">
        <f>IF(B543="","",IFERROR(A543-LOOKUP(2,1/($B$4:$B542=B543),$A$4:$A542),""))</f>
        <v>9</v>
      </c>
      <c r="I543" s="73">
        <f t="shared" si="8"/>
        <v>30.111111111111111</v>
      </c>
      <c r="J543" s="9">
        <v>142604</v>
      </c>
      <c r="K543" s="6">
        <f>IF(B543="","",IFERROR(AVERAGEIFS($I$4:$I543,$B$4:$B543,B543,$I$4:$I543,"&gt;"&amp;0),""))</f>
        <v>31.888095238095236</v>
      </c>
      <c r="L543" s="9" t="str">
        <f>IF(B543="","",IF(ISNA(MATCH(B543,Client_List!$B:$B,0)),"⚠ NOT FOUND","✓"))</f>
        <v>✓</v>
      </c>
    </row>
    <row r="544" spans="1:12" ht="14" customHeight="1" x14ac:dyDescent="0.2">
      <c r="A544" s="56">
        <v>46069</v>
      </c>
      <c r="B544" s="2" t="s">
        <v>316</v>
      </c>
      <c r="C544" s="8" t="str">
        <f>IF(B544="","",IFERROR(INDEX(Client_List!$C:$C,MATCH(B544,Client_List!$B:$B,0)),""))</f>
        <v>1</v>
      </c>
      <c r="D544" s="4" t="str">
        <f>IF(B544="","",IFERROR(INDEX(Client_List!$D:$D,MATCH(B544,Client_List!$B:$B,0)),""))</f>
        <v>1E</v>
      </c>
      <c r="E544" s="4" t="str">
        <f>IF(B544="","",IFERROR(INDEX(Client_List!$K:$K,MATCH(B544,Client_List!$B:$B,0)),""))</f>
        <v>CANOLA OIL</v>
      </c>
      <c r="F544" s="5">
        <f>IF(B544="","",IFERROR(INDEX(Client_List!$J:$J,MATCH(B544,Client_List!$B:$B,0)),""))</f>
        <v>1050</v>
      </c>
      <c r="G544" s="5">
        <v>979</v>
      </c>
      <c r="H544" s="4">
        <f>IF(B544="","",IFERROR(A544-LOOKUP(2,1/($B$4:$B543=B544),$A$4:$A543),""))</f>
        <v>18</v>
      </c>
      <c r="I544" s="72">
        <f t="shared" si="8"/>
        <v>54.388888888888886</v>
      </c>
      <c r="J544" s="4">
        <v>142600</v>
      </c>
      <c r="K544" s="6">
        <f>IF(B544="","",IFERROR(AVERAGEIFS($I$4:$I544,$B$4:$B544,B544,$I$4:$I544,"&gt;"&amp;0),""))</f>
        <v>60.913194444444443</v>
      </c>
      <c r="L544" s="4" t="str">
        <f>IF(B544="","",IF(ISNA(MATCH(B544,Client_List!$B:$B,0)),"⚠ NOT FOUND","✓"))</f>
        <v>✓</v>
      </c>
    </row>
    <row r="545" spans="1:12" ht="14" customHeight="1" x14ac:dyDescent="0.2">
      <c r="A545" s="57">
        <v>46070</v>
      </c>
      <c r="B545" s="7" t="s">
        <v>51</v>
      </c>
      <c r="C545" s="13" t="str">
        <f>IF(B545="","",IFERROR(INDEX(Client_List!$C:$C,MATCH(B545,Client_List!$B:$B,0)),""))</f>
        <v>3</v>
      </c>
      <c r="D545" s="9" t="str">
        <f>IF(B545="","",IFERROR(INDEX(Client_List!$D:$D,MATCH(B545,Client_List!$B:$B,0)),""))</f>
        <v>3D</v>
      </c>
      <c r="E545" s="9" t="str">
        <f>IF(B545="","",IFERROR(INDEX(Client_List!$K:$K,MATCH(B545,Client_List!$B:$B,0)),""))</f>
        <v>CANOLA OIL</v>
      </c>
      <c r="F545" s="10">
        <f>IF(B545="","",IFERROR(INDEX(Client_List!$J:$J,MATCH(B545,Client_List!$B:$B,0)),""))</f>
        <v>700</v>
      </c>
      <c r="G545" s="10">
        <v>641</v>
      </c>
      <c r="H545" s="9">
        <f>IF(B545="","",IFERROR(A545-LOOKUP(2,1/($B$4:$B544=B545),$A$4:$A544),""))</f>
        <v>10</v>
      </c>
      <c r="I545" s="73">
        <f t="shared" si="8"/>
        <v>64.099999999999994</v>
      </c>
      <c r="J545" s="9">
        <v>142653</v>
      </c>
      <c r="K545" s="6">
        <f>IF(B545="","",IFERROR(AVERAGEIFS($I$4:$I545,$B$4:$B545,B545,$I$4:$I545,"&gt;"&amp;0),""))</f>
        <v>61.593618881118879</v>
      </c>
      <c r="L545" s="9" t="str">
        <f>IF(B545="","",IF(ISNA(MATCH(B545,Client_List!$B:$B,0)),"⚠ NOT FOUND","✓"))</f>
        <v>✓</v>
      </c>
    </row>
    <row r="546" spans="1:12" ht="14" customHeight="1" x14ac:dyDescent="0.2">
      <c r="A546" s="56">
        <v>46070</v>
      </c>
      <c r="B546" s="2" t="s">
        <v>54</v>
      </c>
      <c r="C546" s="13" t="str">
        <f>IF(B546="","",IFERROR(INDEX(Client_List!$C:$C,MATCH(B546,Client_List!$B:$B,0)),""))</f>
        <v>4</v>
      </c>
      <c r="D546" s="4" t="str">
        <f>IF(B546="","",IFERROR(INDEX(Client_List!$D:$D,MATCH(B546,Client_List!$B:$B,0)),""))</f>
        <v>4F</v>
      </c>
      <c r="E546" s="4" t="str">
        <f>IF(B546="","",IFERROR(INDEX(Client_List!$K:$K,MATCH(B546,Client_List!$B:$B,0)),""))</f>
        <v>CANOLA OIL</v>
      </c>
      <c r="F546" s="5">
        <f>IF(B546="","",IFERROR(INDEX(Client_List!$J:$J,MATCH(B546,Client_List!$B:$B,0)),""))</f>
        <v>1000</v>
      </c>
      <c r="G546" s="5">
        <v>933</v>
      </c>
      <c r="H546" s="4">
        <f>IF(B546="","",IFERROR(A546-LOOKUP(2,1/($B$4:$B545=B546),$A$4:$A545),""))</f>
        <v>14</v>
      </c>
      <c r="I546" s="72">
        <f t="shared" si="8"/>
        <v>66.642857142857139</v>
      </c>
      <c r="J546" s="4">
        <v>142655</v>
      </c>
      <c r="K546" s="6">
        <f>IF(B546="","",IFERROR(AVERAGEIFS($I$4:$I546,$B$4:$B546,B546,$I$4:$I546,"&gt;"&amp;0),""))</f>
        <v>66.330158730158729</v>
      </c>
      <c r="L546" s="4" t="str">
        <f>IF(B546="","",IF(ISNA(MATCH(B546,Client_List!$B:$B,0)),"⚠ NOT FOUND","✓"))</f>
        <v>✓</v>
      </c>
    </row>
    <row r="547" spans="1:12" ht="14" customHeight="1" x14ac:dyDescent="0.2">
      <c r="A547" s="57">
        <v>46070</v>
      </c>
      <c r="B547" s="7" t="s">
        <v>128</v>
      </c>
      <c r="C547" s="3" t="str">
        <f>IF(B547="","",IFERROR(INDEX(Client_List!$C:$C,MATCH(B547,Client_List!$B:$B,0)),""))</f>
        <v>4</v>
      </c>
      <c r="D547" s="9" t="str">
        <f>IF(B547="","",IFERROR(INDEX(Client_List!$D:$D,MATCH(B547,Client_List!$B:$B,0)),""))</f>
        <v>4E</v>
      </c>
      <c r="E547" s="9" t="str">
        <f>IF(B547="","",IFERROR(INDEX(Client_List!$K:$K,MATCH(B547,Client_List!$B:$B,0)),""))</f>
        <v>CANOLA OIL</v>
      </c>
      <c r="F547" s="10">
        <f>IF(B547="","",IFERROR(INDEX(Client_List!$J:$J,MATCH(B547,Client_List!$B:$B,0)),""))</f>
        <v>700</v>
      </c>
      <c r="G547" s="10">
        <v>357</v>
      </c>
      <c r="H547" s="9">
        <f>IF(B547="","",IFERROR(A547-LOOKUP(2,1/($B$4:$B546=B547),$A$4:$A546),""))</f>
        <v>6</v>
      </c>
      <c r="I547" s="73">
        <f t="shared" si="8"/>
        <v>59.5</v>
      </c>
      <c r="J547" s="9">
        <v>142656</v>
      </c>
      <c r="K547" s="6">
        <f>IF(B547="","",IFERROR(AVERAGEIFS($I$4:$I547,$B$4:$B547,B547,$I$4:$I547,"&gt;"&amp;0),""))</f>
        <v>68.072420634920647</v>
      </c>
      <c r="L547" s="9" t="str">
        <f>IF(B547="","",IF(ISNA(MATCH(B547,Client_List!$B:$B,0)),"⚠ NOT FOUND","✓"))</f>
        <v>✓</v>
      </c>
    </row>
    <row r="548" spans="1:12" ht="14" customHeight="1" x14ac:dyDescent="0.2">
      <c r="A548" s="56">
        <v>46070</v>
      </c>
      <c r="B548" s="2" t="s">
        <v>158</v>
      </c>
      <c r="C548" s="12" t="str">
        <f>IF(B548="","",IFERROR(INDEX(Client_List!$C:$C,MATCH(B548,Client_List!$B:$B,0)),""))</f>
        <v>4</v>
      </c>
      <c r="D548" s="4" t="str">
        <f>IF(B548="","",IFERROR(INDEX(Client_List!$D:$D,MATCH(B548,Client_List!$B:$B,0)),""))</f>
        <v>4C</v>
      </c>
      <c r="E548" s="4" t="str">
        <f>IF(B548="","",IFERROR(INDEX(Client_List!$K:$K,MATCH(B548,Client_List!$B:$B,0)),""))</f>
        <v>CANOLA OIL</v>
      </c>
      <c r="F548" s="5">
        <f>IF(B548="","",IFERROR(INDEX(Client_List!$J:$J,MATCH(B548,Client_List!$B:$B,0)),""))</f>
        <v>350</v>
      </c>
      <c r="G548" s="5">
        <v>255</v>
      </c>
      <c r="H548" s="4" t="str">
        <f>IF(B548="","",IFERROR(A548-LOOKUP(2,1/($B$4:$B547=B548),$A$4:$A547),""))</f>
        <v/>
      </c>
      <c r="I548" s="72" t="str">
        <f t="shared" si="8"/>
        <v/>
      </c>
      <c r="J548" s="4">
        <v>142652</v>
      </c>
      <c r="K548" s="6" t="str">
        <f>IF(B548="","",IFERROR(AVERAGEIFS($I$4:$I548,$B$4:$B548,B548,$I$4:$I548,"&gt;"&amp;0),""))</f>
        <v/>
      </c>
      <c r="L548" s="4" t="str">
        <f>IF(B548="","",IF(ISNA(MATCH(B548,Client_List!$B:$B,0)),"⚠ NOT FOUND","✓"))</f>
        <v>✓</v>
      </c>
    </row>
    <row r="549" spans="1:12" ht="14" customHeight="1" x14ac:dyDescent="0.2">
      <c r="A549" s="57">
        <v>46070</v>
      </c>
      <c r="B549" s="7" t="s">
        <v>204</v>
      </c>
      <c r="C549" s="12" t="str">
        <f>IF(B549="","",IFERROR(INDEX(Client_List!$C:$C,MATCH(B549,Client_List!$B:$B,0)),""))</f>
        <v>5</v>
      </c>
      <c r="D549" s="9" t="str">
        <f>IF(B549="","",IFERROR(INDEX(Client_List!$D:$D,MATCH(B549,Client_List!$B:$B,0)),""))</f>
        <v>5E</v>
      </c>
      <c r="E549" s="9" t="str">
        <f>IF(B549="","",IFERROR(INDEX(Client_List!$K:$K,MATCH(B549,Client_List!$B:$B,0)),""))</f>
        <v>CANOLA OIL</v>
      </c>
      <c r="F549" s="10">
        <f>IF(B549="","",IFERROR(INDEX(Client_List!$J:$J,MATCH(B549,Client_List!$B:$B,0)),""))</f>
        <v>1800</v>
      </c>
      <c r="G549" s="10">
        <v>1531</v>
      </c>
      <c r="H549" s="9">
        <f>IF(B549="","",IFERROR(A549-LOOKUP(2,1/($B$4:$B548=B549),$A$4:$A548),""))</f>
        <v>9</v>
      </c>
      <c r="I549" s="73">
        <f t="shared" si="8"/>
        <v>170.11111111111111</v>
      </c>
      <c r="J549" s="9">
        <v>142660</v>
      </c>
      <c r="K549" s="6">
        <f>IF(B549="","",IFERROR(AVERAGEIFS($I$4:$I549,$B$4:$B549,B549,$I$4:$I549,"&gt;"&amp;0),""))</f>
        <v>153.92460317460316</v>
      </c>
      <c r="L549" s="9" t="str">
        <f>IF(B549="","",IF(ISNA(MATCH(B549,Client_List!$B:$B,0)),"⚠ NOT FOUND","✓"))</f>
        <v>✓</v>
      </c>
    </row>
    <row r="550" spans="1:12" ht="14" customHeight="1" x14ac:dyDescent="0.2">
      <c r="A550" s="56">
        <v>46070</v>
      </c>
      <c r="B550" s="2" t="s">
        <v>208</v>
      </c>
      <c r="C550" s="3" t="str">
        <f>IF(B550="","",IFERROR(INDEX(Client_List!$C:$C,MATCH(B550,Client_List!$B:$B,0)),""))</f>
        <v>4</v>
      </c>
      <c r="D550" s="4" t="str">
        <f>IF(B550="","",IFERROR(INDEX(Client_List!$D:$D,MATCH(B550,Client_List!$B:$B,0)),""))</f>
        <v>4C</v>
      </c>
      <c r="E550" s="4" t="str">
        <f>IF(B550="","",IFERROR(INDEX(Client_List!$K:$K,MATCH(B550,Client_List!$B:$B,0)),""))</f>
        <v>UNKNOWN</v>
      </c>
      <c r="F550" s="5">
        <f>IF(B550="","",IFERROR(INDEX(Client_List!$J:$J,MATCH(B550,Client_List!$B:$B,0)),""))</f>
        <v>1050</v>
      </c>
      <c r="G550" s="5">
        <v>1061</v>
      </c>
      <c r="H550" s="4">
        <f>IF(B550="","",IFERROR(A550-LOOKUP(2,1/($B$4:$B549=B550),$A$4:$A549),""))</f>
        <v>15</v>
      </c>
      <c r="I550" s="72">
        <f t="shared" si="8"/>
        <v>70.733333333333334</v>
      </c>
      <c r="J550" s="4">
        <v>142651</v>
      </c>
      <c r="K550" s="6">
        <f>IF(B550="","",IFERROR(AVERAGEIFS($I$4:$I550,$B$4:$B550,B550,$I$4:$I550,"&gt;"&amp;0),""))</f>
        <v>67.045238095238091</v>
      </c>
      <c r="L550" s="4" t="str">
        <f>IF(B550="","",IF(ISNA(MATCH(B550,Client_List!$B:$B,0)),"⚠ NOT FOUND","✓"))</f>
        <v>✓</v>
      </c>
    </row>
    <row r="551" spans="1:12" ht="14" customHeight="1" x14ac:dyDescent="0.2">
      <c r="A551" s="57">
        <v>46070</v>
      </c>
      <c r="B551" s="7" t="s">
        <v>224</v>
      </c>
      <c r="C551" s="12" t="str">
        <f>IF(B551="","",IFERROR(INDEX(Client_List!$C:$C,MATCH(B551,Client_List!$B:$B,0)),""))</f>
        <v>5</v>
      </c>
      <c r="D551" s="9" t="str">
        <f>IF(B551="","",IFERROR(INDEX(Client_List!$D:$D,MATCH(B551,Client_List!$B:$B,0)),""))</f>
        <v>5E</v>
      </c>
      <c r="E551" s="9" t="str">
        <f>IF(B551="","",IFERROR(INDEX(Client_List!$K:$K,MATCH(B551,Client_List!$B:$B,0)),""))</f>
        <v>CANOLA OIL</v>
      </c>
      <c r="F551" s="10">
        <f>IF(B551="","",IFERROR(INDEX(Client_List!$J:$J,MATCH(B551,Client_List!$B:$B,0)),""))</f>
        <v>450</v>
      </c>
      <c r="G551" s="10">
        <v>384</v>
      </c>
      <c r="H551" s="9">
        <f>IF(B551="","",IFERROR(A551-LOOKUP(2,1/($B$4:$B550=B551),$A$4:$A550),""))</f>
        <v>9</v>
      </c>
      <c r="I551" s="73">
        <f t="shared" si="8"/>
        <v>42.666666666666664</v>
      </c>
      <c r="J551" s="9">
        <v>142659</v>
      </c>
      <c r="K551" s="6">
        <f>IF(B551="","",IFERROR(AVERAGEIFS($I$4:$I551,$B$4:$B551,B551,$I$4:$I551,"&gt;"&amp;0),""))</f>
        <v>30.510582010582009</v>
      </c>
      <c r="L551" s="9" t="str">
        <f>IF(B551="","",IF(ISNA(MATCH(B551,Client_List!$B:$B,0)),"⚠ NOT FOUND","✓"))</f>
        <v>✓</v>
      </c>
    </row>
    <row r="552" spans="1:12" ht="14" customHeight="1" x14ac:dyDescent="0.2">
      <c r="A552" s="56">
        <v>46070</v>
      </c>
      <c r="B552" s="2" t="s">
        <v>260</v>
      </c>
      <c r="C552" s="8" t="str">
        <f>IF(B552="","",IFERROR(INDEX(Client_List!$C:$C,MATCH(B552,Client_List!$B:$B,0)),""))</f>
        <v>5</v>
      </c>
      <c r="D552" s="4" t="str">
        <f>IF(B552="","",IFERROR(INDEX(Client_List!$D:$D,MATCH(B552,Client_List!$B:$B,0)),""))</f>
        <v>5E</v>
      </c>
      <c r="E552" s="4" t="str">
        <f>IF(B552="","",IFERROR(INDEX(Client_List!$K:$K,MATCH(B552,Client_List!$B:$B,0)),""))</f>
        <v>FRYERS CHOICE BLEND</v>
      </c>
      <c r="F552" s="5">
        <f>IF(B552="","",IFERROR(INDEX(Client_List!$J:$J,MATCH(B552,Client_List!$B:$B,0)),""))</f>
        <v>950</v>
      </c>
      <c r="G552" s="5">
        <v>601</v>
      </c>
      <c r="H552" s="4">
        <f>IF(B552="","",IFERROR(A552-LOOKUP(2,1/($B$4:$B551=B552),$A$4:$A551),""))</f>
        <v>18</v>
      </c>
      <c r="I552" s="72">
        <f t="shared" si="8"/>
        <v>33.388888888888886</v>
      </c>
      <c r="J552" s="4">
        <v>142658</v>
      </c>
      <c r="K552" s="6">
        <f>IF(B552="","",IFERROR(AVERAGEIFS($I$4:$I552,$B$4:$B552,B552,$I$4:$I552,"&gt;"&amp;0),""))</f>
        <v>32.694444444444443</v>
      </c>
      <c r="L552" s="4" t="str">
        <f>IF(B552="","",IF(ISNA(MATCH(B552,Client_List!$B:$B,0)),"⚠ NOT FOUND","✓"))</f>
        <v>✓</v>
      </c>
    </row>
    <row r="553" spans="1:12" ht="14" customHeight="1" x14ac:dyDescent="0.2">
      <c r="A553" s="57">
        <v>46070</v>
      </c>
      <c r="B553" s="7" t="s">
        <v>262</v>
      </c>
      <c r="C553" s="12" t="str">
        <f>IF(B553="","",IFERROR(INDEX(Client_List!$C:$C,MATCH(B553,Client_List!$B:$B,0)),""))</f>
        <v>2</v>
      </c>
      <c r="D553" s="9" t="str">
        <f>IF(B553="","",IFERROR(INDEX(Client_List!$D:$D,MATCH(B553,Client_List!$B:$B,0)),""))</f>
        <v>2C</v>
      </c>
      <c r="E553" s="9" t="str">
        <f>IF(B553="","",IFERROR(INDEX(Client_List!$K:$K,MATCH(B553,Client_List!$B:$B,0)),""))</f>
        <v>CANOLA OIL</v>
      </c>
      <c r="F553" s="10">
        <f>IF(B553="","",IFERROR(INDEX(Client_List!$J:$J,MATCH(B553,Client_List!$B:$B,0)),""))</f>
        <v>1950</v>
      </c>
      <c r="G553" s="10">
        <v>1547</v>
      </c>
      <c r="H553" s="9">
        <f>IF(B553="","",IFERROR(A553-LOOKUP(2,1/($B$4:$B552=B553),$A$4:$A552),""))</f>
        <v>10</v>
      </c>
      <c r="I553" s="73">
        <f t="shared" si="8"/>
        <v>154.69999999999999</v>
      </c>
      <c r="J553" s="9">
        <v>142654</v>
      </c>
      <c r="K553" s="6">
        <f>IF(B553="","",IFERROR(AVERAGEIFS($I$4:$I553,$B$4:$B553,B553,$I$4:$I553,"&gt;"&amp;0),""))</f>
        <v>159.75277777777779</v>
      </c>
      <c r="L553" s="9" t="str">
        <f>IF(B553="","",IF(ISNA(MATCH(B553,Client_List!$B:$B,0)),"⚠ NOT FOUND","✓"))</f>
        <v>✓</v>
      </c>
    </row>
    <row r="554" spans="1:12" ht="14" customHeight="1" x14ac:dyDescent="0.2">
      <c r="A554" s="56">
        <v>46070</v>
      </c>
      <c r="B554" s="2" t="s">
        <v>338</v>
      </c>
      <c r="C554" s="8" t="str">
        <f>IF(B554="","",IFERROR(INDEX(Client_List!$C:$C,MATCH(B554,Client_List!$B:$B,0)),""))</f>
        <v>4</v>
      </c>
      <c r="D554" s="4" t="str">
        <f>IF(B554="","",IFERROR(INDEX(Client_List!$D:$D,MATCH(B554,Client_List!$B:$B,0)),""))</f>
        <v>4D</v>
      </c>
      <c r="E554" s="4" t="str">
        <f>IF(B554="","",IFERROR(INDEX(Client_List!$K:$K,MATCH(B554,Client_List!$B:$B,0)),""))</f>
        <v>CANOLA OIL</v>
      </c>
      <c r="F554" s="5">
        <f>IF(B554="","",IFERROR(INDEX(Client_List!$J:$J,MATCH(B554,Client_List!$B:$B,0)),""))</f>
        <v>1050</v>
      </c>
      <c r="G554" s="5">
        <v>1066</v>
      </c>
      <c r="H554" s="4">
        <f>IF(B554="","",IFERROR(A554-LOOKUP(2,1/($B$4:$B553=B554),$A$4:$A553),""))</f>
        <v>27</v>
      </c>
      <c r="I554" s="72">
        <f t="shared" si="8"/>
        <v>39.481481481481481</v>
      </c>
      <c r="J554" s="4">
        <v>142650</v>
      </c>
      <c r="K554" s="6">
        <f>IF(B554="","",IFERROR(AVERAGEIFS($I$4:$I554,$B$4:$B554,B554,$I$4:$I554,"&gt;"&amp;0),""))</f>
        <v>39.481481481481481</v>
      </c>
      <c r="L554" s="4" t="str">
        <f>IF(B554="","",IF(ISNA(MATCH(B554,Client_List!$B:$B,0)),"⚠ NOT FOUND","✓"))</f>
        <v>✓</v>
      </c>
    </row>
    <row r="555" spans="1:12" ht="14" customHeight="1" x14ac:dyDescent="0.2">
      <c r="A555" s="57">
        <v>46071</v>
      </c>
      <c r="B555" s="7" t="s">
        <v>61</v>
      </c>
      <c r="C555" s="3" t="str">
        <f>IF(B555="","",IFERROR(INDEX(Client_List!$C:$C,MATCH(B555,Client_List!$B:$B,0)),""))</f>
        <v>3</v>
      </c>
      <c r="D555" s="9" t="str">
        <f>IF(B555="","",IFERROR(INDEX(Client_List!$D:$D,MATCH(B555,Client_List!$B:$B,0)),""))</f>
        <v>3D</v>
      </c>
      <c r="E555" s="9" t="str">
        <f>IF(B555="","",IFERROR(INDEX(Client_List!$K:$K,MATCH(B555,Client_List!$B:$B,0)),""))</f>
        <v>CANOLA OIL</v>
      </c>
      <c r="F555" s="10">
        <f>IF(B555="","",IFERROR(INDEX(Client_List!$J:$J,MATCH(B555,Client_List!$B:$B,0)),""))</f>
        <v>350</v>
      </c>
      <c r="G555" s="10">
        <v>320</v>
      </c>
      <c r="H555" s="9">
        <f>IF(B555="","",IFERROR(A555-LOOKUP(2,1/($B$4:$B554=B555),$A$4:$A554),""))</f>
        <v>7</v>
      </c>
      <c r="I555" s="73">
        <f t="shared" si="8"/>
        <v>45.714285714285715</v>
      </c>
      <c r="J555" s="9">
        <v>142667</v>
      </c>
      <c r="K555" s="6">
        <f>IF(B555="","",IFERROR(AVERAGEIFS($I$4:$I555,$B$4:$B555,B555,$I$4:$I555,"&gt;"&amp;0),""))</f>
        <v>43.098214285714285</v>
      </c>
      <c r="L555" s="9" t="str">
        <f>IF(B555="","",IF(ISNA(MATCH(B555,Client_List!$B:$B,0)),"⚠ NOT FOUND","✓"))</f>
        <v>✓</v>
      </c>
    </row>
    <row r="556" spans="1:12" ht="14" customHeight="1" x14ac:dyDescent="0.2">
      <c r="A556" s="56">
        <v>46071</v>
      </c>
      <c r="B556" s="2" t="s">
        <v>67</v>
      </c>
      <c r="C556" s="3" t="str">
        <f>IF(B556="","",IFERROR(INDEX(Client_List!$C:$C,MATCH(B556,Client_List!$B:$B,0)),""))</f>
        <v>5</v>
      </c>
      <c r="D556" s="4" t="str">
        <f>IF(B556="","",IFERROR(INDEX(Client_List!$D:$D,MATCH(B556,Client_List!$B:$B,0)),""))</f>
        <v>5F</v>
      </c>
      <c r="E556" s="4" t="str">
        <f>IF(B556="","",IFERROR(INDEX(Client_List!$K:$K,MATCH(B556,Client_List!$B:$B,0)),""))</f>
        <v>CANOLA OIL</v>
      </c>
      <c r="F556" s="5">
        <f>IF(B556="","",IFERROR(INDEX(Client_List!$J:$J,MATCH(B556,Client_List!$B:$B,0)),""))</f>
        <v>950</v>
      </c>
      <c r="G556" s="5">
        <v>835</v>
      </c>
      <c r="H556" s="4">
        <f>IF(B556="","",IFERROR(A556-LOOKUP(2,1/($B$4:$B555=B556),$A$4:$A555),""))</f>
        <v>10</v>
      </c>
      <c r="I556" s="72">
        <f t="shared" si="8"/>
        <v>83.5</v>
      </c>
      <c r="J556" s="4">
        <v>142671</v>
      </c>
      <c r="K556" s="6">
        <f>IF(B556="","",IFERROR(AVERAGEIFS($I$4:$I556,$B$4:$B556,B556,$I$4:$I556,"&gt;"&amp;0),""))</f>
        <v>82.385606060606065</v>
      </c>
      <c r="L556" s="4" t="str">
        <f>IF(B556="","",IF(ISNA(MATCH(B556,Client_List!$B:$B,0)),"⚠ NOT FOUND","✓"))</f>
        <v>✓</v>
      </c>
    </row>
    <row r="557" spans="1:12" ht="14" customHeight="1" x14ac:dyDescent="0.2">
      <c r="A557" s="57">
        <v>46071</v>
      </c>
      <c r="B557" s="7" t="s">
        <v>134</v>
      </c>
      <c r="C557" s="3" t="str">
        <f>IF(B557="","",IFERROR(INDEX(Client_List!$C:$C,MATCH(B557,Client_List!$B:$B,0)),""))</f>
        <v>3</v>
      </c>
      <c r="D557" s="9" t="str">
        <f>IF(B557="","",IFERROR(INDEX(Client_List!$D:$D,MATCH(B557,Client_List!$B:$B,0)),""))</f>
        <v>3D</v>
      </c>
      <c r="E557" s="9" t="str">
        <f>IF(B557="","",IFERROR(INDEX(Client_List!$K:$K,MATCH(B557,Client_List!$B:$B,0)),""))</f>
        <v>CANOLA OIL</v>
      </c>
      <c r="F557" s="10">
        <f>IF(B557="","",IFERROR(INDEX(Client_List!$J:$J,MATCH(B557,Client_List!$B:$B,0)),""))</f>
        <v>1850</v>
      </c>
      <c r="G557" s="10">
        <v>1471</v>
      </c>
      <c r="H557" s="9">
        <f>IF(B557="","",IFERROR(A557-LOOKUP(2,1/($B$4:$B556=B557),$A$4:$A556),""))</f>
        <v>21</v>
      </c>
      <c r="I557" s="73">
        <f t="shared" si="8"/>
        <v>70.047619047619051</v>
      </c>
      <c r="J557" s="9">
        <v>142673</v>
      </c>
      <c r="K557" s="6">
        <f>IF(B557="","",IFERROR(AVERAGEIFS($I$4:$I557,$B$4:$B557,B557,$I$4:$I557,"&gt;"&amp;0),""))</f>
        <v>67.971177944862148</v>
      </c>
      <c r="L557" s="9" t="str">
        <f>IF(B557="","",IF(ISNA(MATCH(B557,Client_List!$B:$B,0)),"⚠ NOT FOUND","✓"))</f>
        <v>✓</v>
      </c>
    </row>
    <row r="558" spans="1:12" ht="14" customHeight="1" x14ac:dyDescent="0.2">
      <c r="A558" s="56">
        <v>46071</v>
      </c>
      <c r="B558" s="2" t="s">
        <v>142</v>
      </c>
      <c r="C558" s="8" t="str">
        <f>IF(B558="","",IFERROR(INDEX(Client_List!$C:$C,MATCH(B558,Client_List!$B:$B,0)),""))</f>
        <v>4</v>
      </c>
      <c r="D558" s="4" t="str">
        <f>IF(B558="","",IFERROR(INDEX(Client_List!$D:$D,MATCH(B558,Client_List!$B:$B,0)),""))</f>
        <v>4A</v>
      </c>
      <c r="E558" s="4" t="str">
        <f>IF(B558="","",IFERROR(INDEX(Client_List!$K:$K,MATCH(B558,Client_List!$B:$B,0)),""))</f>
        <v>FRYERS CHOICE BLEND</v>
      </c>
      <c r="F558" s="5">
        <f>IF(B558="","",IFERROR(INDEX(Client_List!$J:$J,MATCH(B558,Client_List!$B:$B,0)),""))</f>
        <v>1050</v>
      </c>
      <c r="G558" s="5">
        <v>927</v>
      </c>
      <c r="H558" s="4">
        <f>IF(B558="","",IFERROR(A558-LOOKUP(2,1/($B$4:$B557=B558),$A$4:$A557),""))</f>
        <v>5</v>
      </c>
      <c r="I558" s="72">
        <f t="shared" si="8"/>
        <v>185.4</v>
      </c>
      <c r="J558" s="4">
        <v>142668</v>
      </c>
      <c r="K558" s="6">
        <f>IF(B558="","",IFERROR(AVERAGEIFS($I$4:$I558,$B$4:$B558,B558,$I$4:$I558,"&gt;"&amp;0),""))</f>
        <v>180.84722222222223</v>
      </c>
      <c r="L558" s="4" t="str">
        <f>IF(B558="","",IF(ISNA(MATCH(B558,Client_List!$B:$B,0)),"⚠ NOT FOUND","✓"))</f>
        <v>✓</v>
      </c>
    </row>
    <row r="559" spans="1:12" ht="14" customHeight="1" x14ac:dyDescent="0.2">
      <c r="A559" s="57">
        <v>46071</v>
      </c>
      <c r="B559" s="7" t="s">
        <v>144</v>
      </c>
      <c r="C559" s="12" t="str">
        <f>IF(B559="","",IFERROR(INDEX(Client_List!$C:$C,MATCH(B559,Client_List!$B:$B,0)),""))</f>
        <v>4</v>
      </c>
      <c r="D559" s="9" t="str">
        <f>IF(B559="","",IFERROR(INDEX(Client_List!$D:$D,MATCH(B559,Client_List!$B:$B,0)),""))</f>
        <v>4A</v>
      </c>
      <c r="E559" s="9" t="str">
        <f>IF(B559="","",IFERROR(INDEX(Client_List!$K:$K,MATCH(B559,Client_List!$B:$B,0)),""))</f>
        <v>FRYERS CHOICE BLEND</v>
      </c>
      <c r="F559" s="10">
        <f>IF(B559="","",IFERROR(INDEX(Client_List!$J:$J,MATCH(B559,Client_List!$B:$B,0)),""))</f>
        <v>900</v>
      </c>
      <c r="G559" s="10">
        <v>695</v>
      </c>
      <c r="H559" s="9">
        <f>IF(B559="","",IFERROR(A559-LOOKUP(2,1/($B$4:$B558=B559),$A$4:$A558),""))</f>
        <v>11</v>
      </c>
      <c r="I559" s="73">
        <f t="shared" si="8"/>
        <v>63.18181818181818</v>
      </c>
      <c r="J559" s="9">
        <v>142669</v>
      </c>
      <c r="K559" s="6">
        <f>IF(B559="","",IFERROR(AVERAGEIFS($I$4:$I559,$B$4:$B559,B559,$I$4:$I559,"&gt;"&amp;0),""))</f>
        <v>61.660808080808081</v>
      </c>
      <c r="L559" s="9" t="str">
        <f>IF(B559="","",IF(ISNA(MATCH(B559,Client_List!$B:$B,0)),"⚠ NOT FOUND","✓"))</f>
        <v>✓</v>
      </c>
    </row>
    <row r="560" spans="1:12" ht="14" customHeight="1" x14ac:dyDescent="0.2">
      <c r="A560" s="56">
        <v>46071</v>
      </c>
      <c r="B560" s="2" t="s">
        <v>178</v>
      </c>
      <c r="C560" s="3" t="str">
        <f>IF(B560="","",IFERROR(INDEX(Client_List!$C:$C,MATCH(B560,Client_List!$B:$B,0)),""))</f>
        <v>3</v>
      </c>
      <c r="D560" s="4" t="str">
        <f>IF(B560="","",IFERROR(INDEX(Client_List!$D:$D,MATCH(B560,Client_List!$B:$B,0)),""))</f>
        <v>3C</v>
      </c>
      <c r="E560" s="4" t="str">
        <f>IF(B560="","",IFERROR(INDEX(Client_List!$K:$K,MATCH(B560,Client_List!$B:$B,0)),""))</f>
        <v>CANOLA OIL</v>
      </c>
      <c r="F560" s="5">
        <f>IF(B560="","",IFERROR(INDEX(Client_List!$J:$J,MATCH(B560,Client_List!$B:$B,0)),""))</f>
        <v>900</v>
      </c>
      <c r="G560" s="5">
        <v>970</v>
      </c>
      <c r="H560" s="4">
        <f>IF(B560="","",IFERROR(A560-LOOKUP(2,1/($B$4:$B559=B560),$A$4:$A559),""))</f>
        <v>26</v>
      </c>
      <c r="I560" s="72">
        <f t="shared" si="8"/>
        <v>37.307692307692307</v>
      </c>
      <c r="J560" s="4">
        <v>142672</v>
      </c>
      <c r="K560" s="6">
        <f>IF(B560="","",IFERROR(AVERAGEIFS($I$4:$I560,$B$4:$B560,B560,$I$4:$I560,"&gt;"&amp;0),""))</f>
        <v>37.307692307692307</v>
      </c>
      <c r="L560" s="4" t="str">
        <f>IF(B560="","",IF(ISNA(MATCH(B560,Client_List!$B:$B,0)),"⚠ NOT FOUND","✓"))</f>
        <v>✓</v>
      </c>
    </row>
    <row r="561" spans="1:12" ht="14" customHeight="1" x14ac:dyDescent="0.2">
      <c r="A561" s="57">
        <v>46071</v>
      </c>
      <c r="B561" s="7" t="s">
        <v>216</v>
      </c>
      <c r="C561" s="12" t="str">
        <f>IF(B561="","",IFERROR(INDEX(Client_List!$C:$C,MATCH(B561,Client_List!$B:$B,0)),""))</f>
        <v>3</v>
      </c>
      <c r="D561" s="9" t="str">
        <f>IF(B561="","",IFERROR(INDEX(Client_List!$D:$D,MATCH(B561,Client_List!$B:$B,0)),""))</f>
        <v>3D</v>
      </c>
      <c r="E561" s="9" t="str">
        <f>IF(B561="","",IFERROR(INDEX(Client_List!$K:$K,MATCH(B561,Client_List!$B:$B,0)),""))</f>
        <v>CANOLA OIL</v>
      </c>
      <c r="F561" s="10">
        <f>IF(B561="","",IFERROR(INDEX(Client_List!$J:$J,MATCH(B561,Client_List!$B:$B,0)),""))</f>
        <v>450</v>
      </c>
      <c r="G561" s="10">
        <v>550</v>
      </c>
      <c r="H561" s="9">
        <f>IF(B561="","",IFERROR(A561-LOOKUP(2,1/($B$4:$B560=B561),$A$4:$A560),""))</f>
        <v>15</v>
      </c>
      <c r="I561" s="73">
        <f t="shared" si="8"/>
        <v>36.666666666666664</v>
      </c>
      <c r="J561" s="9">
        <v>142674</v>
      </c>
      <c r="K561" s="6">
        <f>IF(B561="","",IFERROR(AVERAGEIFS($I$4:$I561,$B$4:$B561,B561,$I$4:$I561,"&gt;"&amp;0),""))</f>
        <v>33.973063973063972</v>
      </c>
      <c r="L561" s="9" t="str">
        <f>IF(B561="","",IF(ISNA(MATCH(B561,Client_List!$B:$B,0)),"⚠ NOT FOUND","✓"))</f>
        <v>✓</v>
      </c>
    </row>
    <row r="562" spans="1:12" ht="14" customHeight="1" x14ac:dyDescent="0.2">
      <c r="A562" s="56">
        <v>46071</v>
      </c>
      <c r="B562" s="2" t="s">
        <v>242</v>
      </c>
      <c r="C562" s="12" t="str">
        <f>IF(B562="","",IFERROR(INDEX(Client_List!$C:$C,MATCH(B562,Client_List!$B:$B,0)),""))</f>
        <v>4</v>
      </c>
      <c r="D562" s="4" t="str">
        <f>IF(B562="","",IFERROR(INDEX(Client_List!$D:$D,MATCH(B562,Client_List!$B:$B,0)),""))</f>
        <v>4D</v>
      </c>
      <c r="E562" s="4" t="str">
        <f>IF(B562="","",IFERROR(INDEX(Client_List!$K:$K,MATCH(B562,Client_List!$B:$B,0)),""))</f>
        <v>FRYERS CHOICE BLEND</v>
      </c>
      <c r="F562" s="5">
        <f>IF(B562="","",IFERROR(INDEX(Client_List!$J:$J,MATCH(B562,Client_List!$B:$B,0)),""))</f>
        <v>950</v>
      </c>
      <c r="G562" s="5">
        <v>523</v>
      </c>
      <c r="H562" s="4">
        <f>IF(B562="","",IFERROR(A562-LOOKUP(2,1/($B$4:$B561=B562),$A$4:$A561),""))</f>
        <v>7</v>
      </c>
      <c r="I562" s="72">
        <f t="shared" si="8"/>
        <v>74.714285714285708</v>
      </c>
      <c r="J562" s="4">
        <v>142675</v>
      </c>
      <c r="K562" s="6">
        <f>IF(B562="","",IFERROR(AVERAGEIFS($I$4:$I562,$B$4:$B562,B562,$I$4:$I562,"&gt;"&amp;0),""))</f>
        <v>72.056776556776555</v>
      </c>
      <c r="L562" s="4" t="str">
        <f>IF(B562="","",IF(ISNA(MATCH(B562,Client_List!$B:$B,0)),"⚠ NOT FOUND","✓"))</f>
        <v>✓</v>
      </c>
    </row>
    <row r="563" spans="1:12" ht="14" customHeight="1" x14ac:dyDescent="0.2">
      <c r="A563" s="57">
        <v>46071</v>
      </c>
      <c r="B563" s="7" t="s">
        <v>244</v>
      </c>
      <c r="C563" s="8" t="str">
        <f>IF(B563="","",IFERROR(INDEX(Client_List!$C:$C,MATCH(B563,Client_List!$B:$B,0)),""))</f>
        <v>4</v>
      </c>
      <c r="D563" s="9" t="str">
        <f>IF(B563="","",IFERROR(INDEX(Client_List!$D:$D,MATCH(B563,Client_List!$B:$B,0)),""))</f>
        <v>4E</v>
      </c>
      <c r="E563" s="9" t="str">
        <f>IF(B563="","",IFERROR(INDEX(Client_List!$K:$K,MATCH(B563,Client_List!$B:$B,0)),""))</f>
        <v>FRYERS CHOICE BLEND</v>
      </c>
      <c r="F563" s="10">
        <f>IF(B563="","",IFERROR(INDEX(Client_List!$J:$J,MATCH(B563,Client_List!$B:$B,0)),""))</f>
        <v>950</v>
      </c>
      <c r="G563" s="10">
        <v>695</v>
      </c>
      <c r="H563" s="9">
        <f>IF(B563="","",IFERROR(A563-LOOKUP(2,1/($B$4:$B562=B563),$A$4:$A562),""))</f>
        <v>13</v>
      </c>
      <c r="I563" s="73">
        <f t="shared" si="8"/>
        <v>53.46153846153846</v>
      </c>
      <c r="J563" s="9">
        <v>142666</v>
      </c>
      <c r="K563" s="6">
        <f>IF(B563="","",IFERROR(AVERAGEIFS($I$4:$I563,$B$4:$B563,B563,$I$4:$I563,"&gt;"&amp;0),""))</f>
        <v>54.578347578347575</v>
      </c>
      <c r="L563" s="9" t="str">
        <f>IF(B563="","",IF(ISNA(MATCH(B563,Client_List!$B:$B,0)),"⚠ NOT FOUND","✓"))</f>
        <v>✓</v>
      </c>
    </row>
    <row r="564" spans="1:12" ht="14" customHeight="1" x14ac:dyDescent="0.2">
      <c r="A564" s="56">
        <v>46071</v>
      </c>
      <c r="B564" s="2" t="s">
        <v>322</v>
      </c>
      <c r="C564" s="8" t="str">
        <f>IF(B564="","",IFERROR(INDEX(Client_List!$C:$C,MATCH(B564,Client_List!$B:$B,0)),""))</f>
        <v>4</v>
      </c>
      <c r="D564" s="4" t="str">
        <f>IF(B564="","",IFERROR(INDEX(Client_List!$D:$D,MATCH(B564,Client_List!$B:$B,0)),""))</f>
        <v>4B</v>
      </c>
      <c r="E564" s="4" t="str">
        <f>IF(B564="","",IFERROR(INDEX(Client_List!$K:$K,MATCH(B564,Client_List!$B:$B,0)),""))</f>
        <v>CANOLA OIL</v>
      </c>
      <c r="F564" s="5">
        <f>IF(B564="","",IFERROR(INDEX(Client_List!$J:$J,MATCH(B564,Client_List!$B:$B,0)),""))</f>
        <v>1050</v>
      </c>
      <c r="G564" s="5">
        <v>964</v>
      </c>
      <c r="H564" s="4">
        <f>IF(B564="","",IFERROR(A564-LOOKUP(2,1/($B$4:$B563=B564),$A$4:$A563),""))</f>
        <v>25</v>
      </c>
      <c r="I564" s="72">
        <f t="shared" si="8"/>
        <v>38.56</v>
      </c>
      <c r="J564" s="4">
        <v>142670</v>
      </c>
      <c r="K564" s="6">
        <f>IF(B564="","",IFERROR(AVERAGEIFS($I$4:$I564,$B$4:$B564,B564,$I$4:$I564,"&gt;"&amp;0),""))</f>
        <v>38.56</v>
      </c>
      <c r="L564" s="4" t="str">
        <f>IF(B564="","",IF(ISNA(MATCH(B564,Client_List!$B:$B,0)),"⚠ NOT FOUND","✓"))</f>
        <v>✓</v>
      </c>
    </row>
    <row r="565" spans="1:12" ht="14" customHeight="1" x14ac:dyDescent="0.2">
      <c r="A565" s="57">
        <v>46072</v>
      </c>
      <c r="B565" s="7" t="s">
        <v>35</v>
      </c>
      <c r="C565" s="8" t="str">
        <f>IF(B565="","",IFERROR(INDEX(Client_List!$C:$C,MATCH(B565,Client_List!$B:$B,0)),""))</f>
        <v>2</v>
      </c>
      <c r="D565" s="9" t="str">
        <f>IF(B565="","",IFERROR(INDEX(Client_List!$D:$D,MATCH(B565,Client_List!$B:$B,0)),""))</f>
        <v>2C</v>
      </c>
      <c r="E565" s="9" t="str">
        <f>IF(B565="","",IFERROR(INDEX(Client_List!$K:$K,MATCH(B565,Client_List!$B:$B,0)),""))</f>
        <v>CANOLA OIL</v>
      </c>
      <c r="F565" s="10">
        <f>IF(B565="","",IFERROR(INDEX(Client_List!$J:$J,MATCH(B565,Client_List!$B:$B,0)),""))</f>
        <v>950</v>
      </c>
      <c r="G565" s="10">
        <v>908</v>
      </c>
      <c r="H565" s="9">
        <f>IF(B565="","",IFERROR(A565-LOOKUP(2,1/($B$4:$B564=B565),$A$4:$A564),""))</f>
        <v>10</v>
      </c>
      <c r="I565" s="73">
        <f t="shared" si="8"/>
        <v>90.8</v>
      </c>
      <c r="J565" s="9">
        <v>142686</v>
      </c>
      <c r="K565" s="6">
        <f>IF(B565="","",IFERROR(AVERAGEIFS($I$4:$I565,$B$4:$B565,B565,$I$4:$I565,"&gt;"&amp;0),""))</f>
        <v>79.630341880341888</v>
      </c>
      <c r="L565" s="9" t="str">
        <f>IF(B565="","",IF(ISNA(MATCH(B565,Client_List!$B:$B,0)),"⚠ NOT FOUND","✓"))</f>
        <v>✓</v>
      </c>
    </row>
    <row r="566" spans="1:12" ht="14" customHeight="1" x14ac:dyDescent="0.2">
      <c r="A566" s="56">
        <v>46072</v>
      </c>
      <c r="B566" s="2" t="s">
        <v>43</v>
      </c>
      <c r="C566" s="3" t="str">
        <f>IF(B566="","",IFERROR(INDEX(Client_List!$C:$C,MATCH(B566,Client_List!$B:$B,0)),""))</f>
        <v>1</v>
      </c>
      <c r="D566" s="4" t="str">
        <f>IF(B566="","",IFERROR(INDEX(Client_List!$D:$D,MATCH(B566,Client_List!$B:$B,0)),""))</f>
        <v>1C</v>
      </c>
      <c r="E566" s="4" t="str">
        <f>IF(B566="","",IFERROR(INDEX(Client_List!$K:$K,MATCH(B566,Client_List!$B:$B,0)),""))</f>
        <v>FRYERS CHOICE BLEND</v>
      </c>
      <c r="F566" s="5">
        <f>IF(B566="","",IFERROR(INDEX(Client_List!$J:$J,MATCH(B566,Client_List!$B:$B,0)),""))</f>
        <v>620</v>
      </c>
      <c r="G566" s="5">
        <v>505</v>
      </c>
      <c r="H566" s="4">
        <f>IF(B566="","",IFERROR(A566-LOOKUP(2,1/($B$4:$B565=B566),$A$4:$A565),""))</f>
        <v>9</v>
      </c>
      <c r="I566" s="72">
        <f t="shared" si="8"/>
        <v>56.111111111111114</v>
      </c>
      <c r="J566" s="4">
        <v>142688</v>
      </c>
      <c r="K566" s="6">
        <f>IF(B566="","",IFERROR(AVERAGEIFS($I$4:$I566,$B$4:$B566,B566,$I$4:$I566,"&gt;"&amp;0),""))</f>
        <v>46.904198232323232</v>
      </c>
      <c r="L566" s="4" t="str">
        <f>IF(B566="","",IF(ISNA(MATCH(B566,Client_List!$B:$B,0)),"⚠ NOT FOUND","✓"))</f>
        <v>✓</v>
      </c>
    </row>
    <row r="567" spans="1:12" ht="14" customHeight="1" x14ac:dyDescent="0.2">
      <c r="A567" s="57">
        <v>46072</v>
      </c>
      <c r="B567" s="7" t="s">
        <v>49</v>
      </c>
      <c r="C567" s="12" t="str">
        <f>IF(B567="","",IFERROR(INDEX(Client_List!$C:$C,MATCH(B567,Client_List!$B:$B,0)),""))</f>
        <v>2</v>
      </c>
      <c r="D567" s="9" t="str">
        <f>IF(B567="","",IFERROR(INDEX(Client_List!$D:$D,MATCH(B567,Client_List!$B:$B,0)),""))</f>
        <v>2C</v>
      </c>
      <c r="E567" s="9" t="str">
        <f>IF(B567="","",IFERROR(INDEX(Client_List!$K:$K,MATCH(B567,Client_List!$B:$B,0)),""))</f>
        <v>CANOLA OIL</v>
      </c>
      <c r="F567" s="10">
        <f>IF(B567="","",IFERROR(INDEX(Client_List!$J:$J,MATCH(B567,Client_List!$B:$B,0)),""))</f>
        <v>950</v>
      </c>
      <c r="G567" s="10">
        <v>701</v>
      </c>
      <c r="H567" s="9">
        <f>IF(B567="","",IFERROR(A567-LOOKUP(2,1/($B$4:$B566=B567),$A$4:$A566),""))</f>
        <v>10</v>
      </c>
      <c r="I567" s="73">
        <f t="shared" si="8"/>
        <v>70.099999999999994</v>
      </c>
      <c r="J567" s="9">
        <v>142685</v>
      </c>
      <c r="K567" s="6">
        <f>IF(B567="","",IFERROR(AVERAGEIFS($I$4:$I567,$B$4:$B567,B567,$I$4:$I567,"&gt;"&amp;0),""))</f>
        <v>72.705555555555549</v>
      </c>
      <c r="L567" s="9" t="str">
        <f>IF(B567="","",IF(ISNA(MATCH(B567,Client_List!$B:$B,0)),"⚠ NOT FOUND","✓"))</f>
        <v>✓</v>
      </c>
    </row>
    <row r="568" spans="1:12" ht="14" customHeight="1" x14ac:dyDescent="0.2">
      <c r="A568" s="56">
        <v>46072</v>
      </c>
      <c r="B568" s="2" t="s">
        <v>63</v>
      </c>
      <c r="C568" s="8" t="str">
        <f>IF(B568="","",IFERROR(INDEX(Client_List!$C:$C,MATCH(B568,Client_List!$B:$B,0)),""))</f>
        <v>5</v>
      </c>
      <c r="D568" s="4" t="str">
        <f>IF(B568="","",IFERROR(INDEX(Client_List!$D:$D,MATCH(B568,Client_List!$B:$B,0)),""))</f>
        <v>5D</v>
      </c>
      <c r="E568" s="4" t="str">
        <f>IF(B568="","",IFERROR(INDEX(Client_List!$K:$K,MATCH(B568,Client_List!$B:$B,0)),""))</f>
        <v>CANOLA OIL</v>
      </c>
      <c r="F568" s="5">
        <f>IF(B568="","",IFERROR(INDEX(Client_List!$J:$J,MATCH(B568,Client_List!$B:$B,0)),""))</f>
        <v>425</v>
      </c>
      <c r="G568" s="5">
        <v>252</v>
      </c>
      <c r="H568" s="4">
        <f>IF(B568="","",IFERROR(A568-LOOKUP(2,1/($B$4:$B567=B568),$A$4:$A567),""))</f>
        <v>7</v>
      </c>
      <c r="I568" s="72">
        <f t="shared" si="8"/>
        <v>36</v>
      </c>
      <c r="J568" s="4">
        <v>142693</v>
      </c>
      <c r="K568" s="6">
        <f>IF(B568="","",IFERROR(AVERAGEIFS($I$4:$I568,$B$4:$B568,B568,$I$4:$I568,"&gt;"&amp;0),""))</f>
        <v>34.184183673469384</v>
      </c>
      <c r="L568" s="4" t="str">
        <f>IF(B568="","",IF(ISNA(MATCH(B568,Client_List!$B:$B,0)),"⚠ NOT FOUND","✓"))</f>
        <v>✓</v>
      </c>
    </row>
    <row r="569" spans="1:12" ht="14" customHeight="1" x14ac:dyDescent="0.2">
      <c r="A569" s="57">
        <v>46072</v>
      </c>
      <c r="B569" s="7" t="s">
        <v>365</v>
      </c>
      <c r="C569" s="8">
        <f>IF(B569="","",IFERROR(INDEX(Client_List!$C:$C,MATCH(B569,Client_List!$B:$B,0)),""))</f>
        <v>0</v>
      </c>
      <c r="D569" s="9">
        <f>IF(B569="","",IFERROR(INDEX(Client_List!$D:$D,MATCH(B569,Client_List!$B:$B,0)),""))</f>
        <v>0</v>
      </c>
      <c r="E569" s="9" t="str">
        <f>IF(B569="","",IFERROR(INDEX(Client_List!$K:$K,MATCH(B569,Client_List!$B:$B,0)),""))</f>
        <v>CANOLA OIL</v>
      </c>
      <c r="F569" s="10">
        <f>IF(B569="","",IFERROR(INDEX(Client_List!$J:$J,MATCH(B569,Client_List!$B:$B,0)),""))</f>
        <v>700</v>
      </c>
      <c r="G569" s="10">
        <v>278</v>
      </c>
      <c r="H569" s="9">
        <f>IF(B569="","",IFERROR(A569-LOOKUP(2,1/($B$4:$B568=B569),$A$4:$A568),""))</f>
        <v>6</v>
      </c>
      <c r="I569" s="73">
        <f t="shared" si="8"/>
        <v>46.333333333333336</v>
      </c>
      <c r="J569" s="9">
        <v>142681</v>
      </c>
      <c r="K569" s="6">
        <f>IF(B569="","",IFERROR(AVERAGEIFS($I$4:$I569,$B$4:$B569,B569,$I$4:$I569,"&gt;"&amp;0),""))</f>
        <v>56.231462585034016</v>
      </c>
      <c r="L569" s="9" t="str">
        <f>IF(B569="","",IF(ISNA(MATCH(B569,Client_List!$B:$B,0)),"⚠ NOT FOUND","✓"))</f>
        <v>✓</v>
      </c>
    </row>
    <row r="570" spans="1:12" ht="14" customHeight="1" x14ac:dyDescent="0.2">
      <c r="A570" s="56">
        <v>46072</v>
      </c>
      <c r="B570" s="2" t="s">
        <v>81</v>
      </c>
      <c r="C570" s="3" t="str">
        <f>IF(B570="","",IFERROR(INDEX(Client_List!$C:$C,MATCH(B570,Client_List!$B:$B,0)),""))</f>
        <v>3</v>
      </c>
      <c r="D570" s="4" t="str">
        <f>IF(B570="","",IFERROR(INDEX(Client_List!$D:$D,MATCH(B570,Client_List!$B:$B,0)),""))</f>
        <v>3E</v>
      </c>
      <c r="E570" s="4" t="str">
        <f>IF(B570="","",IFERROR(INDEX(Client_List!$K:$K,MATCH(B570,Client_List!$B:$B,0)),""))</f>
        <v>CANOLA OIL</v>
      </c>
      <c r="F570" s="5">
        <f>IF(B570="","",IFERROR(INDEX(Client_List!$J:$J,MATCH(B570,Client_List!$B:$B,0)),""))</f>
        <v>350</v>
      </c>
      <c r="G570" s="5">
        <v>276</v>
      </c>
      <c r="H570" s="4">
        <f>IF(B570="","",IFERROR(A570-LOOKUP(2,1/($B$4:$B569=B570),$A$4:$A569),""))</f>
        <v>12</v>
      </c>
      <c r="I570" s="72">
        <f t="shared" si="8"/>
        <v>23</v>
      </c>
      <c r="J570" s="4">
        <v>142682</v>
      </c>
      <c r="K570" s="6">
        <f>IF(B570="","",IFERROR(AVERAGEIFS($I$4:$I570,$B$4:$B570,B570,$I$4:$I570,"&gt;"&amp;0),""))</f>
        <v>21.325925925925926</v>
      </c>
      <c r="L570" s="4" t="str">
        <f>IF(B570="","",IF(ISNA(MATCH(B570,Client_List!$B:$B,0)),"⚠ NOT FOUND","✓"))</f>
        <v>✓</v>
      </c>
    </row>
    <row r="571" spans="1:12" ht="14" customHeight="1" x14ac:dyDescent="0.2">
      <c r="A571" s="57">
        <v>46072</v>
      </c>
      <c r="B571" s="7" t="s">
        <v>83</v>
      </c>
      <c r="C571" s="11" t="str">
        <f>IF(B571="","",IFERROR(INDEX(Client_List!$C:$C,MATCH(B571,Client_List!$B:$B,0)),""))</f>
        <v>4</v>
      </c>
      <c r="D571" s="9" t="str">
        <f>IF(B571="","",IFERROR(INDEX(Client_List!$D:$D,MATCH(B571,Client_List!$B:$B,0)),""))</f>
        <v>4D</v>
      </c>
      <c r="E571" s="9" t="str">
        <f>IF(B571="","",IFERROR(INDEX(Client_List!$K:$K,MATCH(B571,Client_List!$B:$B,0)),""))</f>
        <v>FRYERS CHOICE BLEND</v>
      </c>
      <c r="F571" s="10">
        <f>IF(B571="","",IFERROR(INDEX(Client_List!$J:$J,MATCH(B571,Client_List!$B:$B,0)),""))</f>
        <v>350</v>
      </c>
      <c r="G571" s="10">
        <v>157</v>
      </c>
      <c r="H571" s="9">
        <f>IF(B571="","",IFERROR(A571-LOOKUP(2,1/($B$4:$B570=B571),$A$4:$A570),""))</f>
        <v>6</v>
      </c>
      <c r="I571" s="73">
        <f t="shared" si="8"/>
        <v>26.166666666666668</v>
      </c>
      <c r="J571" s="9">
        <v>142703</v>
      </c>
      <c r="K571" s="6">
        <f>IF(B571="","",IFERROR(AVERAGEIFS($I$4:$I571,$B$4:$B571,B571,$I$4:$I571,"&gt;"&amp;0),""))</f>
        <v>34.853968253968254</v>
      </c>
      <c r="L571" s="9" t="str">
        <f>IF(B571="","",IF(ISNA(MATCH(B571,Client_List!$B:$B,0)),"⚠ NOT FOUND","✓"))</f>
        <v>✓</v>
      </c>
    </row>
    <row r="572" spans="1:12" ht="14" customHeight="1" x14ac:dyDescent="0.2">
      <c r="A572" s="56">
        <v>46072</v>
      </c>
      <c r="B572" s="2" t="s">
        <v>108</v>
      </c>
      <c r="C572" s="3" t="str">
        <f>IF(B572="","",IFERROR(INDEX(Client_List!$C:$C,MATCH(B572,Client_List!$B:$B,0)),""))</f>
        <v>1</v>
      </c>
      <c r="D572" s="4" t="str">
        <f>IF(B572="","",IFERROR(INDEX(Client_List!$D:$D,MATCH(B572,Client_List!$B:$B,0)),""))</f>
        <v>1D</v>
      </c>
      <c r="E572" s="4" t="str">
        <f>IF(B572="","",IFERROR(INDEX(Client_List!$K:$K,MATCH(B572,Client_List!$B:$B,0)),""))</f>
        <v>FRYERS CHOICE BLEND</v>
      </c>
      <c r="F572" s="5">
        <f>IF(B572="","",IFERROR(INDEX(Client_List!$J:$J,MATCH(B572,Client_List!$B:$B,0)),""))</f>
        <v>1050</v>
      </c>
      <c r="G572" s="5">
        <v>768</v>
      </c>
      <c r="H572" s="4">
        <f>IF(B572="","",IFERROR(A572-LOOKUP(2,1/($B$4:$B571=B572),$A$4:$A571),""))</f>
        <v>14</v>
      </c>
      <c r="I572" s="72">
        <f t="shared" si="8"/>
        <v>54.857142857142854</v>
      </c>
      <c r="J572" s="4">
        <v>142684</v>
      </c>
      <c r="K572" s="6">
        <f>IF(B572="","",IFERROR(AVERAGEIFS($I$4:$I572,$B$4:$B572,B572,$I$4:$I572,"&gt;"&amp;0),""))</f>
        <v>49.125030525030525</v>
      </c>
      <c r="L572" s="4" t="str">
        <f>IF(B572="","",IF(ISNA(MATCH(B572,Client_List!$B:$B,0)),"⚠ NOT FOUND","✓"))</f>
        <v>✓</v>
      </c>
    </row>
    <row r="573" spans="1:12" ht="14" customHeight="1" x14ac:dyDescent="0.2">
      <c r="A573" s="57">
        <v>46072</v>
      </c>
      <c r="B573" s="7" t="s">
        <v>110</v>
      </c>
      <c r="C573" s="3" t="str">
        <f>IF(B573="","",IFERROR(INDEX(Client_List!$C:$C,MATCH(B573,Client_List!$B:$B,0)),""))</f>
        <v>1</v>
      </c>
      <c r="D573" s="9" t="str">
        <f>IF(B573="","",IFERROR(INDEX(Client_List!$D:$D,MATCH(B573,Client_List!$B:$B,0)),""))</f>
        <v>1B</v>
      </c>
      <c r="E573" s="9" t="str">
        <f>IF(B573="","",IFERROR(INDEX(Client_List!$K:$K,MATCH(B573,Client_List!$B:$B,0)),""))</f>
        <v>FRYERS CHOICE BLEND</v>
      </c>
      <c r="F573" s="10">
        <f>IF(B573="","",IFERROR(INDEX(Client_List!$J:$J,MATCH(B573,Client_List!$B:$B,0)),""))</f>
        <v>1050</v>
      </c>
      <c r="G573" s="10">
        <v>901</v>
      </c>
      <c r="H573" s="9">
        <f>IF(B573="","",IFERROR(A573-LOOKUP(2,1/($B$4:$B572=B573),$A$4:$A572),""))</f>
        <v>20</v>
      </c>
      <c r="I573" s="73">
        <f t="shared" si="8"/>
        <v>45.05</v>
      </c>
      <c r="J573" s="9">
        <v>142683</v>
      </c>
      <c r="K573" s="6">
        <f>IF(B573="","",IFERROR(AVERAGEIFS($I$4:$I573,$B$4:$B573,B573,$I$4:$I573,"&gt;"&amp;0),""))</f>
        <v>40.254166666666663</v>
      </c>
      <c r="L573" s="9" t="str">
        <f>IF(B573="","",IF(ISNA(MATCH(B573,Client_List!$B:$B,0)),"⚠ NOT FOUND","✓"))</f>
        <v>✓</v>
      </c>
    </row>
    <row r="574" spans="1:12" ht="14" customHeight="1" x14ac:dyDescent="0.2">
      <c r="A574" s="56">
        <v>46072</v>
      </c>
      <c r="B574" s="2" t="s">
        <v>118</v>
      </c>
      <c r="C574" s="3" t="str">
        <f>IF(B574="","",IFERROR(INDEX(Client_List!$C:$C,MATCH(B574,Client_List!$B:$B,0)),""))</f>
        <v>4</v>
      </c>
      <c r="D574" s="4" t="str">
        <f>IF(B574="","",IFERROR(INDEX(Client_List!$D:$D,MATCH(B574,Client_List!$B:$B,0)),""))</f>
        <v>4E</v>
      </c>
      <c r="E574" s="4" t="str">
        <f>IF(B574="","",IFERROR(INDEX(Client_List!$K:$K,MATCH(B574,Client_List!$B:$B,0)),""))</f>
        <v>CANOLA OIL</v>
      </c>
      <c r="F574" s="5">
        <f>IF(B574="","",IFERROR(INDEX(Client_List!$J:$J,MATCH(B574,Client_List!$B:$B,0)),""))</f>
        <v>2500</v>
      </c>
      <c r="G574" s="5">
        <v>2388</v>
      </c>
      <c r="H574" s="4">
        <f>IF(B574="","",IFERROR(A574-LOOKUP(2,1/($B$4:$B573=B574),$A$4:$A573),""))</f>
        <v>14</v>
      </c>
      <c r="I574" s="72">
        <f t="shared" si="8"/>
        <v>170.57142857142858</v>
      </c>
      <c r="J574" s="4">
        <v>142665</v>
      </c>
      <c r="K574" s="6">
        <f>IF(B574="","",IFERROR(AVERAGEIFS($I$4:$I574,$B$4:$B574,B574,$I$4:$I574,"&gt;"&amp;0),""))</f>
        <v>249.51976190476194</v>
      </c>
      <c r="L574" s="4" t="str">
        <f>IF(B574="","",IF(ISNA(MATCH(B574,Client_List!$B:$B,0)),"⚠ NOT FOUND","✓"))</f>
        <v>✓</v>
      </c>
    </row>
    <row r="575" spans="1:12" ht="14" customHeight="1" x14ac:dyDescent="0.2">
      <c r="A575" s="57">
        <v>46072</v>
      </c>
      <c r="B575" s="7" t="s">
        <v>150</v>
      </c>
      <c r="C575" s="3" t="str">
        <f>IF(B575="","",IFERROR(INDEX(Client_List!$C:$C,MATCH(B575,Client_List!$B:$B,0)),""))</f>
        <v>4</v>
      </c>
      <c r="D575" s="9" t="str">
        <f>IF(B575="","",IFERROR(INDEX(Client_List!$D:$D,MATCH(B575,Client_List!$B:$B,0)),""))</f>
        <v>4B</v>
      </c>
      <c r="E575" s="9" t="str">
        <f>IF(B575="","",IFERROR(INDEX(Client_List!$K:$K,MATCH(B575,Client_List!$B:$B,0)),""))</f>
        <v>FRYERS CHOICE BLEND</v>
      </c>
      <c r="F575" s="10">
        <f>IF(B575="","",IFERROR(INDEX(Client_List!$J:$J,MATCH(B575,Client_List!$B:$B,0)),""))</f>
        <v>620</v>
      </c>
      <c r="G575" s="10">
        <v>367</v>
      </c>
      <c r="H575" s="9">
        <f>IF(B575="","",IFERROR(A575-LOOKUP(2,1/($B$4:$B574=B575),$A$4:$A574),""))</f>
        <v>22</v>
      </c>
      <c r="I575" s="73">
        <f t="shared" si="8"/>
        <v>16.681818181818183</v>
      </c>
      <c r="J575" s="9">
        <v>142692</v>
      </c>
      <c r="K575" s="6">
        <f>IF(B575="","",IFERROR(AVERAGEIFS($I$4:$I575,$B$4:$B575,B575,$I$4:$I575,"&gt;"&amp;0),""))</f>
        <v>16.681818181818183</v>
      </c>
      <c r="L575" s="9" t="str">
        <f>IF(B575="","",IF(ISNA(MATCH(B575,Client_List!$B:$B,0)),"⚠ NOT FOUND","✓"))</f>
        <v>✓</v>
      </c>
    </row>
    <row r="576" spans="1:12" ht="14" customHeight="1" x14ac:dyDescent="0.2">
      <c r="A576" s="56">
        <v>46072</v>
      </c>
      <c r="B576" s="2" t="s">
        <v>182</v>
      </c>
      <c r="C576" s="3" t="str">
        <f>IF(B576="","",IFERROR(INDEX(Client_List!$C:$C,MATCH(B576,Client_List!$B:$B,0)),""))</f>
        <v>3</v>
      </c>
      <c r="D576" s="4" t="str">
        <f>IF(B576="","",IFERROR(INDEX(Client_List!$D:$D,MATCH(B576,Client_List!$B:$B,0)),""))</f>
        <v>3D</v>
      </c>
      <c r="E576" s="4" t="str">
        <f>IF(B576="","",IFERROR(INDEX(Client_List!$K:$K,MATCH(B576,Client_List!$B:$B,0)),""))</f>
        <v>CANOLA OIL</v>
      </c>
      <c r="F576" s="5">
        <f>IF(B576="","",IFERROR(INDEX(Client_List!$J:$J,MATCH(B576,Client_List!$B:$B,0)),""))</f>
        <v>1000</v>
      </c>
      <c r="G576" s="5">
        <v>680</v>
      </c>
      <c r="H576" s="4">
        <f>IF(B576="","",IFERROR(A576-LOOKUP(2,1/($B$4:$B575=B576),$A$4:$A575),""))</f>
        <v>15</v>
      </c>
      <c r="I576" s="72">
        <f t="shared" si="8"/>
        <v>45.333333333333336</v>
      </c>
      <c r="J576" s="4">
        <v>142694</v>
      </c>
      <c r="K576" s="6">
        <f>IF(B576="","",IFERROR(AVERAGEIFS($I$4:$I576,$B$4:$B576,B576,$I$4:$I576,"&gt;"&amp;0),""))</f>
        <v>47.039682539682538</v>
      </c>
      <c r="L576" s="4" t="str">
        <f>IF(B576="","",IF(ISNA(MATCH(B576,Client_List!$B:$B,0)),"⚠ NOT FOUND","✓"))</f>
        <v>✓</v>
      </c>
    </row>
    <row r="577" spans="1:12" ht="14" customHeight="1" x14ac:dyDescent="0.2">
      <c r="A577" s="57">
        <v>46072</v>
      </c>
      <c r="B577" s="7" t="s">
        <v>188</v>
      </c>
      <c r="C577" s="13" t="str">
        <f>IF(B577="","",IFERROR(INDEX(Client_List!$C:$C,MATCH(B577,Client_List!$B:$B,0)),""))</f>
        <v>4</v>
      </c>
      <c r="D577" s="9" t="str">
        <f>IF(B577="","",IFERROR(INDEX(Client_List!$D:$D,MATCH(B577,Client_List!$B:$B,0)),""))</f>
        <v>4C</v>
      </c>
      <c r="E577" s="9" t="str">
        <f>IF(B577="","",IFERROR(INDEX(Client_List!$K:$K,MATCH(B577,Client_List!$B:$B,0)),""))</f>
        <v>CANOLA OIL</v>
      </c>
      <c r="F577" s="10">
        <f>IF(B577="","",IFERROR(INDEX(Client_List!$J:$J,MATCH(B577,Client_List!$B:$B,0)),""))</f>
        <v>900</v>
      </c>
      <c r="G577" s="10">
        <v>522</v>
      </c>
      <c r="H577" s="9">
        <f>IF(B577="","",IFERROR(A577-LOOKUP(2,1/($B$4:$B576=B577),$A$4:$A576),""))</f>
        <v>13</v>
      </c>
      <c r="I577" s="73">
        <f t="shared" si="8"/>
        <v>40.153846153846153</v>
      </c>
      <c r="J577" s="9">
        <v>142696</v>
      </c>
      <c r="K577" s="6">
        <f>IF(B577="","",IFERROR(AVERAGEIFS($I$4:$I577,$B$4:$B577,B577,$I$4:$I577,"&gt;"&amp;0),""))</f>
        <v>46.857631257631255</v>
      </c>
      <c r="L577" s="9" t="str">
        <f>IF(B577="","",IF(ISNA(MATCH(B577,Client_List!$B:$B,0)),"⚠ NOT FOUND","✓"))</f>
        <v>✓</v>
      </c>
    </row>
    <row r="578" spans="1:12" ht="14" customHeight="1" x14ac:dyDescent="0.2">
      <c r="A578" s="56">
        <v>46072</v>
      </c>
      <c r="B578" s="2" t="s">
        <v>196</v>
      </c>
      <c r="C578" s="13" t="str">
        <f>IF(B578="","",IFERROR(INDEX(Client_List!$C:$C,MATCH(B578,Client_List!$B:$B,0)),""))</f>
        <v>4</v>
      </c>
      <c r="D578" s="4" t="str">
        <f>IF(B578="","",IFERROR(INDEX(Client_List!$D:$D,MATCH(B578,Client_List!$B:$B,0)),""))</f>
        <v>4F</v>
      </c>
      <c r="E578" s="4" t="str">
        <f>IF(B578="","",IFERROR(INDEX(Client_List!$K:$K,MATCH(B578,Client_List!$B:$B,0)),""))</f>
        <v>FRYERS CHOICE BLEND</v>
      </c>
      <c r="F578" s="5">
        <f>IF(B578="","",IFERROR(INDEX(Client_List!$J:$J,MATCH(B578,Client_List!$B:$B,0)),""))</f>
        <v>620</v>
      </c>
      <c r="G578" s="5">
        <v>348</v>
      </c>
      <c r="H578" s="4">
        <f>IF(B578="","",IFERROR(A578-LOOKUP(2,1/($B$4:$B577=B578),$A$4:$A577),""))</f>
        <v>11</v>
      </c>
      <c r="I578" s="72">
        <f t="shared" si="8"/>
        <v>31.636363636363637</v>
      </c>
      <c r="J578" s="4">
        <v>142702</v>
      </c>
      <c r="K578" s="6">
        <f>IF(B578="","",IFERROR(AVERAGEIFS($I$4:$I578,$B$4:$B578,B578,$I$4:$I578,"&gt;"&amp;0),""))</f>
        <v>30.944914734388419</v>
      </c>
      <c r="L578" s="4" t="str">
        <f>IF(B578="","",IF(ISNA(MATCH(B578,Client_List!$B:$B,0)),"⚠ NOT FOUND","✓"))</f>
        <v>✓</v>
      </c>
    </row>
    <row r="579" spans="1:12" ht="14" customHeight="1" x14ac:dyDescent="0.2">
      <c r="A579" s="57">
        <v>46072</v>
      </c>
      <c r="B579" s="7" t="s">
        <v>222</v>
      </c>
      <c r="C579" s="13" t="str">
        <f>IF(B579="","",IFERROR(INDEX(Client_List!$C:$C,MATCH(B579,Client_List!$B:$B,0)),""))</f>
        <v>4</v>
      </c>
      <c r="D579" s="9" t="str">
        <f>IF(B579="","",IFERROR(INDEX(Client_List!$D:$D,MATCH(B579,Client_List!$B:$B,0)),""))</f>
        <v>4E</v>
      </c>
      <c r="E579" s="9" t="str">
        <f>IF(B579="","",IFERROR(INDEX(Client_List!$K:$K,MATCH(B579,Client_List!$B:$B,0)),""))</f>
        <v>CANOLA OIL</v>
      </c>
      <c r="F579" s="10">
        <f>IF(B579="","",IFERROR(INDEX(Client_List!$J:$J,MATCH(B579,Client_List!$B:$B,0)),""))</f>
        <v>630</v>
      </c>
      <c r="G579" s="10">
        <v>600</v>
      </c>
      <c r="H579" s="9">
        <f>IF(B579="","",IFERROR(A579-LOOKUP(2,1/($B$4:$B578=B579),$A$4:$A578),""))</f>
        <v>15</v>
      </c>
      <c r="I579" s="73">
        <f t="shared" si="8"/>
        <v>40</v>
      </c>
      <c r="J579" s="9">
        <v>142704</v>
      </c>
      <c r="K579" s="6">
        <f>IF(B579="","",IFERROR(AVERAGEIFS($I$4:$I579,$B$4:$B579,B579,$I$4:$I579,"&gt;"&amp;0),""))</f>
        <v>32.60526315789474</v>
      </c>
      <c r="L579" s="9" t="str">
        <f>IF(B579="","",IF(ISNA(MATCH(B579,Client_List!$B:$B,0)),"⚠ NOT FOUND","✓"))</f>
        <v>✓</v>
      </c>
    </row>
    <row r="580" spans="1:12" ht="14" customHeight="1" x14ac:dyDescent="0.2">
      <c r="A580" s="56">
        <v>46072</v>
      </c>
      <c r="B580" s="2" t="s">
        <v>240</v>
      </c>
      <c r="C580" s="12" t="str">
        <f>IF(B580="","",IFERROR(INDEX(Client_List!$C:$C,MATCH(B580,Client_List!$B:$B,0)),""))</f>
        <v>5</v>
      </c>
      <c r="D580" s="4" t="str">
        <f>IF(B580="","",IFERROR(INDEX(Client_List!$D:$D,MATCH(B580,Client_List!$B:$B,0)),""))</f>
        <v>5F</v>
      </c>
      <c r="E580" s="4" t="str">
        <f>IF(B580="","",IFERROR(INDEX(Client_List!$K:$K,MATCH(B580,Client_List!$B:$B,0)),""))</f>
        <v>CANOLA OIL</v>
      </c>
      <c r="F580" s="5">
        <f>IF(B580="","",IFERROR(INDEX(Client_List!$J:$J,MATCH(B580,Client_List!$B:$B,0)),""))</f>
        <v>350</v>
      </c>
      <c r="G580" s="5">
        <v>244</v>
      </c>
      <c r="H580" s="4">
        <f>IF(B580="","",IFERROR(A580-LOOKUP(2,1/($B$4:$B579=B580),$A$4:$A579),""))</f>
        <v>9</v>
      </c>
      <c r="I580" s="72">
        <f t="shared" ref="I580:I643" si="9">IF(B580="","",IFERROR(G580/H580,""))</f>
        <v>27.111111111111111</v>
      </c>
      <c r="J580" s="4">
        <v>142701</v>
      </c>
      <c r="K580" s="6">
        <f>IF(B580="","",IFERROR(AVERAGEIFS($I$4:$I580,$B$4:$B580,B580,$I$4:$I580,"&gt;"&amp;0),""))</f>
        <v>30.789682539682541</v>
      </c>
      <c r="L580" s="4" t="str">
        <f>IF(B580="","",IF(ISNA(MATCH(B580,Client_List!$B:$B,0)),"⚠ NOT FOUND","✓"))</f>
        <v>✓</v>
      </c>
    </row>
    <row r="581" spans="1:12" ht="14" customHeight="1" x14ac:dyDescent="0.2">
      <c r="A581" s="57">
        <v>46072</v>
      </c>
      <c r="B581" s="7" t="s">
        <v>248</v>
      </c>
      <c r="C581" s="12" t="str">
        <f>IF(B581="","",IFERROR(INDEX(Client_List!$C:$C,MATCH(B581,Client_List!$B:$B,0)),""))</f>
        <v>3</v>
      </c>
      <c r="D581" s="9" t="str">
        <f>IF(B581="","",IFERROR(INDEX(Client_List!$D:$D,MATCH(B581,Client_List!$B:$B,0)),""))</f>
        <v>3E</v>
      </c>
      <c r="E581" s="9" t="str">
        <f>IF(B581="","",IFERROR(INDEX(Client_List!$K:$K,MATCH(B581,Client_List!$B:$B,0)),""))</f>
        <v>FRYERS CHOICE BLEND</v>
      </c>
      <c r="F581" s="10">
        <f>IF(B581="","",IFERROR(INDEX(Client_List!$J:$J,MATCH(B581,Client_List!$B:$B,0)),""))</f>
        <v>950</v>
      </c>
      <c r="G581" s="10">
        <v>889</v>
      </c>
      <c r="H581" s="9">
        <f>IF(B581="","",IFERROR(A581-LOOKUP(2,1/($B$4:$B580=B581),$A$4:$A580),""))</f>
        <v>14</v>
      </c>
      <c r="I581" s="73">
        <f t="shared" si="9"/>
        <v>63.5</v>
      </c>
      <c r="J581" s="9">
        <v>142676</v>
      </c>
      <c r="K581" s="6">
        <f>IF(B581="","",IFERROR(AVERAGEIFS($I$4:$I581,$B$4:$B581,B581,$I$4:$I581,"&gt;"&amp;0),""))</f>
        <v>65.954545454545453</v>
      </c>
      <c r="L581" s="9" t="str">
        <f>IF(B581="","",IF(ISNA(MATCH(B581,Client_List!$B:$B,0)),"⚠ NOT FOUND","✓"))</f>
        <v>✓</v>
      </c>
    </row>
    <row r="582" spans="1:12" ht="14" customHeight="1" x14ac:dyDescent="0.2">
      <c r="A582" s="56">
        <v>46072</v>
      </c>
      <c r="B582" s="2" t="s">
        <v>310</v>
      </c>
      <c r="C582" s="8" t="str">
        <f>IF(B582="","",IFERROR(INDEX(Client_List!$C:$C,MATCH(B582,Client_List!$B:$B,0)),""))</f>
        <v>3</v>
      </c>
      <c r="D582" s="4" t="str">
        <f>IF(B582="","",IFERROR(INDEX(Client_List!$D:$D,MATCH(B582,Client_List!$B:$B,0)),""))</f>
        <v>3D</v>
      </c>
      <c r="E582" s="4" t="str">
        <f>IF(B582="","",IFERROR(INDEX(Client_List!$K:$K,MATCH(B582,Client_List!$B:$B,0)),""))</f>
        <v>CANOLA OIL</v>
      </c>
      <c r="F582" s="5">
        <f>IF(B582="","",IFERROR(INDEX(Client_List!$J:$J,MATCH(B582,Client_List!$B:$B,0)),""))</f>
        <v>1050</v>
      </c>
      <c r="G582" s="5">
        <v>1008</v>
      </c>
      <c r="H582" s="4">
        <f>IF(B582="","",IFERROR(A582-LOOKUP(2,1/($B$4:$B581=B582),$A$4:$A581),""))</f>
        <v>15</v>
      </c>
      <c r="I582" s="72">
        <f t="shared" si="9"/>
        <v>67.2</v>
      </c>
      <c r="J582" s="4">
        <v>142705</v>
      </c>
      <c r="K582" s="6">
        <f>IF(B582="","",IFERROR(AVERAGEIFS($I$4:$I582,$B$4:$B582,B582,$I$4:$I582,"&gt;"&amp;0),""))</f>
        <v>64.635714285714286</v>
      </c>
      <c r="L582" s="4" t="str">
        <f>IF(B582="","",IF(ISNA(MATCH(B582,Client_List!$B:$B,0)),"⚠ NOT FOUND","✓"))</f>
        <v>✓</v>
      </c>
    </row>
    <row r="583" spans="1:12" ht="14" customHeight="1" x14ac:dyDescent="0.2">
      <c r="A583" s="57">
        <v>46072</v>
      </c>
      <c r="B583" s="7" t="s">
        <v>314</v>
      </c>
      <c r="C583" s="12" t="str">
        <f>IF(B583="","",IFERROR(INDEX(Client_List!$C:$C,MATCH(B583,Client_List!$B:$B,0)),""))</f>
        <v>1</v>
      </c>
      <c r="D583" s="9" t="str">
        <f>IF(B583="","",IFERROR(INDEX(Client_List!$D:$D,MATCH(B583,Client_List!$B:$B,0)),""))</f>
        <v>1C</v>
      </c>
      <c r="E583" s="9" t="str">
        <f>IF(B583="","",IFERROR(INDEX(Client_List!$K:$K,MATCH(B583,Client_List!$B:$B,0)),""))</f>
        <v>CANOLA OIL</v>
      </c>
      <c r="F583" s="10">
        <f>IF(B583="","",IFERROR(INDEX(Client_List!$J:$J,MATCH(B583,Client_List!$B:$B,0)),""))</f>
        <v>1050</v>
      </c>
      <c r="G583" s="10">
        <v>937</v>
      </c>
      <c r="H583" s="9">
        <f>IF(B583="","",IFERROR(A583-LOOKUP(2,1/($B$4:$B582=B583),$A$4:$A582),""))</f>
        <v>13</v>
      </c>
      <c r="I583" s="73">
        <f t="shared" si="9"/>
        <v>72.07692307692308</v>
      </c>
      <c r="J583" s="9">
        <v>142689</v>
      </c>
      <c r="K583" s="6">
        <f>IF(B583="","",IFERROR(AVERAGEIFS($I$4:$I583,$B$4:$B583,B583,$I$4:$I583,"&gt;"&amp;0),""))</f>
        <v>83.561771561771579</v>
      </c>
      <c r="L583" s="9" t="str">
        <f>IF(B583="","",IF(ISNA(MATCH(B583,Client_List!$B:$B,0)),"⚠ NOT FOUND","✓"))</f>
        <v>✓</v>
      </c>
    </row>
    <row r="584" spans="1:12" ht="14" customHeight="1" x14ac:dyDescent="0.2">
      <c r="A584" s="56">
        <v>46072</v>
      </c>
      <c r="B584" s="2" t="s">
        <v>326</v>
      </c>
      <c r="C584" s="3" t="str">
        <f>IF(B584="","",IFERROR(INDEX(Client_List!$C:$C,MATCH(B584,Client_List!$B:$B,0)),""))</f>
        <v>1</v>
      </c>
      <c r="D584" s="4" t="str">
        <f>IF(B584="","",IFERROR(INDEX(Client_List!$D:$D,MATCH(B584,Client_List!$B:$B,0)),""))</f>
        <v>1C</v>
      </c>
      <c r="E584" s="4" t="str">
        <f>IF(B584="","",IFERROR(INDEX(Client_List!$K:$K,MATCH(B584,Client_List!$B:$B,0)),""))</f>
        <v>FRYERS CHOICE BLEND</v>
      </c>
      <c r="F584" s="5">
        <f>IF(B584="","",IFERROR(INDEX(Client_List!$J:$J,MATCH(B584,Client_List!$B:$B,0)),""))</f>
        <v>950</v>
      </c>
      <c r="G584" s="5">
        <v>639</v>
      </c>
      <c r="H584" s="4">
        <f>IF(B584="","",IFERROR(A584-LOOKUP(2,1/($B$4:$B583=B584),$A$4:$A583),""))</f>
        <v>20</v>
      </c>
      <c r="I584" s="72">
        <f t="shared" si="9"/>
        <v>31.95</v>
      </c>
      <c r="J584" s="4">
        <v>142690</v>
      </c>
      <c r="K584" s="6">
        <f>IF(B584="","",IFERROR(AVERAGEIFS($I$4:$I584,$B$4:$B584,B584,$I$4:$I584,"&gt;"&amp;0),""))</f>
        <v>29.189285714285713</v>
      </c>
      <c r="L584" s="4" t="str">
        <f>IF(B584="","",IF(ISNA(MATCH(B584,Client_List!$B:$B,0)),"⚠ NOT FOUND","✓"))</f>
        <v>✓</v>
      </c>
    </row>
    <row r="585" spans="1:12" ht="14" customHeight="1" x14ac:dyDescent="0.2">
      <c r="A585" s="57">
        <v>46072</v>
      </c>
      <c r="B585" s="7" t="s">
        <v>336</v>
      </c>
      <c r="C585" s="8" t="str">
        <f>IF(B585="","",IFERROR(INDEX(Client_List!$C:$C,MATCH(B585,Client_List!$B:$B,0)),""))</f>
        <v>4</v>
      </c>
      <c r="D585" s="9" t="str">
        <f>IF(B585="","",IFERROR(INDEX(Client_List!$D:$D,MATCH(B585,Client_List!$B:$B,0)),""))</f>
        <v>4D</v>
      </c>
      <c r="E585" s="9" t="str">
        <f>IF(B585="","",IFERROR(INDEX(Client_List!$K:$K,MATCH(B585,Client_List!$B:$B,0)),""))</f>
        <v>CANOLA OIL</v>
      </c>
      <c r="F585" s="10">
        <f>IF(B585="","",IFERROR(INDEX(Client_List!$J:$J,MATCH(B585,Client_List!$B:$B,0)),""))</f>
        <v>1050</v>
      </c>
      <c r="G585" s="10">
        <v>960</v>
      </c>
      <c r="H585" s="9">
        <f>IF(B585="","",IFERROR(A585-LOOKUP(2,1/($B$4:$B584=B585),$A$4:$A584),""))</f>
        <v>9</v>
      </c>
      <c r="I585" s="73">
        <f t="shared" si="9"/>
        <v>106.66666666666667</v>
      </c>
      <c r="J585" s="9">
        <v>142695</v>
      </c>
      <c r="K585" s="6">
        <f>IF(B585="","",IFERROR(AVERAGEIFS($I$4:$I585,$B$4:$B585,B585,$I$4:$I585,"&gt;"&amp;0),""))</f>
        <v>93.947115384615387</v>
      </c>
      <c r="L585" s="9" t="str">
        <f>IF(B585="","",IF(ISNA(MATCH(B585,Client_List!$B:$B,0)),"⚠ NOT FOUND","✓"))</f>
        <v>✓</v>
      </c>
    </row>
    <row r="586" spans="1:12" ht="14" customHeight="1" x14ac:dyDescent="0.2">
      <c r="A586" s="56">
        <v>46072</v>
      </c>
      <c r="B586" s="2" t="s">
        <v>340</v>
      </c>
      <c r="C586" s="12" t="str">
        <f>IF(B586="","",IFERROR(INDEX(Client_List!$C:$C,MATCH(B586,Client_List!$B:$B,0)),""))</f>
        <v>2</v>
      </c>
      <c r="D586" s="4" t="str">
        <f>IF(B586="","",IFERROR(INDEX(Client_List!$D:$D,MATCH(B586,Client_List!$B:$B,0)),""))</f>
        <v>2C</v>
      </c>
      <c r="E586" s="4" t="str">
        <f>IF(B586="","",IFERROR(INDEX(Client_List!$K:$K,MATCH(B586,Client_List!$B:$B,0)),""))</f>
        <v>FRYERS CHOICE BLEND</v>
      </c>
      <c r="F586" s="5">
        <f>IF(B586="","",IFERROR(INDEX(Client_List!$J:$J,MATCH(B586,Client_List!$B:$B,0)),""))</f>
        <v>300</v>
      </c>
      <c r="G586" s="5">
        <v>281</v>
      </c>
      <c r="H586" s="4">
        <f>IF(B586="","",IFERROR(A586-LOOKUP(2,1/($B$4:$B585=B586),$A$4:$A585),""))</f>
        <v>6</v>
      </c>
      <c r="I586" s="72">
        <f t="shared" si="9"/>
        <v>46.833333333333336</v>
      </c>
      <c r="J586" s="4">
        <v>142691</v>
      </c>
      <c r="K586" s="6">
        <f>IF(B586="","",IFERROR(AVERAGEIFS($I$4:$I586,$B$4:$B586,B586,$I$4:$I586,"&gt;"&amp;0),""))</f>
        <v>34.000432900432898</v>
      </c>
      <c r="L586" s="4" t="str">
        <f>IF(B586="","",IF(ISNA(MATCH(B586,Client_List!$B:$B,0)),"⚠ NOT FOUND","✓"))</f>
        <v>✓</v>
      </c>
    </row>
    <row r="587" spans="1:12" ht="14" customHeight="1" x14ac:dyDescent="0.2">
      <c r="A587" s="57">
        <v>46073</v>
      </c>
      <c r="B587" s="7" t="s">
        <v>73</v>
      </c>
      <c r="C587" s="13" t="str">
        <f>IF(B587="","",IFERROR(INDEX(Client_List!$C:$C,MATCH(B587,Client_List!$B:$B,0)),""))</f>
        <v>4</v>
      </c>
      <c r="D587" s="9" t="str">
        <f>IF(B587="","",IFERROR(INDEX(Client_List!$D:$D,MATCH(B587,Client_List!$B:$B,0)),""))</f>
        <v>4D</v>
      </c>
      <c r="E587" s="9" t="str">
        <f>IF(B587="","",IFERROR(INDEX(Client_List!$K:$K,MATCH(B587,Client_List!$B:$B,0)),""))</f>
        <v>CANOLA OIL</v>
      </c>
      <c r="F587" s="10">
        <f>IF(B587="","",IFERROR(INDEX(Client_List!$J:$J,MATCH(B587,Client_List!$B:$B,0)),""))</f>
        <v>620</v>
      </c>
      <c r="G587" s="10">
        <v>621</v>
      </c>
      <c r="H587" s="9">
        <f>IF(B587="","",IFERROR(A587-LOOKUP(2,1/($B$4:$B586=B587),$A$4:$A586),""))</f>
        <v>11</v>
      </c>
      <c r="I587" s="73">
        <f t="shared" si="9"/>
        <v>56.454545454545453</v>
      </c>
      <c r="J587" s="9">
        <v>142729</v>
      </c>
      <c r="K587" s="6">
        <f>IF(B587="","",IFERROR(AVERAGEIFS($I$4:$I587,$B$4:$B587,B587,$I$4:$I587,"&gt;"&amp;0),""))</f>
        <v>53.346275252525245</v>
      </c>
      <c r="L587" s="9" t="str">
        <f>IF(B587="","",IF(ISNA(MATCH(B587,Client_List!$B:$B,0)),"⚠ NOT FOUND","✓"))</f>
        <v>✓</v>
      </c>
    </row>
    <row r="588" spans="1:12" ht="14" customHeight="1" x14ac:dyDescent="0.2">
      <c r="A588" s="56">
        <v>46073</v>
      </c>
      <c r="B588" s="2" t="s">
        <v>366</v>
      </c>
      <c r="C588" s="3" t="str">
        <f>IF(B588="","",IFERROR(INDEX(Client_List!$C:$C,MATCH(B588,Client_List!$B:$B,0)),""))</f>
        <v>2</v>
      </c>
      <c r="D588" s="4" t="str">
        <f>IF(B588="","",IFERROR(INDEX(Client_List!$D:$D,MATCH(B588,Client_List!$B:$B,0)),""))</f>
        <v>2C</v>
      </c>
      <c r="E588" s="4" t="str">
        <f>IF(B588="","",IFERROR(INDEX(Client_List!$K:$K,MATCH(B588,Client_List!$B:$B,0)),""))</f>
        <v>CANOLA OIL</v>
      </c>
      <c r="F588" s="5">
        <f>IF(B588="","",IFERROR(INDEX(Client_List!$J:$J,MATCH(B588,Client_List!$B:$B,0)),""))</f>
        <v>350</v>
      </c>
      <c r="G588" s="5">
        <v>215</v>
      </c>
      <c r="H588" s="4">
        <f>IF(B588="","",IFERROR(A588-LOOKUP(2,1/($B$4:$B587=B588),$A$4:$A587),""))</f>
        <v>14</v>
      </c>
      <c r="I588" s="72">
        <f t="shared" si="9"/>
        <v>15.357142857142858</v>
      </c>
      <c r="J588" s="4">
        <v>142745</v>
      </c>
      <c r="K588" s="6">
        <f>IF(B588="","",IFERROR(AVERAGEIFS($I$4:$I588,$B$4:$B588,B588,$I$4:$I588,"&gt;"&amp;0),""))</f>
        <v>16.602088554720137</v>
      </c>
      <c r="L588" s="4" t="str">
        <f>IF(B588="","",IF(ISNA(MATCH(B588,Client_List!$B:$B,0)),"⚠ NOT FOUND","✓"))</f>
        <v>✓</v>
      </c>
    </row>
    <row r="589" spans="1:12" ht="14" customHeight="1" x14ac:dyDescent="0.2">
      <c r="A589" s="57">
        <v>46073</v>
      </c>
      <c r="B589" s="7" t="s">
        <v>102</v>
      </c>
      <c r="C589" s="3" t="str">
        <f>IF(B589="","",IFERROR(INDEX(Client_List!$C:$C,MATCH(B589,Client_List!$B:$B,0)),""))</f>
        <v>3</v>
      </c>
      <c r="D589" s="9" t="str">
        <f>IF(B589="","",IFERROR(INDEX(Client_List!$D:$D,MATCH(B589,Client_List!$B:$B,0)),""))</f>
        <v>3C</v>
      </c>
      <c r="E589" s="9" t="str">
        <f>IF(B589="","",IFERROR(INDEX(Client_List!$K:$K,MATCH(B589,Client_List!$B:$B,0)),""))</f>
        <v>CANOLA OIL</v>
      </c>
      <c r="F589" s="10">
        <f>IF(B589="","",IFERROR(INDEX(Client_List!$J:$J,MATCH(B589,Client_List!$B:$B,0)),""))</f>
        <v>500</v>
      </c>
      <c r="G589" s="10">
        <v>498</v>
      </c>
      <c r="H589" s="9">
        <f>IF(B589="","",IFERROR(A589-LOOKUP(2,1/($B$4:$B588=B589),$A$4:$A588),""))</f>
        <v>15</v>
      </c>
      <c r="I589" s="73">
        <f t="shared" si="9"/>
        <v>33.200000000000003</v>
      </c>
      <c r="J589" s="9">
        <v>142730</v>
      </c>
      <c r="K589" s="6">
        <f>IF(B589="","",IFERROR(AVERAGEIFS($I$4:$I589,$B$4:$B589,B589,$I$4:$I589,"&gt;"&amp;0),""))</f>
        <v>33.425641025641028</v>
      </c>
      <c r="L589" s="9" t="str">
        <f>IF(B589="","",IF(ISNA(MATCH(B589,Client_List!$B:$B,0)),"⚠ NOT FOUND","✓"))</f>
        <v>✓</v>
      </c>
    </row>
    <row r="590" spans="1:12" ht="14" customHeight="1" x14ac:dyDescent="0.2">
      <c r="A590" s="56">
        <v>46073</v>
      </c>
      <c r="B590" s="2" t="s">
        <v>112</v>
      </c>
      <c r="C590" s="3" t="str">
        <f>IF(B590="","",IFERROR(INDEX(Client_List!$C:$C,MATCH(B590,Client_List!$B:$B,0)),""))</f>
        <v>2</v>
      </c>
      <c r="D590" s="4" t="str">
        <f>IF(B590="","",IFERROR(INDEX(Client_List!$D:$D,MATCH(B590,Client_List!$B:$B,0)),""))</f>
        <v>2A</v>
      </c>
      <c r="E590" s="4" t="str">
        <f>IF(B590="","",IFERROR(INDEX(Client_List!$K:$K,MATCH(B590,Client_List!$B:$B,0)),""))</f>
        <v>FRYERS CHOICE BLEND</v>
      </c>
      <c r="F590" s="5">
        <f>IF(B590="","",IFERROR(INDEX(Client_List!$J:$J,MATCH(B590,Client_List!$B:$B,0)),""))</f>
        <v>450</v>
      </c>
      <c r="G590" s="5">
        <v>188</v>
      </c>
      <c r="H590" s="4">
        <f>IF(B590="","",IFERROR(A590-LOOKUP(2,1/($B$4:$B589=B590),$A$4:$A589),""))</f>
        <v>8</v>
      </c>
      <c r="I590" s="72">
        <f t="shared" si="9"/>
        <v>23.5</v>
      </c>
      <c r="J590" s="4">
        <v>142741</v>
      </c>
      <c r="K590" s="6">
        <f>IF(B590="","",IFERROR(AVERAGEIFS($I$4:$I590,$B$4:$B590,B590,$I$4:$I590,"&gt;"&amp;0),""))</f>
        <v>37.25</v>
      </c>
      <c r="L590" s="4" t="str">
        <f>IF(B590="","",IF(ISNA(MATCH(B590,Client_List!$B:$B,0)),"⚠ NOT FOUND","✓"))</f>
        <v>✓</v>
      </c>
    </row>
    <row r="591" spans="1:12" ht="14" customHeight="1" x14ac:dyDescent="0.2">
      <c r="A591" s="57">
        <v>46073</v>
      </c>
      <c r="B591" s="7" t="s">
        <v>122</v>
      </c>
      <c r="C591" s="3" t="str">
        <f>IF(B591="","",IFERROR(INDEX(Client_List!$C:$C,MATCH(B591,Client_List!$B:$B,0)),""))</f>
        <v>3</v>
      </c>
      <c r="D591" s="9" t="str">
        <f>IF(B591="","",IFERROR(INDEX(Client_List!$D:$D,MATCH(B591,Client_List!$B:$B,0)),""))</f>
        <v>3D</v>
      </c>
      <c r="E591" s="9" t="str">
        <f>IF(B591="","",IFERROR(INDEX(Client_List!$K:$K,MATCH(B591,Client_List!$B:$B,0)),""))</f>
        <v>CANOLA OIL</v>
      </c>
      <c r="F591" s="10">
        <f>IF(B591="","",IFERROR(INDEX(Client_List!$J:$J,MATCH(B591,Client_List!$B:$B,0)),""))</f>
        <v>500</v>
      </c>
      <c r="G591" s="10">
        <v>302</v>
      </c>
      <c r="H591" s="9">
        <f>IF(B591="","",IFERROR(A591-LOOKUP(2,1/($B$4:$B590=B591),$A$4:$A590),""))</f>
        <v>16</v>
      </c>
      <c r="I591" s="73">
        <f t="shared" si="9"/>
        <v>18.875</v>
      </c>
      <c r="J591" s="9">
        <v>142751</v>
      </c>
      <c r="K591" s="6">
        <f>IF(B591="","",IFERROR(AVERAGEIFS($I$4:$I591,$B$4:$B591,B591,$I$4:$I591,"&gt;"&amp;0),""))</f>
        <v>17.411184210526315</v>
      </c>
      <c r="L591" s="9" t="str">
        <f>IF(B591="","",IF(ISNA(MATCH(B591,Client_List!$B:$B,0)),"⚠ NOT FOUND","✓"))</f>
        <v>✓</v>
      </c>
    </row>
    <row r="592" spans="1:12" ht="14" customHeight="1" x14ac:dyDescent="0.2">
      <c r="A592" s="56">
        <v>46073</v>
      </c>
      <c r="B592" s="2" t="s">
        <v>126</v>
      </c>
      <c r="C592" s="13" t="str">
        <f>IF(B592="","",IFERROR(INDEX(Client_List!$C:$C,MATCH(B592,Client_List!$B:$B,0)),""))</f>
        <v>4</v>
      </c>
      <c r="D592" s="4" t="str">
        <f>IF(B592="","",IFERROR(INDEX(Client_List!$D:$D,MATCH(B592,Client_List!$B:$B,0)),""))</f>
        <v>4D</v>
      </c>
      <c r="E592" s="4" t="str">
        <f>IF(B592="","",IFERROR(INDEX(Client_List!$K:$K,MATCH(B592,Client_List!$B:$B,0)),""))</f>
        <v>CANOLA OIL</v>
      </c>
      <c r="F592" s="5">
        <f>IF(B592="","",IFERROR(INDEX(Client_List!$J:$J,MATCH(B592,Client_List!$B:$B,0)),""))</f>
        <v>700</v>
      </c>
      <c r="G592" s="5">
        <v>504</v>
      </c>
      <c r="H592" s="4">
        <f>IF(B592="","",IFERROR(A592-LOOKUP(2,1/($B$4:$B591=B592),$A$4:$A591),""))</f>
        <v>7</v>
      </c>
      <c r="I592" s="72">
        <f t="shared" si="9"/>
        <v>72</v>
      </c>
      <c r="J592" s="4">
        <v>142738</v>
      </c>
      <c r="K592" s="6">
        <f>IF(B592="","",IFERROR(AVERAGEIFS($I$4:$I592,$B$4:$B592,B592,$I$4:$I592,"&gt;"&amp;0),""))</f>
        <v>68.951388888888886</v>
      </c>
      <c r="L592" s="4" t="str">
        <f>IF(B592="","",IF(ISNA(MATCH(B592,Client_List!$B:$B,0)),"⚠ NOT FOUND","✓"))</f>
        <v>✓</v>
      </c>
    </row>
    <row r="593" spans="1:12" ht="14" customHeight="1" x14ac:dyDescent="0.2">
      <c r="A593" s="57">
        <v>46073</v>
      </c>
      <c r="B593" s="7" t="s">
        <v>138</v>
      </c>
      <c r="C593" s="11" t="str">
        <f>IF(B593="","",IFERROR(INDEX(Client_List!$C:$C,MATCH(B593,Client_List!$B:$B,0)),""))</f>
        <v>4</v>
      </c>
      <c r="D593" s="9" t="str">
        <f>IF(B593="","",IFERROR(INDEX(Client_List!$D:$D,MATCH(B593,Client_List!$B:$B,0)),""))</f>
        <v>4E</v>
      </c>
      <c r="E593" s="9" t="str">
        <f>IF(B593="","",IFERROR(INDEX(Client_List!$K:$K,MATCH(B593,Client_List!$B:$B,0)),""))</f>
        <v>CANOLA OIL</v>
      </c>
      <c r="F593" s="10">
        <f>IF(B593="","",IFERROR(INDEX(Client_List!$J:$J,MATCH(B593,Client_List!$B:$B,0)),""))</f>
        <v>350</v>
      </c>
      <c r="G593" s="10">
        <v>237</v>
      </c>
      <c r="H593" s="9">
        <f>IF(B593="","",IFERROR(A593-LOOKUP(2,1/($B$4:$B592=B593),$A$4:$A592),""))</f>
        <v>8</v>
      </c>
      <c r="I593" s="73">
        <f t="shared" si="9"/>
        <v>29.625</v>
      </c>
      <c r="J593" s="9">
        <v>142737</v>
      </c>
      <c r="K593" s="6">
        <f>IF(B593="","",IFERROR(AVERAGEIFS($I$4:$I593,$B$4:$B593,B593,$I$4:$I593,"&gt;"&amp;0),""))</f>
        <v>37.332142857142856</v>
      </c>
      <c r="L593" s="9" t="str">
        <f>IF(B593="","",IF(ISNA(MATCH(B593,Client_List!$B:$B,0)),"⚠ NOT FOUND","✓"))</f>
        <v>✓</v>
      </c>
    </row>
    <row r="594" spans="1:12" ht="14" customHeight="1" x14ac:dyDescent="0.2">
      <c r="A594" s="56">
        <v>46073</v>
      </c>
      <c r="B594" s="2" t="s">
        <v>168</v>
      </c>
      <c r="C594" s="12" t="str">
        <f>IF(B594="","",IFERROR(INDEX(Client_List!$C:$C,MATCH(B594,Client_List!$B:$B,0)),""))</f>
        <v>4</v>
      </c>
      <c r="D594" s="4" t="str">
        <f>IF(B594="","",IFERROR(INDEX(Client_List!$D:$D,MATCH(B594,Client_List!$B:$B,0)),""))</f>
        <v>4B</v>
      </c>
      <c r="E594" s="4" t="str">
        <f>IF(B594="","",IFERROR(INDEX(Client_List!$K:$K,MATCH(B594,Client_List!$B:$B,0)),""))</f>
        <v>FRYERS CHOICE BLEND</v>
      </c>
      <c r="F594" s="5">
        <f>IF(B594="","",IFERROR(INDEX(Client_List!$J:$J,MATCH(B594,Client_List!$B:$B,0)),""))</f>
        <v>620</v>
      </c>
      <c r="G594" s="5">
        <v>533</v>
      </c>
      <c r="H594" s="4">
        <f>IF(B594="","",IFERROR(A594-LOOKUP(2,1/($B$4:$B593=B594),$A$4:$A593),""))</f>
        <v>14</v>
      </c>
      <c r="I594" s="72">
        <f t="shared" si="9"/>
        <v>38.071428571428569</v>
      </c>
      <c r="J594" s="4">
        <v>142735</v>
      </c>
      <c r="K594" s="6">
        <f>IF(B594="","",IFERROR(AVERAGEIFS($I$4:$I594,$B$4:$B594,B594,$I$4:$I594,"&gt;"&amp;0),""))</f>
        <v>38.200000000000003</v>
      </c>
      <c r="L594" s="4" t="str">
        <f>IF(B594="","",IF(ISNA(MATCH(B594,Client_List!$B:$B,0)),"⚠ NOT FOUND","✓"))</f>
        <v>✓</v>
      </c>
    </row>
    <row r="595" spans="1:12" ht="14" customHeight="1" x14ac:dyDescent="0.2">
      <c r="A595" s="57">
        <v>46073</v>
      </c>
      <c r="B595" s="7" t="s">
        <v>170</v>
      </c>
      <c r="C595" s="8" t="str">
        <f>IF(B595="","",IFERROR(INDEX(Client_List!$C:$C,MATCH(B595,Client_List!$B:$B,0)),""))</f>
        <v>3</v>
      </c>
      <c r="D595" s="9" t="str">
        <f>IF(B595="","",IFERROR(INDEX(Client_List!$D:$D,MATCH(B595,Client_List!$B:$B,0)),""))</f>
        <v>3E</v>
      </c>
      <c r="E595" s="9" t="str">
        <f>IF(B595="","",IFERROR(INDEX(Client_List!$K:$K,MATCH(B595,Client_List!$B:$B,0)),""))</f>
        <v>CANOLA OIL</v>
      </c>
      <c r="F595" s="10">
        <f>IF(B595="","",IFERROR(INDEX(Client_List!$J:$J,MATCH(B595,Client_List!$B:$B,0)),""))</f>
        <v>1050</v>
      </c>
      <c r="G595" s="10">
        <v>835</v>
      </c>
      <c r="H595" s="9">
        <f>IF(B595="","",IFERROR(A595-LOOKUP(2,1/($B$4:$B594=B595),$A$4:$A594),""))</f>
        <v>15</v>
      </c>
      <c r="I595" s="73">
        <f t="shared" si="9"/>
        <v>55.666666666666664</v>
      </c>
      <c r="J595" s="9">
        <v>142747</v>
      </c>
      <c r="K595" s="6">
        <f>IF(B595="","",IFERROR(AVERAGEIFS($I$4:$I595,$B$4:$B595,B595,$I$4:$I595,"&gt;"&amp;0),""))</f>
        <v>52.916666666666664</v>
      </c>
      <c r="L595" s="9" t="str">
        <f>IF(B595="","",IF(ISNA(MATCH(B595,Client_List!$B:$B,0)),"⚠ NOT FOUND","✓"))</f>
        <v>✓</v>
      </c>
    </row>
    <row r="596" spans="1:12" ht="14" customHeight="1" x14ac:dyDescent="0.2">
      <c r="A596" s="56">
        <v>46073</v>
      </c>
      <c r="B596" s="2" t="s">
        <v>174</v>
      </c>
      <c r="C596" s="8" t="str">
        <f>IF(B596="","",IFERROR(INDEX(Client_List!$C:$C,MATCH(B596,Client_List!$B:$B,0)),""))</f>
        <v>2</v>
      </c>
      <c r="D596" s="4" t="str">
        <f>IF(B596="","",IFERROR(INDEX(Client_List!$D:$D,MATCH(B596,Client_List!$B:$B,0)),""))</f>
        <v>2D</v>
      </c>
      <c r="E596" s="4" t="str">
        <f>IF(B596="","",IFERROR(INDEX(Client_List!$K:$K,MATCH(B596,Client_List!$B:$B,0)),""))</f>
        <v>CANOLA OIL</v>
      </c>
      <c r="F596" s="5">
        <f>IF(B596="","",IFERROR(INDEX(Client_List!$J:$J,MATCH(B596,Client_List!$B:$B,0)),""))</f>
        <v>700</v>
      </c>
      <c r="G596" s="5">
        <v>491</v>
      </c>
      <c r="H596" s="4">
        <f>IF(B596="","",IFERROR(A596-LOOKUP(2,1/($B$4:$B595=B596),$A$4:$A595),""))</f>
        <v>33</v>
      </c>
      <c r="I596" s="72">
        <f t="shared" si="9"/>
        <v>14.878787878787879</v>
      </c>
      <c r="J596" s="4">
        <v>142748</v>
      </c>
      <c r="K596" s="6">
        <f>IF(B596="","",IFERROR(AVERAGEIFS($I$4:$I596,$B$4:$B596,B596,$I$4:$I596,"&gt;"&amp;0),""))</f>
        <v>14.878787878787879</v>
      </c>
      <c r="L596" s="4" t="str">
        <f>IF(B596="","",IF(ISNA(MATCH(B596,Client_List!$B:$B,0)),"⚠ NOT FOUND","✓"))</f>
        <v>✓</v>
      </c>
    </row>
    <row r="597" spans="1:12" ht="14" customHeight="1" x14ac:dyDescent="0.2">
      <c r="A597" s="57">
        <v>46073</v>
      </c>
      <c r="B597" s="7" t="s">
        <v>206</v>
      </c>
      <c r="C597" s="11" t="str">
        <f>IF(B597="","",IFERROR(INDEX(Client_List!$C:$C,MATCH(B597,Client_List!$B:$B,0)),""))</f>
        <v>4</v>
      </c>
      <c r="D597" s="9" t="str">
        <f>IF(B597="","",IFERROR(INDEX(Client_List!$D:$D,MATCH(B597,Client_List!$B:$B,0)),""))</f>
        <v>4C</v>
      </c>
      <c r="E597" s="9" t="str">
        <f>IF(B597="","",IFERROR(INDEX(Client_List!$K:$K,MATCH(B597,Client_List!$B:$B,0)),""))</f>
        <v>CANOLA OIL</v>
      </c>
      <c r="F597" s="10">
        <f>IF(B597="","",IFERROR(INDEX(Client_List!$J:$J,MATCH(B597,Client_List!$B:$B,0)),""))</f>
        <v>1050</v>
      </c>
      <c r="G597" s="10">
        <v>788</v>
      </c>
      <c r="H597" s="9">
        <f>IF(B597="","",IFERROR(A597-LOOKUP(2,1/($B$4:$B596=B597),$A$4:$A596),""))</f>
        <v>11</v>
      </c>
      <c r="I597" s="73">
        <f t="shared" si="9"/>
        <v>71.63636363636364</v>
      </c>
      <c r="J597" s="9">
        <v>142732</v>
      </c>
      <c r="K597" s="6">
        <f>IF(B597="","",IFERROR(AVERAGEIFS($I$4:$I597,$B$4:$B597,B597,$I$4:$I597,"&gt;"&amp;0),""))</f>
        <v>79.479215229215228</v>
      </c>
      <c r="L597" s="9" t="str">
        <f>IF(B597="","",IF(ISNA(MATCH(B597,Client_List!$B:$B,0)),"⚠ NOT FOUND","✓"))</f>
        <v>✓</v>
      </c>
    </row>
    <row r="598" spans="1:12" ht="14" customHeight="1" x14ac:dyDescent="0.2">
      <c r="A598" s="56">
        <v>46073</v>
      </c>
      <c r="B598" s="2" t="s">
        <v>264</v>
      </c>
      <c r="C598" s="3" t="str">
        <f>IF(B598="","",IFERROR(INDEX(Client_List!$C:$C,MATCH(B598,Client_List!$B:$B,0)),""))</f>
        <v>2</v>
      </c>
      <c r="D598" s="4" t="str">
        <f>IF(B598="","",IFERROR(INDEX(Client_List!$D:$D,MATCH(B598,Client_List!$B:$B,0)),""))</f>
        <v>2D</v>
      </c>
      <c r="E598" s="4" t="str">
        <f>IF(B598="","",IFERROR(INDEX(Client_List!$K:$K,MATCH(B598,Client_List!$B:$B,0)),""))</f>
        <v>FRYERS CHOICE BLEND</v>
      </c>
      <c r="F598" s="5">
        <f>IF(B598="","",IFERROR(INDEX(Client_List!$J:$J,MATCH(B598,Client_List!$B:$B,0)),""))</f>
        <v>1950</v>
      </c>
      <c r="G598" s="5">
        <v>1108</v>
      </c>
      <c r="H598" s="4">
        <f>IF(B598="","",IFERROR(A598-LOOKUP(2,1/($B$4:$B597=B598),$A$4:$A597),""))</f>
        <v>11</v>
      </c>
      <c r="I598" s="72">
        <f t="shared" si="9"/>
        <v>100.72727272727273</v>
      </c>
      <c r="J598" s="4">
        <v>142750</v>
      </c>
      <c r="K598" s="6">
        <f>IF(B598="","",IFERROR(AVERAGEIFS($I$4:$I598,$B$4:$B598,B598,$I$4:$I598,"&gt;"&amp;0),""))</f>
        <v>95.643939393939405</v>
      </c>
      <c r="L598" s="4" t="str">
        <f>IF(B598="","",IF(ISNA(MATCH(B598,Client_List!$B:$B,0)),"⚠ NOT FOUND","✓"))</f>
        <v>✓</v>
      </c>
    </row>
    <row r="599" spans="1:12" ht="14" customHeight="1" x14ac:dyDescent="0.2">
      <c r="A599" s="57">
        <v>46073</v>
      </c>
      <c r="B599" s="7" t="s">
        <v>284</v>
      </c>
      <c r="C599" s="3" t="str">
        <f>IF(B599="","",IFERROR(INDEX(Client_List!$C:$C,MATCH(B599,Client_List!$B:$B,0)),""))</f>
        <v>2</v>
      </c>
      <c r="D599" s="9" t="str">
        <f>IF(B599="","",IFERROR(INDEX(Client_List!$D:$D,MATCH(B599,Client_List!$B:$B,0)),""))</f>
        <v>2C</v>
      </c>
      <c r="E599" s="9" t="str">
        <f>IF(B599="","",IFERROR(INDEX(Client_List!$K:$K,MATCH(B599,Client_List!$B:$B,0)),""))</f>
        <v>CANOLA OIL</v>
      </c>
      <c r="F599" s="10">
        <f>IF(B599="","",IFERROR(INDEX(Client_List!$J:$J,MATCH(B599,Client_List!$B:$B,0)),""))</f>
        <v>620</v>
      </c>
      <c r="G599" s="10">
        <v>413</v>
      </c>
      <c r="H599" s="9">
        <f>IF(B599="","",IFERROR(A599-LOOKUP(2,1/($B$4:$B598=B599),$A$4:$A598),""))</f>
        <v>14</v>
      </c>
      <c r="I599" s="73">
        <f t="shared" si="9"/>
        <v>29.5</v>
      </c>
      <c r="J599" s="9">
        <v>142744</v>
      </c>
      <c r="K599" s="6">
        <f>IF(B599="","",IFERROR(AVERAGEIFS($I$4:$I599,$B$4:$B599,B599,$I$4:$I599,"&gt;"&amp;0),""))</f>
        <v>28.553968253968254</v>
      </c>
      <c r="L599" s="9" t="str">
        <f>IF(B599="","",IF(ISNA(MATCH(B599,Client_List!$B:$B,0)),"⚠ NOT FOUND","✓"))</f>
        <v>✓</v>
      </c>
    </row>
    <row r="600" spans="1:12" ht="14" customHeight="1" x14ac:dyDescent="0.2">
      <c r="A600" s="56">
        <v>46073</v>
      </c>
      <c r="B600" s="2" t="s">
        <v>286</v>
      </c>
      <c r="C600" s="12" t="str">
        <f>IF(B600="","",IFERROR(INDEX(Client_List!$C:$C,MATCH(B600,Client_List!$B:$B,0)),""))</f>
        <v>3</v>
      </c>
      <c r="D600" s="4" t="str">
        <f>IF(B600="","",IFERROR(INDEX(Client_List!$D:$D,MATCH(B600,Client_List!$B:$B,0)),""))</f>
        <v>3C</v>
      </c>
      <c r="E600" s="4" t="str">
        <f>IF(B600="","",IFERROR(INDEX(Client_List!$K:$K,MATCH(B600,Client_List!$B:$B,0)),""))</f>
        <v>CANOLA OIL</v>
      </c>
      <c r="F600" s="5">
        <f>IF(B600="","",IFERROR(INDEX(Client_List!$J:$J,MATCH(B600,Client_List!$B:$B,0)),""))</f>
        <v>620</v>
      </c>
      <c r="G600" s="5">
        <v>489</v>
      </c>
      <c r="H600" s="4">
        <f>IF(B600="","",IFERROR(A600-LOOKUP(2,1/($B$4:$B599=B600),$A$4:$A599),""))</f>
        <v>15</v>
      </c>
      <c r="I600" s="72">
        <f t="shared" si="9"/>
        <v>32.6</v>
      </c>
      <c r="J600" s="4">
        <v>142727</v>
      </c>
      <c r="K600" s="6">
        <f>IF(B600="","",IFERROR(AVERAGEIFS($I$4:$I600,$B$4:$B600,B600,$I$4:$I600,"&gt;"&amp;0),""))</f>
        <v>28.309401709401708</v>
      </c>
      <c r="L600" s="4" t="str">
        <f>IF(B600="","",IF(ISNA(MATCH(B600,Client_List!$B:$B,0)),"⚠ NOT FOUND","✓"))</f>
        <v>✓</v>
      </c>
    </row>
    <row r="601" spans="1:12" ht="14" customHeight="1" x14ac:dyDescent="0.2">
      <c r="A601" s="57">
        <v>46073</v>
      </c>
      <c r="B601" s="7" t="s">
        <v>288</v>
      </c>
      <c r="C601" s="12" t="str">
        <f>IF(B601="","",IFERROR(INDEX(Client_List!$C:$C,MATCH(B601,Client_List!$B:$B,0)),""))</f>
        <v>3</v>
      </c>
      <c r="D601" s="9" t="str">
        <f>IF(B601="","",IFERROR(INDEX(Client_List!$D:$D,MATCH(B601,Client_List!$B:$B,0)),""))</f>
        <v>3C</v>
      </c>
      <c r="E601" s="9" t="str">
        <f>IF(B601="","",IFERROR(INDEX(Client_List!$K:$K,MATCH(B601,Client_List!$B:$B,0)),""))</f>
        <v>CANOLA OIL</v>
      </c>
      <c r="F601" s="10">
        <f>IF(B601="","",IFERROR(INDEX(Client_List!$J:$J,MATCH(B601,Client_List!$B:$B,0)),""))</f>
        <v>620</v>
      </c>
      <c r="G601" s="10">
        <v>485</v>
      </c>
      <c r="H601" s="9">
        <f>IF(B601="","",IFERROR(A601-LOOKUP(2,1/($B$4:$B600=B601),$A$4:$A600),""))</f>
        <v>13</v>
      </c>
      <c r="I601" s="73">
        <f t="shared" si="9"/>
        <v>37.307692307692307</v>
      </c>
      <c r="J601" s="9">
        <v>142743</v>
      </c>
      <c r="K601" s="6">
        <f>IF(B601="","",IFERROR(AVERAGEIFS($I$4:$I601,$B$4:$B601,B601,$I$4:$I601,"&gt;"&amp;0),""))</f>
        <v>39.991452991452988</v>
      </c>
      <c r="L601" s="9" t="str">
        <f>IF(B601="","",IF(ISNA(MATCH(B601,Client_List!$B:$B,0)),"⚠ NOT FOUND","✓"))</f>
        <v>✓</v>
      </c>
    </row>
    <row r="602" spans="1:12" ht="14" customHeight="1" x14ac:dyDescent="0.2">
      <c r="A602" s="56">
        <v>46073</v>
      </c>
      <c r="B602" s="2" t="s">
        <v>290</v>
      </c>
      <c r="C602" s="13" t="str">
        <f>IF(B602="","",IFERROR(INDEX(Client_List!$C:$C,MATCH(B602,Client_List!$B:$B,0)),""))</f>
        <v>3</v>
      </c>
      <c r="D602" s="4" t="str">
        <f>IF(B602="","",IFERROR(INDEX(Client_List!$D:$D,MATCH(B602,Client_List!$B:$B,0)),""))</f>
        <v>3D</v>
      </c>
      <c r="E602" s="4" t="str">
        <f>IF(B602="","",IFERROR(INDEX(Client_List!$K:$K,MATCH(B602,Client_List!$B:$B,0)),""))</f>
        <v>CANOLA OIL</v>
      </c>
      <c r="F602" s="5">
        <f>IF(B602="","",IFERROR(INDEX(Client_List!$J:$J,MATCH(B602,Client_List!$B:$B,0)),""))</f>
        <v>350</v>
      </c>
      <c r="G602" s="5">
        <v>207</v>
      </c>
      <c r="H602" s="4">
        <f>IF(B602="","",IFERROR(A602-LOOKUP(2,1/($B$4:$B601=B602),$A$4:$A601),""))</f>
        <v>13</v>
      </c>
      <c r="I602" s="72">
        <f t="shared" si="9"/>
        <v>15.923076923076923</v>
      </c>
      <c r="J602" s="4">
        <v>142746</v>
      </c>
      <c r="K602" s="6">
        <f>IF(B602="","",IFERROR(AVERAGEIFS($I$4:$I602,$B$4:$B602,B602,$I$4:$I602,"&gt;"&amp;0),""))</f>
        <v>14.805288461538462</v>
      </c>
      <c r="L602" s="4" t="str">
        <f>IF(B602="","",IF(ISNA(MATCH(B602,Client_List!$B:$B,0)),"⚠ NOT FOUND","✓"))</f>
        <v>✓</v>
      </c>
    </row>
    <row r="603" spans="1:12" ht="14" customHeight="1" x14ac:dyDescent="0.2">
      <c r="A603" s="57">
        <v>46073</v>
      </c>
      <c r="B603" s="7" t="s">
        <v>300</v>
      </c>
      <c r="C603" s="3" t="str">
        <f>IF(B603="","",IFERROR(INDEX(Client_List!$C:$C,MATCH(B603,Client_List!$B:$B,0)),""))</f>
        <v>4</v>
      </c>
      <c r="D603" s="9" t="str">
        <f>IF(B603="","",IFERROR(INDEX(Client_List!$D:$D,MATCH(B603,Client_List!$B:$B,0)),""))</f>
        <v>4C</v>
      </c>
      <c r="E603" s="9" t="str">
        <f>IF(B603="","",IFERROR(INDEX(Client_List!$K:$K,MATCH(B603,Client_List!$B:$B,0)),""))</f>
        <v>FRYERS CHOICE BLEND</v>
      </c>
      <c r="F603" s="10">
        <f>IF(B603="","",IFERROR(INDEX(Client_List!$J:$J,MATCH(B603,Client_List!$B:$B,0)),""))</f>
        <v>350</v>
      </c>
      <c r="G603" s="10">
        <v>178</v>
      </c>
      <c r="H603" s="9">
        <f>IF(B603="","",IFERROR(A603-LOOKUP(2,1/($B$4:$B602=B603),$A$4:$A602),""))</f>
        <v>7</v>
      </c>
      <c r="I603" s="73">
        <f t="shared" si="9"/>
        <v>25.428571428571427</v>
      </c>
      <c r="J603" s="9">
        <v>142734</v>
      </c>
      <c r="K603" s="6">
        <f>IF(B603="","",IFERROR(AVERAGEIFS($I$4:$I603,$B$4:$B603,B603,$I$4:$I603,"&gt;"&amp;0),""))</f>
        <v>31.875</v>
      </c>
      <c r="L603" s="9" t="str">
        <f>IF(B603="","",IF(ISNA(MATCH(B603,Client_List!$B:$B,0)),"⚠ NOT FOUND","✓"))</f>
        <v>✓</v>
      </c>
    </row>
    <row r="604" spans="1:12" ht="14" customHeight="1" x14ac:dyDescent="0.2">
      <c r="A604" s="56">
        <v>46073</v>
      </c>
      <c r="B604" s="2" t="s">
        <v>302</v>
      </c>
      <c r="C604" s="13" t="str">
        <f>IF(B604="","",IFERROR(INDEX(Client_List!$C:$C,MATCH(B604,Client_List!$B:$B,0)),""))</f>
        <v>2</v>
      </c>
      <c r="D604" s="4" t="str">
        <f>IF(B604="","",IFERROR(INDEX(Client_List!$D:$D,MATCH(B604,Client_List!$B:$B,0)),""))</f>
        <v>2D</v>
      </c>
      <c r="E604" s="4" t="str">
        <f>IF(B604="","",IFERROR(INDEX(Client_List!$K:$K,MATCH(B604,Client_List!$B:$B,0)),""))</f>
        <v>CANOLA OIL</v>
      </c>
      <c r="F604" s="5">
        <f>IF(B604="","",IFERROR(INDEX(Client_List!$J:$J,MATCH(B604,Client_List!$B:$B,0)),""))</f>
        <v>350</v>
      </c>
      <c r="G604" s="5">
        <v>262</v>
      </c>
      <c r="H604" s="4">
        <f>IF(B604="","",IFERROR(A604-LOOKUP(2,1/($B$4:$B603=B604),$A$4:$A603),""))</f>
        <v>4</v>
      </c>
      <c r="I604" s="72">
        <f t="shared" si="9"/>
        <v>65.5</v>
      </c>
      <c r="J604" s="4">
        <v>142896</v>
      </c>
      <c r="K604" s="6">
        <f>IF(B604="","",IFERROR(AVERAGEIFS($I$4:$I604,$B$4:$B604,B604,$I$4:$I604,"&gt;"&amp;0),""))</f>
        <v>37.49007936507936</v>
      </c>
      <c r="L604" s="4" t="str">
        <f>IF(B604="","",IF(ISNA(MATCH(B604,Client_List!$B:$B,0)),"⚠ NOT FOUND","✓"))</f>
        <v>✓</v>
      </c>
    </row>
    <row r="605" spans="1:12" ht="14" customHeight="1" x14ac:dyDescent="0.2">
      <c r="A605" s="57">
        <v>46073</v>
      </c>
      <c r="B605" s="7" t="s">
        <v>304</v>
      </c>
      <c r="C605" s="11" t="str">
        <f>IF(B605="","",IFERROR(INDEX(Client_List!$C:$C,MATCH(B605,Client_List!$B:$B,0)),""))</f>
        <v>3</v>
      </c>
      <c r="D605" s="9" t="str">
        <f>IF(B605="","",IFERROR(INDEX(Client_List!$D:$D,MATCH(B605,Client_List!$B:$B,0)),""))</f>
        <v>3B</v>
      </c>
      <c r="E605" s="9" t="str">
        <f>IF(B605="","",IFERROR(INDEX(Client_List!$K:$K,MATCH(B605,Client_List!$B:$B,0)),""))</f>
        <v>CANOLA OIL</v>
      </c>
      <c r="F605" s="10">
        <f>IF(B605="","",IFERROR(INDEX(Client_List!$J:$J,MATCH(B605,Client_List!$B:$B,0)),""))</f>
        <v>350</v>
      </c>
      <c r="G605" s="10">
        <v>463</v>
      </c>
      <c r="H605" s="9">
        <f>IF(B605="","",IFERROR(A605-LOOKUP(2,1/($B$4:$B604=B605),$A$4:$A604),""))</f>
        <v>7</v>
      </c>
      <c r="I605" s="73">
        <f t="shared" si="9"/>
        <v>66.142857142857139</v>
      </c>
      <c r="J605" s="9">
        <v>142733</v>
      </c>
      <c r="K605" s="6">
        <f>IF(B605="","",IFERROR(AVERAGEIFS($I$4:$I605,$B$4:$B605,B605,$I$4:$I605,"&gt;"&amp;0),""))</f>
        <v>48.950793650793649</v>
      </c>
      <c r="L605" s="9" t="str">
        <f>IF(B605="","",IF(ISNA(MATCH(B605,Client_List!$B:$B,0)),"⚠ NOT FOUND","✓"))</f>
        <v>✓</v>
      </c>
    </row>
    <row r="606" spans="1:12" ht="14" customHeight="1" x14ac:dyDescent="0.2">
      <c r="A606" s="56">
        <v>46073</v>
      </c>
      <c r="B606" s="2" t="s">
        <v>308</v>
      </c>
      <c r="C606" s="11" t="str">
        <f>IF(B606="","",IFERROR(INDEX(Client_List!$C:$C,MATCH(B606,Client_List!$B:$B,0)),""))</f>
        <v>3</v>
      </c>
      <c r="D606" s="4" t="str">
        <f>IF(B606="","",IFERROR(INDEX(Client_List!$D:$D,MATCH(B606,Client_List!$B:$B,0)),""))</f>
        <v>3C</v>
      </c>
      <c r="E606" s="4" t="str">
        <f>IF(B606="","",IFERROR(INDEX(Client_List!$K:$K,MATCH(B606,Client_List!$B:$B,0)),""))</f>
        <v>FRYERS CHOICE BLEND</v>
      </c>
      <c r="F606" s="5">
        <f>IF(B606="","",IFERROR(INDEX(Client_List!$J:$J,MATCH(B606,Client_List!$B:$B,0)),""))</f>
        <v>500</v>
      </c>
      <c r="G606" s="5">
        <v>377</v>
      </c>
      <c r="H606" s="4">
        <f>IF(B606="","",IFERROR(A606-LOOKUP(2,1/($B$4:$B605=B606),$A$4:$A605),""))</f>
        <v>46</v>
      </c>
      <c r="I606" s="72">
        <f t="shared" si="9"/>
        <v>8.195652173913043</v>
      </c>
      <c r="J606" s="4">
        <v>142736</v>
      </c>
      <c r="K606" s="6">
        <f>IF(B606="","",IFERROR(AVERAGEIFS($I$4:$I606,$B$4:$B606,B606,$I$4:$I606,"&gt;"&amp;0),""))</f>
        <v>8.195652173913043</v>
      </c>
      <c r="L606" s="4" t="str">
        <f>IF(B606="","",IF(ISNA(MATCH(B606,Client_List!$B:$B,0)),"⚠ NOT FOUND","✓"))</f>
        <v>✓</v>
      </c>
    </row>
    <row r="607" spans="1:12" ht="14" customHeight="1" x14ac:dyDescent="0.2">
      <c r="A607" s="57">
        <v>46074</v>
      </c>
      <c r="B607" s="7" t="s">
        <v>106</v>
      </c>
      <c r="C607" s="11" t="str">
        <f>IF(B607="","",IFERROR(INDEX(Client_List!$C:$C,MATCH(B607,Client_List!$B:$B,0)),""))</f>
        <v>4</v>
      </c>
      <c r="D607" s="9" t="str">
        <f>IF(B607="","",IFERROR(INDEX(Client_List!$D:$D,MATCH(B607,Client_List!$B:$B,0)),""))</f>
        <v>4E</v>
      </c>
      <c r="E607" s="9" t="str">
        <f>IF(B607="","",IFERROR(INDEX(Client_List!$K:$K,MATCH(B607,Client_List!$B:$B,0)),""))</f>
        <v>CANOLA OIL</v>
      </c>
      <c r="F607" s="10">
        <f>IF(B607="","",IFERROR(INDEX(Client_List!$J:$J,MATCH(B607,Client_List!$B:$B,0)),""))</f>
        <v>350</v>
      </c>
      <c r="G607" s="10">
        <v>361</v>
      </c>
      <c r="H607" s="9">
        <f>IF(B607="","",IFERROR(A607-LOOKUP(2,1/($B$4:$B606=B607),$A$4:$A606),""))</f>
        <v>13</v>
      </c>
      <c r="I607" s="73">
        <f t="shared" si="9"/>
        <v>27.76923076923077</v>
      </c>
      <c r="J607" s="9">
        <v>142825</v>
      </c>
      <c r="K607" s="6">
        <f>IF(B607="","",IFERROR(AVERAGEIFS($I$4:$I607,$B$4:$B607,B607,$I$4:$I607,"&gt;"&amp;0),""))</f>
        <v>15.270135746606334</v>
      </c>
      <c r="L607" s="9" t="str">
        <f>IF(B607="","",IF(ISNA(MATCH(B607,Client_List!$B:$B,0)),"⚠ NOT FOUND","✓"))</f>
        <v>✓</v>
      </c>
    </row>
    <row r="608" spans="1:12" ht="14" customHeight="1" x14ac:dyDescent="0.2">
      <c r="A608" s="56">
        <v>46074</v>
      </c>
      <c r="B608" s="2" t="s">
        <v>120</v>
      </c>
      <c r="C608" s="11" t="str">
        <f>IF(B608="","",IFERROR(INDEX(Client_List!$C:$C,MATCH(B608,Client_List!$B:$B,0)),""))</f>
        <v>5</v>
      </c>
      <c r="D608" s="4" t="str">
        <f>IF(B608="","",IFERROR(INDEX(Client_List!$D:$D,MATCH(B608,Client_List!$B:$B,0)),""))</f>
        <v>5D</v>
      </c>
      <c r="E608" s="4" t="str">
        <f>IF(B608="","",IFERROR(INDEX(Client_List!$K:$K,MATCH(B608,Client_List!$B:$B,0)),""))</f>
        <v>FRYERS CHOICE BLEND</v>
      </c>
      <c r="F608" s="5">
        <f>IF(B608="","",IFERROR(INDEX(Client_List!$J:$J,MATCH(B608,Client_List!$B:$B,0)),""))</f>
        <v>450</v>
      </c>
      <c r="G608" s="5">
        <v>421</v>
      </c>
      <c r="H608" s="4">
        <f>IF(B608="","",IFERROR(A608-LOOKUP(2,1/($B$4:$B607=B608),$A$4:$A607),""))</f>
        <v>11</v>
      </c>
      <c r="I608" s="72">
        <f t="shared" si="9"/>
        <v>38.272727272727273</v>
      </c>
      <c r="J608" s="4">
        <v>142822</v>
      </c>
      <c r="K608" s="6">
        <f>IF(B608="","",IFERROR(AVERAGEIFS($I$4:$I608,$B$4:$B608,B608,$I$4:$I608,"&gt;"&amp;0),""))</f>
        <v>37.422481962481967</v>
      </c>
      <c r="L608" s="4" t="str">
        <f>IF(B608="","",IF(ISNA(MATCH(B608,Client_List!$B:$B,0)),"⚠ NOT FOUND","✓"))</f>
        <v>✓</v>
      </c>
    </row>
    <row r="609" spans="1:12" ht="14" customHeight="1" x14ac:dyDescent="0.2">
      <c r="A609" s="57">
        <v>46074</v>
      </c>
      <c r="B609" s="7" t="s">
        <v>148</v>
      </c>
      <c r="C609" s="3" t="str">
        <f>IF(B609="","",IFERROR(INDEX(Client_List!$C:$C,MATCH(B609,Client_List!$B:$B,0)),""))</f>
        <v>4</v>
      </c>
      <c r="D609" s="9" t="str">
        <f>IF(B609="","",IFERROR(INDEX(Client_List!$D:$D,MATCH(B609,Client_List!$B:$B,0)),""))</f>
        <v>4B</v>
      </c>
      <c r="E609" s="9" t="str">
        <f>IF(B609="","",IFERROR(INDEX(Client_List!$K:$K,MATCH(B609,Client_List!$B:$B,0)),""))</f>
        <v>FRYERS CHOICE BLEND</v>
      </c>
      <c r="F609" s="10">
        <f>IF(B609="","",IFERROR(INDEX(Client_List!$J:$J,MATCH(B609,Client_List!$B:$B,0)),""))</f>
        <v>950</v>
      </c>
      <c r="G609" s="10">
        <v>815</v>
      </c>
      <c r="H609" s="9">
        <f>IF(B609="","",IFERROR(A609-LOOKUP(2,1/($B$4:$B608=B609),$A$4:$A608),""))</f>
        <v>10</v>
      </c>
      <c r="I609" s="73">
        <f t="shared" si="9"/>
        <v>81.5</v>
      </c>
      <c r="J609" s="9">
        <v>142824</v>
      </c>
      <c r="K609" s="6">
        <f>IF(B609="","",IFERROR(AVERAGEIFS($I$4:$I609,$B$4:$B609,B609,$I$4:$I609,"&gt;"&amp;0),""))</f>
        <v>82.990303030303025</v>
      </c>
      <c r="L609" s="9" t="str">
        <f>IF(B609="","",IF(ISNA(MATCH(B609,Client_List!$B:$B,0)),"⚠ NOT FOUND","✓"))</f>
        <v>✓</v>
      </c>
    </row>
    <row r="610" spans="1:12" ht="14" customHeight="1" x14ac:dyDescent="0.2">
      <c r="A610" s="56">
        <v>46074</v>
      </c>
      <c r="B610" s="2" t="s">
        <v>152</v>
      </c>
      <c r="C610" s="11" t="str">
        <f>IF(B610="","",IFERROR(INDEX(Client_List!$C:$C,MATCH(B610,Client_List!$B:$B,0)),""))</f>
        <v>4</v>
      </c>
      <c r="D610" s="4" t="str">
        <f>IF(B610="","",IFERROR(INDEX(Client_List!$D:$D,MATCH(B610,Client_List!$B:$B,0)),""))</f>
        <v>4B</v>
      </c>
      <c r="E610" s="4" t="str">
        <f>IF(B610="","",IFERROR(INDEX(Client_List!$K:$K,MATCH(B610,Client_List!$B:$B,0)),""))</f>
        <v>CANOLA OIL</v>
      </c>
      <c r="F610" s="5">
        <f>IF(B610="","",IFERROR(INDEX(Client_List!$J:$J,MATCH(B610,Client_List!$B:$B,0)),""))</f>
        <v>950</v>
      </c>
      <c r="G610" s="5">
        <v>767</v>
      </c>
      <c r="H610" s="4">
        <f>IF(B610="","",IFERROR(A610-LOOKUP(2,1/($B$4:$B609=B610),$A$4:$A609),""))</f>
        <v>14</v>
      </c>
      <c r="I610" s="72">
        <f t="shared" si="9"/>
        <v>54.785714285714285</v>
      </c>
      <c r="J610" s="4">
        <v>142762</v>
      </c>
      <c r="K610" s="6">
        <f>IF(B610="","",IFERROR(AVERAGEIFS($I$4:$I610,$B$4:$B610,B610,$I$4:$I610,"&gt;"&amp;0),""))</f>
        <v>52.476190476190474</v>
      </c>
      <c r="L610" s="4" t="str">
        <f>IF(B610="","",IF(ISNA(MATCH(B610,Client_List!$B:$B,0)),"⚠ NOT FOUND","✓"))</f>
        <v>✓</v>
      </c>
    </row>
    <row r="611" spans="1:12" ht="14" customHeight="1" x14ac:dyDescent="0.2">
      <c r="A611" s="57">
        <v>46074</v>
      </c>
      <c r="B611" s="7" t="s">
        <v>372</v>
      </c>
      <c r="C611" s="3">
        <f>IF(B611="","",IFERROR(INDEX(Client_List!$C:$C,MATCH(B611,Client_List!$B:$B,0)),""))</f>
        <v>0</v>
      </c>
      <c r="D611" s="9" t="str">
        <f>IF(B611="","",IFERROR(INDEX(Client_List!$D:$D,MATCH(B611,Client_List!$B:$B,0)),""))</f>
        <v>F</v>
      </c>
      <c r="E611" s="9" t="str">
        <f>IF(B611="","",IFERROR(INDEX(Client_List!$K:$K,MATCH(B611,Client_List!$B:$B,0)),""))</f>
        <v>CANOLA OIL</v>
      </c>
      <c r="F611" s="10">
        <f>IF(B611="","",IFERROR(INDEX(Client_List!$J:$J,MATCH(B611,Client_List!$B:$B,0)),""))</f>
        <v>700</v>
      </c>
      <c r="G611" s="10">
        <v>360</v>
      </c>
      <c r="H611" s="9">
        <f>IF(B611="","",IFERROR(A611-LOOKUP(2,1/($B$4:$B610=B611),$A$4:$A610),""))</f>
        <v>14</v>
      </c>
      <c r="I611" s="73">
        <f t="shared" si="9"/>
        <v>25.714285714285715</v>
      </c>
      <c r="J611" s="9">
        <v>142761</v>
      </c>
      <c r="K611" s="6">
        <f>IF(B611="","",IFERROR(AVERAGEIFS($I$4:$I611,$B$4:$B611,B611,$I$4:$I611,"&gt;"&amp;0),""))</f>
        <v>20.714285714285715</v>
      </c>
      <c r="L611" s="9" t="str">
        <f>IF(B611="","",IF(ISNA(MATCH(B611,Client_List!$B:$B,0)),"⚠ NOT FOUND","✓"))</f>
        <v>✓</v>
      </c>
    </row>
    <row r="612" spans="1:12" ht="14" customHeight="1" x14ac:dyDescent="0.2">
      <c r="A612" s="56">
        <v>46074</v>
      </c>
      <c r="B612" s="2" t="s">
        <v>176</v>
      </c>
      <c r="C612" s="3" t="str">
        <f>IF(B612="","",IFERROR(INDEX(Client_List!$C:$C,MATCH(B612,Client_List!$B:$B,0)),""))</f>
        <v>4</v>
      </c>
      <c r="D612" s="4" t="str">
        <f>IF(B612="","",IFERROR(INDEX(Client_List!$D:$D,MATCH(B612,Client_List!$B:$B,0)),""))</f>
        <v>4F</v>
      </c>
      <c r="E612" s="4" t="str">
        <f>IF(B612="","",IFERROR(INDEX(Client_List!$K:$K,MATCH(B612,Client_List!$B:$B,0)),""))</f>
        <v>CANOLA OIL</v>
      </c>
      <c r="F612" s="5">
        <f>IF(B612="","",IFERROR(INDEX(Client_List!$J:$J,MATCH(B612,Client_List!$B:$B,0)),""))</f>
        <v>950</v>
      </c>
      <c r="G612" s="5">
        <v>701</v>
      </c>
      <c r="H612" s="4">
        <f>IF(B612="","",IFERROR(A612-LOOKUP(2,1/($B$4:$B611=B612),$A$4:$A611),""))</f>
        <v>15</v>
      </c>
      <c r="I612" s="72">
        <f t="shared" si="9"/>
        <v>46.733333333333334</v>
      </c>
      <c r="J612" s="4">
        <v>142823</v>
      </c>
      <c r="K612" s="6">
        <f>IF(B612="","",IFERROR(AVERAGEIFS($I$4:$I612,$B$4:$B612,B612,$I$4:$I612,"&gt;"&amp;0),""))</f>
        <v>47.691414141414135</v>
      </c>
      <c r="L612" s="4" t="str">
        <f>IF(B612="","",IF(ISNA(MATCH(B612,Client_List!$B:$B,0)),"⚠ NOT FOUND","✓"))</f>
        <v>✓</v>
      </c>
    </row>
    <row r="613" spans="1:12" ht="14" customHeight="1" x14ac:dyDescent="0.2">
      <c r="A613" s="57">
        <v>46074</v>
      </c>
      <c r="B613" s="7" t="s">
        <v>373</v>
      </c>
      <c r="C613" s="3">
        <f>IF(B613="","",IFERROR(INDEX(Client_List!$C:$C,MATCH(B613,Client_List!$B:$B,0)),""))</f>
        <v>0</v>
      </c>
      <c r="D613" s="9" t="str">
        <f>IF(B613="","",IFERROR(INDEX(Client_List!$D:$D,MATCH(B613,Client_List!$B:$B,0)),""))</f>
        <v>T</v>
      </c>
      <c r="E613" s="9" t="str">
        <f>IF(B613="","",IFERROR(INDEX(Client_List!$K:$K,MATCH(B613,Client_List!$B:$B,0)),""))</f>
        <v>CANOLA OIL</v>
      </c>
      <c r="F613" s="10">
        <f>IF(B613="","",IFERROR(INDEX(Client_List!$J:$J,MATCH(B613,Client_List!$B:$B,0)),""))</f>
        <v>950</v>
      </c>
      <c r="G613" s="10">
        <v>483</v>
      </c>
      <c r="H613" s="9">
        <f>IF(B613="","",IFERROR(A613-LOOKUP(2,1/($B$4:$B612=B613),$A$4:$A612),""))</f>
        <v>14</v>
      </c>
      <c r="I613" s="73">
        <f t="shared" si="9"/>
        <v>34.5</v>
      </c>
      <c r="J613" s="9">
        <v>142763</v>
      </c>
      <c r="K613" s="6">
        <f>IF(B613="","",IFERROR(AVERAGEIFS($I$4:$I613,$B$4:$B613,B613,$I$4:$I613,"&gt;"&amp;0),""))</f>
        <v>37.523809523809526</v>
      </c>
      <c r="L613" s="9" t="str">
        <f>IF(B613="","",IF(ISNA(MATCH(B613,Client_List!$B:$B,0)),"⚠ NOT FOUND","✓"))</f>
        <v>✓</v>
      </c>
    </row>
    <row r="614" spans="1:12" ht="14" customHeight="1" x14ac:dyDescent="0.2">
      <c r="A614" s="56">
        <v>46074</v>
      </c>
      <c r="B614" s="2" t="s">
        <v>252</v>
      </c>
      <c r="C614" s="13" t="str">
        <f>IF(B614="","",IFERROR(INDEX(Client_List!$C:$C,MATCH(B614,Client_List!$B:$B,0)),""))</f>
        <v>4</v>
      </c>
      <c r="D614" s="4" t="str">
        <f>IF(B614="","",IFERROR(INDEX(Client_List!$D:$D,MATCH(B614,Client_List!$B:$B,0)),""))</f>
        <v>4E</v>
      </c>
      <c r="E614" s="4" t="str">
        <f>IF(B614="","",IFERROR(INDEX(Client_List!$K:$K,MATCH(B614,Client_List!$B:$B,0)),""))</f>
        <v>FRYERS CHOICE BLEND</v>
      </c>
      <c r="F614" s="5">
        <f>IF(B614="","",IFERROR(INDEX(Client_List!$J:$J,MATCH(B614,Client_List!$B:$B,0)),""))</f>
        <v>1950</v>
      </c>
      <c r="G614" s="5">
        <v>1158</v>
      </c>
      <c r="H614" s="4">
        <f>IF(B614="","",IFERROR(A614-LOOKUP(2,1/($B$4:$B613=B614),$A$4:$A613),""))</f>
        <v>8</v>
      </c>
      <c r="I614" s="72">
        <f t="shared" si="9"/>
        <v>144.75</v>
      </c>
      <c r="J614" s="4">
        <v>142826</v>
      </c>
      <c r="K614" s="6">
        <f>IF(B614="","",IFERROR(AVERAGEIFS($I$4:$I614,$B$4:$B614,B614,$I$4:$I614,"&gt;"&amp;0),""))</f>
        <v>143.70744949494949</v>
      </c>
      <c r="L614" s="4" t="str">
        <f>IF(B614="","",IF(ISNA(MATCH(B614,Client_List!$B:$B,0)),"⚠ NOT FOUND","✓"))</f>
        <v>✓</v>
      </c>
    </row>
    <row r="615" spans="1:12" ht="14" customHeight="1" x14ac:dyDescent="0.2">
      <c r="A615" s="57">
        <v>46074</v>
      </c>
      <c r="B615" s="7" t="s">
        <v>258</v>
      </c>
      <c r="C615" s="11" t="str">
        <f>IF(B615="","",IFERROR(INDEX(Client_List!$C:$C,MATCH(B615,Client_List!$B:$B,0)),""))</f>
        <v>4</v>
      </c>
      <c r="D615" s="9" t="str">
        <f>IF(B615="","",IFERROR(INDEX(Client_List!$D:$D,MATCH(B615,Client_List!$B:$B,0)),""))</f>
        <v>4F</v>
      </c>
      <c r="E615" s="9" t="str">
        <f>IF(B615="","",IFERROR(INDEX(Client_List!$K:$K,MATCH(B615,Client_List!$B:$B,0)),""))</f>
        <v>FRYERS CHOICE BLEND</v>
      </c>
      <c r="F615" s="10">
        <f>IF(B615="","",IFERROR(INDEX(Client_List!$J:$J,MATCH(B615,Client_List!$B:$B,0)),""))</f>
        <v>950</v>
      </c>
      <c r="G615" s="10">
        <v>785</v>
      </c>
      <c r="H615" s="9">
        <f>IF(B615="","",IFERROR(A615-LOOKUP(2,1/($B$4:$B614=B615),$A$4:$A614),""))</f>
        <v>15</v>
      </c>
      <c r="I615" s="73">
        <f t="shared" si="9"/>
        <v>52.333333333333336</v>
      </c>
      <c r="J615" s="9">
        <v>142756</v>
      </c>
      <c r="K615" s="6">
        <f>IF(B615="","",IFERROR(AVERAGEIFS($I$4:$I615,$B$4:$B615,B615,$I$4:$I615,"&gt;"&amp;0),""))</f>
        <v>48.768849206349209</v>
      </c>
      <c r="L615" s="9" t="str">
        <f>IF(B615="","",IF(ISNA(MATCH(B615,Client_List!$B:$B,0)),"⚠ NOT FOUND","✓"))</f>
        <v>✓</v>
      </c>
    </row>
    <row r="616" spans="1:12" ht="14" customHeight="1" x14ac:dyDescent="0.2">
      <c r="A616" s="56">
        <v>46076</v>
      </c>
      <c r="B616" s="2" t="s">
        <v>59</v>
      </c>
      <c r="C616" s="3" t="str">
        <f>IF(B616="","",IFERROR(INDEX(Client_List!$C:$C,MATCH(B616,Client_List!$B:$B,0)),""))</f>
        <v>1</v>
      </c>
      <c r="D616" s="4" t="str">
        <f>IF(B616="","",IFERROR(INDEX(Client_List!$D:$D,MATCH(B616,Client_List!$B:$B,0)),""))</f>
        <v>1D</v>
      </c>
      <c r="E616" s="4" t="str">
        <f>IF(B616="","",IFERROR(INDEX(Client_List!$K:$K,MATCH(B616,Client_List!$B:$B,0)),""))</f>
        <v>CANOLA OIL</v>
      </c>
      <c r="F616" s="5">
        <f>IF(B616="","",IFERROR(INDEX(Client_List!$J:$J,MATCH(B616,Client_List!$B:$B,0)),""))</f>
        <v>900</v>
      </c>
      <c r="G616" s="5">
        <v>750</v>
      </c>
      <c r="H616" s="4">
        <f>IF(B616="","",IFERROR(A616-LOOKUP(2,1/($B$4:$B615=B616),$A$4:$A615),""))</f>
        <v>10</v>
      </c>
      <c r="I616" s="72">
        <f t="shared" si="9"/>
        <v>75</v>
      </c>
      <c r="J616" s="4">
        <v>142833</v>
      </c>
      <c r="K616" s="6">
        <f>IF(B616="","",IFERROR(AVERAGEIFS($I$4:$I616,$B$4:$B616,B616,$I$4:$I616,"&gt;"&amp;0),""))</f>
        <v>73.73621212121212</v>
      </c>
      <c r="L616" s="4" t="str">
        <f>IF(B616="","",IF(ISNA(MATCH(B616,Client_List!$B:$B,0)),"⚠ NOT FOUND","✓"))</f>
        <v>✓</v>
      </c>
    </row>
    <row r="617" spans="1:12" ht="14" customHeight="1" x14ac:dyDescent="0.2">
      <c r="A617" s="57">
        <v>46076</v>
      </c>
      <c r="B617" s="7" t="s">
        <v>75</v>
      </c>
      <c r="C617" s="11" t="str">
        <f>IF(B617="","",IFERROR(INDEX(Client_List!$C:$C,MATCH(B617,Client_List!$B:$B,0)),""))</f>
        <v>1</v>
      </c>
      <c r="D617" s="9" t="str">
        <f>IF(B617="","",IFERROR(INDEX(Client_List!$D:$D,MATCH(B617,Client_List!$B:$B,0)),""))</f>
        <v>1D</v>
      </c>
      <c r="E617" s="9" t="str">
        <f>IF(B617="","",IFERROR(INDEX(Client_List!$K:$K,MATCH(B617,Client_List!$B:$B,0)),""))</f>
        <v>CANOLA OIL</v>
      </c>
      <c r="F617" s="10">
        <f>IF(B617="","",IFERROR(INDEX(Client_List!$J:$J,MATCH(B617,Client_List!$B:$B,0)),""))</f>
        <v>620</v>
      </c>
      <c r="G617" s="10">
        <v>487</v>
      </c>
      <c r="H617" s="9">
        <f>IF(B617="","",IFERROR(A617-LOOKUP(2,1/($B$4:$B616=B617),$A$4:$A616),""))</f>
        <v>7</v>
      </c>
      <c r="I617" s="73">
        <f t="shared" si="9"/>
        <v>69.571428571428569</v>
      </c>
      <c r="J617" s="9">
        <v>142834</v>
      </c>
      <c r="K617" s="6">
        <f>IF(B617="","",IFERROR(AVERAGEIFS($I$4:$I617,$B$4:$B617,B617,$I$4:$I617,"&gt;"&amp;0),""))</f>
        <v>107.90119047619046</v>
      </c>
      <c r="L617" s="9" t="str">
        <f>IF(B617="","",IF(ISNA(MATCH(B617,Client_List!$B:$B,0)),"⚠ NOT FOUND","✓"))</f>
        <v>✓</v>
      </c>
    </row>
    <row r="618" spans="1:12" ht="14" customHeight="1" x14ac:dyDescent="0.2">
      <c r="A618" s="56">
        <v>46076</v>
      </c>
      <c r="B618" s="2" t="s">
        <v>77</v>
      </c>
      <c r="C618" s="3" t="str">
        <f>IF(B618="","",IFERROR(INDEX(Client_List!$C:$C,MATCH(B618,Client_List!$B:$B,0)),""))</f>
        <v>1</v>
      </c>
      <c r="D618" s="4" t="str">
        <f>IF(B618="","",IFERROR(INDEX(Client_List!$D:$D,MATCH(B618,Client_List!$B:$B,0)),""))</f>
        <v>1D</v>
      </c>
      <c r="E618" s="4" t="str">
        <f>IF(B618="","",IFERROR(INDEX(Client_List!$K:$K,MATCH(B618,Client_List!$B:$B,0)),""))</f>
        <v>CANOLA OIL</v>
      </c>
      <c r="F618" s="5">
        <f>IF(B618="","",IFERROR(INDEX(Client_List!$J:$J,MATCH(B618,Client_List!$B:$B,0)),""))</f>
        <v>620</v>
      </c>
      <c r="G618" s="5">
        <v>716</v>
      </c>
      <c r="H618" s="4">
        <f>IF(B618="","",IFERROR(A618-LOOKUP(2,1/($B$4:$B617=B618),$A$4:$A617),""))</f>
        <v>10</v>
      </c>
      <c r="I618" s="72">
        <f t="shared" si="9"/>
        <v>71.599999999999994</v>
      </c>
      <c r="J618" s="4">
        <v>142835</v>
      </c>
      <c r="K618" s="6">
        <f>IF(B618="","",IFERROR(AVERAGEIFS($I$4:$I618,$B$4:$B618,B618,$I$4:$I618,"&gt;"&amp;0),""))</f>
        <v>67.557341269841274</v>
      </c>
      <c r="L618" s="4" t="str">
        <f>IF(B618="","",IF(ISNA(MATCH(B618,Client_List!$B:$B,0)),"⚠ NOT FOUND","✓"))</f>
        <v>✓</v>
      </c>
    </row>
    <row r="619" spans="1:12" ht="14" customHeight="1" x14ac:dyDescent="0.2">
      <c r="A619" s="57">
        <v>46076</v>
      </c>
      <c r="B619" s="7" t="s">
        <v>190</v>
      </c>
      <c r="C619" s="11" t="str">
        <f>IF(B619="","",IFERROR(INDEX(Client_List!$C:$C,MATCH(B619,Client_List!$B:$B,0)),""))</f>
        <v>2</v>
      </c>
      <c r="D619" s="9" t="str">
        <f>IF(B619="","",IFERROR(INDEX(Client_List!$D:$D,MATCH(B619,Client_List!$B:$B,0)),""))</f>
        <v>2C</v>
      </c>
      <c r="E619" s="9" t="str">
        <f>IF(B619="","",IFERROR(INDEX(Client_List!$K:$K,MATCH(B619,Client_List!$B:$B,0)),""))</f>
        <v>CANOLA OIL</v>
      </c>
      <c r="F619" s="10">
        <f>IF(B619="","",IFERROR(INDEX(Client_List!$J:$J,MATCH(B619,Client_List!$B:$B,0)),""))</f>
        <v>1050</v>
      </c>
      <c r="G619" s="10">
        <v>905</v>
      </c>
      <c r="H619" s="9">
        <f>IF(B619="","",IFERROR(A619-LOOKUP(2,1/($B$4:$B618=B619),$A$4:$A618),""))</f>
        <v>7</v>
      </c>
      <c r="I619" s="73">
        <f t="shared" si="9"/>
        <v>129.28571428571428</v>
      </c>
      <c r="J619" s="9">
        <v>142832</v>
      </c>
      <c r="K619" s="6">
        <f>IF(B619="","",IFERROR(AVERAGEIFS($I$4:$I619,$B$4:$B619,B619,$I$4:$I619,"&gt;"&amp;0),""))</f>
        <v>131.82568027210885</v>
      </c>
      <c r="L619" s="9" t="str">
        <f>IF(B619="","",IF(ISNA(MATCH(B619,Client_List!$B:$B,0)),"⚠ NOT FOUND","✓"))</f>
        <v>✓</v>
      </c>
    </row>
    <row r="620" spans="1:12" ht="14" customHeight="1" x14ac:dyDescent="0.2">
      <c r="A620" s="56">
        <v>46076</v>
      </c>
      <c r="B620" s="2" t="s">
        <v>250</v>
      </c>
      <c r="C620" s="11" t="str">
        <f>IF(B620="","",IFERROR(INDEX(Client_List!$C:$C,MATCH(B620,Client_List!$B:$B,0)),""))</f>
        <v>2</v>
      </c>
      <c r="D620" s="4" t="str">
        <f>IF(B620="","",IFERROR(INDEX(Client_List!$D:$D,MATCH(B620,Client_List!$B:$B,0)),""))</f>
        <v>2D</v>
      </c>
      <c r="E620" s="4" t="str">
        <f>IF(B620="","",IFERROR(INDEX(Client_List!$K:$K,MATCH(B620,Client_List!$B:$B,0)),""))</f>
        <v>FRYERS CHOICE BLEND</v>
      </c>
      <c r="F620" s="5">
        <f>IF(B620="","",IFERROR(INDEX(Client_List!$J:$J,MATCH(B620,Client_List!$B:$B,0)),""))</f>
        <v>950</v>
      </c>
      <c r="G620" s="5">
        <v>855</v>
      </c>
      <c r="H620" s="4">
        <f>IF(B620="","",IFERROR(A620-LOOKUP(2,1/($B$4:$B619=B620),$A$4:$A619),""))</f>
        <v>7</v>
      </c>
      <c r="I620" s="72">
        <f t="shared" si="9"/>
        <v>122.14285714285714</v>
      </c>
      <c r="J620" s="4">
        <v>142837</v>
      </c>
      <c r="K620" s="6">
        <f>IF(B620="","",IFERROR(AVERAGEIFS($I$4:$I620,$B$4:$B620,B620,$I$4:$I620,"&gt;"&amp;0),""))</f>
        <v>119.78826530612244</v>
      </c>
      <c r="L620" s="4" t="str">
        <f>IF(B620="","",IF(ISNA(MATCH(B620,Client_List!$B:$B,0)),"⚠ NOT FOUND","✓"))</f>
        <v>✓</v>
      </c>
    </row>
    <row r="621" spans="1:12" ht="14" customHeight="1" x14ac:dyDescent="0.2">
      <c r="A621" s="57">
        <v>46076</v>
      </c>
      <c r="B621" s="7" t="s">
        <v>256</v>
      </c>
      <c r="C621" s="8" t="str">
        <f>IF(B621="","",IFERROR(INDEX(Client_List!$C:$C,MATCH(B621,Client_List!$B:$B,0)),""))</f>
        <v>3</v>
      </c>
      <c r="D621" s="9" t="str">
        <f>IF(B621="","",IFERROR(INDEX(Client_List!$D:$D,MATCH(B621,Client_List!$B:$B,0)),""))</f>
        <v>3E</v>
      </c>
      <c r="E621" s="9" t="str">
        <f>IF(B621="","",IFERROR(INDEX(Client_List!$K:$K,MATCH(B621,Client_List!$B:$B,0)),""))</f>
        <v>FRYERS CHOICE BLEND</v>
      </c>
      <c r="F621" s="10">
        <f>IF(B621="","",IFERROR(INDEX(Client_List!$J:$J,MATCH(B621,Client_List!$B:$B,0)),""))</f>
        <v>950</v>
      </c>
      <c r="G621" s="10">
        <v>751</v>
      </c>
      <c r="H621" s="9">
        <f>IF(B621="","",IFERROR(A621-LOOKUP(2,1/($B$4:$B620=B621),$A$4:$A620),""))</f>
        <v>7</v>
      </c>
      <c r="I621" s="73">
        <f t="shared" si="9"/>
        <v>107.28571428571429</v>
      </c>
      <c r="J621" s="9">
        <v>142836</v>
      </c>
      <c r="K621" s="6">
        <f>IF(B621="","",IFERROR(AVERAGEIFS($I$4:$I621,$B$4:$B621,B621,$I$4:$I621,"&gt;"&amp;0),""))</f>
        <v>96.167800453514729</v>
      </c>
      <c r="L621" s="9" t="str">
        <f>IF(B621="","",IF(ISNA(MATCH(B621,Client_List!$B:$B,0)),"⚠ NOT FOUND","✓"))</f>
        <v>✓</v>
      </c>
    </row>
    <row r="622" spans="1:12" ht="14" customHeight="1" x14ac:dyDescent="0.2">
      <c r="A622" s="56">
        <v>46076</v>
      </c>
      <c r="B622" s="2" t="s">
        <v>262</v>
      </c>
      <c r="C622" s="12" t="str">
        <f>IF(B622="","",IFERROR(INDEX(Client_List!$C:$C,MATCH(B622,Client_List!$B:$B,0)),""))</f>
        <v>2</v>
      </c>
      <c r="D622" s="4" t="str">
        <f>IF(B622="","",IFERROR(INDEX(Client_List!$D:$D,MATCH(B622,Client_List!$B:$B,0)),""))</f>
        <v>2C</v>
      </c>
      <c r="E622" s="4" t="str">
        <f>IF(B622="","",IFERROR(INDEX(Client_List!$K:$K,MATCH(B622,Client_List!$B:$B,0)),""))</f>
        <v>CANOLA OIL</v>
      </c>
      <c r="F622" s="5">
        <f>IF(B622="","",IFERROR(INDEX(Client_List!$J:$J,MATCH(B622,Client_List!$B:$B,0)),""))</f>
        <v>1950</v>
      </c>
      <c r="G622" s="5">
        <v>359</v>
      </c>
      <c r="H622" s="4">
        <f>IF(B622="","",IFERROR(A622-LOOKUP(2,1/($B$4:$B621=B622),$A$4:$A621),""))</f>
        <v>6</v>
      </c>
      <c r="I622" s="72">
        <f t="shared" si="9"/>
        <v>59.833333333333336</v>
      </c>
      <c r="J622" s="4">
        <v>142749</v>
      </c>
      <c r="K622" s="6">
        <f>IF(B622="","",IFERROR(AVERAGEIFS($I$4:$I622,$B$4:$B622,B622,$I$4:$I622,"&gt;"&amp;0),""))</f>
        <v>139.76888888888891</v>
      </c>
      <c r="L622" s="4" t="str">
        <f>IF(B622="","",IF(ISNA(MATCH(B622,Client_List!$B:$B,0)),"⚠ NOT FOUND","✓"))</f>
        <v>✓</v>
      </c>
    </row>
    <row r="623" spans="1:12" ht="14" customHeight="1" x14ac:dyDescent="0.2">
      <c r="A623" s="57">
        <v>46077</v>
      </c>
      <c r="B623" s="7" t="s">
        <v>61</v>
      </c>
      <c r="C623" s="13" t="str">
        <f>IF(B623="","",IFERROR(INDEX(Client_List!$C:$C,MATCH(B623,Client_List!$B:$B,0)),""))</f>
        <v>3</v>
      </c>
      <c r="D623" s="9" t="str">
        <f>IF(B623="","",IFERROR(INDEX(Client_List!$D:$D,MATCH(B623,Client_List!$B:$B,0)),""))</f>
        <v>3D</v>
      </c>
      <c r="E623" s="9" t="str">
        <f>IF(B623="","",IFERROR(INDEX(Client_List!$K:$K,MATCH(B623,Client_List!$B:$B,0)),""))</f>
        <v>CANOLA OIL</v>
      </c>
      <c r="F623" s="10">
        <f>IF(B623="","",IFERROR(INDEX(Client_List!$J:$J,MATCH(B623,Client_List!$B:$B,0)),""))</f>
        <v>350</v>
      </c>
      <c r="G623" s="10">
        <v>261</v>
      </c>
      <c r="H623" s="9">
        <f>IF(B623="","",IFERROR(A623-LOOKUP(2,1/($B$4:$B622=B623),$A$4:$A622),""))</f>
        <v>6</v>
      </c>
      <c r="I623" s="73">
        <f t="shared" si="9"/>
        <v>43.5</v>
      </c>
      <c r="J623" s="9">
        <v>142882</v>
      </c>
      <c r="K623" s="6">
        <f>IF(B623="","",IFERROR(AVERAGEIFS($I$4:$I623,$B$4:$B623,B623,$I$4:$I623,"&gt;"&amp;0),""))</f>
        <v>43.178571428571431</v>
      </c>
      <c r="L623" s="9" t="str">
        <f>IF(B623="","",IF(ISNA(MATCH(B623,Client_List!$B:$B,0)),"⚠ NOT FOUND","✓"))</f>
        <v>✓</v>
      </c>
    </row>
    <row r="624" spans="1:12" ht="14" customHeight="1" x14ac:dyDescent="0.2">
      <c r="A624" s="56">
        <v>46077</v>
      </c>
      <c r="B624" s="2" t="s">
        <v>94</v>
      </c>
      <c r="C624" s="12" t="str">
        <f>IF(B624="","",IFERROR(INDEX(Client_List!$C:$C,MATCH(B624,Client_List!$B:$B,0)),""))</f>
        <v>2</v>
      </c>
      <c r="D624" s="4" t="str">
        <f>IF(B624="","",IFERROR(INDEX(Client_List!$D:$D,MATCH(B624,Client_List!$B:$B,0)),""))</f>
        <v>2C</v>
      </c>
      <c r="E624" s="4" t="str">
        <f>IF(B624="","",IFERROR(INDEX(Client_List!$K:$K,MATCH(B624,Client_List!$B:$B,0)),""))</f>
        <v>CANOLA OIL</v>
      </c>
      <c r="F624" s="5">
        <f>IF(B624="","",IFERROR(INDEX(Client_List!$J:$J,MATCH(B624,Client_List!$B:$B,0)),""))</f>
        <v>450</v>
      </c>
      <c r="G624" s="5">
        <v>218</v>
      </c>
      <c r="H624" s="4">
        <f>IF(B624="","",IFERROR(A624-LOOKUP(2,1/($B$4:$B623=B624),$A$4:$A623),""))</f>
        <v>8</v>
      </c>
      <c r="I624" s="72">
        <f t="shared" si="9"/>
        <v>27.25</v>
      </c>
      <c r="J624" s="4">
        <v>142873</v>
      </c>
      <c r="K624" s="6">
        <f>IF(B624="","",IFERROR(AVERAGEIFS($I$4:$I624,$B$4:$B624,B624,$I$4:$I624,"&gt;"&amp;0),""))</f>
        <v>34.597272727272731</v>
      </c>
      <c r="L624" s="4" t="str">
        <f>IF(B624="","",IF(ISNA(MATCH(B624,Client_List!$B:$B,0)),"⚠ NOT FOUND","✓"))</f>
        <v>✓</v>
      </c>
    </row>
    <row r="625" spans="1:12" ht="14" customHeight="1" x14ac:dyDescent="0.2">
      <c r="A625" s="57">
        <v>46077</v>
      </c>
      <c r="B625" s="7" t="s">
        <v>124</v>
      </c>
      <c r="C625" s="3" t="str">
        <f>IF(B625="","",IFERROR(INDEX(Client_List!$C:$C,MATCH(B625,Client_List!$B:$B,0)),""))</f>
        <v>1</v>
      </c>
      <c r="D625" s="9" t="str">
        <f>IF(B625="","",IFERROR(INDEX(Client_List!$D:$D,MATCH(B625,Client_List!$B:$B,0)),""))</f>
        <v>1D</v>
      </c>
      <c r="E625" s="9" t="str">
        <f>IF(B625="","",IFERROR(INDEX(Client_List!$K:$K,MATCH(B625,Client_List!$B:$B,0)),""))</f>
        <v>CANOLA OIL</v>
      </c>
      <c r="F625" s="10">
        <f>IF(B625="","",IFERROR(INDEX(Client_List!$J:$J,MATCH(B625,Client_List!$B:$B,0)),""))</f>
        <v>350</v>
      </c>
      <c r="G625" s="10">
        <v>201</v>
      </c>
      <c r="H625" s="9">
        <f>IF(B625="","",IFERROR(A625-LOOKUP(2,1/($B$4:$B624=B625),$A$4:$A624),""))</f>
        <v>26</v>
      </c>
      <c r="I625" s="73">
        <f t="shared" si="9"/>
        <v>7.7307692307692308</v>
      </c>
      <c r="J625" s="9">
        <v>142879</v>
      </c>
      <c r="K625" s="6">
        <f>IF(B625="","",IFERROR(AVERAGEIFS($I$4:$I625,$B$4:$B625,B625,$I$4:$I625,"&gt;"&amp;0),""))</f>
        <v>7.5610367892976589</v>
      </c>
      <c r="L625" s="9" t="str">
        <f>IF(B625="","",IF(ISNA(MATCH(B625,Client_List!$B:$B,0)),"⚠ NOT FOUND","✓"))</f>
        <v>✓</v>
      </c>
    </row>
    <row r="626" spans="1:12" ht="14" customHeight="1" x14ac:dyDescent="0.2">
      <c r="A626" s="56">
        <v>46077</v>
      </c>
      <c r="B626" s="2" t="s">
        <v>128</v>
      </c>
      <c r="C626" s="13" t="str">
        <f>IF(B626="","",IFERROR(INDEX(Client_List!$C:$C,MATCH(B626,Client_List!$B:$B,0)),""))</f>
        <v>4</v>
      </c>
      <c r="D626" s="4" t="str">
        <f>IF(B626="","",IFERROR(INDEX(Client_List!$D:$D,MATCH(B626,Client_List!$B:$B,0)),""))</f>
        <v>4E</v>
      </c>
      <c r="E626" s="4" t="str">
        <f>IF(B626="","",IFERROR(INDEX(Client_List!$K:$K,MATCH(B626,Client_List!$B:$B,0)),""))</f>
        <v>CANOLA OIL</v>
      </c>
      <c r="F626" s="5">
        <f>IF(B626="","",IFERROR(INDEX(Client_List!$J:$J,MATCH(B626,Client_List!$B:$B,0)),""))</f>
        <v>700</v>
      </c>
      <c r="G626" s="5">
        <v>479</v>
      </c>
      <c r="H626" s="4">
        <f>IF(B626="","",IFERROR(A626-LOOKUP(2,1/($B$4:$B625=B626),$A$4:$A625),""))</f>
        <v>7</v>
      </c>
      <c r="I626" s="72">
        <f t="shared" si="9"/>
        <v>68.428571428571431</v>
      </c>
      <c r="J626" s="4">
        <v>142866</v>
      </c>
      <c r="K626" s="6">
        <f>IF(B626="","",IFERROR(AVERAGEIFS($I$4:$I626,$B$4:$B626,B626,$I$4:$I626,"&gt;"&amp;0),""))</f>
        <v>68.123299319727906</v>
      </c>
      <c r="L626" s="4" t="str">
        <f>IF(B626="","",IF(ISNA(MATCH(B626,Client_List!$B:$B,0)),"⚠ NOT FOUND","✓"))</f>
        <v>✓</v>
      </c>
    </row>
    <row r="627" spans="1:12" ht="14" customHeight="1" x14ac:dyDescent="0.2">
      <c r="A627" s="57">
        <v>46077</v>
      </c>
      <c r="B627" s="7" t="s">
        <v>140</v>
      </c>
      <c r="C627" s="12" t="str">
        <f>IF(B627="","",IFERROR(INDEX(Client_List!$C:$C,MATCH(B627,Client_List!$B:$B,0)),""))</f>
        <v>5</v>
      </c>
      <c r="D627" s="9" t="str">
        <f>IF(B627="","",IFERROR(INDEX(Client_List!$D:$D,MATCH(B627,Client_List!$B:$B,0)),""))</f>
        <v>5E</v>
      </c>
      <c r="E627" s="9" t="str">
        <f>IF(B627="","",IFERROR(INDEX(Client_List!$K:$K,MATCH(B627,Client_List!$B:$B,0)),""))</f>
        <v>CANOLA OIL</v>
      </c>
      <c r="F627" s="10">
        <f>IF(B627="","",IFERROR(INDEX(Client_List!$J:$J,MATCH(B627,Client_List!$B:$B,0)),""))</f>
        <v>350</v>
      </c>
      <c r="G627" s="10">
        <v>300</v>
      </c>
      <c r="H627" s="9">
        <f>IF(B627="","",IFERROR(A627-LOOKUP(2,1/($B$4:$B626=B627),$A$4:$A626),""))</f>
        <v>12</v>
      </c>
      <c r="I627" s="73">
        <f t="shared" si="9"/>
        <v>25</v>
      </c>
      <c r="J627" s="9">
        <v>142862</v>
      </c>
      <c r="K627" s="6">
        <f>IF(B627="","",IFERROR(AVERAGEIFS($I$4:$I627,$B$4:$B627,B627,$I$4:$I627,"&gt;"&amp;0),""))</f>
        <v>37.786904761904758</v>
      </c>
      <c r="L627" s="9" t="str">
        <f>IF(B627="","",IF(ISNA(MATCH(B627,Client_List!$B:$B,0)),"⚠ NOT FOUND","✓"))</f>
        <v>✓</v>
      </c>
    </row>
    <row r="628" spans="1:12" ht="14" customHeight="1" x14ac:dyDescent="0.2">
      <c r="A628" s="56">
        <v>46077</v>
      </c>
      <c r="B628" s="2" t="s">
        <v>156</v>
      </c>
      <c r="C628" s="3" t="str">
        <f>IF(B628="","",IFERROR(INDEX(Client_List!$C:$C,MATCH(B628,Client_List!$B:$B,0)),""))</f>
        <v>4</v>
      </c>
      <c r="D628" s="4" t="str">
        <f>IF(B628="","",IFERROR(INDEX(Client_List!$D:$D,MATCH(B628,Client_List!$B:$B,0)),""))</f>
        <v>4B</v>
      </c>
      <c r="E628" s="4" t="str">
        <f>IF(B628="","",IFERROR(INDEX(Client_List!$K:$K,MATCH(B628,Client_List!$B:$B,0)),""))</f>
        <v>CANOLA OIL</v>
      </c>
      <c r="F628" s="5">
        <f>IF(B628="","",IFERROR(INDEX(Client_List!$J:$J,MATCH(B628,Client_List!$B:$B,0)),""))</f>
        <v>1050</v>
      </c>
      <c r="G628" s="5">
        <v>954</v>
      </c>
      <c r="H628" s="4">
        <f>IF(B628="","",IFERROR(A628-LOOKUP(2,1/($B$4:$B627=B628),$A$4:$A627),""))</f>
        <v>15</v>
      </c>
      <c r="I628" s="72">
        <f t="shared" si="9"/>
        <v>63.6</v>
      </c>
      <c r="J628" s="4">
        <v>142869</v>
      </c>
      <c r="K628" s="6">
        <f>IF(B628="","",IFERROR(AVERAGEIFS($I$4:$I628,$B$4:$B628,B628,$I$4:$I628,"&gt;"&amp;0),""))</f>
        <v>68.952747252747244</v>
      </c>
      <c r="L628" s="4" t="str">
        <f>IF(B628="","",IF(ISNA(MATCH(B628,Client_List!$B:$B,0)),"⚠ NOT FOUND","✓"))</f>
        <v>✓</v>
      </c>
    </row>
    <row r="629" spans="1:12" ht="14" customHeight="1" x14ac:dyDescent="0.2">
      <c r="A629" s="57">
        <v>46077</v>
      </c>
      <c r="B629" s="7" t="s">
        <v>160</v>
      </c>
      <c r="C629" s="12" t="str">
        <f>IF(B629="","",IFERROR(INDEX(Client_List!$C:$C,MATCH(B629,Client_List!$B:$B,0)),""))</f>
        <v>4</v>
      </c>
      <c r="D629" s="9" t="str">
        <f>IF(B629="","",IFERROR(INDEX(Client_List!$D:$D,MATCH(B629,Client_List!$B:$B,0)),""))</f>
        <v>4C</v>
      </c>
      <c r="E629" s="9" t="str">
        <f>IF(B629="","",IFERROR(INDEX(Client_List!$K:$K,MATCH(B629,Client_List!$B:$B,0)),""))</f>
        <v>FRYERS CHOICE BLEND</v>
      </c>
      <c r="F629" s="10">
        <f>IF(B629="","",IFERROR(INDEX(Client_List!$J:$J,MATCH(B629,Client_List!$B:$B,0)),""))</f>
        <v>1050</v>
      </c>
      <c r="G629" s="10">
        <v>1083</v>
      </c>
      <c r="H629" s="9" t="str">
        <f>IF(B629="","",IFERROR(A629-LOOKUP(2,1/($B$4:$B628=B629),$A$4:$A628),""))</f>
        <v/>
      </c>
      <c r="I629" s="73" t="str">
        <f t="shared" si="9"/>
        <v/>
      </c>
      <c r="J629" s="9">
        <v>142877</v>
      </c>
      <c r="K629" s="6" t="str">
        <f>IF(B629="","",IFERROR(AVERAGEIFS($I$4:$I629,$B$4:$B629,B629,$I$4:$I629,"&gt;"&amp;0),""))</f>
        <v/>
      </c>
      <c r="L629" s="9" t="str">
        <f>IF(B629="","",IF(ISNA(MATCH(B629,Client_List!$B:$B,0)),"⚠ NOT FOUND","✓"))</f>
        <v>✓</v>
      </c>
    </row>
    <row r="630" spans="1:12" ht="14" customHeight="1" x14ac:dyDescent="0.2">
      <c r="A630" s="56">
        <v>46077</v>
      </c>
      <c r="B630" s="2" t="s">
        <v>186</v>
      </c>
      <c r="C630" s="3" t="str">
        <f>IF(B630="","",IFERROR(INDEX(Client_List!$C:$C,MATCH(B630,Client_List!$B:$B,0)),""))</f>
        <v>4</v>
      </c>
      <c r="D630" s="4" t="str">
        <f>IF(B630="","",IFERROR(INDEX(Client_List!$D:$D,MATCH(B630,Client_List!$B:$B,0)),""))</f>
        <v>4E</v>
      </c>
      <c r="E630" s="4" t="str">
        <f>IF(B630="","",IFERROR(INDEX(Client_List!$K:$K,MATCH(B630,Client_List!$B:$B,0)),""))</f>
        <v>CANOLA OIL</v>
      </c>
      <c r="F630" s="5">
        <f>IF(B630="","",IFERROR(INDEX(Client_List!$J:$J,MATCH(B630,Client_List!$B:$B,0)),""))</f>
        <v>950</v>
      </c>
      <c r="G630" s="5">
        <v>722</v>
      </c>
      <c r="H630" s="4">
        <f>IF(B630="","",IFERROR(A630-LOOKUP(2,1/($B$4:$B629=B630),$A$4:$A629),""))</f>
        <v>8</v>
      </c>
      <c r="I630" s="72">
        <f t="shared" si="9"/>
        <v>90.25</v>
      </c>
      <c r="J630" s="4">
        <v>142865</v>
      </c>
      <c r="K630" s="6">
        <f>IF(B630="","",IFERROR(AVERAGEIFS($I$4:$I630,$B$4:$B630,B630,$I$4:$I630,"&gt;"&amp;0),""))</f>
        <v>87.816666666666663</v>
      </c>
      <c r="L630" s="4" t="str">
        <f>IF(B630="","",IF(ISNA(MATCH(B630,Client_List!$B:$B,0)),"⚠ NOT FOUND","✓"))</f>
        <v>✓</v>
      </c>
    </row>
    <row r="631" spans="1:12" ht="14" customHeight="1" x14ac:dyDescent="0.2">
      <c r="A631" s="57">
        <v>46077</v>
      </c>
      <c r="B631" s="7" t="s">
        <v>198</v>
      </c>
      <c r="C631" s="3" t="str">
        <f>IF(B631="","",IFERROR(INDEX(Client_List!$C:$C,MATCH(B631,Client_List!$B:$B,0)),""))</f>
        <v>1</v>
      </c>
      <c r="D631" s="9" t="str">
        <f>IF(B631="","",IFERROR(INDEX(Client_List!$D:$D,MATCH(B631,Client_List!$B:$B,0)),""))</f>
        <v>1E</v>
      </c>
      <c r="E631" s="9" t="str">
        <f>IF(B631="","",IFERROR(INDEX(Client_List!$K:$K,MATCH(B631,Client_List!$B:$B,0)),""))</f>
        <v>CANOLA OIL</v>
      </c>
      <c r="F631" s="10">
        <f>IF(B631="","",IFERROR(INDEX(Client_List!$J:$J,MATCH(B631,Client_List!$B:$B,0)),""))</f>
        <v>1050</v>
      </c>
      <c r="G631" s="10">
        <v>912</v>
      </c>
      <c r="H631" s="9">
        <f>IF(B631="","",IFERROR(A631-LOOKUP(2,1/($B$4:$B630=B631),$A$4:$A630),""))</f>
        <v>33</v>
      </c>
      <c r="I631" s="73">
        <f t="shared" si="9"/>
        <v>27.636363636363637</v>
      </c>
      <c r="J631" s="9">
        <v>142880</v>
      </c>
      <c r="K631" s="6">
        <f>IF(B631="","",IFERROR(AVERAGEIFS($I$4:$I631,$B$4:$B631,B631,$I$4:$I631,"&gt;"&amp;0),""))</f>
        <v>27.636363636363637</v>
      </c>
      <c r="L631" s="9" t="str">
        <f>IF(B631="","",IF(ISNA(MATCH(B631,Client_List!$B:$B,0)),"⚠ NOT FOUND","✓"))</f>
        <v>✓</v>
      </c>
    </row>
    <row r="632" spans="1:12" ht="14" customHeight="1" x14ac:dyDescent="0.2">
      <c r="A632" s="56">
        <v>46077</v>
      </c>
      <c r="B632" s="2" t="s">
        <v>268</v>
      </c>
      <c r="C632" s="3" t="str">
        <f>IF(B632="","",IFERROR(INDEX(Client_List!$C:$C,MATCH(B632,Client_List!$B:$B,0)),""))</f>
        <v>5</v>
      </c>
      <c r="D632" s="4" t="str">
        <f>IF(B632="","",IFERROR(INDEX(Client_List!$D:$D,MATCH(B632,Client_List!$B:$B,0)),""))</f>
        <v>5D</v>
      </c>
      <c r="E632" s="4" t="str">
        <f>IF(B632="","",IFERROR(INDEX(Client_List!$K:$K,MATCH(B632,Client_List!$B:$B,0)),""))</f>
        <v>CANOLA OIL</v>
      </c>
      <c r="F632" s="5">
        <f>IF(B632="","",IFERROR(INDEX(Client_List!$J:$J,MATCH(B632,Client_List!$B:$B,0)),""))</f>
        <v>660</v>
      </c>
      <c r="G632" s="5">
        <v>801</v>
      </c>
      <c r="H632" s="4">
        <f>IF(B632="","",IFERROR(A632-LOOKUP(2,1/($B$4:$B631=B632),$A$4:$A631),""))</f>
        <v>12</v>
      </c>
      <c r="I632" s="72">
        <f t="shared" si="9"/>
        <v>66.75</v>
      </c>
      <c r="J632" s="4">
        <v>142863</v>
      </c>
      <c r="K632" s="6">
        <f>IF(B632="","",IFERROR(AVERAGEIFS($I$4:$I632,$B$4:$B632,B632,$I$4:$I632,"&gt;"&amp;0),""))</f>
        <v>60.394444444444446</v>
      </c>
      <c r="L632" s="4" t="str">
        <f>IF(B632="","",IF(ISNA(MATCH(B632,Client_List!$B:$B,0)),"⚠ NOT FOUND","✓"))</f>
        <v>✓</v>
      </c>
    </row>
    <row r="633" spans="1:12" ht="14" customHeight="1" x14ac:dyDescent="0.2">
      <c r="A633" s="57">
        <v>46077</v>
      </c>
      <c r="B633" s="7" t="s">
        <v>272</v>
      </c>
      <c r="C633" s="13" t="str">
        <f>IF(B633="","",IFERROR(INDEX(Client_List!$C:$C,MATCH(B633,Client_List!$B:$B,0)),""))</f>
        <v>2</v>
      </c>
      <c r="D633" s="9" t="str">
        <f>IF(B633="","",IFERROR(INDEX(Client_List!$D:$D,MATCH(B633,Client_List!$B:$B,0)),""))</f>
        <v>2C</v>
      </c>
      <c r="E633" s="9" t="str">
        <f>IF(B633="","",IFERROR(INDEX(Client_List!$K:$K,MATCH(B633,Client_List!$B:$B,0)),""))</f>
        <v>CANOLA OIL</v>
      </c>
      <c r="F633" s="10">
        <f>IF(B633="","",IFERROR(INDEX(Client_List!$J:$J,MATCH(B633,Client_List!$B:$B,0)),""))</f>
        <v>1050</v>
      </c>
      <c r="G633" s="10">
        <v>894</v>
      </c>
      <c r="H633" s="9">
        <f>IF(B633="","",IFERROR(A633-LOOKUP(2,1/($B$4:$B632=B633),$A$4:$A632),""))</f>
        <v>31</v>
      </c>
      <c r="I633" s="73">
        <f t="shared" si="9"/>
        <v>28.838709677419356</v>
      </c>
      <c r="J633" s="9">
        <v>142874</v>
      </c>
      <c r="K633" s="6">
        <f>IF(B633="","",IFERROR(AVERAGEIFS($I$4:$I633,$B$4:$B633,B633,$I$4:$I633,"&gt;"&amp;0),""))</f>
        <v>28.838709677419356</v>
      </c>
      <c r="L633" s="9" t="str">
        <f>IF(B633="","",IF(ISNA(MATCH(B633,Client_List!$B:$B,0)),"⚠ NOT FOUND","✓"))</f>
        <v>✓</v>
      </c>
    </row>
    <row r="634" spans="1:12" ht="14" customHeight="1" x14ac:dyDescent="0.2">
      <c r="A634" s="56">
        <v>46077</v>
      </c>
      <c r="B634" s="2" t="s">
        <v>274</v>
      </c>
      <c r="C634" s="3" t="str">
        <f>IF(B634="","",IFERROR(INDEX(Client_List!$C:$C,MATCH(B634,Client_List!$B:$B,0)),""))</f>
        <v>3</v>
      </c>
      <c r="D634" s="4" t="str">
        <f>IF(B634="","",IFERROR(INDEX(Client_List!$D:$D,MATCH(B634,Client_List!$B:$B,0)),""))</f>
        <v>3C</v>
      </c>
      <c r="E634" s="4" t="str">
        <f>IF(B634="","",IFERROR(INDEX(Client_List!$K:$K,MATCH(B634,Client_List!$B:$B,0)),""))</f>
        <v>FRYERS CHOICE BLEND</v>
      </c>
      <c r="F634" s="5">
        <f>IF(B634="","",IFERROR(INDEX(Client_List!$J:$J,MATCH(B634,Client_List!$B:$B,0)),""))</f>
        <v>450</v>
      </c>
      <c r="G634" s="5">
        <v>353</v>
      </c>
      <c r="H634" s="4">
        <f>IF(B634="","",IFERROR(A634-LOOKUP(2,1/($B$4:$B633=B634),$A$4:$A633),""))</f>
        <v>8</v>
      </c>
      <c r="I634" s="72">
        <f t="shared" si="9"/>
        <v>44.125</v>
      </c>
      <c r="J634" s="4">
        <v>142867</v>
      </c>
      <c r="K634" s="6">
        <f>IF(B634="","",IFERROR(AVERAGEIFS($I$4:$I634,$B$4:$B634,B634,$I$4:$I634,"&gt;"&amp;0),""))</f>
        <v>43.579166666666673</v>
      </c>
      <c r="L634" s="4" t="str">
        <f>IF(B634="","",IF(ISNA(MATCH(B634,Client_List!$B:$B,0)),"⚠ NOT FOUND","✓"))</f>
        <v>✓</v>
      </c>
    </row>
    <row r="635" spans="1:12" ht="14" customHeight="1" x14ac:dyDescent="0.2">
      <c r="A635" s="57">
        <v>46077</v>
      </c>
      <c r="B635" s="7" t="s">
        <v>276</v>
      </c>
      <c r="C635" s="3" t="str">
        <f>IF(B635="","",IFERROR(INDEX(Client_List!$C:$C,MATCH(B635,Client_List!$B:$B,0)),""))</f>
        <v>3</v>
      </c>
      <c r="D635" s="9" t="str">
        <f>IF(B635="","",IFERROR(INDEX(Client_List!$D:$D,MATCH(B635,Client_List!$B:$B,0)),""))</f>
        <v>3D</v>
      </c>
      <c r="E635" s="9" t="str">
        <f>IF(B635="","",IFERROR(INDEX(Client_List!$K:$K,MATCH(B635,Client_List!$B:$B,0)),""))</f>
        <v>FRYERS CHOICE BLEND</v>
      </c>
      <c r="F635" s="10">
        <f>IF(B635="","",IFERROR(INDEX(Client_List!$J:$J,MATCH(B635,Client_List!$B:$B,0)),""))</f>
        <v>950</v>
      </c>
      <c r="G635" s="10">
        <v>629</v>
      </c>
      <c r="H635" s="9">
        <f>IF(B635="","",IFERROR(A635-LOOKUP(2,1/($B$4:$B634=B635),$A$4:$A634),""))</f>
        <v>8</v>
      </c>
      <c r="I635" s="73">
        <f t="shared" si="9"/>
        <v>78.625</v>
      </c>
      <c r="J635" s="9">
        <v>142881</v>
      </c>
      <c r="K635" s="6">
        <f>IF(B635="","",IFERROR(AVERAGEIFS($I$4:$I635,$B$4:$B635,B635,$I$4:$I635,"&gt;"&amp;0),""))</f>
        <v>92.245899470899474</v>
      </c>
      <c r="L635" s="9" t="str">
        <f>IF(B635="","",IF(ISNA(MATCH(B635,Client_List!$B:$B,0)),"⚠ NOT FOUND","✓"))</f>
        <v>✓</v>
      </c>
    </row>
    <row r="636" spans="1:12" ht="14" customHeight="1" x14ac:dyDescent="0.2">
      <c r="A636" s="56">
        <v>46077</v>
      </c>
      <c r="B636" s="2" t="s">
        <v>280</v>
      </c>
      <c r="C636" s="13" t="str">
        <f>IF(B636="","",IFERROR(INDEX(Client_List!$C:$C,MATCH(B636,Client_List!$B:$B,0)),""))</f>
        <v>5</v>
      </c>
      <c r="D636" s="4" t="str">
        <f>IF(B636="","",IFERROR(INDEX(Client_List!$D:$D,MATCH(B636,Client_List!$B:$B,0)),""))</f>
        <v>5E</v>
      </c>
      <c r="E636" s="4" t="str">
        <f>IF(B636="","",IFERROR(INDEX(Client_List!$K:$K,MATCH(B636,Client_List!$B:$B,0)),""))</f>
        <v>CANOLA OIL</v>
      </c>
      <c r="F636" s="5">
        <f>IF(B636="","",IFERROR(INDEX(Client_List!$J:$J,MATCH(B636,Client_List!$B:$B,0)),""))</f>
        <v>1050</v>
      </c>
      <c r="G636" s="5">
        <v>962</v>
      </c>
      <c r="H636" s="4">
        <f>IF(B636="","",IFERROR(A636-LOOKUP(2,1/($B$4:$B635=B636),$A$4:$A635),""))</f>
        <v>14</v>
      </c>
      <c r="I636" s="72">
        <f t="shared" si="9"/>
        <v>68.714285714285708</v>
      </c>
      <c r="J636" s="4">
        <v>142864</v>
      </c>
      <c r="K636" s="6">
        <f>IF(B636="","",IFERROR(AVERAGEIFS($I$4:$I636,$B$4:$B636,B636,$I$4:$I636,"&gt;"&amp;0),""))</f>
        <v>63.505381099808346</v>
      </c>
      <c r="L636" s="4" t="str">
        <f>IF(B636="","",IF(ISNA(MATCH(B636,Client_List!$B:$B,0)),"⚠ NOT FOUND","✓"))</f>
        <v>✓</v>
      </c>
    </row>
    <row r="637" spans="1:12" ht="14" customHeight="1" x14ac:dyDescent="0.2">
      <c r="A637" s="57">
        <v>46077</v>
      </c>
      <c r="B637" s="7" t="s">
        <v>294</v>
      </c>
      <c r="C637" s="12" t="str">
        <f>IF(B637="","",IFERROR(INDEX(Client_List!$C:$C,MATCH(B637,Client_List!$B:$B,0)),""))</f>
        <v>4</v>
      </c>
      <c r="D637" s="9" t="str">
        <f>IF(B637="","",IFERROR(INDEX(Client_List!$D:$D,MATCH(B637,Client_List!$B:$B,0)),""))</f>
        <v>4D</v>
      </c>
      <c r="E637" s="9" t="str">
        <f>IF(B637="","",IFERROR(INDEX(Client_List!$K:$K,MATCH(B637,Client_List!$B:$B,0)),""))</f>
        <v>CANOLA OIL</v>
      </c>
      <c r="F637" s="10">
        <f>IF(B637="","",IFERROR(INDEX(Client_List!$J:$J,MATCH(B637,Client_List!$B:$B,0)),""))</f>
        <v>1500</v>
      </c>
      <c r="G637" s="10">
        <v>1248</v>
      </c>
      <c r="H637" s="9">
        <f>IF(B637="","",IFERROR(A637-LOOKUP(2,1/($B$4:$B636=B637),$A$4:$A636),""))</f>
        <v>28</v>
      </c>
      <c r="I637" s="73">
        <f t="shared" si="9"/>
        <v>44.571428571428569</v>
      </c>
      <c r="J637" s="9">
        <v>142870</v>
      </c>
      <c r="K637" s="6">
        <f>IF(B637="","",IFERROR(AVERAGEIFS($I$4:$I637,$B$4:$B637,B637,$I$4:$I637,"&gt;"&amp;0),""))</f>
        <v>44.571428571428569</v>
      </c>
      <c r="L637" s="9" t="str">
        <f>IF(B637="","",IF(ISNA(MATCH(B637,Client_List!$B:$B,0)),"⚠ NOT FOUND","✓"))</f>
        <v>✓</v>
      </c>
    </row>
    <row r="638" spans="1:12" ht="14" customHeight="1" x14ac:dyDescent="0.2">
      <c r="A638" s="56">
        <v>46077</v>
      </c>
      <c r="B638" s="2" t="s">
        <v>306</v>
      </c>
      <c r="C638" s="12" t="str">
        <f>IF(B638="","",IFERROR(INDEX(Client_List!$C:$C,MATCH(B638,Client_List!$B:$B,0)),""))</f>
        <v>4</v>
      </c>
      <c r="D638" s="4" t="str">
        <f>IF(B638="","",IFERROR(INDEX(Client_List!$D:$D,MATCH(B638,Client_List!$B:$B,0)),""))</f>
        <v>4C</v>
      </c>
      <c r="E638" s="4" t="str">
        <f>IF(B638="","",IFERROR(INDEX(Client_List!$K:$K,MATCH(B638,Client_List!$B:$B,0)),""))</f>
        <v>FRYERS CHOICE BLEND</v>
      </c>
      <c r="F638" s="5">
        <f>IF(B638="","",IFERROR(INDEX(Client_List!$J:$J,MATCH(B638,Client_List!$B:$B,0)),""))</f>
        <v>1050</v>
      </c>
      <c r="G638" s="5">
        <v>957</v>
      </c>
      <c r="H638" s="4">
        <f>IF(B638="","",IFERROR(A638-LOOKUP(2,1/($B$4:$B637=B638),$A$4:$A637),""))</f>
        <v>9</v>
      </c>
      <c r="I638" s="72">
        <f t="shared" si="9"/>
        <v>106.33333333333333</v>
      </c>
      <c r="J638" s="4">
        <v>142868</v>
      </c>
      <c r="K638" s="6">
        <f>IF(B638="","",IFERROR(AVERAGEIFS($I$4:$I638,$B$4:$B638,B638,$I$4:$I638,"&gt;"&amp;0),""))</f>
        <v>106.71833333333333</v>
      </c>
      <c r="L638" s="4" t="str">
        <f>IF(B638="","",IF(ISNA(MATCH(B638,Client_List!$B:$B,0)),"⚠ NOT FOUND","✓"))</f>
        <v>✓</v>
      </c>
    </row>
    <row r="639" spans="1:12" ht="14" customHeight="1" x14ac:dyDescent="0.2">
      <c r="A639" s="57">
        <v>46077</v>
      </c>
      <c r="B639" s="7" t="s">
        <v>312</v>
      </c>
      <c r="C639" s="8" t="str">
        <f>IF(B639="","",IFERROR(INDEX(Client_List!$C:$C,MATCH(B639,Client_List!$B:$B,0)),""))</f>
        <v>2</v>
      </c>
      <c r="D639" s="9" t="str">
        <f>IF(B639="","",IFERROR(INDEX(Client_List!$D:$D,MATCH(B639,Client_List!$B:$B,0)),""))</f>
        <v>2C</v>
      </c>
      <c r="E639" s="9" t="str">
        <f>IF(B639="","",IFERROR(INDEX(Client_List!$K:$K,MATCH(B639,Client_List!$B:$B,0)),""))</f>
        <v>CANOLA OIL</v>
      </c>
      <c r="F639" s="10">
        <f>IF(B639="","",IFERROR(INDEX(Client_List!$J:$J,MATCH(B639,Client_List!$B:$B,0)),""))</f>
        <v>1050</v>
      </c>
      <c r="G639" s="10">
        <v>871</v>
      </c>
      <c r="H639" s="9">
        <f>IF(B639="","",IFERROR(A639-LOOKUP(2,1/($B$4:$B638=B639),$A$4:$A638),""))</f>
        <v>18</v>
      </c>
      <c r="I639" s="73">
        <f t="shared" si="9"/>
        <v>48.388888888888886</v>
      </c>
      <c r="J639" s="9">
        <v>142875</v>
      </c>
      <c r="K639" s="6">
        <f>IF(B639="","",IFERROR(AVERAGEIFS($I$4:$I639,$B$4:$B639,B639,$I$4:$I639,"&gt;"&amp;0),""))</f>
        <v>47.9312865497076</v>
      </c>
      <c r="L639" s="9" t="str">
        <f>IF(B639="","",IF(ISNA(MATCH(B639,Client_List!$B:$B,0)),"⚠ NOT FOUND","✓"))</f>
        <v>✓</v>
      </c>
    </row>
    <row r="640" spans="1:12" ht="14" customHeight="1" x14ac:dyDescent="0.2">
      <c r="A640" s="56">
        <v>46077</v>
      </c>
      <c r="B640" s="2" t="s">
        <v>318</v>
      </c>
      <c r="C640" s="3" t="str">
        <f>IF(B640="","",IFERROR(INDEX(Client_List!$C:$C,MATCH(B640,Client_List!$B:$B,0)),""))</f>
        <v>2</v>
      </c>
      <c r="D640" s="4" t="str">
        <f>IF(B640="","",IFERROR(INDEX(Client_List!$D:$D,MATCH(B640,Client_List!$B:$B,0)),""))</f>
        <v>2D</v>
      </c>
      <c r="E640" s="4" t="str">
        <f>IF(B640="","",IFERROR(INDEX(Client_List!$K:$K,MATCH(B640,Client_List!$B:$B,0)),""))</f>
        <v>FRYERS CHOICE BLEND</v>
      </c>
      <c r="F640" s="5">
        <f>IF(B640="","",IFERROR(INDEX(Client_List!$J:$J,MATCH(B640,Client_List!$B:$B,0)),""))</f>
        <v>1050</v>
      </c>
      <c r="G640" s="5">
        <v>1004</v>
      </c>
      <c r="H640" s="4">
        <f>IF(B640="","",IFERROR(A640-LOOKUP(2,1/($B$4:$B639=B640),$A$4:$A639),""))</f>
        <v>18</v>
      </c>
      <c r="I640" s="72">
        <f t="shared" si="9"/>
        <v>55.777777777777779</v>
      </c>
      <c r="J640" s="4">
        <v>142876</v>
      </c>
      <c r="K640" s="6">
        <f>IF(B640="","",IFERROR(AVERAGEIFS($I$4:$I640,$B$4:$B640,B640,$I$4:$I640,"&gt;"&amp;0),""))</f>
        <v>62.028166822284469</v>
      </c>
      <c r="L640" s="4" t="str">
        <f>IF(B640="","",IF(ISNA(MATCH(B640,Client_List!$B:$B,0)),"⚠ NOT FOUND","✓"))</f>
        <v>✓</v>
      </c>
    </row>
    <row r="641" spans="1:12" ht="14" customHeight="1" x14ac:dyDescent="0.2">
      <c r="A641" s="57">
        <v>46077</v>
      </c>
      <c r="B641" s="7" t="s">
        <v>320</v>
      </c>
      <c r="C641" s="11" t="str">
        <f>IF(B641="","",IFERROR(INDEX(Client_List!$C:$C,MATCH(B641,Client_List!$B:$B,0)),""))</f>
        <v>1</v>
      </c>
      <c r="D641" s="9" t="str">
        <f>IF(B641="","",IFERROR(INDEX(Client_List!$D:$D,MATCH(B641,Client_List!$B:$B,0)),""))</f>
        <v>1E</v>
      </c>
      <c r="E641" s="9" t="str">
        <f>IF(B641="","",IFERROR(INDEX(Client_List!$K:$K,MATCH(B641,Client_List!$B:$B,0)),""))</f>
        <v>CANOLA OIL</v>
      </c>
      <c r="F641" s="10">
        <f>IF(B641="","",IFERROR(INDEX(Client_List!$J:$J,MATCH(B641,Client_List!$B:$B,0)),""))</f>
        <v>1050</v>
      </c>
      <c r="G641" s="10">
        <v>735</v>
      </c>
      <c r="H641" s="9">
        <f>IF(B641="","",IFERROR(A641-LOOKUP(2,1/($B$4:$B640=B641),$A$4:$A640),""))</f>
        <v>11</v>
      </c>
      <c r="I641" s="73">
        <f t="shared" si="9"/>
        <v>66.818181818181813</v>
      </c>
      <c r="J641" s="9">
        <v>142878</v>
      </c>
      <c r="K641" s="6">
        <f>IF(B641="","",IFERROR(AVERAGEIFS($I$4:$I641,$B$4:$B641,B641,$I$4:$I641,"&gt;"&amp;0),""))</f>
        <v>67.194094794094795</v>
      </c>
      <c r="L641" s="9" t="str">
        <f>IF(B641="","",IF(ISNA(MATCH(B641,Client_List!$B:$B,0)),"⚠ NOT FOUND","✓"))</f>
        <v>✓</v>
      </c>
    </row>
    <row r="642" spans="1:12" ht="14" customHeight="1" x14ac:dyDescent="0.2">
      <c r="A642" s="56">
        <v>46077</v>
      </c>
      <c r="B642" s="2" t="s">
        <v>324</v>
      </c>
      <c r="C642" s="3" t="str">
        <f>IF(B642="","",IFERROR(INDEX(Client_List!$C:$C,MATCH(B642,Client_List!$B:$B,0)),""))</f>
        <v>4</v>
      </c>
      <c r="D642" s="4" t="str">
        <f>IF(B642="","",IFERROR(INDEX(Client_List!$D:$D,MATCH(B642,Client_List!$B:$B,0)),""))</f>
        <v>4B</v>
      </c>
      <c r="E642" s="4" t="str">
        <f>IF(B642="","",IFERROR(INDEX(Client_List!$K:$K,MATCH(B642,Client_List!$B:$B,0)),""))</f>
        <v>CANOLA OIL</v>
      </c>
      <c r="F642" s="5">
        <f>IF(B642="","",IFERROR(INDEX(Client_List!$J:$J,MATCH(B642,Client_List!$B:$B,0)),""))</f>
        <v>1050</v>
      </c>
      <c r="G642" s="5">
        <v>1041</v>
      </c>
      <c r="H642" s="4">
        <f>IF(B642="","",IFERROR(A642-LOOKUP(2,1/($B$4:$B641=B642),$A$4:$A641),""))</f>
        <v>17</v>
      </c>
      <c r="I642" s="72">
        <f t="shared" si="9"/>
        <v>61.235294117647058</v>
      </c>
      <c r="J642" s="4">
        <v>142871</v>
      </c>
      <c r="K642" s="6">
        <f>IF(B642="","",IFERROR(AVERAGEIFS($I$4:$I642,$B$4:$B642,B642,$I$4:$I642,"&gt;"&amp;0),""))</f>
        <v>177.64161573720398</v>
      </c>
      <c r="L642" s="4" t="str">
        <f>IF(B642="","",IF(ISNA(MATCH(B642,Client_List!$B:$B,0)),"⚠ NOT FOUND","✓"))</f>
        <v>✓</v>
      </c>
    </row>
    <row r="643" spans="1:12" ht="14" customHeight="1" x14ac:dyDescent="0.2">
      <c r="A643" s="57">
        <v>46078</v>
      </c>
      <c r="B643" s="7" t="s">
        <v>56</v>
      </c>
      <c r="C643" s="3" t="str">
        <f>IF(B643="","",IFERROR(INDEX(Client_List!$C:$C,MATCH(B643,Client_List!$B:$B,0)),""))</f>
        <v>5</v>
      </c>
      <c r="D643" s="9" t="str">
        <f>IF(B643="","",IFERROR(INDEX(Client_List!$D:$D,MATCH(B643,Client_List!$B:$B,0)),""))</f>
        <v>5F</v>
      </c>
      <c r="E643" s="9" t="str">
        <f>IF(B643="","",IFERROR(INDEX(Client_List!$K:$K,MATCH(B643,Client_List!$B:$B,0)),""))</f>
        <v>CANOLA OIL</v>
      </c>
      <c r="F643" s="10">
        <f>IF(B643="","",IFERROR(INDEX(Client_List!$J:$J,MATCH(B643,Client_List!$B:$B,0)),""))</f>
        <v>900</v>
      </c>
      <c r="G643" s="10">
        <v>641</v>
      </c>
      <c r="H643" s="9">
        <f>IF(B643="","",IFERROR(A643-LOOKUP(2,1/($B$4:$B642=B643),$A$4:$A642),""))</f>
        <v>10</v>
      </c>
      <c r="I643" s="73">
        <f t="shared" si="9"/>
        <v>64.099999999999994</v>
      </c>
      <c r="J643" s="9">
        <v>142902</v>
      </c>
      <c r="K643" s="6">
        <f>IF(B643="","",IFERROR(AVERAGEIFS($I$4:$I643,$B$4:$B643,B643,$I$4:$I643,"&gt;"&amp;0),""))</f>
        <v>57.043181818181814</v>
      </c>
      <c r="L643" s="9" t="str">
        <f>IF(B643="","",IF(ISNA(MATCH(B643,Client_List!$B:$B,0)),"⚠ NOT FOUND","✓"))</f>
        <v>✓</v>
      </c>
    </row>
    <row r="644" spans="1:12" ht="14" customHeight="1" x14ac:dyDescent="0.2">
      <c r="A644" s="56">
        <v>46078</v>
      </c>
      <c r="B644" s="2" t="s">
        <v>63</v>
      </c>
      <c r="C644" s="11" t="str">
        <f>IF(B644="","",IFERROR(INDEX(Client_List!$C:$C,MATCH(B644,Client_List!$B:$B,0)),""))</f>
        <v>5</v>
      </c>
      <c r="D644" s="4" t="str">
        <f>IF(B644="","",IFERROR(INDEX(Client_List!$D:$D,MATCH(B644,Client_List!$B:$B,0)),""))</f>
        <v>5D</v>
      </c>
      <c r="E644" s="4" t="str">
        <f>IF(B644="","",IFERROR(INDEX(Client_List!$K:$K,MATCH(B644,Client_List!$B:$B,0)),""))</f>
        <v>CANOLA OIL</v>
      </c>
      <c r="F644" s="5">
        <f>IF(B644="","",IFERROR(INDEX(Client_List!$J:$J,MATCH(B644,Client_List!$B:$B,0)),""))</f>
        <v>425</v>
      </c>
      <c r="G644" s="5">
        <v>242</v>
      </c>
      <c r="H644" s="4">
        <f>IF(B644="","",IFERROR(A644-LOOKUP(2,1/($B$4:$B643=B644),$A$4:$A643),""))</f>
        <v>6</v>
      </c>
      <c r="I644" s="72">
        <f t="shared" ref="I644:I707" si="10">IF(B644="","",IFERROR(G644/H644,""))</f>
        <v>40.333333333333336</v>
      </c>
      <c r="J644" s="4">
        <v>142905</v>
      </c>
      <c r="K644" s="6">
        <f>IF(B644="","",IFERROR(AVERAGEIFS($I$4:$I644,$B$4:$B644,B644,$I$4:$I644,"&gt;"&amp;0),""))</f>
        <v>34.952827380952378</v>
      </c>
      <c r="L644" s="4" t="str">
        <f>IF(B644="","",IF(ISNA(MATCH(B644,Client_List!$B:$B,0)),"⚠ NOT FOUND","✓"))</f>
        <v>✓</v>
      </c>
    </row>
    <row r="645" spans="1:12" ht="14" customHeight="1" x14ac:dyDescent="0.2">
      <c r="A645" s="57">
        <v>46078</v>
      </c>
      <c r="B645" s="7" t="s">
        <v>65</v>
      </c>
      <c r="C645" s="3" t="str">
        <f>IF(B645="","",IFERROR(INDEX(Client_List!$C:$C,MATCH(B645,Client_List!$B:$B,0)),""))</f>
        <v>5</v>
      </c>
      <c r="D645" s="9" t="str">
        <f>IF(B645="","",IFERROR(INDEX(Client_List!$D:$D,MATCH(B645,Client_List!$B:$B,0)),""))</f>
        <v>5F</v>
      </c>
      <c r="E645" s="9" t="str">
        <f>IF(B645="","",IFERROR(INDEX(Client_List!$K:$K,MATCH(B645,Client_List!$B:$B,0)),""))</f>
        <v>FRYERS CHOICE BLEND</v>
      </c>
      <c r="F645" s="10">
        <f>IF(B645="","",IFERROR(INDEX(Client_List!$J:$J,MATCH(B645,Client_List!$B:$B,0)),""))</f>
        <v>1050</v>
      </c>
      <c r="G645" s="10">
        <v>512</v>
      </c>
      <c r="H645" s="9">
        <f>IF(B645="","",IFERROR(A645-LOOKUP(2,1/($B$4:$B644=B645),$A$4:$A644),""))</f>
        <v>13</v>
      </c>
      <c r="I645" s="73">
        <f t="shared" si="10"/>
        <v>39.384615384615387</v>
      </c>
      <c r="J645" s="9">
        <v>142901</v>
      </c>
      <c r="K645" s="6">
        <f>IF(B645="","",IFERROR(AVERAGEIFS($I$4:$I645,$B$4:$B645,B645,$I$4:$I645,"&gt;"&amp;0),""))</f>
        <v>43.91623931623932</v>
      </c>
      <c r="L645" s="9" t="str">
        <f>IF(B645="","",IF(ISNA(MATCH(B645,Client_List!$B:$B,0)),"⚠ NOT FOUND","✓"))</f>
        <v>✓</v>
      </c>
    </row>
    <row r="646" spans="1:12" ht="14" customHeight="1" x14ac:dyDescent="0.2">
      <c r="A646" s="56">
        <v>46078</v>
      </c>
      <c r="B646" s="2" t="s">
        <v>71</v>
      </c>
      <c r="C646" s="3" t="str">
        <f>IF(B646="","",IFERROR(INDEX(Client_List!$C:$C,MATCH(B646,Client_List!$B:$B,0)),""))</f>
        <v>5</v>
      </c>
      <c r="D646" s="4" t="str">
        <f>IF(B646="","",IFERROR(INDEX(Client_List!$D:$D,MATCH(B646,Client_List!$B:$B,0)),""))</f>
        <v>5F</v>
      </c>
      <c r="E646" s="4" t="str">
        <f>IF(B646="","",IFERROR(INDEX(Client_List!$K:$K,MATCH(B646,Client_List!$B:$B,0)),""))</f>
        <v>CANOLA OIL</v>
      </c>
      <c r="F646" s="5">
        <f>IF(B646="","",IFERROR(INDEX(Client_List!$J:$J,MATCH(B646,Client_List!$B:$B,0)),""))</f>
        <v>350</v>
      </c>
      <c r="G646" s="5">
        <v>288</v>
      </c>
      <c r="H646" s="4">
        <f>IF(B646="","",IFERROR(A646-LOOKUP(2,1/($B$4:$B645=B646),$A$4:$A645),""))</f>
        <v>10</v>
      </c>
      <c r="I646" s="72">
        <f t="shared" si="10"/>
        <v>28.8</v>
      </c>
      <c r="J646" s="4">
        <v>142904</v>
      </c>
      <c r="K646" s="6">
        <f>IF(B646="","",IFERROR(AVERAGEIFS($I$4:$I646,$B$4:$B646,B646,$I$4:$I646,"&gt;"&amp;0),""))</f>
        <v>33.26164021164022</v>
      </c>
      <c r="L646" s="4" t="str">
        <f>IF(B646="","",IF(ISNA(MATCH(B646,Client_List!$B:$B,0)),"⚠ NOT FOUND","✓"))</f>
        <v>✓</v>
      </c>
    </row>
    <row r="647" spans="1:12" ht="14" customHeight="1" x14ac:dyDescent="0.2">
      <c r="A647" s="57">
        <v>46078</v>
      </c>
      <c r="B647" s="7" t="s">
        <v>104</v>
      </c>
      <c r="C647" s="8" t="str">
        <f>IF(B647="","",IFERROR(INDEX(Client_List!$C:$C,MATCH(B647,Client_List!$B:$B,0)),""))</f>
        <v>4</v>
      </c>
      <c r="D647" s="9" t="str">
        <f>IF(B647="","",IFERROR(INDEX(Client_List!$D:$D,MATCH(B647,Client_List!$B:$B,0)),""))</f>
        <v>4E</v>
      </c>
      <c r="E647" s="9" t="str">
        <f>IF(B647="","",IFERROR(INDEX(Client_List!$K:$K,MATCH(B647,Client_List!$B:$B,0)),""))</f>
        <v>CANOLA OIL</v>
      </c>
      <c r="F647" s="10">
        <f>IF(B647="","",IFERROR(INDEX(Client_List!$J:$J,MATCH(B647,Client_List!$B:$B,0)),""))</f>
        <v>350</v>
      </c>
      <c r="G647" s="10">
        <v>219</v>
      </c>
      <c r="H647" s="9">
        <f>IF(B647="","",IFERROR(A647-LOOKUP(2,1/($B$4:$B646=B647),$A$4:$A646),""))</f>
        <v>24</v>
      </c>
      <c r="I647" s="73">
        <f t="shared" si="10"/>
        <v>9.125</v>
      </c>
      <c r="J647" s="9">
        <v>142908</v>
      </c>
      <c r="K647" s="6">
        <f>IF(B647="","",IFERROR(AVERAGEIFS($I$4:$I647,$B$4:$B647,B647,$I$4:$I647,"&gt;"&amp;0),""))</f>
        <v>13.395833333333334</v>
      </c>
      <c r="L647" s="9" t="str">
        <f>IF(B647="","",IF(ISNA(MATCH(B647,Client_List!$B:$B,0)),"⚠ NOT FOUND","✓"))</f>
        <v>✓</v>
      </c>
    </row>
    <row r="648" spans="1:12" ht="14" customHeight="1" x14ac:dyDescent="0.2">
      <c r="A648" s="56">
        <v>46078</v>
      </c>
      <c r="B648" s="2" t="s">
        <v>136</v>
      </c>
      <c r="C648" s="3" t="str">
        <f>IF(B648="","",IFERROR(INDEX(Client_List!$C:$C,MATCH(B648,Client_List!$B:$B,0)),""))</f>
        <v>5</v>
      </c>
      <c r="D648" s="4" t="str">
        <f>IF(B648="","",IFERROR(INDEX(Client_List!$D:$D,MATCH(B648,Client_List!$B:$B,0)),""))</f>
        <v>5F</v>
      </c>
      <c r="E648" s="4" t="str">
        <f>IF(B648="","",IFERROR(INDEX(Client_List!$K:$K,MATCH(B648,Client_List!$B:$B,0)),""))</f>
        <v>FRYERS CHOICE BLEND</v>
      </c>
      <c r="F648" s="5">
        <f>IF(B648="","",IFERROR(INDEX(Client_List!$J:$J,MATCH(B648,Client_List!$B:$B,0)),""))</f>
        <v>480</v>
      </c>
      <c r="G648" s="5">
        <v>361</v>
      </c>
      <c r="H648" s="4">
        <f>IF(B648="","",IFERROR(A648-LOOKUP(2,1/($B$4:$B647=B648),$A$4:$A647),""))</f>
        <v>10</v>
      </c>
      <c r="I648" s="72">
        <f t="shared" si="10"/>
        <v>36.1</v>
      </c>
      <c r="J648" s="4">
        <v>142900</v>
      </c>
      <c r="K648" s="6">
        <f>IF(B648="","",IFERROR(AVERAGEIFS($I$4:$I648,$B$4:$B648,B648,$I$4:$I648,"&gt;"&amp;0),""))</f>
        <v>44.544848484848487</v>
      </c>
      <c r="L648" s="4" t="str">
        <f>IF(B648="","",IF(ISNA(MATCH(B648,Client_List!$B:$B,0)),"⚠ NOT FOUND","✓"))</f>
        <v>✓</v>
      </c>
    </row>
    <row r="649" spans="1:12" ht="14" customHeight="1" x14ac:dyDescent="0.2">
      <c r="A649" s="57">
        <v>46078</v>
      </c>
      <c r="B649" s="7" t="s">
        <v>142</v>
      </c>
      <c r="C649" s="8" t="str">
        <f>IF(B649="","",IFERROR(INDEX(Client_List!$C:$C,MATCH(B649,Client_List!$B:$B,0)),""))</f>
        <v>4</v>
      </c>
      <c r="D649" s="9" t="str">
        <f>IF(B649="","",IFERROR(INDEX(Client_List!$D:$D,MATCH(B649,Client_List!$B:$B,0)),""))</f>
        <v>4A</v>
      </c>
      <c r="E649" s="9" t="str">
        <f>IF(B649="","",IFERROR(INDEX(Client_List!$K:$K,MATCH(B649,Client_List!$B:$B,0)),""))</f>
        <v>FRYERS CHOICE BLEND</v>
      </c>
      <c r="F649" s="10">
        <f>IF(B649="","",IFERROR(INDEX(Client_List!$J:$J,MATCH(B649,Client_List!$B:$B,0)),""))</f>
        <v>1050</v>
      </c>
      <c r="G649" s="10">
        <v>1055</v>
      </c>
      <c r="H649" s="9">
        <f>IF(B649="","",IFERROR(A649-LOOKUP(2,1/($B$4:$B648=B649),$A$4:$A648),""))</f>
        <v>7</v>
      </c>
      <c r="I649" s="73">
        <f t="shared" si="10"/>
        <v>150.71428571428572</v>
      </c>
      <c r="J649" s="9">
        <v>142857</v>
      </c>
      <c r="K649" s="6">
        <f>IF(B649="","",IFERROR(AVERAGEIFS($I$4:$I649,$B$4:$B649,B649,$I$4:$I649,"&gt;"&amp;0),""))</f>
        <v>177.83392857142857</v>
      </c>
      <c r="L649" s="9" t="str">
        <f>IF(B649="","",IF(ISNA(MATCH(B649,Client_List!$B:$B,0)),"⚠ NOT FOUND","✓"))</f>
        <v>✓</v>
      </c>
    </row>
    <row r="650" spans="1:12" ht="14" customHeight="1" x14ac:dyDescent="0.2">
      <c r="A650" s="56">
        <v>46078</v>
      </c>
      <c r="B650" s="2" t="s">
        <v>144</v>
      </c>
      <c r="C650" s="8" t="str">
        <f>IF(B650="","",IFERROR(INDEX(Client_List!$C:$C,MATCH(B650,Client_List!$B:$B,0)),""))</f>
        <v>4</v>
      </c>
      <c r="D650" s="4" t="str">
        <f>IF(B650="","",IFERROR(INDEX(Client_List!$D:$D,MATCH(B650,Client_List!$B:$B,0)),""))</f>
        <v>4A</v>
      </c>
      <c r="E650" s="4" t="str">
        <f>IF(B650="","",IFERROR(INDEX(Client_List!$K:$K,MATCH(B650,Client_List!$B:$B,0)),""))</f>
        <v>FRYERS CHOICE BLEND</v>
      </c>
      <c r="F650" s="5">
        <f>IF(B650="","",IFERROR(INDEX(Client_List!$J:$J,MATCH(B650,Client_List!$B:$B,0)),""))</f>
        <v>900</v>
      </c>
      <c r="G650" s="5">
        <v>694</v>
      </c>
      <c r="H650" s="4">
        <f>IF(B650="","",IFERROR(A650-LOOKUP(2,1/($B$4:$B649=B650),$A$4:$A649),""))</f>
        <v>7</v>
      </c>
      <c r="I650" s="72">
        <f t="shared" si="10"/>
        <v>99.142857142857139</v>
      </c>
      <c r="J650" s="4">
        <v>142859</v>
      </c>
      <c r="K650" s="6">
        <f>IF(B650="","",IFERROR(AVERAGEIFS($I$4:$I650,$B$4:$B650,B650,$I$4:$I650,"&gt;"&amp;0),""))</f>
        <v>67.907816257816251</v>
      </c>
      <c r="L650" s="4" t="str">
        <f>IF(B650="","",IF(ISNA(MATCH(B650,Client_List!$B:$B,0)),"⚠ NOT FOUND","✓"))</f>
        <v>✓</v>
      </c>
    </row>
    <row r="651" spans="1:12" ht="14" customHeight="1" x14ac:dyDescent="0.2">
      <c r="A651" s="57">
        <v>46078</v>
      </c>
      <c r="B651" s="7" t="s">
        <v>154</v>
      </c>
      <c r="C651" s="3" t="str">
        <f>IF(B651="","",IFERROR(INDEX(Client_List!$C:$C,MATCH(B651,Client_List!$B:$B,0)),""))</f>
        <v>4</v>
      </c>
      <c r="D651" s="9" t="str">
        <f>IF(B651="","",IFERROR(INDEX(Client_List!$D:$D,MATCH(B651,Client_List!$B:$B,0)),""))</f>
        <v>4B</v>
      </c>
      <c r="E651" s="9" t="str">
        <f>IF(B651="","",IFERROR(INDEX(Client_List!$K:$K,MATCH(B651,Client_List!$B:$B,0)),""))</f>
        <v>CANOLA OIL</v>
      </c>
      <c r="F651" s="10">
        <f>IF(B651="","",IFERROR(INDEX(Client_List!$J:$J,MATCH(B651,Client_List!$B:$B,0)),""))</f>
        <v>350</v>
      </c>
      <c r="G651" s="10">
        <v>249</v>
      </c>
      <c r="H651" s="9">
        <f>IF(B651="","",IFERROR(A651-LOOKUP(2,1/($B$4:$B650=B651),$A$4:$A650),""))</f>
        <v>20</v>
      </c>
      <c r="I651" s="73">
        <f t="shared" si="10"/>
        <v>12.45</v>
      </c>
      <c r="J651" s="9">
        <v>142889</v>
      </c>
      <c r="K651" s="6">
        <f>IF(B651="","",IFERROR(AVERAGEIFS($I$4:$I651,$B$4:$B651,B651,$I$4:$I651,"&gt;"&amp;0),""))</f>
        <v>12.45</v>
      </c>
      <c r="L651" s="9" t="str">
        <f>IF(B651="","",IF(ISNA(MATCH(B651,Client_List!$B:$B,0)),"⚠ NOT FOUND","✓"))</f>
        <v>✓</v>
      </c>
    </row>
    <row r="652" spans="1:12" ht="14" customHeight="1" x14ac:dyDescent="0.2">
      <c r="A652" s="56">
        <v>46078</v>
      </c>
      <c r="B652" s="2" t="s">
        <v>180</v>
      </c>
      <c r="C652" s="3" t="str">
        <f>IF(B652="","",IFERROR(INDEX(Client_List!$C:$C,MATCH(B652,Client_List!$B:$B,0)),""))</f>
        <v>1</v>
      </c>
      <c r="D652" s="4" t="str">
        <f>IF(B652="","",IFERROR(INDEX(Client_List!$D:$D,MATCH(B652,Client_List!$B:$B,0)),""))</f>
        <v>1D</v>
      </c>
      <c r="E652" s="4" t="str">
        <f>IF(B652="","",IFERROR(INDEX(Client_List!$K:$K,MATCH(B652,Client_List!$B:$B,0)),""))</f>
        <v>CANOLA OIL</v>
      </c>
      <c r="F652" s="5">
        <f>IF(B652="","",IFERROR(INDEX(Client_List!$J:$J,MATCH(B652,Client_List!$B:$B,0)),""))</f>
        <v>950</v>
      </c>
      <c r="G652" s="5">
        <v>664</v>
      </c>
      <c r="H652" s="4">
        <f>IF(B652="","",IFERROR(A652-LOOKUP(2,1/($B$4:$B651=B652),$A$4:$A651),""))</f>
        <v>9</v>
      </c>
      <c r="I652" s="72">
        <f t="shared" si="10"/>
        <v>73.777777777777771</v>
      </c>
      <c r="J652" s="4">
        <v>142892</v>
      </c>
      <c r="K652" s="6">
        <f>IF(B652="","",IFERROR(AVERAGEIFS($I$4:$I652,$B$4:$B652,B652,$I$4:$I652,"&gt;"&amp;0),""))</f>
        <v>75.582222222222214</v>
      </c>
      <c r="L652" s="4" t="str">
        <f>IF(B652="","",IF(ISNA(MATCH(B652,Client_List!$B:$B,0)),"⚠ NOT FOUND","✓"))</f>
        <v>✓</v>
      </c>
    </row>
    <row r="653" spans="1:12" ht="14" customHeight="1" x14ac:dyDescent="0.2">
      <c r="A653" s="57">
        <v>46078</v>
      </c>
      <c r="B653" s="7" t="s">
        <v>204</v>
      </c>
      <c r="C653" s="3" t="str">
        <f>IF(B653="","",IFERROR(INDEX(Client_List!$C:$C,MATCH(B653,Client_List!$B:$B,0)),""))</f>
        <v>5</v>
      </c>
      <c r="D653" s="9" t="str">
        <f>IF(B653="","",IFERROR(INDEX(Client_List!$D:$D,MATCH(B653,Client_List!$B:$B,0)),""))</f>
        <v>5E</v>
      </c>
      <c r="E653" s="9" t="str">
        <f>IF(B653="","",IFERROR(INDEX(Client_List!$K:$K,MATCH(B653,Client_List!$B:$B,0)),""))</f>
        <v>CANOLA OIL</v>
      </c>
      <c r="F653" s="10">
        <f>IF(B653="","",IFERROR(INDEX(Client_List!$J:$J,MATCH(B653,Client_List!$B:$B,0)),""))</f>
        <v>1800</v>
      </c>
      <c r="G653" s="10">
        <v>1165</v>
      </c>
      <c r="H653" s="9">
        <f>IF(B653="","",IFERROR(A653-LOOKUP(2,1/($B$4:$B652=B653),$A$4:$A652),""))</f>
        <v>8</v>
      </c>
      <c r="I653" s="73">
        <f t="shared" si="10"/>
        <v>145.625</v>
      </c>
      <c r="J653" s="9">
        <v>142909</v>
      </c>
      <c r="K653" s="6">
        <f>IF(B653="","",IFERROR(AVERAGEIFS($I$4:$I653,$B$4:$B653,B653,$I$4:$I653,"&gt;"&amp;0),""))</f>
        <v>152.54133597883597</v>
      </c>
      <c r="L653" s="9" t="str">
        <f>IF(B653="","",IF(ISNA(MATCH(B653,Client_List!$B:$B,0)),"⚠ NOT FOUND","✓"))</f>
        <v>✓</v>
      </c>
    </row>
    <row r="654" spans="1:12" ht="14" customHeight="1" x14ac:dyDescent="0.2">
      <c r="A654" s="56">
        <v>46078</v>
      </c>
      <c r="B654" s="2" t="s">
        <v>220</v>
      </c>
      <c r="C654" s="3" t="str">
        <f>IF(B654="","",IFERROR(INDEX(Client_List!$C:$C,MATCH(B654,Client_List!$B:$B,0)),""))</f>
        <v>4</v>
      </c>
      <c r="D654" s="4" t="str">
        <f>IF(B654="","",IFERROR(INDEX(Client_List!$D:$D,MATCH(B654,Client_List!$B:$B,0)),""))</f>
        <v>4A</v>
      </c>
      <c r="E654" s="4" t="str">
        <f>IF(B654="","",IFERROR(INDEX(Client_List!$K:$K,MATCH(B654,Client_List!$B:$B,0)),""))</f>
        <v>CANOLA OIL</v>
      </c>
      <c r="F654" s="5">
        <f>IF(B654="","",IFERROR(INDEX(Client_List!$J:$J,MATCH(B654,Client_List!$B:$B,0)),""))</f>
        <v>480</v>
      </c>
      <c r="G654" s="5">
        <v>451</v>
      </c>
      <c r="H654" s="4">
        <f>IF(B654="","",IFERROR(A654-LOOKUP(2,1/($B$4:$B653=B654),$A$4:$A653),""))</f>
        <v>15</v>
      </c>
      <c r="I654" s="72">
        <f t="shared" si="10"/>
        <v>30.066666666666666</v>
      </c>
      <c r="J654" s="4">
        <v>142860</v>
      </c>
      <c r="K654" s="6">
        <f>IF(B654="","",IFERROR(AVERAGEIFS($I$4:$I654,$B$4:$B654,B654,$I$4:$I654,"&gt;"&amp;0),""))</f>
        <v>26.736507936507934</v>
      </c>
      <c r="L654" s="4" t="str">
        <f>IF(B654="","",IF(ISNA(MATCH(B654,Client_List!$B:$B,0)),"⚠ NOT FOUND","✓"))</f>
        <v>✓</v>
      </c>
    </row>
    <row r="655" spans="1:12" ht="14" customHeight="1" x14ac:dyDescent="0.2">
      <c r="A655" s="57">
        <v>46078</v>
      </c>
      <c r="B655" s="7" t="s">
        <v>232</v>
      </c>
      <c r="C655" s="8" t="str">
        <f>IF(B655="","",IFERROR(INDEX(Client_List!$C:$C,MATCH(B655,Client_List!$B:$B,0)),""))</f>
        <v>5</v>
      </c>
      <c r="D655" s="9" t="str">
        <f>IF(B655="","",IFERROR(INDEX(Client_List!$D:$D,MATCH(B655,Client_List!$B:$B,0)),""))</f>
        <v>5F</v>
      </c>
      <c r="E655" s="9" t="str">
        <f>IF(B655="","",IFERROR(INDEX(Client_List!$K:$K,MATCH(B655,Client_List!$B:$B,0)),""))</f>
        <v>CANOLA OIL</v>
      </c>
      <c r="F655" s="10">
        <f>IF(B655="","",IFERROR(INDEX(Client_List!$J:$J,MATCH(B655,Client_List!$B:$B,0)),""))</f>
        <v>500</v>
      </c>
      <c r="G655" s="10">
        <v>386</v>
      </c>
      <c r="H655" s="9">
        <f>IF(B655="","",IFERROR(A655-LOOKUP(2,1/($B$4:$B654=B655),$A$4:$A654),""))</f>
        <v>10</v>
      </c>
      <c r="I655" s="73">
        <f t="shared" si="10"/>
        <v>38.6</v>
      </c>
      <c r="J655" s="9">
        <v>142861</v>
      </c>
      <c r="K655" s="6">
        <f>IF(B655="","",IFERROR(AVERAGEIFS($I$4:$I655,$B$4:$B655,B655,$I$4:$I655,"&gt;"&amp;0),""))</f>
        <v>41.160606060606064</v>
      </c>
      <c r="L655" s="9" t="str">
        <f>IF(B655="","",IF(ISNA(MATCH(B655,Client_List!$B:$B,0)),"⚠ NOT FOUND","✓"))</f>
        <v>✓</v>
      </c>
    </row>
    <row r="656" spans="1:12" ht="14" customHeight="1" x14ac:dyDescent="0.2">
      <c r="A656" s="56">
        <v>46078</v>
      </c>
      <c r="B656" s="2" t="s">
        <v>234</v>
      </c>
      <c r="C656" s="3" t="str">
        <f>IF(B656="","",IFERROR(INDEX(Client_List!$C:$C,MATCH(B656,Client_List!$B:$B,0)),""))</f>
        <v>4</v>
      </c>
      <c r="D656" s="4" t="str">
        <f>IF(B656="","",IFERROR(INDEX(Client_List!$D:$D,MATCH(B656,Client_List!$B:$B,0)),""))</f>
        <v>4E</v>
      </c>
      <c r="E656" s="4" t="str">
        <f>IF(B656="","",IFERROR(INDEX(Client_List!$K:$K,MATCH(B656,Client_List!$B:$B,0)),""))</f>
        <v>CANOLA OIL</v>
      </c>
      <c r="F656" s="5">
        <f>IF(B656="","",IFERROR(INDEX(Client_List!$J:$J,MATCH(B656,Client_List!$B:$B,0)),""))</f>
        <v>630</v>
      </c>
      <c r="G656" s="5">
        <v>574</v>
      </c>
      <c r="H656" s="4">
        <f>IF(B656="","",IFERROR(A656-LOOKUP(2,1/($B$4:$B655=B656),$A$4:$A655),""))</f>
        <v>28</v>
      </c>
      <c r="I656" s="72">
        <f t="shared" si="10"/>
        <v>20.5</v>
      </c>
      <c r="J656" s="4">
        <v>142907</v>
      </c>
      <c r="K656" s="6">
        <f>IF(B656="","",IFERROR(AVERAGEIFS($I$4:$I656,$B$4:$B656,B656,$I$4:$I656,"&gt;"&amp;0),""))</f>
        <v>22.25</v>
      </c>
      <c r="L656" s="4" t="str">
        <f>IF(B656="","",IF(ISNA(MATCH(B656,Client_List!$B:$B,0)),"⚠ NOT FOUND","✓"))</f>
        <v>✓</v>
      </c>
    </row>
    <row r="657" spans="1:12" ht="14" customHeight="1" x14ac:dyDescent="0.2">
      <c r="A657" s="57">
        <v>46078</v>
      </c>
      <c r="B657" s="7" t="s">
        <v>236</v>
      </c>
      <c r="C657" s="3" t="str">
        <f>IF(B657="","",IFERROR(INDEX(Client_List!$C:$C,MATCH(B657,Client_List!$B:$B,0)),""))</f>
        <v>5</v>
      </c>
      <c r="D657" s="9" t="str">
        <f>IF(B657="","",IFERROR(INDEX(Client_List!$D:$D,MATCH(B657,Client_List!$B:$B,0)),""))</f>
        <v>5E</v>
      </c>
      <c r="E657" s="9" t="str">
        <f>IF(B657="","",IFERROR(INDEX(Client_List!$K:$K,MATCH(B657,Client_List!$B:$B,0)),""))</f>
        <v>CANOLA OIL</v>
      </c>
      <c r="F657" s="10">
        <f>IF(B657="","",IFERROR(INDEX(Client_List!$J:$J,MATCH(B657,Client_List!$B:$B,0)),""))</f>
        <v>500</v>
      </c>
      <c r="G657" s="10">
        <v>310</v>
      </c>
      <c r="H657" s="9">
        <f>IF(B657="","",IFERROR(A657-LOOKUP(2,1/($B$4:$B656=B657),$A$4:$A656),""))</f>
        <v>13</v>
      </c>
      <c r="I657" s="73">
        <f t="shared" si="10"/>
        <v>23.846153846153847</v>
      </c>
      <c r="J657" s="9">
        <v>142906</v>
      </c>
      <c r="K657" s="6">
        <f>IF(B657="","",IFERROR(AVERAGEIFS($I$4:$I657,$B$4:$B657,B657,$I$4:$I657,"&gt;"&amp;0),""))</f>
        <v>28.686538461538461</v>
      </c>
      <c r="L657" s="9" t="str">
        <f>IF(B657="","",IF(ISNA(MATCH(B657,Client_List!$B:$B,0)),"⚠ NOT FOUND","✓"))</f>
        <v>✓</v>
      </c>
    </row>
    <row r="658" spans="1:12" ht="14" customHeight="1" x14ac:dyDescent="0.2">
      <c r="A658" s="56">
        <v>46078</v>
      </c>
      <c r="B658" s="2" t="s">
        <v>240</v>
      </c>
      <c r="C658" s="8" t="str">
        <f>IF(B658="","",IFERROR(INDEX(Client_List!$C:$C,MATCH(B658,Client_List!$B:$B,0)),""))</f>
        <v>5</v>
      </c>
      <c r="D658" s="4" t="str">
        <f>IF(B658="","",IFERROR(INDEX(Client_List!$D:$D,MATCH(B658,Client_List!$B:$B,0)),""))</f>
        <v>5F</v>
      </c>
      <c r="E658" s="4" t="str">
        <f>IF(B658="","",IFERROR(INDEX(Client_List!$K:$K,MATCH(B658,Client_List!$B:$B,0)),""))</f>
        <v>CANOLA OIL</v>
      </c>
      <c r="F658" s="5">
        <f>IF(B658="","",IFERROR(INDEX(Client_List!$J:$J,MATCH(B658,Client_List!$B:$B,0)),""))</f>
        <v>350</v>
      </c>
      <c r="G658" s="5">
        <v>213</v>
      </c>
      <c r="H658" s="4">
        <f>IF(B658="","",IFERROR(A658-LOOKUP(2,1/($B$4:$B657=B658),$A$4:$A657),""))</f>
        <v>6</v>
      </c>
      <c r="I658" s="72">
        <f t="shared" si="10"/>
        <v>35.5</v>
      </c>
      <c r="J658" s="4">
        <v>142903</v>
      </c>
      <c r="K658" s="6">
        <f>IF(B658="","",IFERROR(AVERAGEIFS($I$4:$I658,$B$4:$B658,B658,$I$4:$I658,"&gt;"&amp;0),""))</f>
        <v>31.731746031746034</v>
      </c>
      <c r="L658" s="4" t="str">
        <f>IF(B658="","",IF(ISNA(MATCH(B658,Client_List!$B:$B,0)),"⚠ NOT FOUND","✓"))</f>
        <v>✓</v>
      </c>
    </row>
    <row r="659" spans="1:12" ht="14" customHeight="1" x14ac:dyDescent="0.2">
      <c r="A659" s="57">
        <v>46078</v>
      </c>
      <c r="B659" s="7" t="s">
        <v>246</v>
      </c>
      <c r="C659" s="3" t="str">
        <f>IF(B659="","",IFERROR(INDEX(Client_List!$C:$C,MATCH(B659,Client_List!$B:$B,0)),""))</f>
        <v>3</v>
      </c>
      <c r="D659" s="9" t="str">
        <f>IF(B659="","",IFERROR(INDEX(Client_List!$D:$D,MATCH(B659,Client_List!$B:$B,0)),""))</f>
        <v>3E</v>
      </c>
      <c r="E659" s="9" t="str">
        <f>IF(B659="","",IFERROR(INDEX(Client_List!$K:$K,MATCH(B659,Client_List!$B:$B,0)),""))</f>
        <v>FRYERS CHOICE BLEND</v>
      </c>
      <c r="F659" s="10">
        <f>IF(B659="","",IFERROR(INDEX(Client_List!$J:$J,MATCH(B659,Client_List!$B:$B,0)),""))</f>
        <v>950</v>
      </c>
      <c r="G659" s="10">
        <v>827</v>
      </c>
      <c r="H659" s="9">
        <f>IF(B659="","",IFERROR(A659-LOOKUP(2,1/($B$4:$B658=B659),$A$4:$A658),""))</f>
        <v>9</v>
      </c>
      <c r="I659" s="73">
        <f t="shared" si="10"/>
        <v>91.888888888888886</v>
      </c>
      <c r="J659" s="9">
        <v>142890</v>
      </c>
      <c r="K659" s="6">
        <f>IF(B659="","",IFERROR(AVERAGEIFS($I$4:$I659,$B$4:$B659,B659,$I$4:$I659,"&gt;"&amp;0),""))</f>
        <v>71.329059829059844</v>
      </c>
      <c r="L659" s="9" t="str">
        <f>IF(B659="","",IF(ISNA(MATCH(B659,Client_List!$B:$B,0)),"⚠ NOT FOUND","✓"))</f>
        <v>✓</v>
      </c>
    </row>
    <row r="660" spans="1:12" ht="14" customHeight="1" x14ac:dyDescent="0.2">
      <c r="A660" s="56">
        <v>46078</v>
      </c>
      <c r="B660" s="2" t="s">
        <v>254</v>
      </c>
      <c r="C660" s="12" t="str">
        <f>IF(B660="","",IFERROR(INDEX(Client_List!$C:$C,MATCH(B660,Client_List!$B:$B,0)),""))</f>
        <v>2</v>
      </c>
      <c r="D660" s="4" t="str">
        <f>IF(B660="","",IFERROR(INDEX(Client_List!$D:$D,MATCH(B660,Client_List!$B:$B,0)),""))</f>
        <v>2E</v>
      </c>
      <c r="E660" s="4" t="str">
        <f>IF(B660="","",IFERROR(INDEX(Client_List!$K:$K,MATCH(B660,Client_List!$B:$B,0)),""))</f>
        <v>FRYERS CHOICE BLEND</v>
      </c>
      <c r="F660" s="5">
        <f>IF(B660="","",IFERROR(INDEX(Client_List!$J:$J,MATCH(B660,Client_List!$B:$B,0)),""))</f>
        <v>1950</v>
      </c>
      <c r="G660" s="5">
        <v>1464</v>
      </c>
      <c r="H660" s="4">
        <f>IF(B660="","",IFERROR(A660-LOOKUP(2,1/($B$4:$B659=B660),$A$4:$A659),""))</f>
        <v>9</v>
      </c>
      <c r="I660" s="72">
        <f t="shared" si="10"/>
        <v>162.66666666666666</v>
      </c>
      <c r="J660" s="4">
        <v>142891</v>
      </c>
      <c r="K660" s="6">
        <f>IF(B660="","",IFERROR(AVERAGEIFS($I$4:$I660,$B$4:$B660,B660,$I$4:$I660,"&gt;"&amp;0),""))</f>
        <v>144.73333333333332</v>
      </c>
      <c r="L660" s="4" t="str">
        <f>IF(B660="","",IF(ISNA(MATCH(B660,Client_List!$B:$B,0)),"⚠ NOT FOUND","✓"))</f>
        <v>✓</v>
      </c>
    </row>
    <row r="661" spans="1:12" ht="14" customHeight="1" x14ac:dyDescent="0.2">
      <c r="A661" s="57">
        <v>46078</v>
      </c>
      <c r="B661" s="7" t="s">
        <v>370</v>
      </c>
      <c r="C661" s="12" t="str">
        <f>IF(B661="","",IFERROR(INDEX(Client_List!$C:$C,MATCH(B661,Client_List!$B:$B,0)),""))</f>
        <v>1</v>
      </c>
      <c r="D661" s="9" t="str">
        <f>IF(B661="","",IFERROR(INDEX(Client_List!$D:$D,MATCH(B661,Client_List!$B:$B,0)),""))</f>
        <v>1D</v>
      </c>
      <c r="E661" s="9" t="str">
        <f>IF(B661="","",IFERROR(INDEX(Client_List!$K:$K,MATCH(B661,Client_List!$B:$B,0)),""))</f>
        <v>CANOLA OIL</v>
      </c>
      <c r="F661" s="10">
        <f>IF(B661="","",IFERROR(INDEX(Client_List!$J:$J,MATCH(B661,Client_List!$B:$B,0)),""))</f>
        <v>2000</v>
      </c>
      <c r="G661" s="10">
        <v>1909</v>
      </c>
      <c r="H661" s="9">
        <f>IF(B661="","",IFERROR(A661-LOOKUP(2,1/($B$4:$B660=B661),$A$4:$A660),""))</f>
        <v>15</v>
      </c>
      <c r="I661" s="73">
        <f t="shared" si="10"/>
        <v>127.26666666666667</v>
      </c>
      <c r="J661" s="9">
        <v>142893</v>
      </c>
      <c r="K661" s="6">
        <f>IF(B661="","",IFERROR(AVERAGEIFS($I$4:$I661,$B$4:$B661,B661,$I$4:$I661,"&gt;"&amp;0),""))</f>
        <v>129.67847985347984</v>
      </c>
      <c r="L661" s="9" t="str">
        <f>IF(B661="","",IF(ISNA(MATCH(B661,Client_List!$B:$B,0)),"⚠ NOT FOUND","✓"))</f>
        <v>✓</v>
      </c>
    </row>
    <row r="662" spans="1:12" ht="14" customHeight="1" x14ac:dyDescent="0.2">
      <c r="A662" s="56">
        <v>46078</v>
      </c>
      <c r="B662" s="2" t="s">
        <v>282</v>
      </c>
      <c r="C662" s="13" t="str">
        <f>IF(B662="","",IFERROR(INDEX(Client_List!$C:$C,MATCH(B662,Client_List!$B:$B,0)),""))</f>
        <v>1</v>
      </c>
      <c r="D662" s="4" t="str">
        <f>IF(B662="","",IFERROR(INDEX(Client_List!$D:$D,MATCH(B662,Client_List!$B:$B,0)),""))</f>
        <v>1E</v>
      </c>
      <c r="E662" s="4" t="str">
        <f>IF(B662="","",IFERROR(INDEX(Client_List!$K:$K,MATCH(B662,Client_List!$B:$B,0)),""))</f>
        <v>FRYERS CHOICE BLEND</v>
      </c>
      <c r="F662" s="5">
        <f>IF(B662="","",IFERROR(INDEX(Client_List!$J:$J,MATCH(B662,Client_List!$B:$B,0)),""))</f>
        <v>1100</v>
      </c>
      <c r="G662" s="5">
        <v>830</v>
      </c>
      <c r="H662" s="4">
        <f>IF(B662="","",IFERROR(A662-LOOKUP(2,1/($B$4:$B661=B662),$A$4:$A661),""))</f>
        <v>12</v>
      </c>
      <c r="I662" s="72">
        <f t="shared" si="10"/>
        <v>69.166666666666671</v>
      </c>
      <c r="J662" s="4">
        <v>142894</v>
      </c>
      <c r="K662" s="6">
        <f>IF(B662="","",IFERROR(AVERAGEIFS($I$4:$I662,$B$4:$B662,B662,$I$4:$I662,"&gt;"&amp;0),""))</f>
        <v>54.011994949494955</v>
      </c>
      <c r="L662" s="4" t="str">
        <f>IF(B662="","",IF(ISNA(MATCH(B662,Client_List!$B:$B,0)),"⚠ NOT FOUND","✓"))</f>
        <v>✓</v>
      </c>
    </row>
    <row r="663" spans="1:12" ht="14" customHeight="1" x14ac:dyDescent="0.2">
      <c r="A663" s="57">
        <v>46078</v>
      </c>
      <c r="B663" s="7" t="s">
        <v>302</v>
      </c>
      <c r="C663" s="12" t="str">
        <f>IF(B663="","",IFERROR(INDEX(Client_List!$C:$C,MATCH(B663,Client_List!$B:$B,0)),""))</f>
        <v>2</v>
      </c>
      <c r="D663" s="9" t="str">
        <f>IF(B663="","",IFERROR(INDEX(Client_List!$D:$D,MATCH(B663,Client_List!$B:$B,0)),""))</f>
        <v>2D</v>
      </c>
      <c r="E663" s="9" t="str">
        <f>IF(B663="","",IFERROR(INDEX(Client_List!$K:$K,MATCH(B663,Client_List!$B:$B,0)),""))</f>
        <v>CANOLA OIL</v>
      </c>
      <c r="F663" s="10">
        <f>IF(B663="","",IFERROR(INDEX(Client_List!$J:$J,MATCH(B663,Client_List!$B:$B,0)),""))</f>
        <v>350</v>
      </c>
      <c r="G663" s="10">
        <v>262</v>
      </c>
      <c r="H663" s="9">
        <f>IF(B663="","",IFERROR(A663-LOOKUP(2,1/($B$4:$B662=B663),$A$4:$A662),""))</f>
        <v>5</v>
      </c>
      <c r="I663" s="73">
        <f t="shared" si="10"/>
        <v>52.4</v>
      </c>
      <c r="J663" s="9">
        <v>142897</v>
      </c>
      <c r="K663" s="6">
        <f>IF(B663="","",IFERROR(AVERAGEIFS($I$4:$I663,$B$4:$B663,B663,$I$4:$I663,"&gt;"&amp;0),""))</f>
        <v>39.620068027210884</v>
      </c>
      <c r="L663" s="9" t="str">
        <f>IF(B663="","",IF(ISNA(MATCH(B663,Client_List!$B:$B,0)),"⚠ NOT FOUND","✓"))</f>
        <v>✓</v>
      </c>
    </row>
    <row r="664" spans="1:12" ht="14" customHeight="1" x14ac:dyDescent="0.2">
      <c r="A664" s="56">
        <v>46078</v>
      </c>
      <c r="B664" s="2" t="s">
        <v>342</v>
      </c>
      <c r="C664" s="12" t="str">
        <f>IF(B664="","",IFERROR(INDEX(Client_List!$C:$C,MATCH(B664,Client_List!$B:$B,0)),""))</f>
        <v>4</v>
      </c>
      <c r="D664" s="4" t="str">
        <f>IF(B664="","",IFERROR(INDEX(Client_List!$D:$D,MATCH(B664,Client_List!$B:$B,0)),""))</f>
        <v>4A</v>
      </c>
      <c r="E664" s="4" t="str">
        <f>IF(B664="","",IFERROR(INDEX(Client_List!$K:$K,MATCH(B664,Client_List!$B:$B,0)),""))</f>
        <v>FRYERS CHOICE BLEND</v>
      </c>
      <c r="F664" s="5">
        <f>IF(B664="","",IFERROR(INDEX(Client_List!$J:$J,MATCH(B664,Client_List!$B:$B,0)),""))</f>
        <v>630</v>
      </c>
      <c r="G664" s="5">
        <v>294</v>
      </c>
      <c r="H664" s="4">
        <f>IF(B664="","",IFERROR(A664-LOOKUP(2,1/($B$4:$B663=B664),$A$4:$A663),""))</f>
        <v>15</v>
      </c>
      <c r="I664" s="72">
        <f t="shared" si="10"/>
        <v>19.600000000000001</v>
      </c>
      <c r="J664" s="4">
        <v>142858</v>
      </c>
      <c r="K664" s="6">
        <f>IF(B664="","",IFERROR(AVERAGEIFS($I$4:$I664,$B$4:$B664,B664,$I$4:$I664,"&gt;"&amp;0),""))</f>
        <v>31.809848484848487</v>
      </c>
      <c r="L664" s="4" t="str">
        <f>IF(B664="","",IF(ISNA(MATCH(B664,Client_List!$B:$B,0)),"⚠ NOT FOUND","✓"))</f>
        <v>✓</v>
      </c>
    </row>
    <row r="665" spans="1:12" ht="14" customHeight="1" x14ac:dyDescent="0.2">
      <c r="A665" s="57">
        <v>46079</v>
      </c>
      <c r="B665" s="7" t="s">
        <v>365</v>
      </c>
      <c r="C665" s="12">
        <f>IF(B665="","",IFERROR(INDEX(Client_List!$C:$C,MATCH(B665,Client_List!$B:$B,0)),""))</f>
        <v>0</v>
      </c>
      <c r="D665" s="9">
        <f>IF(B665="","",IFERROR(INDEX(Client_List!$D:$D,MATCH(B665,Client_List!$B:$B,0)),""))</f>
        <v>0</v>
      </c>
      <c r="E665" s="9" t="str">
        <f>IF(B665="","",IFERROR(INDEX(Client_List!$K:$K,MATCH(B665,Client_List!$B:$B,0)),""))</f>
        <v>CANOLA OIL</v>
      </c>
      <c r="F665" s="10">
        <f>IF(B665="","",IFERROR(INDEX(Client_List!$J:$J,MATCH(B665,Client_List!$B:$B,0)),""))</f>
        <v>700</v>
      </c>
      <c r="G665" s="10">
        <v>309</v>
      </c>
      <c r="H665" s="9">
        <f>IF(B665="","",IFERROR(A665-LOOKUP(2,1/($B$4:$B664=B665),$A$4:$A664),""))</f>
        <v>7</v>
      </c>
      <c r="I665" s="73">
        <f t="shared" si="10"/>
        <v>44.142857142857146</v>
      </c>
      <c r="J665" s="9">
        <v>142925</v>
      </c>
      <c r="K665" s="6">
        <f>IF(B665="","",IFERROR(AVERAGEIFS($I$4:$I665,$B$4:$B665,B665,$I$4:$I665,"&gt;"&amp;0),""))</f>
        <v>54.720386904761909</v>
      </c>
      <c r="L665" s="9" t="str">
        <f>IF(B665="","",IF(ISNA(MATCH(B665,Client_List!$B:$B,0)),"⚠ NOT FOUND","✓"))</f>
        <v>✓</v>
      </c>
    </row>
    <row r="666" spans="1:12" ht="14" customHeight="1" x14ac:dyDescent="0.2">
      <c r="A666" s="56">
        <v>46079</v>
      </c>
      <c r="B666" s="2" t="s">
        <v>87</v>
      </c>
      <c r="C666" s="3" t="str">
        <f>IF(B666="","",IFERROR(INDEX(Client_List!$C:$C,MATCH(B666,Client_List!$B:$B,0)),""))</f>
        <v>2</v>
      </c>
      <c r="D666" s="4" t="str">
        <f>IF(B666="","",IFERROR(INDEX(Client_List!$D:$D,MATCH(B666,Client_List!$B:$B,0)),""))</f>
        <v>2D</v>
      </c>
      <c r="E666" s="4" t="str">
        <f>IF(B666="","",IFERROR(INDEX(Client_List!$K:$K,MATCH(B666,Client_List!$B:$B,0)),""))</f>
        <v>CANOLA OIL</v>
      </c>
      <c r="F666" s="5">
        <f>IF(B666="","",IFERROR(INDEX(Client_List!$J:$J,MATCH(B666,Client_List!$B:$B,0)),""))</f>
        <v>2500</v>
      </c>
      <c r="G666" s="5">
        <v>1430</v>
      </c>
      <c r="H666" s="4">
        <f>IF(B666="","",IFERROR(A666-LOOKUP(2,1/($B$4:$B665=B666),$A$4:$A665),""))</f>
        <v>15</v>
      </c>
      <c r="I666" s="72">
        <f t="shared" si="10"/>
        <v>95.333333333333329</v>
      </c>
      <c r="J666" s="4">
        <v>142923</v>
      </c>
      <c r="K666" s="6">
        <f>IF(B666="","",IFERROR(AVERAGEIFS($I$4:$I666,$B$4:$B666,B666,$I$4:$I666,"&gt;"&amp;0),""))</f>
        <v>91.119047619047606</v>
      </c>
      <c r="L666" s="4" t="str">
        <f>IF(B666="","",IF(ISNA(MATCH(B666,Client_List!$B:$B,0)),"⚠ NOT FOUND","✓"))</f>
        <v>✓</v>
      </c>
    </row>
    <row r="667" spans="1:12" ht="14" customHeight="1" x14ac:dyDescent="0.2">
      <c r="A667" s="57">
        <v>46079</v>
      </c>
      <c r="B667" s="7" t="s">
        <v>100</v>
      </c>
      <c r="C667" s="3" t="str">
        <f>IF(B667="","",IFERROR(INDEX(Client_List!$C:$C,MATCH(B667,Client_List!$B:$B,0)),""))</f>
        <v>4</v>
      </c>
      <c r="D667" s="9" t="str">
        <f>IF(B667="","",IFERROR(INDEX(Client_List!$D:$D,MATCH(B667,Client_List!$B:$B,0)),""))</f>
        <v>4F</v>
      </c>
      <c r="E667" s="9" t="str">
        <f>IF(B667="","",IFERROR(INDEX(Client_List!$K:$K,MATCH(B667,Client_List!$B:$B,0)),""))</f>
        <v>CANOLA OIL</v>
      </c>
      <c r="F667" s="10">
        <f>IF(B667="","",IFERROR(INDEX(Client_List!$J:$J,MATCH(B667,Client_List!$B:$B,0)),""))</f>
        <v>700</v>
      </c>
      <c r="G667" s="10">
        <v>562</v>
      </c>
      <c r="H667" s="9">
        <f>IF(B667="","",IFERROR(A667-LOOKUP(2,1/($B$4:$B666=B667),$A$4:$A666),""))</f>
        <v>20</v>
      </c>
      <c r="I667" s="73">
        <f t="shared" si="10"/>
        <v>28.1</v>
      </c>
      <c r="J667" s="9">
        <v>142911</v>
      </c>
      <c r="K667" s="6">
        <f>IF(B667="","",IFERROR(AVERAGEIFS($I$4:$I667,$B$4:$B667,B667,$I$4:$I667,"&gt;"&amp;0),""))</f>
        <v>27.875</v>
      </c>
      <c r="L667" s="9" t="str">
        <f>IF(B667="","",IF(ISNA(MATCH(B667,Client_List!$B:$B,0)),"⚠ NOT FOUND","✓"))</f>
        <v>✓</v>
      </c>
    </row>
    <row r="668" spans="1:12" ht="14" customHeight="1" x14ac:dyDescent="0.2">
      <c r="A668" s="56">
        <v>46079</v>
      </c>
      <c r="B668" s="2" t="s">
        <v>114</v>
      </c>
      <c r="C668" s="3" t="str">
        <f>IF(B668="","",IFERROR(INDEX(Client_List!$C:$C,MATCH(B668,Client_List!$B:$B,0)),""))</f>
        <v>2</v>
      </c>
      <c r="D668" s="4" t="str">
        <f>IF(B668="","",IFERROR(INDEX(Client_List!$D:$D,MATCH(B668,Client_List!$B:$B,0)),""))</f>
        <v>2A</v>
      </c>
      <c r="E668" s="4" t="str">
        <f>IF(B668="","",IFERROR(INDEX(Client_List!$K:$K,MATCH(B668,Client_List!$B:$B,0)),""))</f>
        <v>FRYERS CHOICE BLEND</v>
      </c>
      <c r="F668" s="5">
        <f>IF(B668="","",IFERROR(INDEX(Client_List!$J:$J,MATCH(B668,Client_List!$B:$B,0)),""))</f>
        <v>500</v>
      </c>
      <c r="G668" s="5">
        <v>492</v>
      </c>
      <c r="H668" s="4">
        <f>IF(B668="","",IFERROR(A668-LOOKUP(2,1/($B$4:$B667=B668),$A$4:$A667),""))</f>
        <v>14</v>
      </c>
      <c r="I668" s="72">
        <f t="shared" si="10"/>
        <v>35.142857142857146</v>
      </c>
      <c r="J668" s="4">
        <v>142927</v>
      </c>
      <c r="K668" s="6">
        <f>IF(B668="","",IFERROR(AVERAGEIFS($I$4:$I668,$B$4:$B668,B668,$I$4:$I668,"&gt;"&amp;0),""))</f>
        <v>34.331043956043956</v>
      </c>
      <c r="L668" s="4" t="str">
        <f>IF(B668="","",IF(ISNA(MATCH(B668,Client_List!$B:$B,0)),"⚠ NOT FOUND","✓"))</f>
        <v>✓</v>
      </c>
    </row>
    <row r="669" spans="1:12" ht="14" customHeight="1" x14ac:dyDescent="0.2">
      <c r="A669" s="57">
        <v>46079</v>
      </c>
      <c r="B669" s="7" t="s">
        <v>118</v>
      </c>
      <c r="C669" s="3" t="str">
        <f>IF(B669="","",IFERROR(INDEX(Client_List!$C:$C,MATCH(B669,Client_List!$B:$B,0)),""))</f>
        <v>4</v>
      </c>
      <c r="D669" s="9" t="str">
        <f>IF(B669="","",IFERROR(INDEX(Client_List!$D:$D,MATCH(B669,Client_List!$B:$B,0)),""))</f>
        <v>4E</v>
      </c>
      <c r="E669" s="9" t="str">
        <f>IF(B669="","",IFERROR(INDEX(Client_List!$K:$K,MATCH(B669,Client_List!$B:$B,0)),""))</f>
        <v>CANOLA OIL</v>
      </c>
      <c r="F669" s="10">
        <f>IF(B669="","",IFERROR(INDEX(Client_List!$J:$J,MATCH(B669,Client_List!$B:$B,0)),""))</f>
        <v>2500</v>
      </c>
      <c r="G669" s="10">
        <v>1715</v>
      </c>
      <c r="H669" s="9">
        <f>IF(B669="","",IFERROR(A669-LOOKUP(2,1/($B$4:$B668=B669),$A$4:$A668),""))</f>
        <v>7</v>
      </c>
      <c r="I669" s="73">
        <f t="shared" si="10"/>
        <v>245</v>
      </c>
      <c r="J669" s="9">
        <v>142912</v>
      </c>
      <c r="K669" s="6">
        <f>IF(B669="","",IFERROR(AVERAGEIFS($I$4:$I669,$B$4:$B669,B669,$I$4:$I669,"&gt;"&amp;0),""))</f>
        <v>248.76646825396827</v>
      </c>
      <c r="L669" s="9" t="str">
        <f>IF(B669="","",IF(ISNA(MATCH(B669,Client_List!$B:$B,0)),"⚠ NOT FOUND","✓"))</f>
        <v>✓</v>
      </c>
    </row>
    <row r="670" spans="1:12" ht="14" customHeight="1" x14ac:dyDescent="0.2">
      <c r="A670" s="56">
        <v>46079</v>
      </c>
      <c r="B670" s="2" t="s">
        <v>138</v>
      </c>
      <c r="C670" s="12" t="str">
        <f>IF(B670="","",IFERROR(INDEX(Client_List!$C:$C,MATCH(B670,Client_List!$B:$B,0)),""))</f>
        <v>4</v>
      </c>
      <c r="D670" s="4" t="str">
        <f>IF(B670="","",IFERROR(INDEX(Client_List!$D:$D,MATCH(B670,Client_List!$B:$B,0)),""))</f>
        <v>4E</v>
      </c>
      <c r="E670" s="4" t="str">
        <f>IF(B670="","",IFERROR(INDEX(Client_List!$K:$K,MATCH(B670,Client_List!$B:$B,0)),""))</f>
        <v>CANOLA OIL</v>
      </c>
      <c r="F670" s="5">
        <f>IF(B670="","",IFERROR(INDEX(Client_List!$J:$J,MATCH(B670,Client_List!$B:$B,0)),""))</f>
        <v>350</v>
      </c>
      <c r="G670" s="5">
        <v>206</v>
      </c>
      <c r="H670" s="4">
        <f>IF(B670="","",IFERROR(A670-LOOKUP(2,1/($B$4:$B669=B670),$A$4:$A669),""))</f>
        <v>6</v>
      </c>
      <c r="I670" s="72">
        <f t="shared" si="10"/>
        <v>34.333333333333336</v>
      </c>
      <c r="J670" s="4">
        <v>142913</v>
      </c>
      <c r="K670" s="6">
        <f>IF(B670="","",IFERROR(AVERAGEIFS($I$4:$I670,$B$4:$B670,B670,$I$4:$I670,"&gt;"&amp;0),""))</f>
        <v>36.832341269841272</v>
      </c>
      <c r="L670" s="4" t="str">
        <f>IF(B670="","",IF(ISNA(MATCH(B670,Client_List!$B:$B,0)),"⚠ NOT FOUND","✓"))</f>
        <v>✓</v>
      </c>
    </row>
    <row r="671" spans="1:12" ht="14" customHeight="1" x14ac:dyDescent="0.2">
      <c r="A671" s="57">
        <v>46079</v>
      </c>
      <c r="B671" s="7" t="s">
        <v>196</v>
      </c>
      <c r="C671" s="3" t="str">
        <f>IF(B671="","",IFERROR(INDEX(Client_List!$C:$C,MATCH(B671,Client_List!$B:$B,0)),""))</f>
        <v>4</v>
      </c>
      <c r="D671" s="9" t="str">
        <f>IF(B671="","",IFERROR(INDEX(Client_List!$D:$D,MATCH(B671,Client_List!$B:$B,0)),""))</f>
        <v>4F</v>
      </c>
      <c r="E671" s="9" t="str">
        <f>IF(B671="","",IFERROR(INDEX(Client_List!$K:$K,MATCH(B671,Client_List!$B:$B,0)),""))</f>
        <v>FRYERS CHOICE BLEND</v>
      </c>
      <c r="F671" s="10">
        <f>IF(B671="","",IFERROR(INDEX(Client_List!$J:$J,MATCH(B671,Client_List!$B:$B,0)),""))</f>
        <v>620</v>
      </c>
      <c r="G671" s="10">
        <v>285</v>
      </c>
      <c r="H671" s="9">
        <f>IF(B671="","",IFERROR(A671-LOOKUP(2,1/($B$4:$B670=B671),$A$4:$A670),""))</f>
        <v>7</v>
      </c>
      <c r="I671" s="73">
        <f t="shared" si="10"/>
        <v>40.714285714285715</v>
      </c>
      <c r="J671" s="9">
        <v>142916</v>
      </c>
      <c r="K671" s="6">
        <f>IF(B671="","",IFERROR(AVERAGEIFS($I$4:$I671,$B$4:$B671,B671,$I$4:$I671,"&gt;"&amp;0),""))</f>
        <v>33.387257479362745</v>
      </c>
      <c r="L671" s="9" t="str">
        <f>IF(B671="","",IF(ISNA(MATCH(B671,Client_List!$B:$B,0)),"⚠ NOT FOUND","✓"))</f>
        <v>✓</v>
      </c>
    </row>
    <row r="672" spans="1:12" ht="14" customHeight="1" x14ac:dyDescent="0.2">
      <c r="A672" s="56">
        <v>46079</v>
      </c>
      <c r="B672" s="2" t="s">
        <v>214</v>
      </c>
      <c r="C672" s="3" t="str">
        <f>IF(B672="","",IFERROR(INDEX(Client_List!$C:$C,MATCH(B672,Client_List!$B:$B,0)),""))</f>
        <v>1</v>
      </c>
      <c r="D672" s="4" t="str">
        <f>IF(B672="","",IFERROR(INDEX(Client_List!$D:$D,MATCH(B672,Client_List!$B:$B,0)),""))</f>
        <v>1C</v>
      </c>
      <c r="E672" s="4" t="str">
        <f>IF(B672="","",IFERROR(INDEX(Client_List!$K:$K,MATCH(B672,Client_List!$B:$B,0)),""))</f>
        <v>CANOLA OIL</v>
      </c>
      <c r="F672" s="5">
        <f>IF(B672="","",IFERROR(INDEX(Client_List!$J:$J,MATCH(B672,Client_List!$B:$B,0)),""))</f>
        <v>630</v>
      </c>
      <c r="G672" s="5">
        <v>500</v>
      </c>
      <c r="H672" s="4">
        <f>IF(B672="","",IFERROR(A672-LOOKUP(2,1/($B$4:$B671=B672),$A$4:$A671),""))</f>
        <v>18</v>
      </c>
      <c r="I672" s="72">
        <f t="shared" si="10"/>
        <v>27.777777777777779</v>
      </c>
      <c r="J672" s="4">
        <v>142922</v>
      </c>
      <c r="K672" s="6">
        <f>IF(B672="","",IFERROR(AVERAGEIFS($I$4:$I672,$B$4:$B672,B672,$I$4:$I672,"&gt;"&amp;0),""))</f>
        <v>24.247354497354497</v>
      </c>
      <c r="L672" s="4" t="str">
        <f>IF(B672="","",IF(ISNA(MATCH(B672,Client_List!$B:$B,0)),"⚠ NOT FOUND","✓"))</f>
        <v>✓</v>
      </c>
    </row>
    <row r="673" spans="1:12" ht="14" customHeight="1" x14ac:dyDescent="0.2">
      <c r="A673" s="57">
        <v>46079</v>
      </c>
      <c r="B673" s="7" t="s">
        <v>238</v>
      </c>
      <c r="C673" s="8" t="str">
        <f>IF(B673="","",IFERROR(INDEX(Client_List!$C:$C,MATCH(B673,Client_List!$B:$B,0)),""))</f>
        <v>4</v>
      </c>
      <c r="D673" s="9" t="str">
        <f>IF(B673="","",IFERROR(INDEX(Client_List!$D:$D,MATCH(B673,Client_List!$B:$B,0)),""))</f>
        <v>4D</v>
      </c>
      <c r="E673" s="9" t="str">
        <f>IF(B673="","",IFERROR(INDEX(Client_List!$K:$K,MATCH(B673,Client_List!$B:$B,0)),""))</f>
        <v>CANOLA OIL</v>
      </c>
      <c r="F673" s="10">
        <f>IF(B673="","",IFERROR(INDEX(Client_List!$J:$J,MATCH(B673,Client_List!$B:$B,0)),""))</f>
        <v>660</v>
      </c>
      <c r="G673" s="10">
        <v>479</v>
      </c>
      <c r="H673" s="9">
        <f>IF(B673="","",IFERROR(A673-LOOKUP(2,1/($B$4:$B672=B673),$A$4:$A672),""))</f>
        <v>11</v>
      </c>
      <c r="I673" s="73">
        <f t="shared" si="10"/>
        <v>43.545454545454547</v>
      </c>
      <c r="J673" s="9">
        <v>142914</v>
      </c>
      <c r="K673" s="6">
        <f>IF(B673="","",IFERROR(AVERAGEIFS($I$4:$I673,$B$4:$B673,B673,$I$4:$I673,"&gt;"&amp;0),""))</f>
        <v>32.699675324675326</v>
      </c>
      <c r="L673" s="9" t="str">
        <f>IF(B673="","",IF(ISNA(MATCH(B673,Client_List!$B:$B,0)),"⚠ NOT FOUND","✓"))</f>
        <v>✓</v>
      </c>
    </row>
    <row r="674" spans="1:12" ht="14" customHeight="1" x14ac:dyDescent="0.2">
      <c r="A674" s="56">
        <v>46079</v>
      </c>
      <c r="B674" s="2" t="s">
        <v>244</v>
      </c>
      <c r="C674" s="13" t="str">
        <f>IF(B674="","",IFERROR(INDEX(Client_List!$C:$C,MATCH(B674,Client_List!$B:$B,0)),""))</f>
        <v>4</v>
      </c>
      <c r="D674" s="4" t="str">
        <f>IF(B674="","",IFERROR(INDEX(Client_List!$D:$D,MATCH(B674,Client_List!$B:$B,0)),""))</f>
        <v>4E</v>
      </c>
      <c r="E674" s="4" t="str">
        <f>IF(B674="","",IFERROR(INDEX(Client_List!$K:$K,MATCH(B674,Client_List!$B:$B,0)),""))</f>
        <v>FRYERS CHOICE BLEND</v>
      </c>
      <c r="F674" s="5">
        <f>IF(B674="","",IFERROR(INDEX(Client_List!$J:$J,MATCH(B674,Client_List!$B:$B,0)),""))</f>
        <v>950</v>
      </c>
      <c r="G674" s="5">
        <v>404</v>
      </c>
      <c r="H674" s="4">
        <f>IF(B674="","",IFERROR(A674-LOOKUP(2,1/($B$4:$B673=B674),$A$4:$A673),""))</f>
        <v>8</v>
      </c>
      <c r="I674" s="72">
        <f t="shared" si="10"/>
        <v>50.5</v>
      </c>
      <c r="J674" s="4">
        <v>142915</v>
      </c>
      <c r="K674" s="6">
        <f>IF(B674="","",IFERROR(AVERAGEIFS($I$4:$I674,$B$4:$B674,B674,$I$4:$I674,"&gt;"&amp;0),""))</f>
        <v>53.558760683760681</v>
      </c>
      <c r="L674" s="4" t="str">
        <f>IF(B674="","",IF(ISNA(MATCH(B674,Client_List!$B:$B,0)),"⚠ NOT FOUND","✓"))</f>
        <v>✓</v>
      </c>
    </row>
    <row r="675" spans="1:12" ht="14" customHeight="1" x14ac:dyDescent="0.2">
      <c r="A675" s="57">
        <v>46079</v>
      </c>
      <c r="B675" s="7" t="s">
        <v>298</v>
      </c>
      <c r="C675" s="12" t="str">
        <f>IF(B675="","",IFERROR(INDEX(Client_List!$C:$C,MATCH(B675,Client_List!$B:$B,0)),""))</f>
        <v>1</v>
      </c>
      <c r="D675" s="9" t="str">
        <f>IF(B675="","",IFERROR(INDEX(Client_List!$D:$D,MATCH(B675,Client_List!$B:$B,0)),""))</f>
        <v>1C</v>
      </c>
      <c r="E675" s="9" t="str">
        <f>IF(B675="","",IFERROR(INDEX(Client_List!$K:$K,MATCH(B675,Client_List!$B:$B,0)),""))</f>
        <v>CANOLA OIL</v>
      </c>
      <c r="F675" s="10">
        <f>IF(B675="","",IFERROR(INDEX(Client_List!$J:$J,MATCH(B675,Client_List!$B:$B,0)),""))</f>
        <v>950</v>
      </c>
      <c r="G675" s="10">
        <v>697</v>
      </c>
      <c r="H675" s="9">
        <f>IF(B675="","",IFERROR(A675-LOOKUP(2,1/($B$4:$B674=B675),$A$4:$A674),""))</f>
        <v>13</v>
      </c>
      <c r="I675" s="73">
        <f t="shared" si="10"/>
        <v>53.615384615384613</v>
      </c>
      <c r="J675" s="9">
        <v>142924</v>
      </c>
      <c r="K675" s="6">
        <f>IF(B675="","",IFERROR(AVERAGEIFS($I$4:$I675,$B$4:$B675,B675,$I$4:$I675,"&gt;"&amp;0),""))</f>
        <v>48.210164835164832</v>
      </c>
      <c r="L675" s="9" t="str">
        <f>IF(B675="","",IF(ISNA(MATCH(B675,Client_List!$B:$B,0)),"⚠ NOT FOUND","✓"))</f>
        <v>✓</v>
      </c>
    </row>
    <row r="676" spans="1:12" ht="14" customHeight="1" x14ac:dyDescent="0.2">
      <c r="A676" s="56">
        <v>46079</v>
      </c>
      <c r="B676" s="2" t="s">
        <v>340</v>
      </c>
      <c r="C676" s="3" t="str">
        <f>IF(B676="","",IFERROR(INDEX(Client_List!$C:$C,MATCH(B676,Client_List!$B:$B,0)),""))</f>
        <v>2</v>
      </c>
      <c r="D676" s="4" t="str">
        <f>IF(B676="","",IFERROR(INDEX(Client_List!$D:$D,MATCH(B676,Client_List!$B:$B,0)),""))</f>
        <v>2C</v>
      </c>
      <c r="E676" s="4" t="str">
        <f>IF(B676="","",IFERROR(INDEX(Client_List!$K:$K,MATCH(B676,Client_List!$B:$B,0)),""))</f>
        <v>FRYERS CHOICE BLEND</v>
      </c>
      <c r="F676" s="5">
        <f>IF(B676="","",IFERROR(INDEX(Client_List!$J:$J,MATCH(B676,Client_List!$B:$B,0)),""))</f>
        <v>300</v>
      </c>
      <c r="G676" s="5">
        <v>191</v>
      </c>
      <c r="H676" s="4">
        <f>IF(B676="","",IFERROR(A676-LOOKUP(2,1/($B$4:$B675=B676),$A$4:$A675),""))</f>
        <v>7</v>
      </c>
      <c r="I676" s="72">
        <f t="shared" si="10"/>
        <v>27.285714285714285</v>
      </c>
      <c r="J676" s="4">
        <v>142921</v>
      </c>
      <c r="K676" s="6">
        <f>IF(B676="","",IFERROR(AVERAGEIFS($I$4:$I676,$B$4:$B676,B676,$I$4:$I676,"&gt;"&amp;0),""))</f>
        <v>32.881313131313128</v>
      </c>
      <c r="L676" s="4" t="str">
        <f>IF(B676="","",IF(ISNA(MATCH(B676,Client_List!$B:$B,0)),"⚠ NOT FOUND","✓"))</f>
        <v>✓</v>
      </c>
    </row>
    <row r="677" spans="1:12" ht="14" customHeight="1" x14ac:dyDescent="0.2">
      <c r="A677" s="57">
        <v>46079</v>
      </c>
      <c r="B677" s="7" t="s">
        <v>344</v>
      </c>
      <c r="C677" s="12" t="str">
        <f>IF(B677="","",IFERROR(INDEX(Client_List!$C:$C,MATCH(B677,Client_List!$B:$B,0)),""))</f>
        <v>2</v>
      </c>
      <c r="D677" s="9" t="str">
        <f>IF(B677="","",IFERROR(INDEX(Client_List!$D:$D,MATCH(B677,Client_List!$B:$B,0)),""))</f>
        <v>2C</v>
      </c>
      <c r="E677" s="9" t="str">
        <f>IF(B677="","",IFERROR(INDEX(Client_List!$K:$K,MATCH(B677,Client_List!$B:$B,0)),""))</f>
        <v>FRYERS CHOICE BLEND</v>
      </c>
      <c r="F677" s="10">
        <f>IF(B677="","",IFERROR(INDEX(Client_List!$J:$J,MATCH(B677,Client_List!$B:$B,0)),""))</f>
        <v>1200</v>
      </c>
      <c r="G677" s="10">
        <v>781</v>
      </c>
      <c r="H677" s="9">
        <f>IF(B677="","",IFERROR(A677-LOOKUP(2,1/($B$4:$B676=B677),$A$4:$A676),""))</f>
        <v>14</v>
      </c>
      <c r="I677" s="73">
        <f t="shared" si="10"/>
        <v>55.785714285714285</v>
      </c>
      <c r="J677" s="9">
        <v>142926</v>
      </c>
      <c r="K677" s="6">
        <f>IF(B677="","",IFERROR(AVERAGEIFS($I$4:$I677,$B$4:$B677,B677,$I$4:$I677,"&gt;"&amp;0),""))</f>
        <v>54.789377289377285</v>
      </c>
      <c r="L677" s="9" t="str">
        <f>IF(B677="","",IF(ISNA(MATCH(B677,Client_List!$B:$B,0)),"⚠ NOT FOUND","✓"))</f>
        <v>✓</v>
      </c>
    </row>
    <row r="678" spans="1:12" ht="14" customHeight="1" x14ac:dyDescent="0.2">
      <c r="A678" s="56">
        <v>46080</v>
      </c>
      <c r="B678" s="2" t="s">
        <v>51</v>
      </c>
      <c r="C678" s="12" t="str">
        <f>IF(B678="","",IFERROR(INDEX(Client_List!$C:$C,MATCH(B678,Client_List!$B:$B,0)),""))</f>
        <v>3</v>
      </c>
      <c r="D678" s="4" t="str">
        <f>IF(B678="","",IFERROR(INDEX(Client_List!$D:$D,MATCH(B678,Client_List!$B:$B,0)),""))</f>
        <v>3D</v>
      </c>
      <c r="E678" s="4" t="str">
        <f>IF(B678="","",IFERROR(INDEX(Client_List!$K:$K,MATCH(B678,Client_List!$B:$B,0)),""))</f>
        <v>CANOLA OIL</v>
      </c>
      <c r="F678" s="5">
        <f>IF(B678="","",IFERROR(INDEX(Client_List!$J:$J,MATCH(B678,Client_List!$B:$B,0)),""))</f>
        <v>700</v>
      </c>
      <c r="G678" s="5">
        <v>695</v>
      </c>
      <c r="H678" s="4">
        <f>IF(B678="","",IFERROR(A678-LOOKUP(2,1/($B$4:$B677=B678),$A$4:$A677),""))</f>
        <v>10</v>
      </c>
      <c r="I678" s="72">
        <f t="shared" si="10"/>
        <v>69.5</v>
      </c>
      <c r="J678" s="4">
        <v>143122</v>
      </c>
      <c r="K678" s="6">
        <f>IF(B678="","",IFERROR(AVERAGEIFS($I$4:$I678,$B$4:$B678,B678,$I$4:$I678,"&gt;"&amp;0),""))</f>
        <v>63.174895104895107</v>
      </c>
      <c r="L678" s="4" t="str">
        <f>IF(B678="","",IF(ISNA(MATCH(B678,Client_List!$B:$B,0)),"⚠ NOT FOUND","✓"))</f>
        <v>✓</v>
      </c>
    </row>
    <row r="679" spans="1:12" ht="14" customHeight="1" x14ac:dyDescent="0.2">
      <c r="A679" s="57">
        <v>46080</v>
      </c>
      <c r="B679" s="7" t="s">
        <v>67</v>
      </c>
      <c r="C679" s="3" t="str">
        <f>IF(B679="","",IFERROR(INDEX(Client_List!$C:$C,MATCH(B679,Client_List!$B:$B,0)),""))</f>
        <v>5</v>
      </c>
      <c r="D679" s="9" t="str">
        <f>IF(B679="","",IFERROR(INDEX(Client_List!$D:$D,MATCH(B679,Client_List!$B:$B,0)),""))</f>
        <v>5F</v>
      </c>
      <c r="E679" s="9" t="str">
        <f>IF(B679="","",IFERROR(INDEX(Client_List!$K:$K,MATCH(B679,Client_List!$B:$B,0)),""))</f>
        <v>CANOLA OIL</v>
      </c>
      <c r="F679" s="10">
        <f>IF(B679="","",IFERROR(INDEX(Client_List!$J:$J,MATCH(B679,Client_List!$B:$B,0)),""))</f>
        <v>950</v>
      </c>
      <c r="G679" s="10">
        <v>786</v>
      </c>
      <c r="H679" s="9">
        <f>IF(B679="","",IFERROR(A679-LOOKUP(2,1/($B$4:$B678=B679),$A$4:$A678),""))</f>
        <v>9</v>
      </c>
      <c r="I679" s="73">
        <f t="shared" si="10"/>
        <v>87.333333333333329</v>
      </c>
      <c r="J679" s="9">
        <v>143103</v>
      </c>
      <c r="K679" s="6">
        <f>IF(B679="","",IFERROR(AVERAGEIFS($I$4:$I679,$B$4:$B679,B679,$I$4:$I679,"&gt;"&amp;0),""))</f>
        <v>83.375151515151515</v>
      </c>
      <c r="L679" s="9" t="str">
        <f>IF(B679="","",IF(ISNA(MATCH(B679,Client_List!$B:$B,0)),"⚠ NOT FOUND","✓"))</f>
        <v>✓</v>
      </c>
    </row>
    <row r="680" spans="1:12" ht="14" customHeight="1" x14ac:dyDescent="0.2">
      <c r="A680" s="56">
        <v>46080</v>
      </c>
      <c r="B680" s="2" t="s">
        <v>69</v>
      </c>
      <c r="C680" s="3" t="str">
        <f>IF(B680="","",IFERROR(INDEX(Client_List!$C:$C,MATCH(B680,Client_List!$B:$B,0)),""))</f>
        <v>5</v>
      </c>
      <c r="D680" s="4" t="str">
        <f>IF(B680="","",IFERROR(INDEX(Client_List!$D:$D,MATCH(B680,Client_List!$B:$B,0)),""))</f>
        <v>5D</v>
      </c>
      <c r="E680" s="4" t="str">
        <f>IF(B680="","",IFERROR(INDEX(Client_List!$K:$K,MATCH(B680,Client_List!$B:$B,0)),""))</f>
        <v>CANOLA OIL</v>
      </c>
      <c r="F680" s="5">
        <f>IF(B680="","",IFERROR(INDEX(Client_List!$J:$J,MATCH(B680,Client_List!$B:$B,0)),""))</f>
        <v>1050</v>
      </c>
      <c r="G680" s="5">
        <v>764</v>
      </c>
      <c r="H680" s="4">
        <f>IF(B680="","",IFERROR(A680-LOOKUP(2,1/($B$4:$B679=B680),$A$4:$A679),""))</f>
        <v>13</v>
      </c>
      <c r="I680" s="72">
        <f t="shared" si="10"/>
        <v>58.769230769230766</v>
      </c>
      <c r="J680" s="4">
        <v>143124</v>
      </c>
      <c r="K680" s="6">
        <f>IF(B680="","",IFERROR(AVERAGEIFS($I$4:$I680,$B$4:$B680,B680,$I$4:$I680,"&gt;"&amp;0),""))</f>
        <v>61.396291208791212</v>
      </c>
      <c r="L680" s="4" t="str">
        <f>IF(B680="","",IF(ISNA(MATCH(B680,Client_List!$B:$B,0)),"⚠ NOT FOUND","✓"))</f>
        <v>✓</v>
      </c>
    </row>
    <row r="681" spans="1:12" ht="14" customHeight="1" x14ac:dyDescent="0.2">
      <c r="A681" s="57">
        <v>46080</v>
      </c>
      <c r="B681" s="7" t="s">
        <v>73</v>
      </c>
      <c r="C681" s="3" t="str">
        <f>IF(B681="","",IFERROR(INDEX(Client_List!$C:$C,MATCH(B681,Client_List!$B:$B,0)),""))</f>
        <v>4</v>
      </c>
      <c r="D681" s="9" t="str">
        <f>IF(B681="","",IFERROR(INDEX(Client_List!$D:$D,MATCH(B681,Client_List!$B:$B,0)),""))</f>
        <v>4D</v>
      </c>
      <c r="E681" s="9" t="str">
        <f>IF(B681="","",IFERROR(INDEX(Client_List!$K:$K,MATCH(B681,Client_List!$B:$B,0)),""))</f>
        <v>CANOLA OIL</v>
      </c>
      <c r="F681" s="10">
        <f>IF(B681="","",IFERROR(INDEX(Client_List!$J:$J,MATCH(B681,Client_List!$B:$B,0)),""))</f>
        <v>620</v>
      </c>
      <c r="G681" s="10">
        <v>455</v>
      </c>
      <c r="H681" s="9">
        <f>IF(B681="","",IFERROR(A681-LOOKUP(2,1/($B$4:$B680=B681),$A$4:$A680),""))</f>
        <v>7</v>
      </c>
      <c r="I681" s="73">
        <f t="shared" si="10"/>
        <v>65</v>
      </c>
      <c r="J681" s="9">
        <v>143098</v>
      </c>
      <c r="K681" s="6">
        <f>IF(B681="","",IFERROR(AVERAGEIFS($I$4:$I681,$B$4:$B681,B681,$I$4:$I681,"&gt;"&amp;0),""))</f>
        <v>55.677020202020195</v>
      </c>
      <c r="L681" s="9" t="str">
        <f>IF(B681="","",IF(ISNA(MATCH(B681,Client_List!$B:$B,0)),"⚠ NOT FOUND","✓"))</f>
        <v>✓</v>
      </c>
    </row>
    <row r="682" spans="1:12" ht="14" customHeight="1" x14ac:dyDescent="0.2">
      <c r="A682" s="56">
        <v>46080</v>
      </c>
      <c r="B682" s="2" t="s">
        <v>83</v>
      </c>
      <c r="C682" s="13" t="str">
        <f>IF(B682="","",IFERROR(INDEX(Client_List!$C:$C,MATCH(B682,Client_List!$B:$B,0)),""))</f>
        <v>4</v>
      </c>
      <c r="D682" s="4" t="str">
        <f>IF(B682="","",IFERROR(INDEX(Client_List!$D:$D,MATCH(B682,Client_List!$B:$B,0)),""))</f>
        <v>4D</v>
      </c>
      <c r="E682" s="4" t="str">
        <f>IF(B682="","",IFERROR(INDEX(Client_List!$K:$K,MATCH(B682,Client_List!$B:$B,0)),""))</f>
        <v>FRYERS CHOICE BLEND</v>
      </c>
      <c r="F682" s="5">
        <f>IF(B682="","",IFERROR(INDEX(Client_List!$J:$J,MATCH(B682,Client_List!$B:$B,0)),""))</f>
        <v>350</v>
      </c>
      <c r="G682" s="5">
        <v>274</v>
      </c>
      <c r="H682" s="4">
        <f>IF(B682="","",IFERROR(A682-LOOKUP(2,1/($B$4:$B681=B682),$A$4:$A681),""))</f>
        <v>8</v>
      </c>
      <c r="I682" s="72">
        <f t="shared" si="10"/>
        <v>34.25</v>
      </c>
      <c r="J682" s="4">
        <v>143120</v>
      </c>
      <c r="K682" s="6">
        <f>IF(B682="","",IFERROR(AVERAGEIFS($I$4:$I682,$B$4:$B682,B682,$I$4:$I682,"&gt;"&amp;0),""))</f>
        <v>34.75330687830688</v>
      </c>
      <c r="L682" s="4" t="str">
        <f>IF(B682="","",IF(ISNA(MATCH(B682,Client_List!$B:$B,0)),"⚠ NOT FOUND","✓"))</f>
        <v>✓</v>
      </c>
    </row>
    <row r="683" spans="1:12" ht="14" customHeight="1" x14ac:dyDescent="0.2">
      <c r="A683" s="57">
        <v>46080</v>
      </c>
      <c r="B683" s="7" t="s">
        <v>120</v>
      </c>
      <c r="C683" s="12" t="str">
        <f>IF(B683="","",IFERROR(INDEX(Client_List!$C:$C,MATCH(B683,Client_List!$B:$B,0)),""))</f>
        <v>5</v>
      </c>
      <c r="D683" s="9" t="str">
        <f>IF(B683="","",IFERROR(INDEX(Client_List!$D:$D,MATCH(B683,Client_List!$B:$B,0)),""))</f>
        <v>5D</v>
      </c>
      <c r="E683" s="9" t="str">
        <f>IF(B683="","",IFERROR(INDEX(Client_List!$K:$K,MATCH(B683,Client_List!$B:$B,0)),""))</f>
        <v>FRYERS CHOICE BLEND</v>
      </c>
      <c r="F683" s="10">
        <f>IF(B683="","",IFERROR(INDEX(Client_List!$J:$J,MATCH(B683,Client_List!$B:$B,0)),""))</f>
        <v>450</v>
      </c>
      <c r="G683" s="10">
        <v>326</v>
      </c>
      <c r="H683" s="9">
        <f>IF(B683="","",IFERROR(A683-LOOKUP(2,1/($B$4:$B682=B683),$A$4:$A682),""))</f>
        <v>6</v>
      </c>
      <c r="I683" s="73">
        <f t="shared" si="10"/>
        <v>54.333333333333336</v>
      </c>
      <c r="J683" s="9">
        <v>143121</v>
      </c>
      <c r="K683" s="6">
        <f>IF(B683="","",IFERROR(AVERAGEIFS($I$4:$I683,$B$4:$B683,B683,$I$4:$I683,"&gt;"&amp;0),""))</f>
        <v>40.240957190957197</v>
      </c>
      <c r="L683" s="9" t="str">
        <f>IF(B683="","",IF(ISNA(MATCH(B683,Client_List!$B:$B,0)),"⚠ NOT FOUND","✓"))</f>
        <v>✓</v>
      </c>
    </row>
    <row r="684" spans="1:12" ht="14" customHeight="1" x14ac:dyDescent="0.2">
      <c r="A684" s="56">
        <v>46080</v>
      </c>
      <c r="B684" s="2" t="s">
        <v>126</v>
      </c>
      <c r="C684" s="3" t="str">
        <f>IF(B684="","",IFERROR(INDEX(Client_List!$C:$C,MATCH(B684,Client_List!$B:$B,0)),""))</f>
        <v>4</v>
      </c>
      <c r="D684" s="4" t="str">
        <f>IF(B684="","",IFERROR(INDEX(Client_List!$D:$D,MATCH(B684,Client_List!$B:$B,0)),""))</f>
        <v>4D</v>
      </c>
      <c r="E684" s="4" t="str">
        <f>IF(B684="","",IFERROR(INDEX(Client_List!$K:$K,MATCH(B684,Client_List!$B:$B,0)),""))</f>
        <v>CANOLA OIL</v>
      </c>
      <c r="F684" s="5">
        <f>IF(B684="","",IFERROR(INDEX(Client_List!$J:$J,MATCH(B684,Client_List!$B:$B,0)),""))</f>
        <v>700</v>
      </c>
      <c r="G684" s="5">
        <v>548</v>
      </c>
      <c r="H684" s="4">
        <f>IF(B684="","",IFERROR(A684-LOOKUP(2,1/($B$4:$B683=B684),$A$4:$A683),""))</f>
        <v>7</v>
      </c>
      <c r="I684" s="72">
        <f t="shared" si="10"/>
        <v>78.285714285714292</v>
      </c>
      <c r="J684" s="4">
        <v>143097</v>
      </c>
      <c r="K684" s="6">
        <f>IF(B684="","",IFERROR(AVERAGEIFS($I$4:$I684,$B$4:$B684,B684,$I$4:$I684,"&gt;"&amp;0),""))</f>
        <v>70.284863945578223</v>
      </c>
      <c r="L684" s="4" t="str">
        <f>IF(B684="","",IF(ISNA(MATCH(B684,Client_List!$B:$B,0)),"⚠ NOT FOUND","✓"))</f>
        <v>✓</v>
      </c>
    </row>
    <row r="685" spans="1:12" ht="14" customHeight="1" x14ac:dyDescent="0.2">
      <c r="A685" s="57">
        <v>46080</v>
      </c>
      <c r="B685" s="7" t="s">
        <v>130</v>
      </c>
      <c r="C685" s="8" t="str">
        <f>IF(B685="","",IFERROR(INDEX(Client_List!$C:$C,MATCH(B685,Client_List!$B:$B,0)),""))</f>
        <v>4</v>
      </c>
      <c r="D685" s="9" t="str">
        <f>IF(B685="","",IFERROR(INDEX(Client_List!$D:$D,MATCH(B685,Client_List!$B:$B,0)),""))</f>
        <v>4E</v>
      </c>
      <c r="E685" s="9" t="str">
        <f>IF(B685="","",IFERROR(INDEX(Client_List!$K:$K,MATCH(B685,Client_List!$B:$B,0)),""))</f>
        <v>FRYERS CHOICE BLEND</v>
      </c>
      <c r="F685" s="10">
        <f>IF(B685="","",IFERROR(INDEX(Client_List!$J:$J,MATCH(B685,Client_List!$B:$B,0)),""))</f>
        <v>2500</v>
      </c>
      <c r="G685" s="10">
        <v>1655</v>
      </c>
      <c r="H685" s="9">
        <f>IF(B685="","",IFERROR(A685-LOOKUP(2,1/($B$4:$B684=B685),$A$4:$A684),""))</f>
        <v>16</v>
      </c>
      <c r="I685" s="73">
        <f t="shared" si="10"/>
        <v>103.4375</v>
      </c>
      <c r="J685" s="9">
        <v>143123</v>
      </c>
      <c r="K685" s="6">
        <f>IF(B685="","",IFERROR(AVERAGEIFS($I$4:$I685,$B$4:$B685,B685,$I$4:$I685,"&gt;"&amp;0),""))</f>
        <v>111.72462121212122</v>
      </c>
      <c r="L685" s="9" t="str">
        <f>IF(B685="","",IF(ISNA(MATCH(B685,Client_List!$B:$B,0)),"⚠ NOT FOUND","✓"))</f>
        <v>✓</v>
      </c>
    </row>
    <row r="686" spans="1:12" ht="14" customHeight="1" x14ac:dyDescent="0.2">
      <c r="A686" s="56">
        <v>46080</v>
      </c>
      <c r="B686" s="2" t="s">
        <v>132</v>
      </c>
      <c r="C686" s="13" t="str">
        <f>IF(B686="","",IFERROR(INDEX(Client_List!$C:$C,MATCH(B686,Client_List!$B:$B,0)),""))</f>
        <v>3</v>
      </c>
      <c r="D686" s="4" t="str">
        <f>IF(B686="","",IFERROR(INDEX(Client_List!$D:$D,MATCH(B686,Client_List!$B:$B,0)),""))</f>
        <v>3C</v>
      </c>
      <c r="E686" s="4" t="str">
        <f>IF(B686="","",IFERROR(INDEX(Client_List!$K:$K,MATCH(B686,Client_List!$B:$B,0)),""))</f>
        <v>CANOLA OIL</v>
      </c>
      <c r="F686" s="5">
        <f>IF(B686="","",IFERROR(INDEX(Client_List!$J:$J,MATCH(B686,Client_List!$B:$B,0)),""))</f>
        <v>630</v>
      </c>
      <c r="G686" s="5">
        <v>578</v>
      </c>
      <c r="H686" s="4">
        <f>IF(B686="","",IFERROR(A686-LOOKUP(2,1/($B$4:$B685=B686),$A$4:$A685),""))</f>
        <v>11</v>
      </c>
      <c r="I686" s="72">
        <f t="shared" si="10"/>
        <v>52.545454545454547</v>
      </c>
      <c r="J686" s="4">
        <v>143096</v>
      </c>
      <c r="K686" s="6">
        <f>IF(B686="","",IFERROR(AVERAGEIFS($I$4:$I686,$B$4:$B686,B686,$I$4:$I686,"&gt;"&amp;0),""))</f>
        <v>42.307744107744107</v>
      </c>
      <c r="L686" s="4" t="str">
        <f>IF(B686="","",IF(ISNA(MATCH(B686,Client_List!$B:$B,0)),"⚠ NOT FOUND","✓"))</f>
        <v>✓</v>
      </c>
    </row>
    <row r="687" spans="1:12" ht="14" customHeight="1" x14ac:dyDescent="0.2">
      <c r="A687" s="57">
        <v>46080</v>
      </c>
      <c r="B687" s="7" t="s">
        <v>146</v>
      </c>
      <c r="C687" s="3" t="str">
        <f>IF(B687="","",IFERROR(INDEX(Client_List!$C:$C,MATCH(B687,Client_List!$B:$B,0)),""))</f>
        <v>4</v>
      </c>
      <c r="D687" s="9" t="str">
        <f>IF(B687="","",IFERROR(INDEX(Client_List!$D:$D,MATCH(B687,Client_List!$B:$B,0)),""))</f>
        <v>4F</v>
      </c>
      <c r="E687" s="9" t="str">
        <f>IF(B687="","",IFERROR(INDEX(Client_List!$K:$K,MATCH(B687,Client_List!$B:$B,0)),""))</f>
        <v>CANOLA OIL</v>
      </c>
      <c r="F687" s="10">
        <f>IF(B687="","",IFERROR(INDEX(Client_List!$J:$J,MATCH(B687,Client_List!$B:$B,0)),""))</f>
        <v>950</v>
      </c>
      <c r="G687" s="10">
        <v>946</v>
      </c>
      <c r="H687" s="9">
        <f>IF(B687="","",IFERROR(A687-LOOKUP(2,1/($B$4:$B686=B687),$A$4:$A686),""))</f>
        <v>28</v>
      </c>
      <c r="I687" s="73">
        <f t="shared" si="10"/>
        <v>33.785714285714285</v>
      </c>
      <c r="J687" s="9">
        <v>143108</v>
      </c>
      <c r="K687" s="6">
        <f>IF(B687="","",IFERROR(AVERAGEIFS($I$4:$I687,$B$4:$B687,B687,$I$4:$I687,"&gt;"&amp;0),""))</f>
        <v>31.313909774436091</v>
      </c>
      <c r="L687" s="9" t="str">
        <f>IF(B687="","",IF(ISNA(MATCH(B687,Client_List!$B:$B,0)),"⚠ NOT FOUND","✓"))</f>
        <v>✓</v>
      </c>
    </row>
    <row r="688" spans="1:12" ht="14" customHeight="1" x14ac:dyDescent="0.2">
      <c r="A688" s="56">
        <v>46080</v>
      </c>
      <c r="B688" s="2" t="s">
        <v>164</v>
      </c>
      <c r="C688" s="3" t="str">
        <f>IF(B688="","",IFERROR(INDEX(Client_List!$C:$C,MATCH(B688,Client_List!$B:$B,0)),""))</f>
        <v>3</v>
      </c>
      <c r="D688" s="4" t="str">
        <f>IF(B688="","",IFERROR(INDEX(Client_List!$D:$D,MATCH(B688,Client_List!$B:$B,0)),""))</f>
        <v>3E</v>
      </c>
      <c r="E688" s="4" t="str">
        <f>IF(B688="","",IFERROR(INDEX(Client_List!$K:$K,MATCH(B688,Client_List!$B:$B,0)),""))</f>
        <v>CANOLA OIL</v>
      </c>
      <c r="F688" s="5">
        <f>IF(B688="","",IFERROR(INDEX(Client_List!$J:$J,MATCH(B688,Client_List!$B:$B,0)),""))</f>
        <v>1050</v>
      </c>
      <c r="G688" s="5">
        <v>914</v>
      </c>
      <c r="H688" s="4">
        <f>IF(B688="","",IFERROR(A688-LOOKUP(2,1/($B$4:$B687=B688),$A$4:$A687),""))</f>
        <v>11</v>
      </c>
      <c r="I688" s="72">
        <f t="shared" si="10"/>
        <v>83.090909090909093</v>
      </c>
      <c r="J688" s="4">
        <v>143125</v>
      </c>
      <c r="K688" s="6">
        <f>IF(B688="","",IFERROR(AVERAGEIFS($I$4:$I688,$B$4:$B688,B688,$I$4:$I688,"&gt;"&amp;0),""))</f>
        <v>64.016822638146166</v>
      </c>
      <c r="L688" s="4" t="str">
        <f>IF(B688="","",IF(ISNA(MATCH(B688,Client_List!$B:$B,0)),"⚠ NOT FOUND","✓"))</f>
        <v>✓</v>
      </c>
    </row>
    <row r="689" spans="1:12" ht="14" customHeight="1" x14ac:dyDescent="0.2">
      <c r="A689" s="57">
        <v>46080</v>
      </c>
      <c r="B689" s="7" t="s">
        <v>166</v>
      </c>
      <c r="C689" s="8" t="str">
        <f>IF(B689="","",IFERROR(INDEX(Client_List!$C:$C,MATCH(B689,Client_List!$B:$B,0)),""))</f>
        <v>4</v>
      </c>
      <c r="D689" s="9" t="str">
        <f>IF(B689="","",IFERROR(INDEX(Client_List!$D:$D,MATCH(B689,Client_List!$B:$B,0)),""))</f>
        <v>4B</v>
      </c>
      <c r="E689" s="9" t="str">
        <f>IF(B689="","",IFERROR(INDEX(Client_List!$K:$K,MATCH(B689,Client_List!$B:$B,0)),""))</f>
        <v>CANOLA OIL</v>
      </c>
      <c r="F689" s="10">
        <f>IF(B689="","",IFERROR(INDEX(Client_List!$J:$J,MATCH(B689,Client_List!$B:$B,0)),""))</f>
        <v>1050</v>
      </c>
      <c r="G689" s="10">
        <v>850</v>
      </c>
      <c r="H689" s="9">
        <f>IF(B689="","",IFERROR(A689-LOOKUP(2,1/($B$4:$B688=B689),$A$4:$A688),""))</f>
        <v>12</v>
      </c>
      <c r="I689" s="73">
        <f t="shared" si="10"/>
        <v>70.833333333333329</v>
      </c>
      <c r="J689" s="9">
        <v>143102</v>
      </c>
      <c r="K689" s="6">
        <f>IF(B689="","",IFERROR(AVERAGEIFS($I$4:$I689,$B$4:$B689,B689,$I$4:$I689,"&gt;"&amp;0),""))</f>
        <v>71.355555555555554</v>
      </c>
      <c r="L689" s="9" t="str">
        <f>IF(B689="","",IF(ISNA(MATCH(B689,Client_List!$B:$B,0)),"⚠ NOT FOUND","✓"))</f>
        <v>✓</v>
      </c>
    </row>
    <row r="690" spans="1:12" ht="14" customHeight="1" x14ac:dyDescent="0.2">
      <c r="A690" s="56">
        <v>46080</v>
      </c>
      <c r="B690" s="2" t="s">
        <v>184</v>
      </c>
      <c r="C690" s="11" t="str">
        <f>IF(B690="","",IFERROR(INDEX(Client_List!$C:$C,MATCH(B690,Client_List!$B:$B,0)),""))</f>
        <v>3</v>
      </c>
      <c r="D690" s="4" t="str">
        <f>IF(B690="","",IFERROR(INDEX(Client_List!$D:$D,MATCH(B690,Client_List!$B:$B,0)),""))</f>
        <v>3C</v>
      </c>
      <c r="E690" s="4" t="str">
        <f>IF(B690="","",IFERROR(INDEX(Client_List!$K:$K,MATCH(B690,Client_List!$B:$B,0)),""))</f>
        <v>CANOLA OIL</v>
      </c>
      <c r="F690" s="5">
        <f>IF(B690="","",IFERROR(INDEX(Client_List!$J:$J,MATCH(B690,Client_List!$B:$B,0)),""))</f>
        <v>1050</v>
      </c>
      <c r="G690" s="5">
        <v>1068</v>
      </c>
      <c r="H690" s="4">
        <f>IF(B690="","",IFERROR(A690-LOOKUP(2,1/($B$4:$B689=B690),$A$4:$A689),""))</f>
        <v>11</v>
      </c>
      <c r="I690" s="72">
        <f t="shared" si="10"/>
        <v>97.090909090909093</v>
      </c>
      <c r="J690" s="4">
        <v>143105</v>
      </c>
      <c r="K690" s="6">
        <f>IF(B690="","",IFERROR(AVERAGEIFS($I$4:$I690,$B$4:$B690,B690,$I$4:$I690,"&gt;"&amp;0),""))</f>
        <v>102.23870129870132</v>
      </c>
      <c r="L690" s="4" t="str">
        <f>IF(B690="","",IF(ISNA(MATCH(B690,Client_List!$B:$B,0)),"⚠ NOT FOUND","✓"))</f>
        <v>✓</v>
      </c>
    </row>
    <row r="691" spans="1:12" ht="14" customHeight="1" x14ac:dyDescent="0.2">
      <c r="A691" s="57">
        <v>46080</v>
      </c>
      <c r="B691" s="7" t="s">
        <v>192</v>
      </c>
      <c r="C691" s="3" t="str">
        <f>IF(B691="","",IFERROR(INDEX(Client_List!$C:$C,MATCH(B691,Client_List!$B:$B,0)),""))</f>
        <v>4</v>
      </c>
      <c r="D691" s="9" t="str">
        <f>IF(B691="","",IFERROR(INDEX(Client_List!$D:$D,MATCH(B691,Client_List!$B:$B,0)),""))</f>
        <v>4C</v>
      </c>
      <c r="E691" s="9" t="str">
        <f>IF(B691="","",IFERROR(INDEX(Client_List!$K:$K,MATCH(B691,Client_List!$B:$B,0)),""))</f>
        <v>CANOLA OIL</v>
      </c>
      <c r="F691" s="10">
        <f>IF(B691="","",IFERROR(INDEX(Client_List!$J:$J,MATCH(B691,Client_List!$B:$B,0)),""))</f>
        <v>350</v>
      </c>
      <c r="G691" s="10">
        <v>342</v>
      </c>
      <c r="H691" s="9">
        <f>IF(B691="","",IFERROR(A691-LOOKUP(2,1/($B$4:$B690=B691),$A$4:$A690),""))</f>
        <v>39</v>
      </c>
      <c r="I691" s="73">
        <f t="shared" si="10"/>
        <v>8.7692307692307701</v>
      </c>
      <c r="J691" s="9">
        <v>143099</v>
      </c>
      <c r="K691" s="6">
        <f>IF(B691="","",IFERROR(AVERAGEIFS($I$4:$I691,$B$4:$B691,B691,$I$4:$I691,"&gt;"&amp;0),""))</f>
        <v>8.7692307692307701</v>
      </c>
      <c r="L691" s="9" t="str">
        <f>IF(B691="","",IF(ISNA(MATCH(B691,Client_List!$B:$B,0)),"⚠ NOT FOUND","✓"))</f>
        <v>✓</v>
      </c>
    </row>
    <row r="692" spans="1:12" ht="14" customHeight="1" x14ac:dyDescent="0.2">
      <c r="A692" s="56">
        <v>46080</v>
      </c>
      <c r="B692" s="2" t="s">
        <v>202</v>
      </c>
      <c r="C692" s="8" t="str">
        <f>IF(B692="","",IFERROR(INDEX(Client_List!$C:$C,MATCH(B692,Client_List!$B:$B,0)),""))</f>
        <v>4</v>
      </c>
      <c r="D692" s="4" t="str">
        <f>IF(B692="","",IFERROR(INDEX(Client_List!$D:$D,MATCH(B692,Client_List!$B:$B,0)),""))</f>
        <v>4D</v>
      </c>
      <c r="E692" s="4" t="str">
        <f>IF(B692="","",IFERROR(INDEX(Client_List!$K:$K,MATCH(B692,Client_List!$B:$B,0)),""))</f>
        <v>CANOLA OIL</v>
      </c>
      <c r="F692" s="5">
        <f>IF(B692="","",IFERROR(INDEX(Client_List!$J:$J,MATCH(B692,Client_List!$B:$B,0)),""))</f>
        <v>1050</v>
      </c>
      <c r="G692" s="5">
        <v>851</v>
      </c>
      <c r="H692" s="4">
        <f>IF(B692="","",IFERROR(A692-LOOKUP(2,1/($B$4:$B691=B692),$A$4:$A691),""))</f>
        <v>11</v>
      </c>
      <c r="I692" s="72">
        <f t="shared" si="10"/>
        <v>77.36363636363636</v>
      </c>
      <c r="J692" s="4">
        <v>143095</v>
      </c>
      <c r="K692" s="6">
        <f>IF(B692="","",IFERROR(AVERAGEIFS($I$4:$I692,$B$4:$B692,B692,$I$4:$I692,"&gt;"&amp;0),""))</f>
        <v>77.377922077922079</v>
      </c>
      <c r="L692" s="4" t="str">
        <f>IF(B692="","",IF(ISNA(MATCH(B692,Client_List!$B:$B,0)),"⚠ NOT FOUND","✓"))</f>
        <v>✓</v>
      </c>
    </row>
    <row r="693" spans="1:12" ht="14" customHeight="1" x14ac:dyDescent="0.2">
      <c r="A693" s="57">
        <v>46080</v>
      </c>
      <c r="B693" s="7" t="s">
        <v>226</v>
      </c>
      <c r="C693" s="3" t="str">
        <f>IF(B693="","",IFERROR(INDEX(Client_List!$C:$C,MATCH(B693,Client_List!$B:$B,0)),""))</f>
        <v>4</v>
      </c>
      <c r="D693" s="9" t="str">
        <f>IF(B693="","",IFERROR(INDEX(Client_List!$D:$D,MATCH(B693,Client_List!$B:$B,0)),""))</f>
        <v>4F</v>
      </c>
      <c r="E693" s="9" t="str">
        <f>IF(B693="","",IFERROR(INDEX(Client_List!$K:$K,MATCH(B693,Client_List!$B:$B,0)),""))</f>
        <v>CANOLA OIL</v>
      </c>
      <c r="F693" s="10">
        <f>IF(B693="","",IFERROR(INDEX(Client_List!$J:$J,MATCH(B693,Client_List!$B:$B,0)),""))</f>
        <v>660</v>
      </c>
      <c r="G693" s="10">
        <v>615</v>
      </c>
      <c r="H693" s="9">
        <f>IF(B693="","",IFERROR(A693-LOOKUP(2,1/($B$4:$B692=B693),$A$4:$A692),""))</f>
        <v>22</v>
      </c>
      <c r="I693" s="73">
        <f t="shared" si="10"/>
        <v>27.954545454545453</v>
      </c>
      <c r="J693" s="9">
        <v>143119</v>
      </c>
      <c r="K693" s="6">
        <f>IF(B693="","",IFERROR(AVERAGEIFS($I$4:$I693,$B$4:$B693,B693,$I$4:$I693,"&gt;"&amp;0),""))</f>
        <v>30.177272727272726</v>
      </c>
      <c r="L693" s="9" t="str">
        <f>IF(B693="","",IF(ISNA(MATCH(B693,Client_List!$B:$B,0)),"⚠ NOT FOUND","✓"))</f>
        <v>✓</v>
      </c>
    </row>
    <row r="694" spans="1:12" ht="14" customHeight="1" x14ac:dyDescent="0.2">
      <c r="A694" s="56">
        <v>46080</v>
      </c>
      <c r="B694" s="2" t="s">
        <v>242</v>
      </c>
      <c r="C694" s="3" t="str">
        <f>IF(B694="","",IFERROR(INDEX(Client_List!$C:$C,MATCH(B694,Client_List!$B:$B,0)),""))</f>
        <v>4</v>
      </c>
      <c r="D694" s="4" t="str">
        <f>IF(B694="","",IFERROR(INDEX(Client_List!$D:$D,MATCH(B694,Client_List!$B:$B,0)),""))</f>
        <v>4D</v>
      </c>
      <c r="E694" s="4" t="str">
        <f>IF(B694="","",IFERROR(INDEX(Client_List!$K:$K,MATCH(B694,Client_List!$B:$B,0)),""))</f>
        <v>FRYERS CHOICE BLEND</v>
      </c>
      <c r="F694" s="5">
        <f>IF(B694="","",IFERROR(INDEX(Client_List!$J:$J,MATCH(B694,Client_List!$B:$B,0)),""))</f>
        <v>950</v>
      </c>
      <c r="G694" s="5">
        <v>793</v>
      </c>
      <c r="H694" s="4">
        <f>IF(B694="","",IFERROR(A694-LOOKUP(2,1/($B$4:$B693=B694),$A$4:$A693),""))</f>
        <v>9</v>
      </c>
      <c r="I694" s="72">
        <f t="shared" si="10"/>
        <v>88.111111111111114</v>
      </c>
      <c r="J694" s="4">
        <v>143094</v>
      </c>
      <c r="K694" s="6">
        <f>IF(B694="","",IFERROR(AVERAGEIFS($I$4:$I694,$B$4:$B694,B694,$I$4:$I694,"&gt;"&amp;0),""))</f>
        <v>75.267643467643467</v>
      </c>
      <c r="L694" s="4" t="str">
        <f>IF(B694="","",IF(ISNA(MATCH(B694,Client_List!$B:$B,0)),"⚠ NOT FOUND","✓"))</f>
        <v>✓</v>
      </c>
    </row>
    <row r="695" spans="1:12" ht="14" customHeight="1" x14ac:dyDescent="0.2">
      <c r="A695" s="57">
        <v>46080</v>
      </c>
      <c r="B695" s="7" t="s">
        <v>248</v>
      </c>
      <c r="C695" s="11" t="str">
        <f>IF(B695="","",IFERROR(INDEX(Client_List!$C:$C,MATCH(B695,Client_List!$B:$B,0)),""))</f>
        <v>3</v>
      </c>
      <c r="D695" s="9" t="str">
        <f>IF(B695="","",IFERROR(INDEX(Client_List!$D:$D,MATCH(B695,Client_List!$B:$B,0)),""))</f>
        <v>3E</v>
      </c>
      <c r="E695" s="9" t="str">
        <f>IF(B695="","",IFERROR(INDEX(Client_List!$K:$K,MATCH(B695,Client_List!$B:$B,0)),""))</f>
        <v>FRYERS CHOICE BLEND</v>
      </c>
      <c r="F695" s="10">
        <f>IF(B695="","",IFERROR(INDEX(Client_List!$J:$J,MATCH(B695,Client_List!$B:$B,0)),""))</f>
        <v>950</v>
      </c>
      <c r="G695" s="10">
        <v>676</v>
      </c>
      <c r="H695" s="9">
        <f>IF(B695="","",IFERROR(A695-LOOKUP(2,1/($B$4:$B694=B695),$A$4:$A694),""))</f>
        <v>8</v>
      </c>
      <c r="I695" s="73">
        <f t="shared" si="10"/>
        <v>84.5</v>
      </c>
      <c r="J695" s="9">
        <v>143118</v>
      </c>
      <c r="K695" s="6">
        <f>IF(B695="","",IFERROR(AVERAGEIFS($I$4:$I695,$B$4:$B695,B695,$I$4:$I695,"&gt;"&amp;0),""))</f>
        <v>70.590909090909093</v>
      </c>
      <c r="L695" s="9" t="str">
        <f>IF(B695="","",IF(ISNA(MATCH(B695,Client_List!$B:$B,0)),"⚠ NOT FOUND","✓"))</f>
        <v>✓</v>
      </c>
    </row>
    <row r="696" spans="1:12" ht="14" customHeight="1" x14ac:dyDescent="0.2">
      <c r="A696" s="56">
        <v>46080</v>
      </c>
      <c r="B696" s="2" t="s">
        <v>296</v>
      </c>
      <c r="C696" s="3" t="str">
        <f>IF(B696="","",IFERROR(INDEX(Client_List!$C:$C,MATCH(B696,Client_List!$B:$B,0)),""))</f>
        <v>4</v>
      </c>
      <c r="D696" s="4" t="str">
        <f>IF(B696="","",IFERROR(INDEX(Client_List!$D:$D,MATCH(B696,Client_List!$B:$B,0)),""))</f>
        <v>4C</v>
      </c>
      <c r="E696" s="4" t="str">
        <f>IF(B696="","",IFERROR(INDEX(Client_List!$K:$K,MATCH(B696,Client_List!$B:$B,0)),""))</f>
        <v>FRYERS CHOICE BLEND</v>
      </c>
      <c r="F696" s="5">
        <f>IF(B696="","",IFERROR(INDEX(Client_List!$J:$J,MATCH(B696,Client_List!$B:$B,0)),""))</f>
        <v>480</v>
      </c>
      <c r="G696" s="5">
        <v>437</v>
      </c>
      <c r="H696" s="4">
        <f>IF(B696="","",IFERROR(A696-LOOKUP(2,1/($B$4:$B695=B696),$A$4:$A695),""))</f>
        <v>29</v>
      </c>
      <c r="I696" s="72">
        <f t="shared" si="10"/>
        <v>15.068965517241379</v>
      </c>
      <c r="J696" s="4">
        <v>143100</v>
      </c>
      <c r="K696" s="6">
        <f>IF(B696="","",IFERROR(AVERAGEIFS($I$4:$I696,$B$4:$B696,B696,$I$4:$I696,"&gt;"&amp;0),""))</f>
        <v>15.068965517241379</v>
      </c>
      <c r="L696" s="4" t="str">
        <f>IF(B696="","",IF(ISNA(MATCH(B696,Client_List!$B:$B,0)),"⚠ NOT FOUND","✓"))</f>
        <v>✓</v>
      </c>
    </row>
    <row r="697" spans="1:12" ht="14" customHeight="1" x14ac:dyDescent="0.2">
      <c r="A697" s="57">
        <v>46080</v>
      </c>
      <c r="B697" s="7" t="s">
        <v>300</v>
      </c>
      <c r="C697" s="3" t="str">
        <f>IF(B697="","",IFERROR(INDEX(Client_List!$C:$C,MATCH(B697,Client_List!$B:$B,0)),""))</f>
        <v>4</v>
      </c>
      <c r="D697" s="9" t="str">
        <f>IF(B697="","",IFERROR(INDEX(Client_List!$D:$D,MATCH(B697,Client_List!$B:$B,0)),""))</f>
        <v>4C</v>
      </c>
      <c r="E697" s="9" t="str">
        <f>IF(B697="","",IFERROR(INDEX(Client_List!$K:$K,MATCH(B697,Client_List!$B:$B,0)),""))</f>
        <v>FRYERS CHOICE BLEND</v>
      </c>
      <c r="F697" s="10">
        <f>IF(B697="","",IFERROR(INDEX(Client_List!$J:$J,MATCH(B697,Client_List!$B:$B,0)),""))</f>
        <v>350</v>
      </c>
      <c r="G697" s="10">
        <v>193</v>
      </c>
      <c r="H697" s="9">
        <f>IF(B697="","",IFERROR(A697-LOOKUP(2,1/($B$4:$B696=B697),$A$4:$A696),""))</f>
        <v>7</v>
      </c>
      <c r="I697" s="73">
        <f t="shared" si="10"/>
        <v>27.571428571428573</v>
      </c>
      <c r="J697" s="9">
        <v>143101</v>
      </c>
      <c r="K697" s="6">
        <f>IF(B697="","",IFERROR(AVERAGEIFS($I$4:$I697,$B$4:$B697,B697,$I$4:$I697,"&gt;"&amp;0),""))</f>
        <v>31.014285714285716</v>
      </c>
      <c r="L697" s="9" t="str">
        <f>IF(B697="","",IF(ISNA(MATCH(B697,Client_List!$B:$B,0)),"⚠ NOT FOUND","✓"))</f>
        <v>✓</v>
      </c>
    </row>
    <row r="698" spans="1:12" ht="14" customHeight="1" x14ac:dyDescent="0.2">
      <c r="A698" s="56">
        <v>46080</v>
      </c>
      <c r="B698" s="2" t="s">
        <v>304</v>
      </c>
      <c r="C698" s="11" t="str">
        <f>IF(B698="","",IFERROR(INDEX(Client_List!$C:$C,MATCH(B698,Client_List!$B:$B,0)),""))</f>
        <v>3</v>
      </c>
      <c r="D698" s="4" t="str">
        <f>IF(B698="","",IFERROR(INDEX(Client_List!$D:$D,MATCH(B698,Client_List!$B:$B,0)),""))</f>
        <v>3B</v>
      </c>
      <c r="E698" s="4" t="str">
        <f>IF(B698="","",IFERROR(INDEX(Client_List!$K:$K,MATCH(B698,Client_List!$B:$B,0)),""))</f>
        <v>CANOLA OIL</v>
      </c>
      <c r="F698" s="5">
        <f>IF(B698="","",IFERROR(INDEX(Client_List!$J:$J,MATCH(B698,Client_List!$B:$B,0)),""))</f>
        <v>350</v>
      </c>
      <c r="G698" s="5">
        <v>102</v>
      </c>
      <c r="H698" s="4">
        <f>IF(B698="","",IFERROR(A698-LOOKUP(2,1/($B$4:$B697=B698),$A$4:$A697),""))</f>
        <v>7</v>
      </c>
      <c r="I698" s="72">
        <f t="shared" si="10"/>
        <v>14.571428571428571</v>
      </c>
      <c r="J698" s="4">
        <v>143104</v>
      </c>
      <c r="K698" s="6">
        <f>IF(B698="","",IFERROR(AVERAGEIFS($I$4:$I698,$B$4:$B698,B698,$I$4:$I698,"&gt;"&amp;0),""))</f>
        <v>43.220899470899468</v>
      </c>
      <c r="L698" s="4" t="str">
        <f>IF(B698="","",IF(ISNA(MATCH(B698,Client_List!$B:$B,0)),"⚠ NOT FOUND","✓"))</f>
        <v>✓</v>
      </c>
    </row>
    <row r="699" spans="1:12" ht="14" customHeight="1" x14ac:dyDescent="0.2">
      <c r="A699" s="57">
        <v>46081</v>
      </c>
      <c r="B699" s="7" t="s">
        <v>35</v>
      </c>
      <c r="C699" s="3" t="str">
        <f>IF(B699="","",IFERROR(INDEX(Client_List!$C:$C,MATCH(B699,Client_List!$B:$B,0)),""))</f>
        <v>2</v>
      </c>
      <c r="D699" s="9" t="str">
        <f>IF(B699="","",IFERROR(INDEX(Client_List!$D:$D,MATCH(B699,Client_List!$B:$B,0)),""))</f>
        <v>2C</v>
      </c>
      <c r="E699" s="9" t="str">
        <f>IF(B699="","",IFERROR(INDEX(Client_List!$K:$K,MATCH(B699,Client_List!$B:$B,0)),""))</f>
        <v>CANOLA OIL</v>
      </c>
      <c r="F699" s="10">
        <f>IF(B699="","",IFERROR(INDEX(Client_List!$J:$J,MATCH(B699,Client_List!$B:$B,0)),""))</f>
        <v>950</v>
      </c>
      <c r="G699" s="10">
        <v>766</v>
      </c>
      <c r="H699" s="9">
        <f>IF(B699="","",IFERROR(A699-LOOKUP(2,1/($B$4:$B698=B699),$A$4:$A698),""))</f>
        <v>9</v>
      </c>
      <c r="I699" s="73">
        <f t="shared" si="10"/>
        <v>85.111111111111114</v>
      </c>
      <c r="J699" s="9">
        <v>143172</v>
      </c>
      <c r="K699" s="6">
        <f>IF(B699="","",IFERROR(AVERAGEIFS($I$4:$I699,$B$4:$B699,B699,$I$4:$I699,"&gt;"&amp;0),""))</f>
        <v>80.726495726495727</v>
      </c>
      <c r="L699" s="9" t="str">
        <f>IF(B699="","",IF(ISNA(MATCH(B699,Client_List!$B:$B,0)),"⚠ NOT FOUND","✓"))</f>
        <v>✓</v>
      </c>
    </row>
    <row r="700" spans="1:12" ht="14" customHeight="1" x14ac:dyDescent="0.2">
      <c r="A700" s="56">
        <v>46081</v>
      </c>
      <c r="B700" s="2" t="s">
        <v>364</v>
      </c>
      <c r="C700" s="11">
        <f>IF(B700="","",IFERROR(INDEX(Client_List!$C:$C,MATCH(B700,Client_List!$B:$B,0)),""))</f>
        <v>0</v>
      </c>
      <c r="D700" s="4" t="str">
        <f>IF(B700="","",IFERROR(INDEX(Client_List!$D:$D,MATCH(B700,Client_List!$B:$B,0)),""))</f>
        <v>TU</v>
      </c>
      <c r="E700" s="4" t="str">
        <f>IF(B700="","",IFERROR(INDEX(Client_List!$K:$K,MATCH(B700,Client_List!$B:$B,0)),""))</f>
        <v>FRYERS CHOICE BLEND</v>
      </c>
      <c r="F700" s="5">
        <f>IF(B700="","",IFERROR(INDEX(Client_List!$J:$J,MATCH(B700,Client_List!$B:$B,0)),""))</f>
        <v>1000</v>
      </c>
      <c r="G700" s="5">
        <v>738</v>
      </c>
      <c r="H700" s="4">
        <f>IF(B700="","",IFERROR(A700-LOOKUP(2,1/($B$4:$B699=B700),$A$4:$A699),""))</f>
        <v>14</v>
      </c>
      <c r="I700" s="72">
        <f t="shared" si="10"/>
        <v>52.714285714285715</v>
      </c>
      <c r="J700" s="4">
        <v>143149</v>
      </c>
      <c r="K700" s="6">
        <f>IF(B700="","",IFERROR(AVERAGEIFS($I$4:$I700,$B$4:$B700,B700,$I$4:$I700,"&gt;"&amp;0),""))</f>
        <v>52.892857142857139</v>
      </c>
      <c r="L700" s="4" t="str">
        <f>IF(B700="","",IF(ISNA(MATCH(B700,Client_List!$B:$B,0)),"⚠ NOT FOUND","✓"))</f>
        <v>✓</v>
      </c>
    </row>
    <row r="701" spans="1:12" ht="14" customHeight="1" x14ac:dyDescent="0.2">
      <c r="A701" s="57">
        <v>46081</v>
      </c>
      <c r="B701" s="7" t="s">
        <v>49</v>
      </c>
      <c r="C701" s="8" t="str">
        <f>IF(B701="","",IFERROR(INDEX(Client_List!$C:$C,MATCH(B701,Client_List!$B:$B,0)),""))</f>
        <v>2</v>
      </c>
      <c r="D701" s="9" t="str">
        <f>IF(B701="","",IFERROR(INDEX(Client_List!$D:$D,MATCH(B701,Client_List!$B:$B,0)),""))</f>
        <v>2C</v>
      </c>
      <c r="E701" s="9" t="str">
        <f>IF(B701="","",IFERROR(INDEX(Client_List!$K:$K,MATCH(B701,Client_List!$B:$B,0)),""))</f>
        <v>CANOLA OIL</v>
      </c>
      <c r="F701" s="10">
        <f>IF(B701="","",IFERROR(INDEX(Client_List!$J:$J,MATCH(B701,Client_List!$B:$B,0)),""))</f>
        <v>950</v>
      </c>
      <c r="G701" s="10">
        <v>586</v>
      </c>
      <c r="H701" s="9">
        <f>IF(B701="","",IFERROR(A701-LOOKUP(2,1/($B$4:$B700=B701),$A$4:$A700),""))</f>
        <v>9</v>
      </c>
      <c r="I701" s="73">
        <f t="shared" si="10"/>
        <v>65.111111111111114</v>
      </c>
      <c r="J701" s="9">
        <v>143175</v>
      </c>
      <c r="K701" s="6">
        <f>IF(B701="","",IFERROR(AVERAGEIFS($I$4:$I701,$B$4:$B701,B701,$I$4:$I701,"&gt;"&amp;0),""))</f>
        <v>71.186666666666653</v>
      </c>
      <c r="L701" s="9" t="str">
        <f>IF(B701="","",IF(ISNA(MATCH(B701,Client_List!$B:$B,0)),"⚠ NOT FOUND","✓"))</f>
        <v>✓</v>
      </c>
    </row>
    <row r="702" spans="1:12" ht="14" customHeight="1" x14ac:dyDescent="0.2">
      <c r="A702" s="56">
        <v>46081</v>
      </c>
      <c r="B702" s="2" t="s">
        <v>75</v>
      </c>
      <c r="C702" s="8" t="str">
        <f>IF(B702="","",IFERROR(INDEX(Client_List!$C:$C,MATCH(B702,Client_List!$B:$B,0)),""))</f>
        <v>1</v>
      </c>
      <c r="D702" s="4" t="str">
        <f>IF(B702="","",IFERROR(INDEX(Client_List!$D:$D,MATCH(B702,Client_List!$B:$B,0)),""))</f>
        <v>1D</v>
      </c>
      <c r="E702" s="4" t="str">
        <f>IF(B702="","",IFERROR(INDEX(Client_List!$K:$K,MATCH(B702,Client_List!$B:$B,0)),""))</f>
        <v>CANOLA OIL</v>
      </c>
      <c r="F702" s="5">
        <f>IF(B702="","",IFERROR(INDEX(Client_List!$J:$J,MATCH(B702,Client_List!$B:$B,0)),""))</f>
        <v>620</v>
      </c>
      <c r="G702" s="5">
        <v>829</v>
      </c>
      <c r="H702" s="4">
        <f>IF(B702="","",IFERROR(A702-LOOKUP(2,1/($B$4:$B701=B702),$A$4:$A701),""))</f>
        <v>5</v>
      </c>
      <c r="I702" s="72">
        <f t="shared" si="10"/>
        <v>165.8</v>
      </c>
      <c r="J702" s="4">
        <v>143173</v>
      </c>
      <c r="K702" s="6">
        <f>IF(B702="","",IFERROR(AVERAGEIFS($I$4:$I702,$B$4:$B702,B702,$I$4:$I702,"&gt;"&amp;0),""))</f>
        <v>114.33439153439151</v>
      </c>
      <c r="L702" s="4" t="str">
        <f>IF(B702="","",IF(ISNA(MATCH(B702,Client_List!$B:$B,0)),"⚠ NOT FOUND","✓"))</f>
        <v>✓</v>
      </c>
    </row>
    <row r="703" spans="1:12" ht="14" customHeight="1" x14ac:dyDescent="0.2">
      <c r="A703" s="57">
        <v>46081</v>
      </c>
      <c r="B703" s="7" t="s">
        <v>367</v>
      </c>
      <c r="C703" s="8">
        <f>IF(B703="","",IFERROR(INDEX(Client_List!$C:$C,MATCH(B703,Client_List!$B:$B,0)),""))</f>
        <v>0</v>
      </c>
      <c r="D703" s="9" t="str">
        <f>IF(B703="","",IFERROR(INDEX(Client_List!$D:$D,MATCH(B703,Client_List!$B:$B,0)),""))</f>
        <v>T</v>
      </c>
      <c r="E703" s="9" t="str">
        <f>IF(B703="","",IFERROR(INDEX(Client_List!$K:$K,MATCH(B703,Client_List!$B:$B,0)),""))</f>
        <v>CANOLA OIL</v>
      </c>
      <c r="F703" s="10">
        <f>IF(B703="","",IFERROR(INDEX(Client_List!$J:$J,MATCH(B703,Client_List!$B:$B,0)),""))</f>
        <v>500</v>
      </c>
      <c r="G703" s="10">
        <v>346</v>
      </c>
      <c r="H703" s="9">
        <f>IF(B703="","",IFERROR(A703-LOOKUP(2,1/($B$4:$B702=B703),$A$4:$A702),""))</f>
        <v>14</v>
      </c>
      <c r="I703" s="73">
        <f t="shared" si="10"/>
        <v>24.714285714285715</v>
      </c>
      <c r="J703" s="9">
        <v>143146</v>
      </c>
      <c r="K703" s="6">
        <f>IF(B703="","",IFERROR(AVERAGEIFS($I$4:$I703,$B$4:$B703,B703,$I$4:$I703,"&gt;"&amp;0),""))</f>
        <v>28.589285714285715</v>
      </c>
      <c r="L703" s="9" t="str">
        <f>IF(B703="","",IF(ISNA(MATCH(B703,Client_List!$B:$B,0)),"⚠ NOT FOUND","✓"))</f>
        <v>✓</v>
      </c>
    </row>
    <row r="704" spans="1:12" ht="14" customHeight="1" x14ac:dyDescent="0.2">
      <c r="A704" s="56">
        <v>46081</v>
      </c>
      <c r="B704" s="2" t="s">
        <v>368</v>
      </c>
      <c r="C704" s="8">
        <f>IF(B704="","",IFERROR(INDEX(Client_List!$C:$C,MATCH(B704,Client_List!$B:$B,0)),""))</f>
        <v>0</v>
      </c>
      <c r="D704" s="4" t="str">
        <f>IF(B704="","",IFERROR(INDEX(Client_List!$D:$D,MATCH(B704,Client_List!$B:$B,0)),""))</f>
        <v>TU</v>
      </c>
      <c r="E704" s="4" t="str">
        <f>IF(B704="","",IFERROR(INDEX(Client_List!$K:$K,MATCH(B704,Client_List!$B:$B,0)),""))</f>
        <v>CANOLA OIL</v>
      </c>
      <c r="F704" s="5">
        <f>IF(B704="","",IFERROR(INDEX(Client_List!$J:$J,MATCH(B704,Client_List!$B:$B,0)),""))</f>
        <v>950</v>
      </c>
      <c r="G704" s="5">
        <v>598</v>
      </c>
      <c r="H704" s="4">
        <f>IF(B704="","",IFERROR(A704-LOOKUP(2,1/($B$4:$B703=B704),$A$4:$A703),""))</f>
        <v>14</v>
      </c>
      <c r="I704" s="72">
        <f t="shared" si="10"/>
        <v>42.714285714285715</v>
      </c>
      <c r="J704" s="4">
        <v>143148</v>
      </c>
      <c r="K704" s="6">
        <f>IF(B704="","",IFERROR(AVERAGEIFS($I$4:$I704,$B$4:$B704,B704,$I$4:$I704,"&gt;"&amp;0),""))</f>
        <v>44.535714285714292</v>
      </c>
      <c r="L704" s="4" t="str">
        <f>IF(B704="","",IF(ISNA(MATCH(B704,Client_List!$B:$B,0)),"⚠ NOT FOUND","✓"))</f>
        <v>✓</v>
      </c>
    </row>
    <row r="705" spans="1:12" ht="14" customHeight="1" x14ac:dyDescent="0.2">
      <c r="A705" s="57">
        <v>46081</v>
      </c>
      <c r="B705" s="7" t="s">
        <v>369</v>
      </c>
      <c r="C705" s="8">
        <f>IF(B705="","",IFERROR(INDEX(Client_List!$C:$C,MATCH(B705,Client_List!$B:$B,0)),""))</f>
        <v>0</v>
      </c>
      <c r="D705" s="9" t="str">
        <f>IF(B705="","",IFERROR(INDEX(Client_List!$D:$D,MATCH(B705,Client_List!$B:$B,0)),""))</f>
        <v>TU</v>
      </c>
      <c r="E705" s="9" t="str">
        <f>IF(B705="","",IFERROR(INDEX(Client_List!$K:$K,MATCH(B705,Client_List!$B:$B,0)),""))</f>
        <v>CANOLA OIL</v>
      </c>
      <c r="F705" s="10">
        <f>IF(B705="","",IFERROR(INDEX(Client_List!$J:$J,MATCH(B705,Client_List!$B:$B,0)),""))</f>
        <v>700</v>
      </c>
      <c r="G705" s="10">
        <v>328</v>
      </c>
      <c r="H705" s="9">
        <f>IF(B705="","",IFERROR(A705-LOOKUP(2,1/($B$4:$B704=B705),$A$4:$A704),""))</f>
        <v>14</v>
      </c>
      <c r="I705" s="73">
        <f t="shared" si="10"/>
        <v>23.428571428571427</v>
      </c>
      <c r="J705" s="9">
        <v>143147</v>
      </c>
      <c r="K705" s="6">
        <f>IF(B705="","",IFERROR(AVERAGEIFS($I$4:$I705,$B$4:$B705,B705,$I$4:$I705,"&gt;"&amp;0),""))</f>
        <v>24.767857142857142</v>
      </c>
      <c r="L705" s="9" t="str">
        <f>IF(B705="","",IF(ISNA(MATCH(B705,Client_List!$B:$B,0)),"⚠ NOT FOUND","✓"))</f>
        <v>✓</v>
      </c>
    </row>
    <row r="706" spans="1:12" ht="14" customHeight="1" x14ac:dyDescent="0.2">
      <c r="A706" s="56">
        <v>46081</v>
      </c>
      <c r="B706" s="2" t="s">
        <v>379</v>
      </c>
      <c r="C706" s="13">
        <f>IF(B706="","",IFERROR(INDEX(Client_List!$C:$C,MATCH(B706,Client_List!$B:$B,0)),""))</f>
        <v>0</v>
      </c>
      <c r="D706" s="4" t="str">
        <f>IF(B706="","",IFERROR(INDEX(Client_List!$D:$D,MATCH(B706,Client_List!$B:$B,0)),""))</f>
        <v>C</v>
      </c>
      <c r="E706" s="4" t="str">
        <f>IF(B706="","",IFERROR(INDEX(Client_List!$K:$K,MATCH(B706,Client_List!$B:$B,0)),""))</f>
        <v>FRYERS CHOICE BLEND</v>
      </c>
      <c r="F706" s="5">
        <f>IF(B706="","",IFERROR(INDEX(Client_List!$J:$J,MATCH(B706,Client_List!$B:$B,0)),""))</f>
        <v>700</v>
      </c>
      <c r="G706" s="5">
        <v>649</v>
      </c>
      <c r="H706" s="4">
        <f>IF(B706="","",IFERROR(A706-LOOKUP(2,1/($B$4:$B705=B706),$A$4:$A705),""))</f>
        <v>14</v>
      </c>
      <c r="I706" s="72">
        <f t="shared" si="10"/>
        <v>46.357142857142854</v>
      </c>
      <c r="J706" s="4">
        <v>143177</v>
      </c>
      <c r="K706" s="6">
        <f>IF(B706="","",IFERROR(AVERAGEIFS($I$4:$I706,$B$4:$B706,B706,$I$4:$I706,"&gt;"&amp;0),""))</f>
        <v>39.666666666666664</v>
      </c>
      <c r="L706" s="4" t="str">
        <f>IF(B706="","",IF(ISNA(MATCH(B706,Client_List!$B:$B,0)),"⚠ NOT FOUND","✓"))</f>
        <v>✓</v>
      </c>
    </row>
    <row r="707" spans="1:12" ht="14" customHeight="1" x14ac:dyDescent="0.2">
      <c r="A707" s="57">
        <v>46081</v>
      </c>
      <c r="B707" s="7" t="s">
        <v>262</v>
      </c>
      <c r="C707" s="13" t="str">
        <f>IF(B707="","",IFERROR(INDEX(Client_List!$C:$C,MATCH(B707,Client_List!$B:$B,0)),""))</f>
        <v>2</v>
      </c>
      <c r="D707" s="9" t="str">
        <f>IF(B707="","",IFERROR(INDEX(Client_List!$D:$D,MATCH(B707,Client_List!$B:$B,0)),""))</f>
        <v>2C</v>
      </c>
      <c r="E707" s="9" t="str">
        <f>IF(B707="","",IFERROR(INDEX(Client_List!$K:$K,MATCH(B707,Client_List!$B:$B,0)),""))</f>
        <v>CANOLA OIL</v>
      </c>
      <c r="F707" s="10">
        <f>IF(B707="","",IFERROR(INDEX(Client_List!$J:$J,MATCH(B707,Client_List!$B:$B,0)),""))</f>
        <v>1950</v>
      </c>
      <c r="G707" s="10">
        <v>1377</v>
      </c>
      <c r="H707" s="9">
        <f>IF(B707="","",IFERROR(A707-LOOKUP(2,1/($B$4:$B706=B707),$A$4:$A706),""))</f>
        <v>5</v>
      </c>
      <c r="I707" s="73">
        <f t="shared" si="10"/>
        <v>275.39999999999998</v>
      </c>
      <c r="J707" s="9">
        <v>143176</v>
      </c>
      <c r="K707" s="6">
        <f>IF(B707="","",IFERROR(AVERAGEIFS($I$4:$I707,$B$4:$B707,B707,$I$4:$I707,"&gt;"&amp;0),""))</f>
        <v>162.37407407407409</v>
      </c>
      <c r="L707" s="9" t="str">
        <f>IF(B707="","",IF(ISNA(MATCH(B707,Client_List!$B:$B,0)),"⚠ NOT FOUND","✓"))</f>
        <v>✓</v>
      </c>
    </row>
    <row r="708" spans="1:12" ht="14" customHeight="1" x14ac:dyDescent="0.2">
      <c r="A708" s="56">
        <v>46081</v>
      </c>
      <c r="B708" s="2" t="s">
        <v>332</v>
      </c>
      <c r="C708" s="13" t="str">
        <f>IF(B708="","",IFERROR(INDEX(Client_List!$C:$C,MATCH(B708,Client_List!$B:$B,0)),""))</f>
        <v>2</v>
      </c>
      <c r="D708" s="4" t="str">
        <f>IF(B708="","",IFERROR(INDEX(Client_List!$D:$D,MATCH(B708,Client_List!$B:$B,0)),""))</f>
        <v>2C</v>
      </c>
      <c r="E708" s="4" t="str">
        <f>IF(B708="","",IFERROR(INDEX(Client_List!$K:$K,MATCH(B708,Client_List!$B:$B,0)),""))</f>
        <v>CANOLA OIL</v>
      </c>
      <c r="F708" s="5">
        <f>IF(B708="","",IFERROR(INDEX(Client_List!$J:$J,MATCH(B708,Client_List!$B:$B,0)),""))</f>
        <v>1050</v>
      </c>
      <c r="G708" s="5">
        <v>819</v>
      </c>
      <c r="H708" s="4">
        <f>IF(B708="","",IFERROR(A708-LOOKUP(2,1/($B$4:$B707=B708),$A$4:$A707),""))</f>
        <v>21</v>
      </c>
      <c r="I708" s="72">
        <f t="shared" ref="I708:I771" si="11">IF(B708="","",IFERROR(G708/H708,""))</f>
        <v>39</v>
      </c>
      <c r="J708" s="4">
        <v>10002</v>
      </c>
      <c r="K708" s="6">
        <f>IF(B708="","",IFERROR(AVERAGEIFS($I$4:$I708,$B$4:$B708,B708,$I$4:$I708,"&gt;"&amp;0),""))</f>
        <v>34.633333333333333</v>
      </c>
      <c r="L708" s="4" t="str">
        <f>IF(B708="","",IF(ISNA(MATCH(B708,Client_List!$B:$B,0)),"⚠ NOT FOUND","✓"))</f>
        <v>✓</v>
      </c>
    </row>
    <row r="709" spans="1:12" ht="14" customHeight="1" x14ac:dyDescent="0.2">
      <c r="A709" s="57">
        <v>46081</v>
      </c>
      <c r="B709" s="7" t="s">
        <v>350</v>
      </c>
      <c r="C709" s="11" t="str">
        <f>IF(B709="","",IFERROR(INDEX(Client_List!$C:$C,MATCH(B709,Client_List!$B:$B,0)),""))</f>
        <v>2</v>
      </c>
      <c r="D709" s="9" t="str">
        <f>IF(B709="","",IFERROR(INDEX(Client_List!$D:$D,MATCH(B709,Client_List!$B:$B,0)),""))</f>
        <v>2D</v>
      </c>
      <c r="E709" s="9" t="str">
        <f>IF(B709="","",IFERROR(INDEX(Client_List!$K:$K,MATCH(B709,Client_List!$B:$B,0)),""))</f>
        <v>CANOLA OIL</v>
      </c>
      <c r="F709" s="10">
        <f>IF(B709="","",IFERROR(INDEX(Client_List!$J:$J,MATCH(B709,Client_List!$B:$B,0)),""))</f>
        <v>1050</v>
      </c>
      <c r="G709" s="10">
        <v>928</v>
      </c>
      <c r="H709" s="9">
        <f>IF(B709="","",IFERROR(A709-LOOKUP(2,1/($B$4:$B708=B709),$A$4:$A708),""))</f>
        <v>14</v>
      </c>
      <c r="I709" s="73">
        <f t="shared" si="11"/>
        <v>66.285714285714292</v>
      </c>
      <c r="J709" s="9">
        <v>143174</v>
      </c>
      <c r="K709" s="6">
        <f>IF(B709="","",IFERROR(AVERAGEIFS($I$4:$I709,$B$4:$B709,B709,$I$4:$I709,"&gt;"&amp;0),""))</f>
        <v>62.616071428571423</v>
      </c>
      <c r="L709" s="9" t="str">
        <f>IF(B709="","",IF(ISNA(MATCH(B709,Client_List!$B:$B,0)),"⚠ NOT FOUND","✓"))</f>
        <v>✓</v>
      </c>
    </row>
    <row r="710" spans="1:12" ht="14" customHeight="1" x14ac:dyDescent="0.2">
      <c r="A710" s="56">
        <v>46083</v>
      </c>
      <c r="B710" s="2" t="s">
        <v>142</v>
      </c>
      <c r="C710" s="8" t="str">
        <f>IF(B710="","",IFERROR(INDEX(Client_List!$C:$C,MATCH(B710,Client_List!$B:$B,0)),""))</f>
        <v>4</v>
      </c>
      <c r="D710" s="4" t="str">
        <f>IF(B710="","",IFERROR(INDEX(Client_List!$D:$D,MATCH(B710,Client_List!$B:$B,0)),""))</f>
        <v>4A</v>
      </c>
      <c r="E710" s="4" t="str">
        <f>IF(B710="","",IFERROR(INDEX(Client_List!$K:$K,MATCH(B710,Client_List!$B:$B,0)),""))</f>
        <v>FRYERS CHOICE BLEND</v>
      </c>
      <c r="F710" s="5">
        <f>IF(B710="","",IFERROR(INDEX(Client_List!$J:$J,MATCH(B710,Client_List!$B:$B,0)),""))</f>
        <v>1050</v>
      </c>
      <c r="G710" s="5">
        <v>1012</v>
      </c>
      <c r="H710" s="4">
        <f>IF(B710="","",IFERROR(A710-LOOKUP(2,1/($B$4:$B709=B710),$A$4:$A709),""))</f>
        <v>5</v>
      </c>
      <c r="I710" s="72">
        <f t="shared" si="11"/>
        <v>202.4</v>
      </c>
      <c r="J710" s="4">
        <v>143189</v>
      </c>
      <c r="K710" s="6">
        <f>IF(B710="","",IFERROR(AVERAGEIFS($I$4:$I710,$B$4:$B710,B710,$I$4:$I710,"&gt;"&amp;0),""))</f>
        <v>180.0672077922078</v>
      </c>
      <c r="L710" s="4" t="str">
        <f>IF(B710="","",IF(ISNA(MATCH(B710,Client_List!$B:$B,0)),"⚠ NOT FOUND","✓"))</f>
        <v>✓</v>
      </c>
    </row>
    <row r="711" spans="1:12" ht="14" customHeight="1" x14ac:dyDescent="0.2">
      <c r="A711" s="57">
        <v>46083</v>
      </c>
      <c r="B711" s="7" t="s">
        <v>144</v>
      </c>
      <c r="C711" s="12" t="str">
        <f>IF(B711="","",IFERROR(INDEX(Client_List!$C:$C,MATCH(B711,Client_List!$B:$B,0)),""))</f>
        <v>4</v>
      </c>
      <c r="D711" s="9" t="str">
        <f>IF(B711="","",IFERROR(INDEX(Client_List!$D:$D,MATCH(B711,Client_List!$B:$B,0)),""))</f>
        <v>4A</v>
      </c>
      <c r="E711" s="9" t="str">
        <f>IF(B711="","",IFERROR(INDEX(Client_List!$K:$K,MATCH(B711,Client_List!$B:$B,0)),""))</f>
        <v>FRYERS CHOICE BLEND</v>
      </c>
      <c r="F711" s="10">
        <f>IF(B711="","",IFERROR(INDEX(Client_List!$J:$J,MATCH(B711,Client_List!$B:$B,0)),""))</f>
        <v>900</v>
      </c>
      <c r="G711" s="10">
        <v>553</v>
      </c>
      <c r="H711" s="9">
        <f>IF(B711="","",IFERROR(A711-LOOKUP(2,1/($B$4:$B710=B711),$A$4:$A710),""))</f>
        <v>5</v>
      </c>
      <c r="I711" s="73">
        <f t="shared" si="11"/>
        <v>110.6</v>
      </c>
      <c r="J711" s="9">
        <v>143194</v>
      </c>
      <c r="K711" s="6">
        <f>IF(B711="","",IFERROR(AVERAGEIFS($I$4:$I711,$B$4:$B711,B711,$I$4:$I711,"&gt;"&amp;0),""))</f>
        <v>74.006699649556793</v>
      </c>
      <c r="L711" s="9" t="str">
        <f>IF(B711="","",IF(ISNA(MATCH(B711,Client_List!$B:$B,0)),"⚠ NOT FOUND","✓"))</f>
        <v>✓</v>
      </c>
    </row>
    <row r="712" spans="1:12" ht="14" customHeight="1" x14ac:dyDescent="0.2">
      <c r="A712" s="56">
        <v>46083</v>
      </c>
      <c r="B712" s="2" t="s">
        <v>194</v>
      </c>
      <c r="C712" s="13" t="str">
        <f>IF(B712="","",IFERROR(INDEX(Client_List!$C:$C,MATCH(B712,Client_List!$B:$B,0)),""))</f>
        <v>4</v>
      </c>
      <c r="D712" s="4" t="str">
        <f>IF(B712="","",IFERROR(INDEX(Client_List!$D:$D,MATCH(B712,Client_List!$B:$B,0)),""))</f>
        <v>4A</v>
      </c>
      <c r="E712" s="4" t="str">
        <f>IF(B712="","",IFERROR(INDEX(Client_List!$K:$K,MATCH(B712,Client_List!$B:$B,0)),""))</f>
        <v>FRYERS CHOICE BLEND</v>
      </c>
      <c r="F712" s="5">
        <f>IF(B712="","",IFERROR(INDEX(Client_List!$J:$J,MATCH(B712,Client_List!$B:$B,0)),""))</f>
        <v>620</v>
      </c>
      <c r="G712" s="5">
        <v>295</v>
      </c>
      <c r="H712" s="4">
        <f>IF(B712="","",IFERROR(A712-LOOKUP(2,1/($B$4:$B711=B712),$A$4:$A711),""))</f>
        <v>17</v>
      </c>
      <c r="I712" s="72">
        <f t="shared" si="11"/>
        <v>17.352941176470587</v>
      </c>
      <c r="J712" s="4">
        <v>143190</v>
      </c>
      <c r="K712" s="6">
        <f>IF(B712="","",IFERROR(AVERAGEIFS($I$4:$I712,$B$4:$B712,B712,$I$4:$I712,"&gt;"&amp;0),""))</f>
        <v>18.239340180516653</v>
      </c>
      <c r="L712" s="4" t="str">
        <f>IF(B712="","",IF(ISNA(MATCH(B712,Client_List!$B:$B,0)),"⚠ NOT FOUND","✓"))</f>
        <v>✓</v>
      </c>
    </row>
    <row r="713" spans="1:12" ht="14" customHeight="1" x14ac:dyDescent="0.2">
      <c r="A713" s="57">
        <v>46083</v>
      </c>
      <c r="B713" s="7" t="s">
        <v>342</v>
      </c>
      <c r="C713" s="13" t="str">
        <f>IF(B713="","",IFERROR(INDEX(Client_List!$C:$C,MATCH(B713,Client_List!$B:$B,0)),""))</f>
        <v>4</v>
      </c>
      <c r="D713" s="9" t="str">
        <f>IF(B713="","",IFERROR(INDEX(Client_List!$D:$D,MATCH(B713,Client_List!$B:$B,0)),""))</f>
        <v>4A</v>
      </c>
      <c r="E713" s="9" t="str">
        <f>IF(B713="","",IFERROR(INDEX(Client_List!$K:$K,MATCH(B713,Client_List!$B:$B,0)),""))</f>
        <v>FRYERS CHOICE BLEND</v>
      </c>
      <c r="F713" s="10">
        <f>IF(B713="","",IFERROR(INDEX(Client_List!$J:$J,MATCH(B713,Client_List!$B:$B,0)),""))</f>
        <v>630</v>
      </c>
      <c r="G713" s="10">
        <v>260</v>
      </c>
      <c r="H713" s="9">
        <f>IF(B713="","",IFERROR(A713-LOOKUP(2,1/($B$4:$B712=B713),$A$4:$A712),""))</f>
        <v>5</v>
      </c>
      <c r="I713" s="73">
        <f t="shared" si="11"/>
        <v>52</v>
      </c>
      <c r="J713" s="9">
        <v>143196</v>
      </c>
      <c r="K713" s="6">
        <f>IF(B713="","",IFERROR(AVERAGEIFS($I$4:$I713,$B$4:$B713,B713,$I$4:$I713,"&gt;"&amp;0),""))</f>
        <v>36.857386363636365</v>
      </c>
      <c r="L713" s="9" t="str">
        <f>IF(B713="","",IF(ISNA(MATCH(B713,Client_List!$B:$B,0)),"⚠ NOT FOUND","✓"))</f>
        <v>✓</v>
      </c>
    </row>
    <row r="714" spans="1:12" ht="14" customHeight="1" x14ac:dyDescent="0.2">
      <c r="A714" s="56">
        <v>46084</v>
      </c>
      <c r="B714" s="2" t="s">
        <v>31</v>
      </c>
      <c r="C714" s="12" t="str">
        <f>IF(B714="","",IFERROR(INDEX(Client_List!$C:$C,MATCH(B714,Client_List!$B:$B,0)),""))</f>
        <v>2</v>
      </c>
      <c r="D714" s="4" t="str">
        <f>IF(B714="","",IFERROR(INDEX(Client_List!$D:$D,MATCH(B714,Client_List!$B:$B,0)),""))</f>
        <v>2D</v>
      </c>
      <c r="E714" s="4" t="str">
        <f>IF(B714="","",IFERROR(INDEX(Client_List!$K:$K,MATCH(B714,Client_List!$B:$B,0)),""))</f>
        <v>FRYERS CHOICE BLEND</v>
      </c>
      <c r="F714" s="5">
        <f>IF(B714="","",IFERROR(INDEX(Client_List!$J:$J,MATCH(B714,Client_List!$B:$B,0)),""))</f>
        <v>350</v>
      </c>
      <c r="G714" s="5">
        <v>200</v>
      </c>
      <c r="H714" s="4">
        <f>IF(B714="","",IFERROR(A714-LOOKUP(2,1/($B$4:$B713=B714),$A$4:$A713),""))</f>
        <v>29</v>
      </c>
      <c r="I714" s="72">
        <f t="shared" si="11"/>
        <v>6.8965517241379306</v>
      </c>
      <c r="J714" s="4">
        <v>143201</v>
      </c>
      <c r="K714" s="6">
        <f>IF(B714="","",IFERROR(AVERAGEIFS($I$4:$I714,$B$4:$B714,B714,$I$4:$I714,"&gt;"&amp;0),""))</f>
        <v>6.8965517241379306</v>
      </c>
      <c r="L714" s="4" t="str">
        <f>IF(B714="","",IF(ISNA(MATCH(B714,Client_List!$B:$B,0)),"⚠ NOT FOUND","✓"))</f>
        <v>✓</v>
      </c>
    </row>
    <row r="715" spans="1:12" ht="14" customHeight="1" x14ac:dyDescent="0.2">
      <c r="A715" s="57">
        <v>46084</v>
      </c>
      <c r="B715" s="7" t="s">
        <v>38</v>
      </c>
      <c r="C715" s="3" t="str">
        <f>IF(B715="","",IFERROR(INDEX(Client_List!$C:$C,MATCH(B715,Client_List!$B:$B,0)),""))</f>
        <v>4</v>
      </c>
      <c r="D715" s="9" t="str">
        <f>IF(B715="","",IFERROR(INDEX(Client_List!$D:$D,MATCH(B715,Client_List!$B:$B,0)),""))</f>
        <v>4C</v>
      </c>
      <c r="E715" s="9" t="str">
        <f>IF(B715="","",IFERROR(INDEX(Client_List!$K:$K,MATCH(B715,Client_List!$B:$B,0)),""))</f>
        <v>CANOLA OIL</v>
      </c>
      <c r="F715" s="10">
        <f>IF(B715="","",IFERROR(INDEX(Client_List!$J:$J,MATCH(B715,Client_List!$B:$B,0)),""))</f>
        <v>900</v>
      </c>
      <c r="G715" s="10">
        <v>629</v>
      </c>
      <c r="H715" s="9">
        <f>IF(B715="","",IFERROR(A715-LOOKUP(2,1/($B$4:$B714=B715),$A$4:$A714),""))</f>
        <v>16</v>
      </c>
      <c r="I715" s="73">
        <f t="shared" si="11"/>
        <v>39.3125</v>
      </c>
      <c r="J715" s="9">
        <v>143219</v>
      </c>
      <c r="K715" s="6">
        <f>IF(B715="","",IFERROR(AVERAGEIFS($I$4:$I715,$B$4:$B715,B715,$I$4:$I715,"&gt;"&amp;0),""))</f>
        <v>48.933680555555554</v>
      </c>
      <c r="L715" s="9" t="str">
        <f>IF(B715="","",IF(ISNA(MATCH(B715,Client_List!$B:$B,0)),"⚠ NOT FOUND","✓"))</f>
        <v>✓</v>
      </c>
    </row>
    <row r="716" spans="1:12" ht="14" customHeight="1" x14ac:dyDescent="0.2">
      <c r="A716" s="56">
        <v>46084</v>
      </c>
      <c r="B716" s="2" t="s">
        <v>54</v>
      </c>
      <c r="C716" s="8" t="str">
        <f>IF(B716="","",IFERROR(INDEX(Client_List!$C:$C,MATCH(B716,Client_List!$B:$B,0)),""))</f>
        <v>4</v>
      </c>
      <c r="D716" s="4" t="str">
        <f>IF(B716="","",IFERROR(INDEX(Client_List!$D:$D,MATCH(B716,Client_List!$B:$B,0)),""))</f>
        <v>4F</v>
      </c>
      <c r="E716" s="4" t="str">
        <f>IF(B716="","",IFERROR(INDEX(Client_List!$K:$K,MATCH(B716,Client_List!$B:$B,0)),""))</f>
        <v>CANOLA OIL</v>
      </c>
      <c r="F716" s="5">
        <f>IF(B716="","",IFERROR(INDEX(Client_List!$J:$J,MATCH(B716,Client_List!$B:$B,0)),""))</f>
        <v>1000</v>
      </c>
      <c r="G716" s="5">
        <v>963</v>
      </c>
      <c r="H716" s="4">
        <f>IF(B716="","",IFERROR(A716-LOOKUP(2,1/($B$4:$B715=B716),$A$4:$A715),""))</f>
        <v>14</v>
      </c>
      <c r="I716" s="72">
        <f t="shared" si="11"/>
        <v>68.785714285714292</v>
      </c>
      <c r="J716" s="4">
        <v>143218</v>
      </c>
      <c r="K716" s="6">
        <f>IF(B716="","",IFERROR(AVERAGEIFS($I$4:$I716,$B$4:$B716,B716,$I$4:$I716,"&gt;"&amp;0),""))</f>
        <v>66.944047619047623</v>
      </c>
      <c r="L716" s="4" t="str">
        <f>IF(B716="","",IF(ISNA(MATCH(B716,Client_List!$B:$B,0)),"⚠ NOT FOUND","✓"))</f>
        <v>✓</v>
      </c>
    </row>
    <row r="717" spans="1:12" ht="14" customHeight="1" x14ac:dyDescent="0.2">
      <c r="A717" s="57">
        <v>46084</v>
      </c>
      <c r="B717" s="7" t="s">
        <v>61</v>
      </c>
      <c r="C717" s="8" t="str">
        <f>IF(B717="","",IFERROR(INDEX(Client_List!$C:$C,MATCH(B717,Client_List!$B:$B,0)),""))</f>
        <v>3</v>
      </c>
      <c r="D717" s="9" t="str">
        <f>IF(B717="","",IFERROR(INDEX(Client_List!$D:$D,MATCH(B717,Client_List!$B:$B,0)),""))</f>
        <v>3D</v>
      </c>
      <c r="E717" s="9" t="str">
        <f>IF(B717="","",IFERROR(INDEX(Client_List!$K:$K,MATCH(B717,Client_List!$B:$B,0)),""))</f>
        <v>CANOLA OIL</v>
      </c>
      <c r="F717" s="10">
        <f>IF(B717="","",IFERROR(INDEX(Client_List!$J:$J,MATCH(B717,Client_List!$B:$B,0)),""))</f>
        <v>350</v>
      </c>
      <c r="G717" s="10">
        <v>359</v>
      </c>
      <c r="H717" s="9">
        <f>IF(B717="","",IFERROR(A717-LOOKUP(2,1/($B$4:$B716=B717),$A$4:$A716),""))</f>
        <v>7</v>
      </c>
      <c r="I717" s="73">
        <f t="shared" si="11"/>
        <v>51.285714285714285</v>
      </c>
      <c r="J717" s="9">
        <v>143209</v>
      </c>
      <c r="K717" s="6">
        <f>IF(B717="","",IFERROR(AVERAGEIFS($I$4:$I717,$B$4:$B717,B717,$I$4:$I717,"&gt;"&amp;0),""))</f>
        <v>44.529761904761905</v>
      </c>
      <c r="L717" s="9" t="str">
        <f>IF(B717="","",IF(ISNA(MATCH(B717,Client_List!$B:$B,0)),"⚠ NOT FOUND","✓"))</f>
        <v>✓</v>
      </c>
    </row>
    <row r="718" spans="1:12" ht="14" customHeight="1" x14ac:dyDescent="0.2">
      <c r="A718" s="56">
        <v>46084</v>
      </c>
      <c r="B718" s="2" t="s">
        <v>77</v>
      </c>
      <c r="C718" s="12" t="str">
        <f>IF(B718="","",IFERROR(INDEX(Client_List!$C:$C,MATCH(B718,Client_List!$B:$B,0)),""))</f>
        <v>1</v>
      </c>
      <c r="D718" s="4" t="str">
        <f>IF(B718="","",IFERROR(INDEX(Client_List!$D:$D,MATCH(B718,Client_List!$B:$B,0)),""))</f>
        <v>1D</v>
      </c>
      <c r="E718" s="4" t="str">
        <f>IF(B718="","",IFERROR(INDEX(Client_List!$K:$K,MATCH(B718,Client_List!$B:$B,0)),""))</f>
        <v>CANOLA OIL</v>
      </c>
      <c r="F718" s="5">
        <f>IF(B718="","",IFERROR(INDEX(Client_List!$J:$J,MATCH(B718,Client_List!$B:$B,0)),""))</f>
        <v>620</v>
      </c>
      <c r="G718" s="5">
        <v>608</v>
      </c>
      <c r="H718" s="4">
        <f>IF(B718="","",IFERROR(A718-LOOKUP(2,1/($B$4:$B717=B718),$A$4:$A717),""))</f>
        <v>8</v>
      </c>
      <c r="I718" s="72">
        <f t="shared" si="11"/>
        <v>76</v>
      </c>
      <c r="J718" s="4">
        <v>143207</v>
      </c>
      <c r="K718" s="6">
        <f>IF(B718="","",IFERROR(AVERAGEIFS($I$4:$I718,$B$4:$B718,B718,$I$4:$I718,"&gt;"&amp;0),""))</f>
        <v>68.763435374149665</v>
      </c>
      <c r="L718" s="4" t="str">
        <f>IF(B718="","",IF(ISNA(MATCH(B718,Client_List!$B:$B,0)),"⚠ NOT FOUND","✓"))</f>
        <v>✓</v>
      </c>
    </row>
    <row r="719" spans="1:12" ht="14" customHeight="1" x14ac:dyDescent="0.2">
      <c r="A719" s="57">
        <v>46084</v>
      </c>
      <c r="B719" s="7" t="s">
        <v>96</v>
      </c>
      <c r="C719" s="12" t="str">
        <f>IF(B719="","",IFERROR(INDEX(Client_List!$C:$C,MATCH(B719,Client_List!$B:$B,0)),""))</f>
        <v>2</v>
      </c>
      <c r="D719" s="9" t="str">
        <f>IF(B719="","",IFERROR(INDEX(Client_List!$D:$D,MATCH(B719,Client_List!$B:$B,0)),""))</f>
        <v>2C</v>
      </c>
      <c r="E719" s="9" t="str">
        <f>IF(B719="","",IFERROR(INDEX(Client_List!$K:$K,MATCH(B719,Client_List!$B:$B,0)),""))</f>
        <v>CANOLA OIL</v>
      </c>
      <c r="F719" s="10">
        <f>IF(B719="","",IFERROR(INDEX(Client_List!$J:$J,MATCH(B719,Client_List!$B:$B,0)),""))</f>
        <v>1000</v>
      </c>
      <c r="G719" s="10">
        <v>748</v>
      </c>
      <c r="H719" s="9">
        <f>IF(B719="","",IFERROR(A719-LOOKUP(2,1/($B$4:$B718=B719),$A$4:$A718),""))</f>
        <v>21</v>
      </c>
      <c r="I719" s="73">
        <f t="shared" si="11"/>
        <v>35.61904761904762</v>
      </c>
      <c r="J719" s="9">
        <v>143206</v>
      </c>
      <c r="K719" s="6">
        <f>IF(B719="","",IFERROR(AVERAGEIFS($I$4:$I719,$B$4:$B719,B719,$I$4:$I719,"&gt;"&amp;0),""))</f>
        <v>40.214285714285715</v>
      </c>
      <c r="L719" s="9" t="str">
        <f>IF(B719="","",IF(ISNA(MATCH(B719,Client_List!$B:$B,0)),"⚠ NOT FOUND","✓"))</f>
        <v>✓</v>
      </c>
    </row>
    <row r="720" spans="1:12" ht="14" customHeight="1" x14ac:dyDescent="0.2">
      <c r="A720" s="56">
        <v>46084</v>
      </c>
      <c r="B720" s="2" t="s">
        <v>128</v>
      </c>
      <c r="C720" s="13" t="str">
        <f>IF(B720="","",IFERROR(INDEX(Client_List!$C:$C,MATCH(B720,Client_List!$B:$B,0)),""))</f>
        <v>4</v>
      </c>
      <c r="D720" s="4" t="str">
        <f>IF(B720="","",IFERROR(INDEX(Client_List!$D:$D,MATCH(B720,Client_List!$B:$B,0)),""))</f>
        <v>4E</v>
      </c>
      <c r="E720" s="4" t="str">
        <f>IF(B720="","",IFERROR(INDEX(Client_List!$K:$K,MATCH(B720,Client_List!$B:$B,0)),""))</f>
        <v>CANOLA OIL</v>
      </c>
      <c r="F720" s="5">
        <f>IF(B720="","",IFERROR(INDEX(Client_List!$J:$J,MATCH(B720,Client_List!$B:$B,0)),""))</f>
        <v>700</v>
      </c>
      <c r="G720" s="5">
        <v>490</v>
      </c>
      <c r="H720" s="4">
        <f>IF(B720="","",IFERROR(A720-LOOKUP(2,1/($B$4:$B719=B720),$A$4:$A719),""))</f>
        <v>7</v>
      </c>
      <c r="I720" s="72">
        <f t="shared" si="11"/>
        <v>70</v>
      </c>
      <c r="J720" s="4">
        <v>143213</v>
      </c>
      <c r="K720" s="6">
        <f>IF(B720="","",IFERROR(AVERAGEIFS($I$4:$I720,$B$4:$B720,B720,$I$4:$I720,"&gt;"&amp;0),""))</f>
        <v>68.357886904761912</v>
      </c>
      <c r="L720" s="4" t="str">
        <f>IF(B720="","",IF(ISNA(MATCH(B720,Client_List!$B:$B,0)),"⚠ NOT FOUND","✓"))</f>
        <v>✓</v>
      </c>
    </row>
    <row r="721" spans="1:12" ht="14" customHeight="1" x14ac:dyDescent="0.2">
      <c r="A721" s="57">
        <v>46084</v>
      </c>
      <c r="B721" s="7" t="s">
        <v>172</v>
      </c>
      <c r="C721" s="12" t="str">
        <f>IF(B721="","",IFERROR(INDEX(Client_List!$C:$C,MATCH(B721,Client_List!$B:$B,0)),""))</f>
        <v>2</v>
      </c>
      <c r="D721" s="9" t="str">
        <f>IF(B721="","",IFERROR(INDEX(Client_List!$D:$D,MATCH(B721,Client_List!$B:$B,0)),""))</f>
        <v>2E</v>
      </c>
      <c r="E721" s="9" t="str">
        <f>IF(B721="","",IFERROR(INDEX(Client_List!$K:$K,MATCH(B721,Client_List!$B:$B,0)),""))</f>
        <v>CANOLA OIL</v>
      </c>
      <c r="F721" s="10">
        <f>IF(B721="","",IFERROR(INDEX(Client_List!$J:$J,MATCH(B721,Client_List!$B:$B,0)),""))</f>
        <v>1050</v>
      </c>
      <c r="G721" s="10">
        <v>982</v>
      </c>
      <c r="H721" s="9">
        <f>IF(B721="","",IFERROR(A721-LOOKUP(2,1/($B$4:$B720=B721),$A$4:$A720),""))</f>
        <v>20</v>
      </c>
      <c r="I721" s="73">
        <f t="shared" si="11"/>
        <v>49.1</v>
      </c>
      <c r="J721" s="9">
        <v>143204</v>
      </c>
      <c r="K721" s="6">
        <f>IF(B721="","",IFERROR(AVERAGEIFS($I$4:$I721,$B$4:$B721,B721,$I$4:$I721,"&gt;"&amp;0),""))</f>
        <v>60.411111111111104</v>
      </c>
      <c r="L721" s="9" t="str">
        <f>IF(B721="","",IF(ISNA(MATCH(B721,Client_List!$B:$B,0)),"⚠ NOT FOUND","✓"))</f>
        <v>✓</v>
      </c>
    </row>
    <row r="722" spans="1:12" ht="14" customHeight="1" x14ac:dyDescent="0.2">
      <c r="A722" s="56">
        <v>46084</v>
      </c>
      <c r="B722" s="2" t="s">
        <v>190</v>
      </c>
      <c r="C722" s="12" t="str">
        <f>IF(B722="","",IFERROR(INDEX(Client_List!$C:$C,MATCH(B722,Client_List!$B:$B,0)),""))</f>
        <v>2</v>
      </c>
      <c r="D722" s="4" t="str">
        <f>IF(B722="","",IFERROR(INDEX(Client_List!$D:$D,MATCH(B722,Client_List!$B:$B,0)),""))</f>
        <v>2C</v>
      </c>
      <c r="E722" s="4" t="str">
        <f>IF(B722="","",IFERROR(INDEX(Client_List!$K:$K,MATCH(B722,Client_List!$B:$B,0)),""))</f>
        <v>CANOLA OIL</v>
      </c>
      <c r="F722" s="5">
        <f>IF(B722="","",IFERROR(INDEX(Client_List!$J:$J,MATCH(B722,Client_List!$B:$B,0)),""))</f>
        <v>1050</v>
      </c>
      <c r="G722" s="5">
        <v>1116</v>
      </c>
      <c r="H722" s="4">
        <f>IF(B722="","",IFERROR(A722-LOOKUP(2,1/($B$4:$B721=B722),$A$4:$A721),""))</f>
        <v>8</v>
      </c>
      <c r="I722" s="72">
        <f t="shared" si="11"/>
        <v>139.5</v>
      </c>
      <c r="J722" s="4">
        <v>143200</v>
      </c>
      <c r="K722" s="6">
        <f>IF(B722="","",IFERROR(AVERAGEIFS($I$4:$I722,$B$4:$B722,B722,$I$4:$I722,"&gt;"&amp;0),""))</f>
        <v>132.78497023809524</v>
      </c>
      <c r="L722" s="4" t="str">
        <f>IF(B722="","",IF(ISNA(MATCH(B722,Client_List!$B:$B,0)),"⚠ NOT FOUND","✓"))</f>
        <v>✓</v>
      </c>
    </row>
    <row r="723" spans="1:12" ht="14" customHeight="1" x14ac:dyDescent="0.2">
      <c r="A723" s="57">
        <v>46084</v>
      </c>
      <c r="B723" s="7" t="s">
        <v>206</v>
      </c>
      <c r="C723" s="13" t="str">
        <f>IF(B723="","",IFERROR(INDEX(Client_List!$C:$C,MATCH(B723,Client_List!$B:$B,0)),""))</f>
        <v>4</v>
      </c>
      <c r="D723" s="9" t="str">
        <f>IF(B723="","",IFERROR(INDEX(Client_List!$D:$D,MATCH(B723,Client_List!$B:$B,0)),""))</f>
        <v>4C</v>
      </c>
      <c r="E723" s="9" t="str">
        <f>IF(B723="","",IFERROR(INDEX(Client_List!$K:$K,MATCH(B723,Client_List!$B:$B,0)),""))</f>
        <v>CANOLA OIL</v>
      </c>
      <c r="F723" s="10">
        <f>IF(B723="","",IFERROR(INDEX(Client_List!$J:$J,MATCH(B723,Client_List!$B:$B,0)),""))</f>
        <v>1050</v>
      </c>
      <c r="G723" s="10">
        <v>990</v>
      </c>
      <c r="H723" s="9">
        <f>IF(B723="","",IFERROR(A723-LOOKUP(2,1/($B$4:$B722=B723),$A$4:$A722),""))</f>
        <v>11</v>
      </c>
      <c r="I723" s="73">
        <f t="shared" si="11"/>
        <v>90</v>
      </c>
      <c r="J723" s="9">
        <v>143216</v>
      </c>
      <c r="K723" s="6">
        <f>IF(B723="","",IFERROR(AVERAGEIFS($I$4:$I723,$B$4:$B723,B723,$I$4:$I723,"&gt;"&amp;0),""))</f>
        <v>82.109411421911418</v>
      </c>
      <c r="L723" s="9" t="str">
        <f>IF(B723="","",IF(ISNA(MATCH(B723,Client_List!$B:$B,0)),"⚠ NOT FOUND","✓"))</f>
        <v>✓</v>
      </c>
    </row>
    <row r="724" spans="1:12" ht="14" customHeight="1" x14ac:dyDescent="0.2">
      <c r="A724" s="56">
        <v>46084</v>
      </c>
      <c r="B724" s="2" t="s">
        <v>208</v>
      </c>
      <c r="C724" s="11" t="str">
        <f>IF(B724="","",IFERROR(INDEX(Client_List!$C:$C,MATCH(B724,Client_List!$B:$B,0)),""))</f>
        <v>4</v>
      </c>
      <c r="D724" s="4" t="str">
        <f>IF(B724="","",IFERROR(INDEX(Client_List!$D:$D,MATCH(B724,Client_List!$B:$B,0)),""))</f>
        <v>4C</v>
      </c>
      <c r="E724" s="4" t="str">
        <f>IF(B724="","",IFERROR(INDEX(Client_List!$K:$K,MATCH(B724,Client_List!$B:$B,0)),""))</f>
        <v>UNKNOWN</v>
      </c>
      <c r="F724" s="5">
        <f>IF(B724="","",IFERROR(INDEX(Client_List!$J:$J,MATCH(B724,Client_List!$B:$B,0)),""))</f>
        <v>1050</v>
      </c>
      <c r="G724" s="5">
        <v>1037</v>
      </c>
      <c r="H724" s="4">
        <f>IF(B724="","",IFERROR(A724-LOOKUP(2,1/($B$4:$B723=B724),$A$4:$A723),""))</f>
        <v>14</v>
      </c>
      <c r="I724" s="72">
        <f t="shared" si="11"/>
        <v>74.071428571428569</v>
      </c>
      <c r="J724" s="4">
        <v>143215</v>
      </c>
      <c r="K724" s="6">
        <f>IF(B724="","",IFERROR(AVERAGEIFS($I$4:$I724,$B$4:$B724,B724,$I$4:$I724,"&gt;"&amp;0),""))</f>
        <v>69.387301587301579</v>
      </c>
      <c r="L724" s="4" t="str">
        <f>IF(B724="","",IF(ISNA(MATCH(B724,Client_List!$B:$B,0)),"⚠ NOT FOUND","✓"))</f>
        <v>✓</v>
      </c>
    </row>
    <row r="725" spans="1:12" ht="14" customHeight="1" x14ac:dyDescent="0.2">
      <c r="A725" s="57">
        <v>46084</v>
      </c>
      <c r="B725" s="7" t="s">
        <v>222</v>
      </c>
      <c r="C725" s="11" t="str">
        <f>IF(B725="","",IFERROR(INDEX(Client_List!$C:$C,MATCH(B725,Client_List!$B:$B,0)),""))</f>
        <v>4</v>
      </c>
      <c r="D725" s="9" t="str">
        <f>IF(B725="","",IFERROR(INDEX(Client_List!$D:$D,MATCH(B725,Client_List!$B:$B,0)),""))</f>
        <v>4E</v>
      </c>
      <c r="E725" s="9" t="str">
        <f>IF(B725="","",IFERROR(INDEX(Client_List!$K:$K,MATCH(B725,Client_List!$B:$B,0)),""))</f>
        <v>CANOLA OIL</v>
      </c>
      <c r="F725" s="10">
        <f>IF(B725="","",IFERROR(INDEX(Client_List!$J:$J,MATCH(B725,Client_List!$B:$B,0)),""))</f>
        <v>630</v>
      </c>
      <c r="G725" s="10">
        <v>460</v>
      </c>
      <c r="H725" s="9">
        <f>IF(B725="","",IFERROR(A725-LOOKUP(2,1/($B$4:$B724=B725),$A$4:$A724),""))</f>
        <v>12</v>
      </c>
      <c r="I725" s="73">
        <f t="shared" si="11"/>
        <v>38.333333333333336</v>
      </c>
      <c r="J725" s="9">
        <v>143214</v>
      </c>
      <c r="K725" s="6">
        <f>IF(B725="","",IFERROR(AVERAGEIFS($I$4:$I725,$B$4:$B725,B725,$I$4:$I725,"&gt;"&amp;0),""))</f>
        <v>34.514619883040943</v>
      </c>
      <c r="L725" s="9" t="str">
        <f>IF(B725="","",IF(ISNA(MATCH(B725,Client_List!$B:$B,0)),"⚠ NOT FOUND","✓"))</f>
        <v>✓</v>
      </c>
    </row>
    <row r="726" spans="1:12" ht="14" customHeight="1" x14ac:dyDescent="0.2">
      <c r="A726" s="56">
        <v>46084</v>
      </c>
      <c r="B726" s="2" t="s">
        <v>230</v>
      </c>
      <c r="C726" s="11" t="str">
        <f>IF(B726="","",IFERROR(INDEX(Client_List!$C:$C,MATCH(B726,Client_List!$B:$B,0)),""))</f>
        <v>1</v>
      </c>
      <c r="D726" s="4" t="str">
        <f>IF(B726="","",IFERROR(INDEX(Client_List!$D:$D,MATCH(B726,Client_List!$B:$B,0)),""))</f>
        <v>1D</v>
      </c>
      <c r="E726" s="4" t="str">
        <f>IF(B726="","",IFERROR(INDEX(Client_List!$K:$K,MATCH(B726,Client_List!$B:$B,0)),""))</f>
        <v>CANOLA OIL</v>
      </c>
      <c r="F726" s="5">
        <f>IF(B726="","",IFERROR(INDEX(Client_List!$J:$J,MATCH(B726,Client_List!$B:$B,0)),""))</f>
        <v>660</v>
      </c>
      <c r="G726" s="5">
        <v>655</v>
      </c>
      <c r="H726" s="4">
        <f>IF(B726="","",IFERROR(A726-LOOKUP(2,1/($B$4:$B725=B726),$A$4:$A725),""))</f>
        <v>15</v>
      </c>
      <c r="I726" s="72">
        <f t="shared" si="11"/>
        <v>43.666666666666664</v>
      </c>
      <c r="J726" s="4">
        <v>143208</v>
      </c>
      <c r="K726" s="6">
        <f>IF(B726="","",IFERROR(AVERAGEIFS($I$4:$I726,$B$4:$B726,B726,$I$4:$I726,"&gt;"&amp;0),""))</f>
        <v>46.912645687645686</v>
      </c>
      <c r="L726" s="4" t="str">
        <f>IF(B726="","",IF(ISNA(MATCH(B726,Client_List!$B:$B,0)),"⚠ NOT FOUND","✓"))</f>
        <v>✓</v>
      </c>
    </row>
    <row r="727" spans="1:12" ht="14" customHeight="1" x14ac:dyDescent="0.2">
      <c r="A727" s="57">
        <v>46084</v>
      </c>
      <c r="B727" s="7" t="s">
        <v>250</v>
      </c>
      <c r="C727" s="3" t="str">
        <f>IF(B727="","",IFERROR(INDEX(Client_List!$C:$C,MATCH(B727,Client_List!$B:$B,0)),""))</f>
        <v>2</v>
      </c>
      <c r="D727" s="9" t="str">
        <f>IF(B727="","",IFERROR(INDEX(Client_List!$D:$D,MATCH(B727,Client_List!$B:$B,0)),""))</f>
        <v>2D</v>
      </c>
      <c r="E727" s="9" t="str">
        <f>IF(B727="","",IFERROR(INDEX(Client_List!$K:$K,MATCH(B727,Client_List!$B:$B,0)),""))</f>
        <v>FRYERS CHOICE BLEND</v>
      </c>
      <c r="F727" s="10">
        <f>IF(B727="","",IFERROR(INDEX(Client_List!$J:$J,MATCH(B727,Client_List!$B:$B,0)),""))</f>
        <v>950</v>
      </c>
      <c r="G727" s="10">
        <v>907</v>
      </c>
      <c r="H727" s="9">
        <f>IF(B727="","",IFERROR(A727-LOOKUP(2,1/($B$4:$B726=B727),$A$4:$A726),""))</f>
        <v>8</v>
      </c>
      <c r="I727" s="73">
        <f t="shared" si="11"/>
        <v>113.375</v>
      </c>
      <c r="J727" s="9">
        <v>143202</v>
      </c>
      <c r="K727" s="6">
        <f>IF(B727="","",IFERROR(AVERAGEIFS($I$4:$I727,$B$4:$B727,B727,$I$4:$I727,"&gt;"&amp;0),""))</f>
        <v>118.98660714285714</v>
      </c>
      <c r="L727" s="9" t="str">
        <f>IF(B727="","",IF(ISNA(MATCH(B727,Client_List!$B:$B,0)),"⚠ NOT FOUND","✓"))</f>
        <v>✓</v>
      </c>
    </row>
    <row r="728" spans="1:12" ht="14" customHeight="1" x14ac:dyDescent="0.2">
      <c r="A728" s="56">
        <v>46084</v>
      </c>
      <c r="B728" s="2" t="s">
        <v>252</v>
      </c>
      <c r="C728" s="3" t="str">
        <f>IF(B728="","",IFERROR(INDEX(Client_List!$C:$C,MATCH(B728,Client_List!$B:$B,0)),""))</f>
        <v>4</v>
      </c>
      <c r="D728" s="4" t="str">
        <f>IF(B728="","",IFERROR(INDEX(Client_List!$D:$D,MATCH(B728,Client_List!$B:$B,0)),""))</f>
        <v>4E</v>
      </c>
      <c r="E728" s="4" t="str">
        <f>IF(B728="","",IFERROR(INDEX(Client_List!$K:$K,MATCH(B728,Client_List!$B:$B,0)),""))</f>
        <v>FRYERS CHOICE BLEND</v>
      </c>
      <c r="F728" s="5">
        <f>IF(B728="","",IFERROR(INDEX(Client_List!$J:$J,MATCH(B728,Client_List!$B:$B,0)),""))</f>
        <v>1950</v>
      </c>
      <c r="G728" s="5">
        <v>1282</v>
      </c>
      <c r="H728" s="4">
        <f>IF(B728="","",IFERROR(A728-LOOKUP(2,1/($B$4:$B727=B728),$A$4:$A727),""))</f>
        <v>10</v>
      </c>
      <c r="I728" s="72">
        <f t="shared" si="11"/>
        <v>128.19999999999999</v>
      </c>
      <c r="J728" s="4">
        <v>143217</v>
      </c>
      <c r="K728" s="6">
        <f>IF(B728="","",IFERROR(AVERAGEIFS($I$4:$I728,$B$4:$B728,B728,$I$4:$I728,"&gt;"&amp;0),""))</f>
        <v>140.60595959595958</v>
      </c>
      <c r="L728" s="4" t="str">
        <f>IF(B728="","",IF(ISNA(MATCH(B728,Client_List!$B:$B,0)),"⚠ NOT FOUND","✓"))</f>
        <v>✓</v>
      </c>
    </row>
    <row r="729" spans="1:12" ht="14" customHeight="1" x14ac:dyDescent="0.2">
      <c r="A729" s="57">
        <v>46084</v>
      </c>
      <c r="B729" s="7" t="s">
        <v>256</v>
      </c>
      <c r="C729" s="3" t="str">
        <f>IF(B729="","",IFERROR(INDEX(Client_List!$C:$C,MATCH(B729,Client_List!$B:$B,0)),""))</f>
        <v>3</v>
      </c>
      <c r="D729" s="9" t="str">
        <f>IF(B729="","",IFERROR(INDEX(Client_List!$D:$D,MATCH(B729,Client_List!$B:$B,0)),""))</f>
        <v>3E</v>
      </c>
      <c r="E729" s="9" t="str">
        <f>IF(B729="","",IFERROR(INDEX(Client_List!$K:$K,MATCH(B729,Client_List!$B:$B,0)),""))</f>
        <v>FRYERS CHOICE BLEND</v>
      </c>
      <c r="F729" s="10">
        <f>IF(B729="","",IFERROR(INDEX(Client_List!$J:$J,MATCH(B729,Client_List!$B:$B,0)),""))</f>
        <v>950</v>
      </c>
      <c r="G729" s="10">
        <v>875</v>
      </c>
      <c r="H729" s="9">
        <f>IF(B729="","",IFERROR(A729-LOOKUP(2,1/($B$4:$B728=B729),$A$4:$A728),""))</f>
        <v>8</v>
      </c>
      <c r="I729" s="73">
        <f t="shared" si="11"/>
        <v>109.375</v>
      </c>
      <c r="J729" s="9">
        <v>143203</v>
      </c>
      <c r="K729" s="6">
        <f>IF(B729="","",IFERROR(AVERAGEIFS($I$4:$I729,$B$4:$B729,B729,$I$4:$I729,"&gt;"&amp;0),""))</f>
        <v>97.818700396825392</v>
      </c>
      <c r="L729" s="9" t="str">
        <f>IF(B729="","",IF(ISNA(MATCH(B729,Client_List!$B:$B,0)),"⚠ NOT FOUND","✓"))</f>
        <v>✓</v>
      </c>
    </row>
    <row r="730" spans="1:12" ht="14" customHeight="1" x14ac:dyDescent="0.2">
      <c r="A730" s="56">
        <v>46084</v>
      </c>
      <c r="B730" s="2" t="s">
        <v>316</v>
      </c>
      <c r="C730" s="3" t="str">
        <f>IF(B730="","",IFERROR(INDEX(Client_List!$C:$C,MATCH(B730,Client_List!$B:$B,0)),""))</f>
        <v>1</v>
      </c>
      <c r="D730" s="4" t="str">
        <f>IF(B730="","",IFERROR(INDEX(Client_List!$D:$D,MATCH(B730,Client_List!$B:$B,0)),""))</f>
        <v>1E</v>
      </c>
      <c r="E730" s="4" t="str">
        <f>IF(B730="","",IFERROR(INDEX(Client_List!$K:$K,MATCH(B730,Client_List!$B:$B,0)),""))</f>
        <v>CANOLA OIL</v>
      </c>
      <c r="F730" s="5">
        <f>IF(B730="","",IFERROR(INDEX(Client_List!$J:$J,MATCH(B730,Client_List!$B:$B,0)),""))</f>
        <v>1050</v>
      </c>
      <c r="G730" s="5">
        <v>920</v>
      </c>
      <c r="H730" s="4">
        <f>IF(B730="","",IFERROR(A730-LOOKUP(2,1/($B$4:$B729=B730),$A$4:$A729),""))</f>
        <v>15</v>
      </c>
      <c r="I730" s="72">
        <f t="shared" si="11"/>
        <v>61.333333333333336</v>
      </c>
      <c r="J730" s="4">
        <v>143205</v>
      </c>
      <c r="K730" s="6">
        <f>IF(B730="","",IFERROR(AVERAGEIFS($I$4:$I730,$B$4:$B730,B730,$I$4:$I730,"&gt;"&amp;0),""))</f>
        <v>61.05324074074074</v>
      </c>
      <c r="L730" s="4" t="str">
        <f>IF(B730="","",IF(ISNA(MATCH(B730,Client_List!$B:$B,0)),"⚠ NOT FOUND","✓"))</f>
        <v>✓</v>
      </c>
    </row>
    <row r="731" spans="1:12" ht="14" customHeight="1" x14ac:dyDescent="0.2">
      <c r="A731" s="57">
        <v>46084</v>
      </c>
      <c r="B731" s="7" t="s">
        <v>328</v>
      </c>
      <c r="C731" s="3" t="str">
        <f>IF(B731="","",IFERROR(INDEX(Client_List!$C:$C,MATCH(B731,Client_List!$B:$B,0)),""))</f>
        <v>4</v>
      </c>
      <c r="D731" s="9" t="str">
        <f>IF(B731="","",IFERROR(INDEX(Client_List!$D:$D,MATCH(B731,Client_List!$B:$B,0)),""))</f>
        <v>4C</v>
      </c>
      <c r="E731" s="9" t="str">
        <f>IF(B731="","",IFERROR(INDEX(Client_List!$K:$K,MATCH(B731,Client_List!$B:$B,0)),""))</f>
        <v>CANOLA OIL</v>
      </c>
      <c r="F731" s="10">
        <f>IF(B731="","",IFERROR(INDEX(Client_List!$J:$J,MATCH(B731,Client_List!$B:$B,0)),""))</f>
        <v>1050</v>
      </c>
      <c r="G731" s="10">
        <v>874</v>
      </c>
      <c r="H731" s="9">
        <f>IF(B731="","",IFERROR(A731-LOOKUP(2,1/($B$4:$B730=B731),$A$4:$A730),""))</f>
        <v>24</v>
      </c>
      <c r="I731" s="73">
        <f t="shared" si="11"/>
        <v>36.416666666666664</v>
      </c>
      <c r="J731" s="9">
        <v>143225</v>
      </c>
      <c r="K731" s="6">
        <f>IF(B731="","",IFERROR(AVERAGEIFS($I$4:$I731,$B$4:$B731,B731,$I$4:$I731,"&gt;"&amp;0),""))</f>
        <v>38.75</v>
      </c>
      <c r="L731" s="9" t="str">
        <f>IF(B731="","",IF(ISNA(MATCH(B731,Client_List!$B:$B,0)),"⚠ NOT FOUND","✓"))</f>
        <v>✓</v>
      </c>
    </row>
    <row r="732" spans="1:12" ht="14" customHeight="1" x14ac:dyDescent="0.2">
      <c r="A732" s="56">
        <v>46084</v>
      </c>
      <c r="B732" s="2" t="s">
        <v>336</v>
      </c>
      <c r="C732" s="3" t="str">
        <f>IF(B732="","",IFERROR(INDEX(Client_List!$C:$C,MATCH(B732,Client_List!$B:$B,0)),""))</f>
        <v>4</v>
      </c>
      <c r="D732" s="4" t="str">
        <f>IF(B732="","",IFERROR(INDEX(Client_List!$D:$D,MATCH(B732,Client_List!$B:$B,0)),""))</f>
        <v>4D</v>
      </c>
      <c r="E732" s="4" t="str">
        <f>IF(B732="","",IFERROR(INDEX(Client_List!$K:$K,MATCH(B732,Client_List!$B:$B,0)),""))</f>
        <v>CANOLA OIL</v>
      </c>
      <c r="F732" s="5">
        <f>IF(B732="","",IFERROR(INDEX(Client_List!$J:$J,MATCH(B732,Client_List!$B:$B,0)),""))</f>
        <v>1050</v>
      </c>
      <c r="G732" s="5">
        <v>1047</v>
      </c>
      <c r="H732" s="4">
        <f>IF(B732="","",IFERROR(A732-LOOKUP(2,1/($B$4:$B731=B732),$A$4:$A731),""))</f>
        <v>12</v>
      </c>
      <c r="I732" s="72">
        <f t="shared" si="11"/>
        <v>87.25</v>
      </c>
      <c r="J732" s="4">
        <v>143226</v>
      </c>
      <c r="K732" s="6">
        <f>IF(B732="","",IFERROR(AVERAGEIFS($I$4:$I732,$B$4:$B732,B732,$I$4:$I732,"&gt;"&amp;0),""))</f>
        <v>92.607692307692304</v>
      </c>
      <c r="L732" s="4" t="str">
        <f>IF(B732="","",IF(ISNA(MATCH(B732,Client_List!$B:$B,0)),"⚠ NOT FOUND","✓"))</f>
        <v>✓</v>
      </c>
    </row>
    <row r="733" spans="1:12" ht="14" customHeight="1" x14ac:dyDescent="0.2">
      <c r="A733" s="57">
        <v>46085</v>
      </c>
      <c r="B733" s="7" t="s">
        <v>102</v>
      </c>
      <c r="C733" s="8" t="str">
        <f>IF(B733="","",IFERROR(INDEX(Client_List!$C:$C,MATCH(B733,Client_List!$B:$B,0)),""))</f>
        <v>3</v>
      </c>
      <c r="D733" s="9" t="str">
        <f>IF(B733="","",IFERROR(INDEX(Client_List!$D:$D,MATCH(B733,Client_List!$B:$B,0)),""))</f>
        <v>3C</v>
      </c>
      <c r="E733" s="9" t="str">
        <f>IF(B733="","",IFERROR(INDEX(Client_List!$K:$K,MATCH(B733,Client_List!$B:$B,0)),""))</f>
        <v>CANOLA OIL</v>
      </c>
      <c r="F733" s="10">
        <f>IF(B733="","",IFERROR(INDEX(Client_List!$J:$J,MATCH(B733,Client_List!$B:$B,0)),""))</f>
        <v>500</v>
      </c>
      <c r="G733" s="10">
        <v>400</v>
      </c>
      <c r="H733" s="9">
        <f>IF(B733="","",IFERROR(A733-LOOKUP(2,1/($B$4:$B732=B733),$A$4:$A732),""))</f>
        <v>12</v>
      </c>
      <c r="I733" s="73">
        <f t="shared" si="11"/>
        <v>33.333333333333336</v>
      </c>
      <c r="J733" s="9">
        <v>143252</v>
      </c>
      <c r="K733" s="6">
        <f>IF(B733="","",IFERROR(AVERAGEIFS($I$4:$I733,$B$4:$B733,B733,$I$4:$I733,"&gt;"&amp;0),""))</f>
        <v>33.402564102564106</v>
      </c>
      <c r="L733" s="9" t="str">
        <f>IF(B733="","",IF(ISNA(MATCH(B733,Client_List!$B:$B,0)),"⚠ NOT FOUND","✓"))</f>
        <v>✓</v>
      </c>
    </row>
    <row r="734" spans="1:12" ht="14" customHeight="1" x14ac:dyDescent="0.2">
      <c r="A734" s="56">
        <v>46085</v>
      </c>
      <c r="B734" s="2" t="s">
        <v>116</v>
      </c>
      <c r="C734" s="11" t="str">
        <f>IF(B734="","",IFERROR(INDEX(Client_List!$C:$C,MATCH(B734,Client_List!$B:$B,0)),""))</f>
        <v>5</v>
      </c>
      <c r="D734" s="4" t="str">
        <f>IF(B734="","",IFERROR(INDEX(Client_List!$D:$D,MATCH(B734,Client_List!$B:$B,0)),""))</f>
        <v>5E</v>
      </c>
      <c r="E734" s="4" t="str">
        <f>IF(B734="","",IFERROR(INDEX(Client_List!$K:$K,MATCH(B734,Client_List!$B:$B,0)),""))</f>
        <v>FRYERS CHOICE BLEND</v>
      </c>
      <c r="F734" s="5">
        <f>IF(B734="","",IFERROR(INDEX(Client_List!$J:$J,MATCH(B734,Client_List!$B:$B,0)),""))</f>
        <v>900</v>
      </c>
      <c r="G734" s="5">
        <v>803</v>
      </c>
      <c r="H734" s="4">
        <f>IF(B734="","",IFERROR(A734-LOOKUP(2,1/($B$4:$B733=B734),$A$4:$A733),""))</f>
        <v>22</v>
      </c>
      <c r="I734" s="72">
        <f t="shared" si="11"/>
        <v>36.5</v>
      </c>
      <c r="J734" s="4">
        <v>143261</v>
      </c>
      <c r="K734" s="6">
        <f>IF(B734="","",IFERROR(AVERAGEIFS($I$4:$I734,$B$4:$B734,B734,$I$4:$I734,"&gt;"&amp;0),""))</f>
        <v>37.92307692307692</v>
      </c>
      <c r="L734" s="4" t="str">
        <f>IF(B734="","",IF(ISNA(MATCH(B734,Client_List!$B:$B,0)),"⚠ NOT FOUND","✓"))</f>
        <v>✓</v>
      </c>
    </row>
    <row r="735" spans="1:12" ht="14" customHeight="1" x14ac:dyDescent="0.2">
      <c r="A735" s="57">
        <v>46085</v>
      </c>
      <c r="B735" s="7" t="s">
        <v>148</v>
      </c>
      <c r="C735" s="3" t="str">
        <f>IF(B735="","",IFERROR(INDEX(Client_List!$C:$C,MATCH(B735,Client_List!$B:$B,0)),""))</f>
        <v>4</v>
      </c>
      <c r="D735" s="9" t="str">
        <f>IF(B735="","",IFERROR(INDEX(Client_List!$D:$D,MATCH(B735,Client_List!$B:$B,0)),""))</f>
        <v>4B</v>
      </c>
      <c r="E735" s="9" t="str">
        <f>IF(B735="","",IFERROR(INDEX(Client_List!$K:$K,MATCH(B735,Client_List!$B:$B,0)),""))</f>
        <v>FRYERS CHOICE BLEND</v>
      </c>
      <c r="F735" s="10">
        <f>IF(B735="","",IFERROR(INDEX(Client_List!$J:$J,MATCH(B735,Client_List!$B:$B,0)),""))</f>
        <v>950</v>
      </c>
      <c r="G735" s="10">
        <v>939</v>
      </c>
      <c r="H735" s="9">
        <f>IF(B735="","",IFERROR(A735-LOOKUP(2,1/($B$4:$B734=B735),$A$4:$A734),""))</f>
        <v>11</v>
      </c>
      <c r="I735" s="73">
        <f t="shared" si="11"/>
        <v>85.36363636363636</v>
      </c>
      <c r="J735" s="9">
        <v>143254</v>
      </c>
      <c r="K735" s="6">
        <f>IF(B735="","",IFERROR(AVERAGEIFS($I$4:$I735,$B$4:$B735,B735,$I$4:$I735,"&gt;"&amp;0),""))</f>
        <v>83.385858585858585</v>
      </c>
      <c r="L735" s="9" t="str">
        <f>IF(B735="","",IF(ISNA(MATCH(B735,Client_List!$B:$B,0)),"⚠ NOT FOUND","✓"))</f>
        <v>✓</v>
      </c>
    </row>
    <row r="736" spans="1:12" ht="14" customHeight="1" x14ac:dyDescent="0.2">
      <c r="A736" s="56">
        <v>46085</v>
      </c>
      <c r="B736" s="2" t="s">
        <v>182</v>
      </c>
      <c r="C736" s="11" t="str">
        <f>IF(B736="","",IFERROR(INDEX(Client_List!$C:$C,MATCH(B736,Client_List!$B:$B,0)),""))</f>
        <v>3</v>
      </c>
      <c r="D736" s="4" t="str">
        <f>IF(B736="","",IFERROR(INDEX(Client_List!$D:$D,MATCH(B736,Client_List!$B:$B,0)),""))</f>
        <v>3D</v>
      </c>
      <c r="E736" s="4" t="str">
        <f>IF(B736="","",IFERROR(INDEX(Client_List!$K:$K,MATCH(B736,Client_List!$B:$B,0)),""))</f>
        <v>CANOLA OIL</v>
      </c>
      <c r="F736" s="5">
        <f>IF(B736="","",IFERROR(INDEX(Client_List!$J:$J,MATCH(B736,Client_List!$B:$B,0)),""))</f>
        <v>1000</v>
      </c>
      <c r="G736" s="5">
        <v>624</v>
      </c>
      <c r="H736" s="4">
        <f>IF(B736="","",IFERROR(A736-LOOKUP(2,1/($B$4:$B735=B736),$A$4:$A735),""))</f>
        <v>13</v>
      </c>
      <c r="I736" s="72">
        <f t="shared" si="11"/>
        <v>48</v>
      </c>
      <c r="J736" s="4">
        <v>143259</v>
      </c>
      <c r="K736" s="6">
        <f>IF(B736="","",IFERROR(AVERAGEIFS($I$4:$I736,$B$4:$B736,B736,$I$4:$I736,"&gt;"&amp;0),""))</f>
        <v>47.279761904761905</v>
      </c>
      <c r="L736" s="4" t="str">
        <f>IF(B736="","",IF(ISNA(MATCH(B736,Client_List!$B:$B,0)),"⚠ NOT FOUND","✓"))</f>
        <v>✓</v>
      </c>
    </row>
    <row r="737" spans="1:12" ht="14" customHeight="1" x14ac:dyDescent="0.2">
      <c r="A737" s="57">
        <v>46085</v>
      </c>
      <c r="B737" s="7" t="s">
        <v>186</v>
      </c>
      <c r="C737" s="11" t="str">
        <f>IF(B737="","",IFERROR(INDEX(Client_List!$C:$C,MATCH(B737,Client_List!$B:$B,0)),""))</f>
        <v>4</v>
      </c>
      <c r="D737" s="9" t="str">
        <f>IF(B737="","",IFERROR(INDEX(Client_List!$D:$D,MATCH(B737,Client_List!$B:$B,0)),""))</f>
        <v>4E</v>
      </c>
      <c r="E737" s="9" t="str">
        <f>IF(B737="","",IFERROR(INDEX(Client_List!$K:$K,MATCH(B737,Client_List!$B:$B,0)),""))</f>
        <v>CANOLA OIL</v>
      </c>
      <c r="F737" s="10">
        <f>IF(B737="","",IFERROR(INDEX(Client_List!$J:$J,MATCH(B737,Client_List!$B:$B,0)),""))</f>
        <v>950</v>
      </c>
      <c r="G737" s="10">
        <v>745</v>
      </c>
      <c r="H737" s="9">
        <f>IF(B737="","",IFERROR(A737-LOOKUP(2,1/($B$4:$B736=B737),$A$4:$A736),""))</f>
        <v>8</v>
      </c>
      <c r="I737" s="73">
        <f t="shared" si="11"/>
        <v>93.125</v>
      </c>
      <c r="J737" s="9">
        <v>143267</v>
      </c>
      <c r="K737" s="6">
        <f>IF(B737="","",IFERROR(AVERAGEIFS($I$4:$I737,$B$4:$B737,B737,$I$4:$I737,"&gt;"&amp;0),""))</f>
        <v>88.701388888888872</v>
      </c>
      <c r="L737" s="9" t="str">
        <f>IF(B737="","",IF(ISNA(MATCH(B737,Client_List!$B:$B,0)),"⚠ NOT FOUND","✓"))</f>
        <v>✓</v>
      </c>
    </row>
    <row r="738" spans="1:12" ht="14" customHeight="1" x14ac:dyDescent="0.2">
      <c r="A738" s="56">
        <v>46085</v>
      </c>
      <c r="B738" s="2" t="s">
        <v>200</v>
      </c>
      <c r="C738" s="3" t="str">
        <f>IF(B738="","",IFERROR(INDEX(Client_List!$C:$C,MATCH(B738,Client_List!$B:$B,0)),""))</f>
        <v>4</v>
      </c>
      <c r="D738" s="4" t="str">
        <f>IF(B738="","",IFERROR(INDEX(Client_List!$D:$D,MATCH(B738,Client_List!$B:$B,0)),""))</f>
        <v>4E</v>
      </c>
      <c r="E738" s="4" t="str">
        <f>IF(B738="","",IFERROR(INDEX(Client_List!$K:$K,MATCH(B738,Client_List!$B:$B,0)),""))</f>
        <v>CANOLA OIL</v>
      </c>
      <c r="F738" s="5">
        <f>IF(B738="","",IFERROR(INDEX(Client_List!$J:$J,MATCH(B738,Client_List!$B:$B,0)),""))</f>
        <v>2000</v>
      </c>
      <c r="G738" s="5">
        <v>1425</v>
      </c>
      <c r="H738" s="4">
        <f>IF(B738="","",IFERROR(A738-LOOKUP(2,1/($B$4:$B737=B738),$A$4:$A737),""))</f>
        <v>20</v>
      </c>
      <c r="I738" s="72">
        <f t="shared" si="11"/>
        <v>71.25</v>
      </c>
      <c r="J738" s="4">
        <v>143268</v>
      </c>
      <c r="K738" s="6">
        <f>IF(B738="","",IFERROR(AVERAGEIFS($I$4:$I738,$B$4:$B738,B738,$I$4:$I738,"&gt;"&amp;0),""))</f>
        <v>77.9375</v>
      </c>
      <c r="L738" s="4" t="str">
        <f>IF(B738="","",IF(ISNA(MATCH(B738,Client_List!$B:$B,0)),"⚠ NOT FOUND","✓"))</f>
        <v>✓</v>
      </c>
    </row>
    <row r="739" spans="1:12" ht="14" customHeight="1" x14ac:dyDescent="0.2">
      <c r="A739" s="57">
        <v>46085</v>
      </c>
      <c r="B739" s="7" t="s">
        <v>204</v>
      </c>
      <c r="C739" s="8" t="str">
        <f>IF(B739="","",IFERROR(INDEX(Client_List!$C:$C,MATCH(B739,Client_List!$B:$B,0)),""))</f>
        <v>5</v>
      </c>
      <c r="D739" s="9" t="str">
        <f>IF(B739="","",IFERROR(INDEX(Client_List!$D:$D,MATCH(B739,Client_List!$B:$B,0)),""))</f>
        <v>5E</v>
      </c>
      <c r="E739" s="9" t="str">
        <f>IF(B739="","",IFERROR(INDEX(Client_List!$K:$K,MATCH(B739,Client_List!$B:$B,0)),""))</f>
        <v>CANOLA OIL</v>
      </c>
      <c r="F739" s="10">
        <f>IF(B739="","",IFERROR(INDEX(Client_List!$J:$J,MATCH(B739,Client_List!$B:$B,0)),""))</f>
        <v>1800</v>
      </c>
      <c r="G739" s="10">
        <v>1389</v>
      </c>
      <c r="H739" s="9">
        <f>IF(B739="","",IFERROR(A739-LOOKUP(2,1/($B$4:$B738=B739),$A$4:$A738),""))</f>
        <v>7</v>
      </c>
      <c r="I739" s="73">
        <f t="shared" si="11"/>
        <v>198.42857142857142</v>
      </c>
      <c r="J739" s="9">
        <v>143266</v>
      </c>
      <c r="K739" s="6">
        <f>IF(B739="","",IFERROR(AVERAGEIFS($I$4:$I739,$B$4:$B739,B739,$I$4:$I739,"&gt;"&amp;0),""))</f>
        <v>159.09665532879816</v>
      </c>
      <c r="L739" s="9" t="str">
        <f>IF(B739="","",IF(ISNA(MATCH(B739,Client_List!$B:$B,0)),"⚠ NOT FOUND","✓"))</f>
        <v>✓</v>
      </c>
    </row>
    <row r="740" spans="1:12" ht="14" customHeight="1" x14ac:dyDescent="0.2">
      <c r="A740" s="56">
        <v>46085</v>
      </c>
      <c r="B740" s="2" t="s">
        <v>210</v>
      </c>
      <c r="C740" s="3" t="str">
        <f>IF(B740="","",IFERROR(INDEX(Client_List!$C:$C,MATCH(B740,Client_List!$B:$B,0)),""))</f>
        <v>4</v>
      </c>
      <c r="D740" s="4" t="str">
        <f>IF(B740="","",IFERROR(INDEX(Client_List!$D:$D,MATCH(B740,Client_List!$B:$B,0)),""))</f>
        <v>4C</v>
      </c>
      <c r="E740" s="4" t="str">
        <f>IF(B740="","",IFERROR(INDEX(Client_List!$K:$K,MATCH(B740,Client_List!$B:$B,0)),""))</f>
        <v>CANOLA OIL</v>
      </c>
      <c r="F740" s="5">
        <f>IF(B740="","",IFERROR(INDEX(Client_List!$J:$J,MATCH(B740,Client_List!$B:$B,0)),""))</f>
        <v>630</v>
      </c>
      <c r="G740" s="5">
        <v>425</v>
      </c>
      <c r="H740" s="4">
        <f>IF(B740="","",IFERROR(A740-LOOKUP(2,1/($B$4:$B739=B740),$A$4:$A739),""))</f>
        <v>19</v>
      </c>
      <c r="I740" s="72">
        <f t="shared" si="11"/>
        <v>22.368421052631579</v>
      </c>
      <c r="J740" s="4">
        <v>143255</v>
      </c>
      <c r="K740" s="6">
        <f>IF(B740="","",IFERROR(AVERAGEIFS($I$4:$I740,$B$4:$B740,B740,$I$4:$I740,"&gt;"&amp;0),""))</f>
        <v>22.661483253588514</v>
      </c>
      <c r="L740" s="4" t="str">
        <f>IF(B740="","",IF(ISNA(MATCH(B740,Client_List!$B:$B,0)),"⚠ NOT FOUND","✓"))</f>
        <v>✓</v>
      </c>
    </row>
    <row r="741" spans="1:12" ht="14" customHeight="1" x14ac:dyDescent="0.2">
      <c r="A741" s="57">
        <v>46085</v>
      </c>
      <c r="B741" s="7" t="s">
        <v>218</v>
      </c>
      <c r="C741" s="8" t="str">
        <f>IF(B741="","",IFERROR(INDEX(Client_List!$C:$C,MATCH(B741,Client_List!$B:$B,0)),""))</f>
        <v>4</v>
      </c>
      <c r="D741" s="9" t="str">
        <f>IF(B741="","",IFERROR(INDEX(Client_List!$D:$D,MATCH(B741,Client_List!$B:$B,0)),""))</f>
        <v>4C</v>
      </c>
      <c r="E741" s="9" t="str">
        <f>IF(B741="","",IFERROR(INDEX(Client_List!$K:$K,MATCH(B741,Client_List!$B:$B,0)),""))</f>
        <v>CANOLA OIL</v>
      </c>
      <c r="F741" s="10">
        <f>IF(B741="","",IFERROR(INDEX(Client_List!$J:$J,MATCH(B741,Client_List!$B:$B,0)),""))</f>
        <v>630</v>
      </c>
      <c r="G741" s="10">
        <v>386</v>
      </c>
      <c r="H741" s="9">
        <f>IF(B741="","",IFERROR(A741-LOOKUP(2,1/($B$4:$B740=B741),$A$4:$A740),""))</f>
        <v>20</v>
      </c>
      <c r="I741" s="73">
        <f t="shared" si="11"/>
        <v>19.3</v>
      </c>
      <c r="J741" s="9">
        <v>143251</v>
      </c>
      <c r="K741" s="6">
        <f>IF(B741="","",IFERROR(AVERAGEIFS($I$4:$I741,$B$4:$B741,B741,$I$4:$I741,"&gt;"&amp;0),""))</f>
        <v>18.769047619047619</v>
      </c>
      <c r="L741" s="9" t="str">
        <f>IF(B741="","",IF(ISNA(MATCH(B741,Client_List!$B:$B,0)),"⚠ NOT FOUND","✓"))</f>
        <v>✓</v>
      </c>
    </row>
    <row r="742" spans="1:12" ht="14" customHeight="1" x14ac:dyDescent="0.2">
      <c r="A742" s="56">
        <v>46085</v>
      </c>
      <c r="B742" s="2" t="s">
        <v>232</v>
      </c>
      <c r="C742" s="11" t="str">
        <f>IF(B742="","",IFERROR(INDEX(Client_List!$C:$C,MATCH(B742,Client_List!$B:$B,0)),""))</f>
        <v>5</v>
      </c>
      <c r="D742" s="4" t="str">
        <f>IF(B742="","",IFERROR(INDEX(Client_List!$D:$D,MATCH(B742,Client_List!$B:$B,0)),""))</f>
        <v>5F</v>
      </c>
      <c r="E742" s="4" t="str">
        <f>IF(B742="","",IFERROR(INDEX(Client_List!$K:$K,MATCH(B742,Client_List!$B:$B,0)),""))</f>
        <v>CANOLA OIL</v>
      </c>
      <c r="F742" s="5">
        <f>IF(B742="","",IFERROR(INDEX(Client_List!$J:$J,MATCH(B742,Client_List!$B:$B,0)),""))</f>
        <v>500</v>
      </c>
      <c r="G742" s="5">
        <v>305</v>
      </c>
      <c r="H742" s="4">
        <f>IF(B742="","",IFERROR(A742-LOOKUP(2,1/($B$4:$B741=B742),$A$4:$A741),""))</f>
        <v>7</v>
      </c>
      <c r="I742" s="72">
        <f t="shared" si="11"/>
        <v>43.571428571428569</v>
      </c>
      <c r="J742" s="4">
        <v>143265</v>
      </c>
      <c r="K742" s="6">
        <f>IF(B742="","",IFERROR(AVERAGEIFS($I$4:$I742,$B$4:$B742,B742,$I$4:$I742,"&gt;"&amp;0),""))</f>
        <v>41.562409812409811</v>
      </c>
      <c r="L742" s="4" t="str">
        <f>IF(B742="","",IF(ISNA(MATCH(B742,Client_List!$B:$B,0)),"⚠ NOT FOUND","✓"))</f>
        <v>✓</v>
      </c>
    </row>
    <row r="743" spans="1:12" ht="14" customHeight="1" x14ac:dyDescent="0.2">
      <c r="A743" s="57">
        <v>46085</v>
      </c>
      <c r="B743" s="7" t="s">
        <v>244</v>
      </c>
      <c r="C743" s="12" t="str">
        <f>IF(B743="","",IFERROR(INDEX(Client_List!$C:$C,MATCH(B743,Client_List!$B:$B,0)),""))</f>
        <v>4</v>
      </c>
      <c r="D743" s="9" t="str">
        <f>IF(B743="","",IFERROR(INDEX(Client_List!$D:$D,MATCH(B743,Client_List!$B:$B,0)),""))</f>
        <v>4E</v>
      </c>
      <c r="E743" s="9" t="str">
        <f>IF(B743="","",IFERROR(INDEX(Client_List!$K:$K,MATCH(B743,Client_List!$B:$B,0)),""))</f>
        <v>FRYERS CHOICE BLEND</v>
      </c>
      <c r="F743" s="10">
        <f>IF(B743="","",IFERROR(INDEX(Client_List!$J:$J,MATCH(B743,Client_List!$B:$B,0)),""))</f>
        <v>950</v>
      </c>
      <c r="G743" s="10">
        <v>254</v>
      </c>
      <c r="H743" s="9">
        <f>IF(B743="","",IFERROR(A743-LOOKUP(2,1/($B$4:$B742=B743),$A$4:$A742),""))</f>
        <v>6</v>
      </c>
      <c r="I743" s="73">
        <f t="shared" si="11"/>
        <v>42.333333333333336</v>
      </c>
      <c r="J743" s="9">
        <v>143262</v>
      </c>
      <c r="K743" s="6">
        <f>IF(B743="","",IFERROR(AVERAGEIFS($I$4:$I743,$B$4:$B743,B743,$I$4:$I743,"&gt;"&amp;0),""))</f>
        <v>51.313675213675211</v>
      </c>
      <c r="L743" s="9" t="str">
        <f>IF(B743="","",IF(ISNA(MATCH(B743,Client_List!$B:$B,0)),"⚠ NOT FOUND","✓"))</f>
        <v>✓</v>
      </c>
    </row>
    <row r="744" spans="1:12" ht="14" customHeight="1" x14ac:dyDescent="0.2">
      <c r="A744" s="56">
        <v>46085</v>
      </c>
      <c r="B744" s="2" t="s">
        <v>268</v>
      </c>
      <c r="C744" s="3" t="str">
        <f>IF(B744="","",IFERROR(INDEX(Client_List!$C:$C,MATCH(B744,Client_List!$B:$B,0)),""))</f>
        <v>5</v>
      </c>
      <c r="D744" s="4" t="str">
        <f>IF(B744="","",IFERROR(INDEX(Client_List!$D:$D,MATCH(B744,Client_List!$B:$B,0)),""))</f>
        <v>5D</v>
      </c>
      <c r="E744" s="4" t="str">
        <f>IF(B744="","",IFERROR(INDEX(Client_List!$K:$K,MATCH(B744,Client_List!$B:$B,0)),""))</f>
        <v>CANOLA OIL</v>
      </c>
      <c r="F744" s="5">
        <f>IF(B744="","",IFERROR(INDEX(Client_List!$J:$J,MATCH(B744,Client_List!$B:$B,0)),""))</f>
        <v>660</v>
      </c>
      <c r="G744" s="5">
        <v>529</v>
      </c>
      <c r="H744" s="4">
        <f>IF(B744="","",IFERROR(A744-LOOKUP(2,1/($B$4:$B743=B744),$A$4:$A743),""))</f>
        <v>8</v>
      </c>
      <c r="I744" s="72">
        <f t="shared" si="11"/>
        <v>66.125</v>
      </c>
      <c r="J744" s="4">
        <v>143263</v>
      </c>
      <c r="K744" s="6">
        <f>IF(B744="","",IFERROR(AVERAGEIFS($I$4:$I744,$B$4:$B744,B744,$I$4:$I744,"&gt;"&amp;0),""))</f>
        <v>61.349537037037038</v>
      </c>
      <c r="L744" s="4" t="str">
        <f>IF(B744="","",IF(ISNA(MATCH(B744,Client_List!$B:$B,0)),"⚠ NOT FOUND","✓"))</f>
        <v>✓</v>
      </c>
    </row>
    <row r="745" spans="1:12" ht="14" customHeight="1" x14ac:dyDescent="0.2">
      <c r="A745" s="57">
        <v>46085</v>
      </c>
      <c r="B745" s="7" t="s">
        <v>274</v>
      </c>
      <c r="C745" s="3" t="str">
        <f>IF(B745="","",IFERROR(INDEX(Client_List!$C:$C,MATCH(B745,Client_List!$B:$B,0)),""))</f>
        <v>3</v>
      </c>
      <c r="D745" s="9" t="str">
        <f>IF(B745="","",IFERROR(INDEX(Client_List!$D:$D,MATCH(B745,Client_List!$B:$B,0)),""))</f>
        <v>3C</v>
      </c>
      <c r="E745" s="9" t="str">
        <f>IF(B745="","",IFERROR(INDEX(Client_List!$K:$K,MATCH(B745,Client_List!$B:$B,0)),""))</f>
        <v>FRYERS CHOICE BLEND</v>
      </c>
      <c r="F745" s="10">
        <f>IF(B745="","",IFERROR(INDEX(Client_List!$J:$J,MATCH(B745,Client_List!$B:$B,0)),""))</f>
        <v>450</v>
      </c>
      <c r="G745" s="10">
        <v>335</v>
      </c>
      <c r="H745" s="9">
        <f>IF(B745="","",IFERROR(A745-LOOKUP(2,1/($B$4:$B744=B745),$A$4:$A744),""))</f>
        <v>8</v>
      </c>
      <c r="I745" s="73">
        <f t="shared" si="11"/>
        <v>41.875</v>
      </c>
      <c r="J745" s="9">
        <v>143253</v>
      </c>
      <c r="K745" s="6">
        <f>IF(B745="","",IFERROR(AVERAGEIFS($I$4:$I745,$B$4:$B745,B745,$I$4:$I745,"&gt;"&amp;0),""))</f>
        <v>43.335714285714289</v>
      </c>
      <c r="L745" s="9" t="str">
        <f>IF(B745="","",IF(ISNA(MATCH(B745,Client_List!$B:$B,0)),"⚠ NOT FOUND","✓"))</f>
        <v>✓</v>
      </c>
    </row>
    <row r="746" spans="1:12" ht="14" customHeight="1" x14ac:dyDescent="0.2">
      <c r="A746" s="56">
        <v>46085</v>
      </c>
      <c r="B746" s="2" t="s">
        <v>276</v>
      </c>
      <c r="C746" s="13" t="str">
        <f>IF(B746="","",IFERROR(INDEX(Client_List!$C:$C,MATCH(B746,Client_List!$B:$B,0)),""))</f>
        <v>3</v>
      </c>
      <c r="D746" s="4" t="str">
        <f>IF(B746="","",IFERROR(INDEX(Client_List!$D:$D,MATCH(B746,Client_List!$B:$B,0)),""))</f>
        <v>3D</v>
      </c>
      <c r="E746" s="4" t="str">
        <f>IF(B746="","",IFERROR(INDEX(Client_List!$K:$K,MATCH(B746,Client_List!$B:$B,0)),""))</f>
        <v>FRYERS CHOICE BLEND</v>
      </c>
      <c r="F746" s="5">
        <f>IF(B746="","",IFERROR(INDEX(Client_List!$J:$J,MATCH(B746,Client_List!$B:$B,0)),""))</f>
        <v>950</v>
      </c>
      <c r="G746" s="5">
        <v>574</v>
      </c>
      <c r="H746" s="4">
        <f>IF(B746="","",IFERROR(A746-LOOKUP(2,1/($B$4:$B745=B746),$A$4:$A745),""))</f>
        <v>8</v>
      </c>
      <c r="I746" s="72">
        <f t="shared" si="11"/>
        <v>71.75</v>
      </c>
      <c r="J746" s="4">
        <v>143260</v>
      </c>
      <c r="K746" s="6">
        <f>IF(B746="","",IFERROR(AVERAGEIFS($I$4:$I746,$B$4:$B746,B746,$I$4:$I746,"&gt;"&amp;0),""))</f>
        <v>89.317913832199551</v>
      </c>
      <c r="L746" s="4" t="str">
        <f>IF(B746="","",IF(ISNA(MATCH(B746,Client_List!$B:$B,0)),"⚠ NOT FOUND","✓"))</f>
        <v>✓</v>
      </c>
    </row>
    <row r="747" spans="1:12" ht="14" customHeight="1" x14ac:dyDescent="0.2">
      <c r="A747" s="57">
        <v>46085</v>
      </c>
      <c r="B747" s="7" t="s">
        <v>288</v>
      </c>
      <c r="C747" s="3" t="str">
        <f>IF(B747="","",IFERROR(INDEX(Client_List!$C:$C,MATCH(B747,Client_List!$B:$B,0)),""))</f>
        <v>3</v>
      </c>
      <c r="D747" s="9" t="str">
        <f>IF(B747="","",IFERROR(INDEX(Client_List!$D:$D,MATCH(B747,Client_List!$B:$B,0)),""))</f>
        <v>3C</v>
      </c>
      <c r="E747" s="9" t="str">
        <f>IF(B747="","",IFERROR(INDEX(Client_List!$K:$K,MATCH(B747,Client_List!$B:$B,0)),""))</f>
        <v>CANOLA OIL</v>
      </c>
      <c r="F747" s="10">
        <f>IF(B747="","",IFERROR(INDEX(Client_List!$J:$J,MATCH(B747,Client_List!$B:$B,0)),""))</f>
        <v>620</v>
      </c>
      <c r="G747" s="10">
        <v>561</v>
      </c>
      <c r="H747" s="9">
        <f>IF(B747="","",IFERROR(A747-LOOKUP(2,1/($B$4:$B746=B747),$A$4:$A746),""))</f>
        <v>12</v>
      </c>
      <c r="I747" s="73">
        <f t="shared" si="11"/>
        <v>46.75</v>
      </c>
      <c r="J747" s="9">
        <v>143247</v>
      </c>
      <c r="K747" s="6">
        <f>IF(B747="","",IFERROR(AVERAGEIFS($I$4:$I747,$B$4:$B747,B747,$I$4:$I747,"&gt;"&amp;0),""))</f>
        <v>41.681089743589737</v>
      </c>
      <c r="L747" s="9" t="str">
        <f>IF(B747="","",IF(ISNA(MATCH(B747,Client_List!$B:$B,0)),"⚠ NOT FOUND","✓"))</f>
        <v>✓</v>
      </c>
    </row>
    <row r="748" spans="1:12" ht="14" customHeight="1" x14ac:dyDescent="0.2">
      <c r="A748" s="56">
        <v>46085</v>
      </c>
      <c r="B748" s="2" t="s">
        <v>310</v>
      </c>
      <c r="C748" s="3" t="str">
        <f>IF(B748="","",IFERROR(INDEX(Client_List!$C:$C,MATCH(B748,Client_List!$B:$B,0)),""))</f>
        <v>3</v>
      </c>
      <c r="D748" s="4" t="str">
        <f>IF(B748="","",IFERROR(INDEX(Client_List!$D:$D,MATCH(B748,Client_List!$B:$B,0)),""))</f>
        <v>3D</v>
      </c>
      <c r="E748" s="4" t="str">
        <f>IF(B748="","",IFERROR(INDEX(Client_List!$K:$K,MATCH(B748,Client_List!$B:$B,0)),""))</f>
        <v>CANOLA OIL</v>
      </c>
      <c r="F748" s="5">
        <f>IF(B748="","",IFERROR(INDEX(Client_List!$J:$J,MATCH(B748,Client_List!$B:$B,0)),""))</f>
        <v>1050</v>
      </c>
      <c r="G748" s="5">
        <v>934</v>
      </c>
      <c r="H748" s="4">
        <f>IF(B748="","",IFERROR(A748-LOOKUP(2,1/($B$4:$B747=B748),$A$4:$A747),""))</f>
        <v>13</v>
      </c>
      <c r="I748" s="72">
        <f t="shared" si="11"/>
        <v>71.84615384615384</v>
      </c>
      <c r="J748" s="4">
        <v>143249</v>
      </c>
      <c r="K748" s="6">
        <f>IF(B748="","",IFERROR(AVERAGEIFS($I$4:$I748,$B$4:$B748,B748,$I$4:$I748,"&gt;"&amp;0),""))</f>
        <v>67.039194139194137</v>
      </c>
      <c r="L748" s="4" t="str">
        <f>IF(B748="","",IF(ISNA(MATCH(B748,Client_List!$B:$B,0)),"⚠ NOT FOUND","✓"))</f>
        <v>✓</v>
      </c>
    </row>
    <row r="749" spans="1:12" ht="14" customHeight="1" x14ac:dyDescent="0.2">
      <c r="A749" s="57">
        <v>46085</v>
      </c>
      <c r="B749" s="7" t="s">
        <v>346</v>
      </c>
      <c r="C749" s="3" t="str">
        <f>IF(B749="","",IFERROR(INDEX(Client_List!$C:$C,MATCH(B749,Client_List!$B:$B,0)),""))</f>
        <v>3</v>
      </c>
      <c r="D749" s="9" t="str">
        <f>IF(B749="","",IFERROR(INDEX(Client_List!$D:$D,MATCH(B749,Client_List!$B:$B,0)),""))</f>
        <v>3C</v>
      </c>
      <c r="E749" s="9" t="str">
        <f>IF(B749="","",IFERROR(INDEX(Client_List!$K:$K,MATCH(B749,Client_List!$B:$B,0)),""))</f>
        <v>FRYERS CHOICE BLEND</v>
      </c>
      <c r="F749" s="10">
        <f>IF(B749="","",IFERROR(INDEX(Client_List!$J:$J,MATCH(B749,Client_List!$B:$B,0)),""))</f>
        <v>1850</v>
      </c>
      <c r="G749" s="10">
        <v>635</v>
      </c>
      <c r="H749" s="9">
        <f>IF(B749="","",IFERROR(A749-LOOKUP(2,1/($B$4:$B748=B749),$A$4:$A748),""))</f>
        <v>20</v>
      </c>
      <c r="I749" s="73">
        <f t="shared" si="11"/>
        <v>31.75</v>
      </c>
      <c r="J749" s="9">
        <v>143250</v>
      </c>
      <c r="K749" s="6">
        <f>IF(B749="","",IFERROR(AVERAGEIFS($I$4:$I749,$B$4:$B749,B749,$I$4:$I749,"&gt;"&amp;0),""))</f>
        <v>31.75</v>
      </c>
      <c r="L749" s="9" t="str">
        <f>IF(B749="","",IF(ISNA(MATCH(B749,Client_List!$B:$B,0)),"⚠ NOT FOUND","✓"))</f>
        <v>✓</v>
      </c>
    </row>
    <row r="750" spans="1:12" ht="14" customHeight="1" x14ac:dyDescent="0.2">
      <c r="A750" s="56">
        <v>46086</v>
      </c>
      <c r="B750" s="2" t="s">
        <v>43</v>
      </c>
      <c r="C750" s="3" t="str">
        <f>IF(B750="","",IFERROR(INDEX(Client_List!$C:$C,MATCH(B750,Client_List!$B:$B,0)),""))</f>
        <v>1</v>
      </c>
      <c r="D750" s="4" t="str">
        <f>IF(B750="","",IFERROR(INDEX(Client_List!$D:$D,MATCH(B750,Client_List!$B:$B,0)),""))</f>
        <v>1C</v>
      </c>
      <c r="E750" s="4" t="str">
        <f>IF(B750="","",IFERROR(INDEX(Client_List!$K:$K,MATCH(B750,Client_List!$B:$B,0)),""))</f>
        <v>FRYERS CHOICE BLEND</v>
      </c>
      <c r="F750" s="5">
        <f>IF(B750="","",IFERROR(INDEX(Client_List!$J:$J,MATCH(B750,Client_List!$B:$B,0)),""))</f>
        <v>620</v>
      </c>
      <c r="G750" s="5">
        <v>581</v>
      </c>
      <c r="H750" s="4">
        <f>IF(B750="","",IFERROR(A750-LOOKUP(2,1/($B$4:$B749=B750),$A$4:$A749),""))</f>
        <v>14</v>
      </c>
      <c r="I750" s="72">
        <f t="shared" si="11"/>
        <v>41.5</v>
      </c>
      <c r="J750" s="4">
        <v>143292</v>
      </c>
      <c r="K750" s="6">
        <f>IF(B750="","",IFERROR(AVERAGEIFS($I$4:$I750,$B$4:$B750,B750,$I$4:$I750,"&gt;"&amp;0),""))</f>
        <v>45.823358585858585</v>
      </c>
      <c r="L750" s="4" t="str">
        <f>IF(B750="","",IF(ISNA(MATCH(B750,Client_List!$B:$B,0)),"⚠ NOT FOUND","✓"))</f>
        <v>✓</v>
      </c>
    </row>
    <row r="751" spans="1:12" ht="14" customHeight="1" x14ac:dyDescent="0.2">
      <c r="A751" s="57">
        <v>46086</v>
      </c>
      <c r="B751" s="7" t="s">
        <v>59</v>
      </c>
      <c r="C751" s="13" t="str">
        <f>IF(B751="","",IFERROR(INDEX(Client_List!$C:$C,MATCH(B751,Client_List!$B:$B,0)),""))</f>
        <v>1</v>
      </c>
      <c r="D751" s="9" t="str">
        <f>IF(B751="","",IFERROR(INDEX(Client_List!$D:$D,MATCH(B751,Client_List!$B:$B,0)),""))</f>
        <v>1D</v>
      </c>
      <c r="E751" s="9" t="str">
        <f>IF(B751="","",IFERROR(INDEX(Client_List!$K:$K,MATCH(B751,Client_List!$B:$B,0)),""))</f>
        <v>CANOLA OIL</v>
      </c>
      <c r="F751" s="10">
        <f>IF(B751="","",IFERROR(INDEX(Client_List!$J:$J,MATCH(B751,Client_List!$B:$B,0)),""))</f>
        <v>900</v>
      </c>
      <c r="G751" s="10">
        <v>765</v>
      </c>
      <c r="H751" s="9">
        <f>IF(B751="","",IFERROR(A751-LOOKUP(2,1/($B$4:$B750=B751),$A$4:$A750),""))</f>
        <v>10</v>
      </c>
      <c r="I751" s="73">
        <f t="shared" si="11"/>
        <v>76.5</v>
      </c>
      <c r="J751" s="9">
        <v>143300</v>
      </c>
      <c r="K751" s="6">
        <f>IF(B751="","",IFERROR(AVERAGEIFS($I$4:$I751,$B$4:$B751,B751,$I$4:$I751,"&gt;"&amp;0),""))</f>
        <v>74.196843434343435</v>
      </c>
      <c r="L751" s="9" t="str">
        <f>IF(B751="","",IF(ISNA(MATCH(B751,Client_List!$B:$B,0)),"⚠ NOT FOUND","✓"))</f>
        <v>✓</v>
      </c>
    </row>
    <row r="752" spans="1:12" ht="14" customHeight="1" x14ac:dyDescent="0.2">
      <c r="A752" s="56">
        <v>46086</v>
      </c>
      <c r="B752" s="2" t="s">
        <v>63</v>
      </c>
      <c r="C752" s="3" t="str">
        <f>IF(B752="","",IFERROR(INDEX(Client_List!$C:$C,MATCH(B752,Client_List!$B:$B,0)),""))</f>
        <v>5</v>
      </c>
      <c r="D752" s="4" t="str">
        <f>IF(B752="","",IFERROR(INDEX(Client_List!$D:$D,MATCH(B752,Client_List!$B:$B,0)),""))</f>
        <v>5D</v>
      </c>
      <c r="E752" s="4" t="str">
        <f>IF(B752="","",IFERROR(INDEX(Client_List!$K:$K,MATCH(B752,Client_List!$B:$B,0)),""))</f>
        <v>CANOLA OIL</v>
      </c>
      <c r="F752" s="5">
        <f>IF(B752="","",IFERROR(INDEX(Client_List!$J:$J,MATCH(B752,Client_List!$B:$B,0)),""))</f>
        <v>425</v>
      </c>
      <c r="G752" s="5">
        <v>310</v>
      </c>
      <c r="H752" s="4">
        <f>IF(B752="","",IFERROR(A752-LOOKUP(2,1/($B$4:$B751=B752),$A$4:$A751),""))</f>
        <v>8</v>
      </c>
      <c r="I752" s="72">
        <f t="shared" si="11"/>
        <v>38.75</v>
      </c>
      <c r="J752" s="4">
        <v>143264</v>
      </c>
      <c r="K752" s="6">
        <f>IF(B752="","",IFERROR(AVERAGEIFS($I$4:$I752,$B$4:$B752,B752,$I$4:$I752,"&gt;"&amp;0),""))</f>
        <v>35.374735449735446</v>
      </c>
      <c r="L752" s="4" t="str">
        <f>IF(B752="","",IF(ISNA(MATCH(B752,Client_List!$B:$B,0)),"⚠ NOT FOUND","✓"))</f>
        <v>✓</v>
      </c>
    </row>
    <row r="753" spans="1:12" ht="14" customHeight="1" x14ac:dyDescent="0.2">
      <c r="A753" s="57">
        <v>46086</v>
      </c>
      <c r="B753" s="7" t="s">
        <v>365</v>
      </c>
      <c r="C753" s="8">
        <f>IF(B753="","",IFERROR(INDEX(Client_List!$C:$C,MATCH(B753,Client_List!$B:$B,0)),""))</f>
        <v>0</v>
      </c>
      <c r="D753" s="9">
        <f>IF(B753="","",IFERROR(INDEX(Client_List!$D:$D,MATCH(B753,Client_List!$B:$B,0)),""))</f>
        <v>0</v>
      </c>
      <c r="E753" s="9" t="str">
        <f>IF(B753="","",IFERROR(INDEX(Client_List!$K:$K,MATCH(B753,Client_List!$B:$B,0)),""))</f>
        <v>CANOLA OIL</v>
      </c>
      <c r="F753" s="10">
        <f>IF(B753="","",IFERROR(INDEX(Client_List!$J:$J,MATCH(B753,Client_List!$B:$B,0)),""))</f>
        <v>700</v>
      </c>
      <c r="G753" s="10">
        <v>292</v>
      </c>
      <c r="H753" s="9">
        <f>IF(B753="","",IFERROR(A753-LOOKUP(2,1/($B$4:$B752=B753),$A$4:$A752),""))</f>
        <v>7</v>
      </c>
      <c r="I753" s="73">
        <f t="shared" si="11"/>
        <v>41.714285714285715</v>
      </c>
      <c r="J753" s="9">
        <v>143285</v>
      </c>
      <c r="K753" s="6">
        <f>IF(B753="","",IFERROR(AVERAGEIFS($I$4:$I753,$B$4:$B753,B753,$I$4:$I753,"&gt;"&amp;0),""))</f>
        <v>53.275264550264552</v>
      </c>
      <c r="L753" s="9" t="str">
        <f>IF(B753="","",IF(ISNA(MATCH(B753,Client_List!$B:$B,0)),"⚠ NOT FOUND","✓"))</f>
        <v>✓</v>
      </c>
    </row>
    <row r="754" spans="1:12" ht="14" customHeight="1" x14ac:dyDescent="0.2">
      <c r="A754" s="56">
        <v>46086</v>
      </c>
      <c r="B754" s="2" t="s">
        <v>81</v>
      </c>
      <c r="C754" s="3" t="str">
        <f>IF(B754="","",IFERROR(INDEX(Client_List!$C:$C,MATCH(B754,Client_List!$B:$B,0)),""))</f>
        <v>3</v>
      </c>
      <c r="D754" s="4" t="str">
        <f>IF(B754="","",IFERROR(INDEX(Client_List!$D:$D,MATCH(B754,Client_List!$B:$B,0)),""))</f>
        <v>3E</v>
      </c>
      <c r="E754" s="4" t="str">
        <f>IF(B754="","",IFERROR(INDEX(Client_List!$K:$K,MATCH(B754,Client_List!$B:$B,0)),""))</f>
        <v>CANOLA OIL</v>
      </c>
      <c r="F754" s="5">
        <f>IF(B754="","",IFERROR(INDEX(Client_List!$J:$J,MATCH(B754,Client_List!$B:$B,0)),""))</f>
        <v>350</v>
      </c>
      <c r="G754" s="5">
        <v>162</v>
      </c>
      <c r="H754" s="4">
        <f>IF(B754="","",IFERROR(A754-LOOKUP(2,1/($B$4:$B753=B754),$A$4:$A753),""))</f>
        <v>14</v>
      </c>
      <c r="I754" s="72">
        <f t="shared" si="11"/>
        <v>11.571428571428571</v>
      </c>
      <c r="J754" s="4">
        <v>143301</v>
      </c>
      <c r="K754" s="6">
        <f>IF(B754="","",IFERROR(AVERAGEIFS($I$4:$I754,$B$4:$B754,B754,$I$4:$I754,"&gt;"&amp;0),""))</f>
        <v>18.887301587301586</v>
      </c>
      <c r="L754" s="4" t="str">
        <f>IF(B754="","",IF(ISNA(MATCH(B754,Client_List!$B:$B,0)),"⚠ NOT FOUND","✓"))</f>
        <v>✓</v>
      </c>
    </row>
    <row r="755" spans="1:12" ht="14" customHeight="1" x14ac:dyDescent="0.2">
      <c r="A755" s="57">
        <v>46086</v>
      </c>
      <c r="B755" s="7" t="s">
        <v>366</v>
      </c>
      <c r="C755" s="8" t="str">
        <f>IF(B755="","",IFERROR(INDEX(Client_List!$C:$C,MATCH(B755,Client_List!$B:$B,0)),""))</f>
        <v>2</v>
      </c>
      <c r="D755" s="9" t="str">
        <f>IF(B755="","",IFERROR(INDEX(Client_List!$D:$D,MATCH(B755,Client_List!$B:$B,0)),""))</f>
        <v>2C</v>
      </c>
      <c r="E755" s="9" t="str">
        <f>IF(B755="","",IFERROR(INDEX(Client_List!$K:$K,MATCH(B755,Client_List!$B:$B,0)),""))</f>
        <v>CANOLA OIL</v>
      </c>
      <c r="F755" s="10">
        <f>IF(B755="","",IFERROR(INDEX(Client_List!$J:$J,MATCH(B755,Client_List!$B:$B,0)),""))</f>
        <v>350</v>
      </c>
      <c r="G755" s="10">
        <v>235</v>
      </c>
      <c r="H755" s="9">
        <f>IF(B755="","",IFERROR(A755-LOOKUP(2,1/($B$4:$B754=B755),$A$4:$A754),""))</f>
        <v>13</v>
      </c>
      <c r="I755" s="73">
        <f t="shared" si="11"/>
        <v>18.076923076923077</v>
      </c>
      <c r="J755" s="9">
        <v>143291</v>
      </c>
      <c r="K755" s="6">
        <f>IF(B755="","",IFERROR(AVERAGEIFS($I$4:$I755,$B$4:$B755,B755,$I$4:$I755,"&gt;"&amp;0),""))</f>
        <v>16.970797185270872</v>
      </c>
      <c r="L755" s="9" t="str">
        <f>IF(B755="","",IF(ISNA(MATCH(B755,Client_List!$B:$B,0)),"⚠ NOT FOUND","✓"))</f>
        <v>✓</v>
      </c>
    </row>
    <row r="756" spans="1:12" ht="14" customHeight="1" x14ac:dyDescent="0.2">
      <c r="A756" s="56">
        <v>46086</v>
      </c>
      <c r="B756" s="2" t="s">
        <v>378</v>
      </c>
      <c r="C756" s="13">
        <f>IF(B756="","",IFERROR(INDEX(Client_List!$C:$C,MATCH(B756,Client_List!$B:$B,0)),""))</f>
        <v>0</v>
      </c>
      <c r="D756" s="4" t="str">
        <f>IF(B756="","",IFERROR(INDEX(Client_List!$D:$D,MATCH(B756,Client_List!$B:$B,0)),""))</f>
        <v>W</v>
      </c>
      <c r="E756" s="4" t="str">
        <f>IF(B756="","",IFERROR(INDEX(Client_List!$K:$K,MATCH(B756,Client_List!$B:$B,0)),""))</f>
        <v>CANOLA OIL</v>
      </c>
      <c r="F756" s="5">
        <f>IF(B756="","",IFERROR(INDEX(Client_List!$J:$J,MATCH(B756,Client_List!$B:$B,0)),""))</f>
        <v>950</v>
      </c>
      <c r="G756" s="5">
        <v>759</v>
      </c>
      <c r="H756" s="4">
        <f>IF(B756="","",IFERROR(A756-LOOKUP(2,1/($B$4:$B755=B756),$A$4:$A755),""))</f>
        <v>48</v>
      </c>
      <c r="I756" s="72">
        <f t="shared" si="11"/>
        <v>15.8125</v>
      </c>
      <c r="J756" s="4">
        <v>143287</v>
      </c>
      <c r="K756" s="6">
        <f>IF(B756="","",IFERROR(AVERAGEIFS($I$4:$I756,$B$4:$B756,B756,$I$4:$I756,"&gt;"&amp;0),""))</f>
        <v>15.8125</v>
      </c>
      <c r="L756" s="4" t="str">
        <f>IF(B756="","",IF(ISNA(MATCH(B756,Client_List!$B:$B,0)),"⚠ NOT FOUND","✓"))</f>
        <v>✓</v>
      </c>
    </row>
    <row r="757" spans="1:12" ht="14" customHeight="1" x14ac:dyDescent="0.2">
      <c r="A757" s="57">
        <v>46086</v>
      </c>
      <c r="B757" s="7" t="s">
        <v>108</v>
      </c>
      <c r="C757" s="12" t="str">
        <f>IF(B757="","",IFERROR(INDEX(Client_List!$C:$C,MATCH(B757,Client_List!$B:$B,0)),""))</f>
        <v>1</v>
      </c>
      <c r="D757" s="9" t="str">
        <f>IF(B757="","",IFERROR(INDEX(Client_List!$D:$D,MATCH(B757,Client_List!$B:$B,0)),""))</f>
        <v>1D</v>
      </c>
      <c r="E757" s="9" t="str">
        <f>IF(B757="","",IFERROR(INDEX(Client_List!$K:$K,MATCH(B757,Client_List!$B:$B,0)),""))</f>
        <v>FRYERS CHOICE BLEND</v>
      </c>
      <c r="F757" s="10">
        <f>IF(B757="","",IFERROR(INDEX(Client_List!$J:$J,MATCH(B757,Client_List!$B:$B,0)),""))</f>
        <v>1050</v>
      </c>
      <c r="G757" s="10">
        <v>647</v>
      </c>
      <c r="H757" s="9">
        <f>IF(B757="","",IFERROR(A757-LOOKUP(2,1/($B$4:$B756=B757),$A$4:$A756),""))</f>
        <v>14</v>
      </c>
      <c r="I757" s="73">
        <f t="shared" si="11"/>
        <v>46.214285714285715</v>
      </c>
      <c r="J757" s="9">
        <v>143284</v>
      </c>
      <c r="K757" s="6">
        <f>IF(B757="","",IFERROR(AVERAGEIFS($I$4:$I757,$B$4:$B757,B757,$I$4:$I757,"&gt;"&amp;0),""))</f>
        <v>48.397344322344324</v>
      </c>
      <c r="L757" s="9" t="str">
        <f>IF(B757="","",IF(ISNA(MATCH(B757,Client_List!$B:$B,0)),"⚠ NOT FOUND","✓"))</f>
        <v>✓</v>
      </c>
    </row>
    <row r="758" spans="1:12" ht="14" customHeight="1" x14ac:dyDescent="0.2">
      <c r="A758" s="56">
        <v>46086</v>
      </c>
      <c r="B758" s="2" t="s">
        <v>110</v>
      </c>
      <c r="C758" s="12" t="str">
        <f>IF(B758="","",IFERROR(INDEX(Client_List!$C:$C,MATCH(B758,Client_List!$B:$B,0)),""))</f>
        <v>1</v>
      </c>
      <c r="D758" s="4" t="str">
        <f>IF(B758="","",IFERROR(INDEX(Client_List!$D:$D,MATCH(B758,Client_List!$B:$B,0)),""))</f>
        <v>1B</v>
      </c>
      <c r="E758" s="4" t="str">
        <f>IF(B758="","",IFERROR(INDEX(Client_List!$K:$K,MATCH(B758,Client_List!$B:$B,0)),""))</f>
        <v>FRYERS CHOICE BLEND</v>
      </c>
      <c r="F758" s="5">
        <f>IF(B758="","",IFERROR(INDEX(Client_List!$J:$J,MATCH(B758,Client_List!$B:$B,0)),""))</f>
        <v>1050</v>
      </c>
      <c r="G758" s="5">
        <v>566</v>
      </c>
      <c r="H758" s="4">
        <f>IF(B758="","",IFERROR(A758-LOOKUP(2,1/($B$4:$B757=B758),$A$4:$A757),""))</f>
        <v>14</v>
      </c>
      <c r="I758" s="72">
        <f t="shared" si="11"/>
        <v>40.428571428571431</v>
      </c>
      <c r="J758" s="4">
        <v>143288</v>
      </c>
      <c r="K758" s="6">
        <f>IF(B758="","",IFERROR(AVERAGEIFS($I$4:$I758,$B$4:$B758,B758,$I$4:$I758,"&gt;"&amp;0),""))</f>
        <v>40.312301587301583</v>
      </c>
      <c r="L758" s="4" t="str">
        <f>IF(B758="","",IF(ISNA(MATCH(B758,Client_List!$B:$B,0)),"⚠ NOT FOUND","✓"))</f>
        <v>✓</v>
      </c>
    </row>
    <row r="759" spans="1:12" ht="14" customHeight="1" x14ac:dyDescent="0.2">
      <c r="A759" s="57">
        <v>46086</v>
      </c>
      <c r="B759" s="7" t="s">
        <v>112</v>
      </c>
      <c r="C759" s="8" t="str">
        <f>IF(B759="","",IFERROR(INDEX(Client_List!$C:$C,MATCH(B759,Client_List!$B:$B,0)),""))</f>
        <v>2</v>
      </c>
      <c r="D759" s="9" t="str">
        <f>IF(B759="","",IFERROR(INDEX(Client_List!$D:$D,MATCH(B759,Client_List!$B:$B,0)),""))</f>
        <v>2A</v>
      </c>
      <c r="E759" s="9" t="str">
        <f>IF(B759="","",IFERROR(INDEX(Client_List!$K:$K,MATCH(B759,Client_List!$B:$B,0)),""))</f>
        <v>FRYERS CHOICE BLEND</v>
      </c>
      <c r="F759" s="10">
        <f>IF(B759="","",IFERROR(INDEX(Client_List!$J:$J,MATCH(B759,Client_List!$B:$B,0)),""))</f>
        <v>450</v>
      </c>
      <c r="G759" s="10">
        <v>426</v>
      </c>
      <c r="H759" s="9">
        <f>IF(B759="","",IFERROR(A759-LOOKUP(2,1/($B$4:$B758=B759),$A$4:$A758),""))</f>
        <v>13</v>
      </c>
      <c r="I759" s="73">
        <f t="shared" si="11"/>
        <v>32.769230769230766</v>
      </c>
      <c r="J759" s="9">
        <v>143289</v>
      </c>
      <c r="K759" s="6">
        <f>IF(B759="","",IFERROR(AVERAGEIFS($I$4:$I759,$B$4:$B759,B759,$I$4:$I759,"&gt;"&amp;0),""))</f>
        <v>35.756410256410255</v>
      </c>
      <c r="L759" s="9" t="str">
        <f>IF(B759="","",IF(ISNA(MATCH(B759,Client_List!$B:$B,0)),"⚠ NOT FOUND","✓"))</f>
        <v>✓</v>
      </c>
    </row>
    <row r="760" spans="1:12" ht="14" customHeight="1" x14ac:dyDescent="0.2">
      <c r="A760" s="56">
        <v>46086</v>
      </c>
      <c r="B760" s="2" t="s">
        <v>118</v>
      </c>
      <c r="C760" s="3" t="str">
        <f>IF(B760="","",IFERROR(INDEX(Client_List!$C:$C,MATCH(B760,Client_List!$B:$B,0)),""))</f>
        <v>4</v>
      </c>
      <c r="D760" s="4" t="str">
        <f>IF(B760="","",IFERROR(INDEX(Client_List!$D:$D,MATCH(B760,Client_List!$B:$B,0)),""))</f>
        <v>4E</v>
      </c>
      <c r="E760" s="4" t="str">
        <f>IF(B760="","",IFERROR(INDEX(Client_List!$K:$K,MATCH(B760,Client_List!$B:$B,0)),""))</f>
        <v>CANOLA OIL</v>
      </c>
      <c r="F760" s="5">
        <f>IF(B760="","",IFERROR(INDEX(Client_List!$J:$J,MATCH(B760,Client_List!$B:$B,0)),""))</f>
        <v>2500</v>
      </c>
      <c r="G760" s="5">
        <v>1652</v>
      </c>
      <c r="H760" s="4">
        <f>IF(B760="","",IFERROR(A760-LOOKUP(2,1/($B$4:$B759=B760),$A$4:$A759),""))</f>
        <v>7</v>
      </c>
      <c r="I760" s="72">
        <f t="shared" si="11"/>
        <v>236</v>
      </c>
      <c r="J760" s="4">
        <v>143296</v>
      </c>
      <c r="K760" s="6">
        <f>IF(B760="","",IFERROR(AVERAGEIFS($I$4:$I760,$B$4:$B760,B760,$I$4:$I760,"&gt;"&amp;0),""))</f>
        <v>246.94268707482996</v>
      </c>
      <c r="L760" s="4" t="str">
        <f>IF(B760="","",IF(ISNA(MATCH(B760,Client_List!$B:$B,0)),"⚠ NOT FOUND","✓"))</f>
        <v>✓</v>
      </c>
    </row>
    <row r="761" spans="1:12" ht="14" customHeight="1" x14ac:dyDescent="0.2">
      <c r="A761" s="57">
        <v>46086</v>
      </c>
      <c r="B761" s="7" t="s">
        <v>134</v>
      </c>
      <c r="C761" s="8" t="str">
        <f>IF(B761="","",IFERROR(INDEX(Client_List!$C:$C,MATCH(B761,Client_List!$B:$B,0)),""))</f>
        <v>3</v>
      </c>
      <c r="D761" s="9" t="str">
        <f>IF(B761="","",IFERROR(INDEX(Client_List!$D:$D,MATCH(B761,Client_List!$B:$B,0)),""))</f>
        <v>3D</v>
      </c>
      <c r="E761" s="9" t="str">
        <f>IF(B761="","",IFERROR(INDEX(Client_List!$K:$K,MATCH(B761,Client_List!$B:$B,0)),""))</f>
        <v>CANOLA OIL</v>
      </c>
      <c r="F761" s="10">
        <f>IF(B761="","",IFERROR(INDEX(Client_List!$J:$J,MATCH(B761,Client_List!$B:$B,0)),""))</f>
        <v>1850</v>
      </c>
      <c r="G761" s="10">
        <v>1035</v>
      </c>
      <c r="H761" s="9">
        <f>IF(B761="","",IFERROR(A761-LOOKUP(2,1/($B$4:$B760=B761),$A$4:$A760),""))</f>
        <v>15</v>
      </c>
      <c r="I761" s="73">
        <f t="shared" si="11"/>
        <v>69</v>
      </c>
      <c r="J761" s="9">
        <v>143295</v>
      </c>
      <c r="K761" s="6">
        <f>IF(B761="","",IFERROR(AVERAGEIFS($I$4:$I761,$B$4:$B761,B761,$I$4:$I761,"&gt;"&amp;0),""))</f>
        <v>68.314118629908094</v>
      </c>
      <c r="L761" s="9" t="str">
        <f>IF(B761="","",IF(ISNA(MATCH(B761,Client_List!$B:$B,0)),"⚠ NOT FOUND","✓"))</f>
        <v>✓</v>
      </c>
    </row>
    <row r="762" spans="1:12" ht="14" customHeight="1" x14ac:dyDescent="0.2">
      <c r="A762" s="56">
        <v>46086</v>
      </c>
      <c r="B762" s="2" t="s">
        <v>246</v>
      </c>
      <c r="C762" s="12" t="str">
        <f>IF(B762="","",IFERROR(INDEX(Client_List!$C:$C,MATCH(B762,Client_List!$B:$B,0)),""))</f>
        <v>3</v>
      </c>
      <c r="D762" s="4" t="str">
        <f>IF(B762="","",IFERROR(INDEX(Client_List!$D:$D,MATCH(B762,Client_List!$B:$B,0)),""))</f>
        <v>3E</v>
      </c>
      <c r="E762" s="4" t="str">
        <f>IF(B762="","",IFERROR(INDEX(Client_List!$K:$K,MATCH(B762,Client_List!$B:$B,0)),""))</f>
        <v>FRYERS CHOICE BLEND</v>
      </c>
      <c r="F762" s="5">
        <f>IF(B762="","",IFERROR(INDEX(Client_List!$J:$J,MATCH(B762,Client_List!$B:$B,0)),""))</f>
        <v>950</v>
      </c>
      <c r="G762" s="5">
        <v>630</v>
      </c>
      <c r="H762" s="4">
        <f>IF(B762="","",IFERROR(A762-LOOKUP(2,1/($B$4:$B761=B762),$A$4:$A761),""))</f>
        <v>8</v>
      </c>
      <c r="I762" s="72">
        <f t="shared" si="11"/>
        <v>78.75</v>
      </c>
      <c r="J762" s="4">
        <v>143297</v>
      </c>
      <c r="K762" s="6">
        <f>IF(B762="","",IFERROR(AVERAGEIFS($I$4:$I762,$B$4:$B762,B762,$I$4:$I762,"&gt;"&amp;0),""))</f>
        <v>72.565883190883198</v>
      </c>
      <c r="L762" s="4" t="str">
        <f>IF(B762="","",IF(ISNA(MATCH(B762,Client_List!$B:$B,0)),"⚠ NOT FOUND","✓"))</f>
        <v>✓</v>
      </c>
    </row>
    <row r="763" spans="1:12" ht="14" customHeight="1" x14ac:dyDescent="0.2">
      <c r="A763" s="57">
        <v>46086</v>
      </c>
      <c r="B763" s="7" t="s">
        <v>254</v>
      </c>
      <c r="C763" s="8" t="str">
        <f>IF(B763="","",IFERROR(INDEX(Client_List!$C:$C,MATCH(B763,Client_List!$B:$B,0)),""))</f>
        <v>2</v>
      </c>
      <c r="D763" s="9" t="str">
        <f>IF(B763="","",IFERROR(INDEX(Client_List!$D:$D,MATCH(B763,Client_List!$B:$B,0)),""))</f>
        <v>2E</v>
      </c>
      <c r="E763" s="9" t="str">
        <f>IF(B763="","",IFERROR(INDEX(Client_List!$K:$K,MATCH(B763,Client_List!$B:$B,0)),""))</f>
        <v>FRYERS CHOICE BLEND</v>
      </c>
      <c r="F763" s="10">
        <f>IF(B763="","",IFERROR(INDEX(Client_List!$J:$J,MATCH(B763,Client_List!$B:$B,0)),""))</f>
        <v>1950</v>
      </c>
      <c r="G763" s="10">
        <v>1312</v>
      </c>
      <c r="H763" s="9">
        <f>IF(B763="","",IFERROR(A763-LOOKUP(2,1/($B$4:$B762=B763),$A$4:$A762),""))</f>
        <v>8</v>
      </c>
      <c r="I763" s="73">
        <f t="shared" si="11"/>
        <v>164</v>
      </c>
      <c r="J763" s="9">
        <v>143298</v>
      </c>
      <c r="K763" s="6">
        <f>IF(B763="","",IFERROR(AVERAGEIFS($I$4:$I763,$B$4:$B763,B763,$I$4:$I763,"&gt;"&amp;0),""))</f>
        <v>147.94444444444443</v>
      </c>
      <c r="L763" s="9" t="str">
        <f>IF(B763="","",IF(ISNA(MATCH(B763,Client_List!$B:$B,0)),"⚠ NOT FOUND","✓"))</f>
        <v>✓</v>
      </c>
    </row>
    <row r="764" spans="1:12" ht="14" customHeight="1" x14ac:dyDescent="0.2">
      <c r="A764" s="56">
        <v>46086</v>
      </c>
      <c r="B764" s="2" t="s">
        <v>264</v>
      </c>
      <c r="C764" s="8" t="str">
        <f>IF(B764="","",IFERROR(INDEX(Client_List!$C:$C,MATCH(B764,Client_List!$B:$B,0)),""))</f>
        <v>2</v>
      </c>
      <c r="D764" s="4" t="str">
        <f>IF(B764="","",IFERROR(INDEX(Client_List!$D:$D,MATCH(B764,Client_List!$B:$B,0)),""))</f>
        <v>2D</v>
      </c>
      <c r="E764" s="4" t="str">
        <f>IF(B764="","",IFERROR(INDEX(Client_List!$K:$K,MATCH(B764,Client_List!$B:$B,0)),""))</f>
        <v>FRYERS CHOICE BLEND</v>
      </c>
      <c r="F764" s="5">
        <f>IF(B764="","",IFERROR(INDEX(Client_List!$J:$J,MATCH(B764,Client_List!$B:$B,0)),""))</f>
        <v>1950</v>
      </c>
      <c r="G764" s="5">
        <v>1379</v>
      </c>
      <c r="H764" s="4">
        <f>IF(B764="","",IFERROR(A764-LOOKUP(2,1/($B$4:$B763=B764),$A$4:$A763),""))</f>
        <v>13</v>
      </c>
      <c r="I764" s="72">
        <f t="shared" si="11"/>
        <v>106.07692307692308</v>
      </c>
      <c r="J764" s="4">
        <v>143299</v>
      </c>
      <c r="K764" s="6">
        <f>IF(B764="","",IFERROR(AVERAGEIFS($I$4:$I764,$B$4:$B764,B764,$I$4:$I764,"&gt;"&amp;0),""))</f>
        <v>97.730536130536137</v>
      </c>
      <c r="L764" s="4" t="str">
        <f>IF(B764="","",IF(ISNA(MATCH(B764,Client_List!$B:$B,0)),"⚠ NOT FOUND","✓"))</f>
        <v>✓</v>
      </c>
    </row>
    <row r="765" spans="1:12" ht="14" customHeight="1" x14ac:dyDescent="0.2">
      <c r="A765" s="57">
        <v>46086</v>
      </c>
      <c r="B765" s="7" t="s">
        <v>266</v>
      </c>
      <c r="C765" s="12" t="str">
        <f>IF(B765="","",IFERROR(INDEX(Client_List!$C:$C,MATCH(B765,Client_List!$B:$B,0)),""))</f>
        <v>1</v>
      </c>
      <c r="D765" s="9" t="str">
        <f>IF(B765="","",IFERROR(INDEX(Client_List!$D:$D,MATCH(B765,Client_List!$B:$B,0)),""))</f>
        <v>1A</v>
      </c>
      <c r="E765" s="9" t="str">
        <f>IF(B765="","",IFERROR(INDEX(Client_List!$K:$K,MATCH(B765,Client_List!$B:$B,0)),""))</f>
        <v>CANOLA OIL</v>
      </c>
      <c r="F765" s="10">
        <f>IF(B765="","",IFERROR(INDEX(Client_List!$J:$J,MATCH(B765,Client_List!$B:$B,0)),""))</f>
        <v>1950</v>
      </c>
      <c r="G765" s="10">
        <v>1744</v>
      </c>
      <c r="H765" s="9">
        <f>IF(B765="","",IFERROR(A765-LOOKUP(2,1/($B$4:$B764=B765),$A$4:$A764),""))</f>
        <v>48</v>
      </c>
      <c r="I765" s="73">
        <f t="shared" si="11"/>
        <v>36.333333333333336</v>
      </c>
      <c r="J765" s="9">
        <v>143286</v>
      </c>
      <c r="K765" s="6">
        <f>IF(B765="","",IFERROR(AVERAGEIFS($I$4:$I765,$B$4:$B765,B765,$I$4:$I765,"&gt;"&amp;0),""))</f>
        <v>36.333333333333336</v>
      </c>
      <c r="L765" s="9" t="str">
        <f>IF(B765="","",IF(ISNA(MATCH(B765,Client_List!$B:$B,0)),"⚠ NOT FOUND","✓"))</f>
        <v>✓</v>
      </c>
    </row>
    <row r="766" spans="1:12" ht="14" customHeight="1" x14ac:dyDescent="0.2">
      <c r="A766" s="56">
        <v>46086</v>
      </c>
      <c r="B766" s="2" t="s">
        <v>284</v>
      </c>
      <c r="C766" s="3" t="str">
        <f>IF(B766="","",IFERROR(INDEX(Client_List!$C:$C,MATCH(B766,Client_List!$B:$B,0)),""))</f>
        <v>2</v>
      </c>
      <c r="D766" s="4" t="str">
        <f>IF(B766="","",IFERROR(INDEX(Client_List!$D:$D,MATCH(B766,Client_List!$B:$B,0)),""))</f>
        <v>2C</v>
      </c>
      <c r="E766" s="4" t="str">
        <f>IF(B766="","",IFERROR(INDEX(Client_List!$K:$K,MATCH(B766,Client_List!$B:$B,0)),""))</f>
        <v>CANOLA OIL</v>
      </c>
      <c r="F766" s="5">
        <f>IF(B766="","",IFERROR(INDEX(Client_List!$J:$J,MATCH(B766,Client_List!$B:$B,0)),""))</f>
        <v>620</v>
      </c>
      <c r="G766" s="5">
        <v>334</v>
      </c>
      <c r="H766" s="4">
        <f>IF(B766="","",IFERROR(A766-LOOKUP(2,1/($B$4:$B765=B766),$A$4:$A765),""))</f>
        <v>13</v>
      </c>
      <c r="I766" s="72">
        <f t="shared" si="11"/>
        <v>25.692307692307693</v>
      </c>
      <c r="J766" s="4">
        <v>143290</v>
      </c>
      <c r="K766" s="6">
        <f>IF(B766="","",IFERROR(AVERAGEIFS($I$4:$I766,$B$4:$B766,B766,$I$4:$I766,"&gt;"&amp;0),""))</f>
        <v>27.838553113553115</v>
      </c>
      <c r="L766" s="4" t="str">
        <f>IF(B766="","",IF(ISNA(MATCH(B766,Client_List!$B:$B,0)),"⚠ NOT FOUND","✓"))</f>
        <v>✓</v>
      </c>
    </row>
    <row r="767" spans="1:12" ht="14" customHeight="1" x14ac:dyDescent="0.2">
      <c r="A767" s="57">
        <v>46086</v>
      </c>
      <c r="B767" s="7" t="s">
        <v>302</v>
      </c>
      <c r="C767" s="12" t="str">
        <f>IF(B767="","",IFERROR(INDEX(Client_List!$C:$C,MATCH(B767,Client_List!$B:$B,0)),""))</f>
        <v>2</v>
      </c>
      <c r="D767" s="9" t="str">
        <f>IF(B767="","",IFERROR(INDEX(Client_List!$D:$D,MATCH(B767,Client_List!$B:$B,0)),""))</f>
        <v>2D</v>
      </c>
      <c r="E767" s="9" t="str">
        <f>IF(B767="","",IFERROR(INDEX(Client_List!$K:$K,MATCH(B767,Client_List!$B:$B,0)),""))</f>
        <v>CANOLA OIL</v>
      </c>
      <c r="F767" s="10">
        <f>IF(B767="","",IFERROR(INDEX(Client_List!$J:$J,MATCH(B767,Client_List!$B:$B,0)),""))</f>
        <v>350</v>
      </c>
      <c r="G767" s="10">
        <v>146</v>
      </c>
      <c r="H767" s="9">
        <f>IF(B767="","",IFERROR(A767-LOOKUP(2,1/($B$4:$B766=B767),$A$4:$A766),""))</f>
        <v>8</v>
      </c>
      <c r="I767" s="73">
        <f t="shared" si="11"/>
        <v>18.25</v>
      </c>
      <c r="J767" s="9">
        <v>143248</v>
      </c>
      <c r="K767" s="6">
        <f>IF(B767="","",IFERROR(AVERAGEIFS($I$4:$I767,$B$4:$B767,B767,$I$4:$I767,"&gt;"&amp;0),""))</f>
        <v>36.948809523809523</v>
      </c>
      <c r="L767" s="9" t="str">
        <f>IF(B767="","",IF(ISNA(MATCH(B767,Client_List!$B:$B,0)),"⚠ NOT FOUND","✓"))</f>
        <v>✓</v>
      </c>
    </row>
    <row r="768" spans="1:12" ht="14" customHeight="1" x14ac:dyDescent="0.2">
      <c r="A768" s="56">
        <v>46086</v>
      </c>
      <c r="B768" s="2" t="s">
        <v>314</v>
      </c>
      <c r="C768" s="8" t="str">
        <f>IF(B768="","",IFERROR(INDEX(Client_List!$C:$C,MATCH(B768,Client_List!$B:$B,0)),""))</f>
        <v>1</v>
      </c>
      <c r="D768" s="4" t="str">
        <f>IF(B768="","",IFERROR(INDEX(Client_List!$D:$D,MATCH(B768,Client_List!$B:$B,0)),""))</f>
        <v>1C</v>
      </c>
      <c r="E768" s="4" t="str">
        <f>IF(B768="","",IFERROR(INDEX(Client_List!$K:$K,MATCH(B768,Client_List!$B:$B,0)),""))</f>
        <v>CANOLA OIL</v>
      </c>
      <c r="F768" s="5">
        <f>IF(B768="","",IFERROR(INDEX(Client_List!$J:$J,MATCH(B768,Client_List!$B:$B,0)),""))</f>
        <v>1050</v>
      </c>
      <c r="G768" s="5">
        <v>1083</v>
      </c>
      <c r="H768" s="4">
        <f>IF(B768="","",IFERROR(A768-LOOKUP(2,1/($B$4:$B767=B768),$A$4:$A767),""))</f>
        <v>14</v>
      </c>
      <c r="I768" s="72">
        <f t="shared" si="11"/>
        <v>77.357142857142861</v>
      </c>
      <c r="J768" s="4">
        <v>143283</v>
      </c>
      <c r="K768" s="6">
        <f>IF(B768="","",IFERROR(AVERAGEIFS($I$4:$I768,$B$4:$B768,B768,$I$4:$I768,"&gt;"&amp;0),""))</f>
        <v>82.010614385614389</v>
      </c>
      <c r="L768" s="4" t="str">
        <f>IF(B768="","",IF(ISNA(MATCH(B768,Client_List!$B:$B,0)),"⚠ NOT FOUND","✓"))</f>
        <v>✓</v>
      </c>
    </row>
    <row r="769" spans="1:14" ht="14" customHeight="1" x14ac:dyDescent="0.2">
      <c r="A769" s="57">
        <v>46087</v>
      </c>
      <c r="B769" s="7" t="s">
        <v>56</v>
      </c>
      <c r="C769" s="12" t="str">
        <f>IF(B769="","",IFERROR(INDEX(Client_List!$C:$C,MATCH(B769,Client_List!$B:$B,0)),""))</f>
        <v>5</v>
      </c>
      <c r="D769" s="9" t="str">
        <f>IF(B769="","",IFERROR(INDEX(Client_List!$D:$D,MATCH(B769,Client_List!$B:$B,0)),""))</f>
        <v>5F</v>
      </c>
      <c r="E769" s="9" t="str">
        <f>IF(B769="","",IFERROR(INDEX(Client_List!$K:$K,MATCH(B769,Client_List!$B:$B,0)),""))</f>
        <v>CANOLA OIL</v>
      </c>
      <c r="F769" s="10">
        <f>IF(B769="","",IFERROR(INDEX(Client_List!$J:$J,MATCH(B769,Client_List!$B:$B,0)),""))</f>
        <v>900</v>
      </c>
      <c r="G769" s="10">
        <v>543</v>
      </c>
      <c r="H769" s="9">
        <f>IF(B769="","",IFERROR(A769-LOOKUP(2,1/($B$4:$B768=B769),$A$4:$A768),""))</f>
        <v>9</v>
      </c>
      <c r="I769" s="73">
        <f t="shared" si="11"/>
        <v>60.333333333333336</v>
      </c>
      <c r="J769" s="9">
        <v>10029</v>
      </c>
      <c r="K769" s="6">
        <f>IF(B769="","",IFERROR(AVERAGEIFS($I$4:$I769,$B$4:$B769,B769,$I$4:$I769,"&gt;"&amp;0),""))</f>
        <v>57.701212121212123</v>
      </c>
      <c r="L769" s="9" t="str">
        <f>IF(B769="","",IF(ISNA(MATCH(B769,Client_List!$B:$B,0)),"⚠ NOT FOUND","✓"))</f>
        <v>✓</v>
      </c>
      <c r="N769" s="71">
        <f>A1150+H1150</f>
        <v>46135</v>
      </c>
    </row>
    <row r="770" spans="1:14" ht="14" customHeight="1" x14ac:dyDescent="0.2">
      <c r="A770" s="56">
        <v>46087</v>
      </c>
      <c r="B770" s="2" t="s">
        <v>65</v>
      </c>
      <c r="C770" s="8" t="str">
        <f>IF(B770="","",IFERROR(INDEX(Client_List!$C:$C,MATCH(B770,Client_List!$B:$B,0)),""))</f>
        <v>5</v>
      </c>
      <c r="D770" s="4" t="str">
        <f>IF(B770="","",IFERROR(INDEX(Client_List!$D:$D,MATCH(B770,Client_List!$B:$B,0)),""))</f>
        <v>5F</v>
      </c>
      <c r="E770" s="4" t="str">
        <f>IF(B770="","",IFERROR(INDEX(Client_List!$K:$K,MATCH(B770,Client_List!$B:$B,0)),""))</f>
        <v>FRYERS CHOICE BLEND</v>
      </c>
      <c r="F770" s="5">
        <f>IF(B770="","",IFERROR(INDEX(Client_List!$J:$J,MATCH(B770,Client_List!$B:$B,0)),""))</f>
        <v>1050</v>
      </c>
      <c r="G770" s="5">
        <v>389</v>
      </c>
      <c r="H770" s="4">
        <f>IF(B770="","",IFERROR(A770-LOOKUP(2,1/($B$4:$B769=B770),$A$4:$A769),""))</f>
        <v>9</v>
      </c>
      <c r="I770" s="72">
        <f t="shared" si="11"/>
        <v>43.222222222222221</v>
      </c>
      <c r="J770" s="4">
        <v>10033</v>
      </c>
      <c r="K770" s="6">
        <f>IF(B770="","",IFERROR(AVERAGEIFS($I$4:$I770,$B$4:$B770,B770,$I$4:$I770,"&gt;"&amp;0),""))</f>
        <v>43.742735042735049</v>
      </c>
      <c r="L770" s="4" t="str">
        <f>IF(B770="","",IF(ISNA(MATCH(B770,Client_List!$B:$B,0)),"⚠ NOT FOUND","✓"))</f>
        <v>✓</v>
      </c>
    </row>
    <row r="771" spans="1:14" ht="14" customHeight="1" x14ac:dyDescent="0.2">
      <c r="A771" s="57">
        <v>46087</v>
      </c>
      <c r="B771" s="7" t="s">
        <v>71</v>
      </c>
      <c r="C771" s="12" t="str">
        <f>IF(B771="","",IFERROR(INDEX(Client_List!$C:$C,MATCH(B771,Client_List!$B:$B,0)),""))</f>
        <v>5</v>
      </c>
      <c r="D771" s="9" t="str">
        <f>IF(B771="","",IFERROR(INDEX(Client_List!$D:$D,MATCH(B771,Client_List!$B:$B,0)),""))</f>
        <v>5F</v>
      </c>
      <c r="E771" s="9" t="str">
        <f>IF(B771="","",IFERROR(INDEX(Client_List!$K:$K,MATCH(B771,Client_List!$B:$B,0)),""))</f>
        <v>CANOLA OIL</v>
      </c>
      <c r="F771" s="10">
        <f>IF(B771="","",IFERROR(INDEX(Client_List!$J:$J,MATCH(B771,Client_List!$B:$B,0)),""))</f>
        <v>350</v>
      </c>
      <c r="G771" s="10">
        <v>360</v>
      </c>
      <c r="H771" s="9">
        <f>IF(B771="","",IFERROR(A771-LOOKUP(2,1/($B$4:$B770=B771),$A$4:$A770),""))</f>
        <v>9</v>
      </c>
      <c r="I771" s="73">
        <f t="shared" si="11"/>
        <v>40</v>
      </c>
      <c r="J771" s="9">
        <v>10026</v>
      </c>
      <c r="K771" s="6">
        <f>IF(B771="","",IFERROR(AVERAGEIFS($I$4:$I771,$B$4:$B771,B771,$I$4:$I771,"&gt;"&amp;0),""))</f>
        <v>34.224263038548756</v>
      </c>
      <c r="L771" s="9" t="str">
        <f>IF(B771="","",IF(ISNA(MATCH(B771,Client_List!$B:$B,0)),"⚠ NOT FOUND","✓"))</f>
        <v>✓</v>
      </c>
    </row>
    <row r="772" spans="1:14" ht="14" customHeight="1" x14ac:dyDescent="0.2">
      <c r="A772" s="56">
        <v>46087</v>
      </c>
      <c r="B772" s="2" t="s">
        <v>73</v>
      </c>
      <c r="C772" s="11" t="str">
        <f>IF(B772="","",IFERROR(INDEX(Client_List!$C:$C,MATCH(B772,Client_List!$B:$B,0)),""))</f>
        <v>4</v>
      </c>
      <c r="D772" s="4" t="str">
        <f>IF(B772="","",IFERROR(INDEX(Client_List!$D:$D,MATCH(B772,Client_List!$B:$B,0)),""))</f>
        <v>4D</v>
      </c>
      <c r="E772" s="4" t="str">
        <f>IF(B772="","",IFERROR(INDEX(Client_List!$K:$K,MATCH(B772,Client_List!$B:$B,0)),""))</f>
        <v>CANOLA OIL</v>
      </c>
      <c r="F772" s="5">
        <f>IF(B772="","",IFERROR(INDEX(Client_List!$J:$J,MATCH(B772,Client_List!$B:$B,0)),""))</f>
        <v>620</v>
      </c>
      <c r="G772" s="5">
        <v>367</v>
      </c>
      <c r="H772" s="4">
        <f>IF(B772="","",IFERROR(A772-LOOKUP(2,1/($B$4:$B771=B772),$A$4:$A771),""))</f>
        <v>7</v>
      </c>
      <c r="I772" s="72">
        <f t="shared" ref="I772:I835" si="12">IF(B772="","",IFERROR(G772/H772,""))</f>
        <v>52.428571428571431</v>
      </c>
      <c r="J772" s="4">
        <v>10016</v>
      </c>
      <c r="K772" s="6">
        <f>IF(B772="","",IFERROR(AVERAGEIFS($I$4:$I772,$B$4:$B772,B772,$I$4:$I772,"&gt;"&amp;0),""))</f>
        <v>55.135612073112071</v>
      </c>
      <c r="L772" s="4" t="str">
        <f>IF(B772="","",IF(ISNA(MATCH(B772,Client_List!$B:$B,0)),"⚠ NOT FOUND","✓"))</f>
        <v>✓</v>
      </c>
    </row>
    <row r="773" spans="1:14" ht="14" customHeight="1" x14ac:dyDescent="0.2">
      <c r="A773" s="57">
        <v>46087</v>
      </c>
      <c r="B773" s="7" t="s">
        <v>83</v>
      </c>
      <c r="C773" s="13" t="str">
        <f>IF(B773="","",IFERROR(INDEX(Client_List!$C:$C,MATCH(B773,Client_List!$B:$B,0)),""))</f>
        <v>4</v>
      </c>
      <c r="D773" s="9" t="str">
        <f>IF(B773="","",IFERROR(INDEX(Client_List!$D:$D,MATCH(B773,Client_List!$B:$B,0)),""))</f>
        <v>4D</v>
      </c>
      <c r="E773" s="9" t="str">
        <f>IF(B773="","",IFERROR(INDEX(Client_List!$K:$K,MATCH(B773,Client_List!$B:$B,0)),""))</f>
        <v>FRYERS CHOICE BLEND</v>
      </c>
      <c r="F773" s="10">
        <f>IF(B773="","",IFERROR(INDEX(Client_List!$J:$J,MATCH(B773,Client_List!$B:$B,0)),""))</f>
        <v>350</v>
      </c>
      <c r="G773" s="10">
        <v>270</v>
      </c>
      <c r="H773" s="9">
        <f>IF(B773="","",IFERROR(A773-LOOKUP(2,1/($B$4:$B772=B773),$A$4:$A772),""))</f>
        <v>7</v>
      </c>
      <c r="I773" s="73">
        <f t="shared" si="12"/>
        <v>38.571428571428569</v>
      </c>
      <c r="J773" s="9">
        <v>10030</v>
      </c>
      <c r="K773" s="6">
        <f>IF(B773="","",IFERROR(AVERAGEIFS($I$4:$I773,$B$4:$B773,B773,$I$4:$I773,"&gt;"&amp;0),""))</f>
        <v>35.298752834467116</v>
      </c>
      <c r="L773" s="9" t="str">
        <f>IF(B773="","",IF(ISNA(MATCH(B773,Client_List!$B:$B,0)),"⚠ NOT FOUND","✓"))</f>
        <v>✓</v>
      </c>
    </row>
    <row r="774" spans="1:14" ht="14" customHeight="1" x14ac:dyDescent="0.2">
      <c r="A774" s="56">
        <v>46087</v>
      </c>
      <c r="B774" s="2" t="s">
        <v>126</v>
      </c>
      <c r="C774" s="8" t="str">
        <f>IF(B774="","",IFERROR(INDEX(Client_List!$C:$C,MATCH(B774,Client_List!$B:$B,0)),""))</f>
        <v>4</v>
      </c>
      <c r="D774" s="4" t="str">
        <f>IF(B774="","",IFERROR(INDEX(Client_List!$D:$D,MATCH(B774,Client_List!$B:$B,0)),""))</f>
        <v>4D</v>
      </c>
      <c r="E774" s="4" t="str">
        <f>IF(B774="","",IFERROR(INDEX(Client_List!$K:$K,MATCH(B774,Client_List!$B:$B,0)),""))</f>
        <v>CANOLA OIL</v>
      </c>
      <c r="F774" s="5">
        <f>IF(B774="","",IFERROR(INDEX(Client_List!$J:$J,MATCH(B774,Client_List!$B:$B,0)),""))</f>
        <v>700</v>
      </c>
      <c r="G774" s="5">
        <v>534</v>
      </c>
      <c r="H774" s="4">
        <f>IF(B774="","",IFERROR(A774-LOOKUP(2,1/($B$4:$B773=B774),$A$4:$A773),""))</f>
        <v>7</v>
      </c>
      <c r="I774" s="72">
        <f t="shared" si="12"/>
        <v>76.285714285714292</v>
      </c>
      <c r="J774" s="4">
        <v>10015</v>
      </c>
      <c r="K774" s="6">
        <f>IF(B774="","",IFERROR(AVERAGEIFS($I$4:$I774,$B$4:$B774,B774,$I$4:$I774,"&gt;"&amp;0),""))</f>
        <v>71.034970238095241</v>
      </c>
      <c r="L774" s="4" t="str">
        <f>IF(B774="","",IF(ISNA(MATCH(B774,Client_List!$B:$B,0)),"⚠ NOT FOUND","✓"))</f>
        <v>✓</v>
      </c>
    </row>
    <row r="775" spans="1:14" ht="14" customHeight="1" x14ac:dyDescent="0.2">
      <c r="A775" s="57">
        <v>46087</v>
      </c>
      <c r="B775" s="7" t="s">
        <v>138</v>
      </c>
      <c r="C775" s="12" t="str">
        <f>IF(B775="","",IFERROR(INDEX(Client_List!$C:$C,MATCH(B775,Client_List!$B:$B,0)),""))</f>
        <v>4</v>
      </c>
      <c r="D775" s="9" t="str">
        <f>IF(B775="","",IFERROR(INDEX(Client_List!$D:$D,MATCH(B775,Client_List!$B:$B,0)),""))</f>
        <v>4E</v>
      </c>
      <c r="E775" s="9" t="str">
        <f>IF(B775="","",IFERROR(INDEX(Client_List!$K:$K,MATCH(B775,Client_List!$B:$B,0)),""))</f>
        <v>CANOLA OIL</v>
      </c>
      <c r="F775" s="10">
        <f>IF(B775="","",IFERROR(INDEX(Client_List!$J:$J,MATCH(B775,Client_List!$B:$B,0)),""))</f>
        <v>350</v>
      </c>
      <c r="G775" s="10">
        <v>347</v>
      </c>
      <c r="H775" s="9">
        <f>IF(B775="","",IFERROR(A775-LOOKUP(2,1/($B$4:$B774=B775),$A$4:$A774),""))</f>
        <v>8</v>
      </c>
      <c r="I775" s="73">
        <f t="shared" si="12"/>
        <v>43.375</v>
      </c>
      <c r="J775" s="9">
        <v>143317</v>
      </c>
      <c r="K775" s="6">
        <f>IF(B775="","",IFERROR(AVERAGEIFS($I$4:$I775,$B$4:$B775,B775,$I$4:$I775,"&gt;"&amp;0),""))</f>
        <v>37.767006802721085</v>
      </c>
      <c r="L775" s="9" t="str">
        <f>IF(B775="","",IF(ISNA(MATCH(B775,Client_List!$B:$B,0)),"⚠ NOT FOUND","✓"))</f>
        <v>✓</v>
      </c>
    </row>
    <row r="776" spans="1:14" ht="14" customHeight="1" x14ac:dyDescent="0.2">
      <c r="A776" s="56">
        <v>46087</v>
      </c>
      <c r="B776" s="2" t="s">
        <v>176</v>
      </c>
      <c r="C776" s="13" t="str">
        <f>IF(B776="","",IFERROR(INDEX(Client_List!$C:$C,MATCH(B776,Client_List!$B:$B,0)),""))</f>
        <v>4</v>
      </c>
      <c r="D776" s="4" t="str">
        <f>IF(B776="","",IFERROR(INDEX(Client_List!$D:$D,MATCH(B776,Client_List!$B:$B,0)),""))</f>
        <v>4F</v>
      </c>
      <c r="E776" s="4" t="str">
        <f>IF(B776="","",IFERROR(INDEX(Client_List!$K:$K,MATCH(B776,Client_List!$B:$B,0)),""))</f>
        <v>CANOLA OIL</v>
      </c>
      <c r="F776" s="5">
        <f>IF(B776="","",IFERROR(INDEX(Client_List!$J:$J,MATCH(B776,Client_List!$B:$B,0)),""))</f>
        <v>950</v>
      </c>
      <c r="G776" s="5">
        <v>542</v>
      </c>
      <c r="H776" s="4">
        <f>IF(B776="","",IFERROR(A776-LOOKUP(2,1/($B$4:$B775=B776),$A$4:$A775),""))</f>
        <v>13</v>
      </c>
      <c r="I776" s="72">
        <f t="shared" si="12"/>
        <v>41.692307692307693</v>
      </c>
      <c r="J776" s="4">
        <v>143302</v>
      </c>
      <c r="K776" s="6">
        <f>IF(B776="","",IFERROR(AVERAGEIFS($I$4:$I776,$B$4:$B776,B776,$I$4:$I776,"&gt;"&amp;0),""))</f>
        <v>46.191637529137523</v>
      </c>
      <c r="L776" s="4" t="str">
        <f>IF(B776="","",IF(ISNA(MATCH(B776,Client_List!$B:$B,0)),"⚠ NOT FOUND","✓"))</f>
        <v>✓</v>
      </c>
    </row>
    <row r="777" spans="1:14" ht="14" customHeight="1" x14ac:dyDescent="0.2">
      <c r="A777" s="57">
        <v>46087</v>
      </c>
      <c r="B777" s="7" t="s">
        <v>188</v>
      </c>
      <c r="C777" s="12" t="str">
        <f>IF(B777="","",IFERROR(INDEX(Client_List!$C:$C,MATCH(B777,Client_List!$B:$B,0)),""))</f>
        <v>4</v>
      </c>
      <c r="D777" s="9" t="str">
        <f>IF(B777="","",IFERROR(INDEX(Client_List!$D:$D,MATCH(B777,Client_List!$B:$B,0)),""))</f>
        <v>4C</v>
      </c>
      <c r="E777" s="9" t="str">
        <f>IF(B777="","",IFERROR(INDEX(Client_List!$K:$K,MATCH(B777,Client_List!$B:$B,0)),""))</f>
        <v>CANOLA OIL</v>
      </c>
      <c r="F777" s="10">
        <f>IF(B777="","",IFERROR(INDEX(Client_List!$J:$J,MATCH(B777,Client_List!$B:$B,0)),""))</f>
        <v>900</v>
      </c>
      <c r="G777" s="10">
        <v>754</v>
      </c>
      <c r="H777" s="9">
        <f>IF(B777="","",IFERROR(A777-LOOKUP(2,1/($B$4:$B776=B777),$A$4:$A776),""))</f>
        <v>15</v>
      </c>
      <c r="I777" s="73">
        <f t="shared" si="12"/>
        <v>50.266666666666666</v>
      </c>
      <c r="J777" s="9">
        <v>10014</v>
      </c>
      <c r="K777" s="6">
        <f>IF(B777="","",IFERROR(AVERAGEIFS($I$4:$I777,$B$4:$B777,B777,$I$4:$I777,"&gt;"&amp;0),""))</f>
        <v>47.709890109890111</v>
      </c>
      <c r="L777" s="9" t="str">
        <f>IF(B777="","",IF(ISNA(MATCH(B777,Client_List!$B:$B,0)),"⚠ NOT FOUND","✓"))</f>
        <v>✓</v>
      </c>
    </row>
    <row r="778" spans="1:14" ht="14" customHeight="1" x14ac:dyDescent="0.2">
      <c r="A778" s="56">
        <v>46087</v>
      </c>
      <c r="B778" s="2" t="s">
        <v>216</v>
      </c>
      <c r="C778" s="12" t="str">
        <f>IF(B778="","",IFERROR(INDEX(Client_List!$C:$C,MATCH(B778,Client_List!$B:$B,0)),""))</f>
        <v>3</v>
      </c>
      <c r="D778" s="4" t="str">
        <f>IF(B778="","",IFERROR(INDEX(Client_List!$D:$D,MATCH(B778,Client_List!$B:$B,0)),""))</f>
        <v>3D</v>
      </c>
      <c r="E778" s="4" t="str">
        <f>IF(B778="","",IFERROR(INDEX(Client_List!$K:$K,MATCH(B778,Client_List!$B:$B,0)),""))</f>
        <v>CANOLA OIL</v>
      </c>
      <c r="F778" s="5">
        <f>IF(B778="","",IFERROR(INDEX(Client_List!$J:$J,MATCH(B778,Client_List!$B:$B,0)),""))</f>
        <v>450</v>
      </c>
      <c r="G778" s="5">
        <v>324</v>
      </c>
      <c r="H778" s="4">
        <f>IF(B778="","",IFERROR(A778-LOOKUP(2,1/($B$4:$B777=B778),$A$4:$A777),""))</f>
        <v>16</v>
      </c>
      <c r="I778" s="72">
        <f t="shared" si="12"/>
        <v>20.25</v>
      </c>
      <c r="J778" s="4">
        <v>143310</v>
      </c>
      <c r="K778" s="6">
        <f>IF(B778="","",IFERROR(AVERAGEIFS($I$4:$I778,$B$4:$B778,B778,$I$4:$I778,"&gt;"&amp;0),""))</f>
        <v>30.542297979797979</v>
      </c>
      <c r="L778" s="4" t="str">
        <f>IF(B778="","",IF(ISNA(MATCH(B778,Client_List!$B:$B,0)),"⚠ NOT FOUND","✓"))</f>
        <v>✓</v>
      </c>
    </row>
    <row r="779" spans="1:14" ht="14" customHeight="1" x14ac:dyDescent="0.2">
      <c r="A779" s="57">
        <v>46087</v>
      </c>
      <c r="B779" s="7" t="s">
        <v>224</v>
      </c>
      <c r="C779" s="8" t="str">
        <f>IF(B779="","",IFERROR(INDEX(Client_List!$C:$C,MATCH(B779,Client_List!$B:$B,0)),""))</f>
        <v>5</v>
      </c>
      <c r="D779" s="9" t="str">
        <f>IF(B779="","",IFERROR(INDEX(Client_List!$D:$D,MATCH(B779,Client_List!$B:$B,0)),""))</f>
        <v>5E</v>
      </c>
      <c r="E779" s="9" t="str">
        <f>IF(B779="","",IFERROR(INDEX(Client_List!$K:$K,MATCH(B779,Client_List!$B:$B,0)),""))</f>
        <v>CANOLA OIL</v>
      </c>
      <c r="F779" s="10">
        <f>IF(B779="","",IFERROR(INDEX(Client_List!$J:$J,MATCH(B779,Client_List!$B:$B,0)),""))</f>
        <v>450</v>
      </c>
      <c r="G779" s="10">
        <v>421</v>
      </c>
      <c r="H779" s="9">
        <f>IF(B779="","",IFERROR(A779-LOOKUP(2,1/($B$4:$B778=B779),$A$4:$A778),""))</f>
        <v>17</v>
      </c>
      <c r="I779" s="73">
        <f t="shared" si="12"/>
        <v>24.764705882352942</v>
      </c>
      <c r="J779" s="9">
        <v>10025</v>
      </c>
      <c r="K779" s="6">
        <f>IF(B779="","",IFERROR(AVERAGEIFS($I$4:$I779,$B$4:$B779,B779,$I$4:$I779,"&gt;"&amp;0),""))</f>
        <v>29.074112978524742</v>
      </c>
      <c r="L779" s="9" t="str">
        <f>IF(B779="","",IF(ISNA(MATCH(B779,Client_List!$B:$B,0)),"⚠ NOT FOUND","✓"))</f>
        <v>✓</v>
      </c>
    </row>
    <row r="780" spans="1:14" ht="14" customHeight="1" x14ac:dyDescent="0.2">
      <c r="A780" s="56">
        <v>46087</v>
      </c>
      <c r="B780" s="2" t="s">
        <v>228</v>
      </c>
      <c r="C780" s="11" t="str">
        <f>IF(B780="","",IFERROR(INDEX(Client_List!$C:$C,MATCH(B780,Client_List!$B:$B,0)),""))</f>
        <v>4</v>
      </c>
      <c r="D780" s="4" t="str">
        <f>IF(B780="","",IFERROR(INDEX(Client_List!$D:$D,MATCH(B780,Client_List!$B:$B,0)),""))</f>
        <v>4C</v>
      </c>
      <c r="E780" s="4" t="str">
        <f>IF(B780="","",IFERROR(INDEX(Client_List!$K:$K,MATCH(B780,Client_List!$B:$B,0)),""))</f>
        <v>CANOLA OIL</v>
      </c>
      <c r="F780" s="5">
        <f>IF(B780="","",IFERROR(INDEX(Client_List!$J:$J,MATCH(B780,Client_List!$B:$B,0)),""))</f>
        <v>500</v>
      </c>
      <c r="G780" s="5">
        <v>324</v>
      </c>
      <c r="H780" s="4" t="str">
        <f>IF(B780="","",IFERROR(A780-LOOKUP(2,1/($B$4:$B779=B780),$A$4:$A779),""))</f>
        <v/>
      </c>
      <c r="I780" s="72" t="str">
        <f t="shared" si="12"/>
        <v/>
      </c>
      <c r="J780" s="4">
        <v>10053</v>
      </c>
      <c r="K780" s="6" t="str">
        <f>IF(B780="","",IFERROR(AVERAGEIFS($I$4:$I780,$B$4:$B780,B780,$I$4:$I780,"&gt;"&amp;0),""))</f>
        <v/>
      </c>
      <c r="L780" s="4" t="str">
        <f>IF(B780="","",IF(ISNA(MATCH(B780,Client_List!$B:$B,0)),"⚠ NOT FOUND","✓"))</f>
        <v>✓</v>
      </c>
    </row>
    <row r="781" spans="1:14" ht="14" customHeight="1" x14ac:dyDescent="0.2">
      <c r="A781" s="57">
        <v>46087</v>
      </c>
      <c r="B781" s="7" t="s">
        <v>236</v>
      </c>
      <c r="C781" s="3" t="str">
        <f>IF(B781="","",IFERROR(INDEX(Client_List!$C:$C,MATCH(B781,Client_List!$B:$B,0)),""))</f>
        <v>5</v>
      </c>
      <c r="D781" s="9" t="str">
        <f>IF(B781="","",IFERROR(INDEX(Client_List!$D:$D,MATCH(B781,Client_List!$B:$B,0)),""))</f>
        <v>5E</v>
      </c>
      <c r="E781" s="9" t="str">
        <f>IF(B781="","",IFERROR(INDEX(Client_List!$K:$K,MATCH(B781,Client_List!$B:$B,0)),""))</f>
        <v>CANOLA OIL</v>
      </c>
      <c r="F781" s="10">
        <f>IF(B781="","",IFERROR(INDEX(Client_List!$J:$J,MATCH(B781,Client_List!$B:$B,0)),""))</f>
        <v>500</v>
      </c>
      <c r="G781" s="10">
        <v>299</v>
      </c>
      <c r="H781" s="9">
        <f>IF(B781="","",IFERROR(A781-LOOKUP(2,1/($B$4:$B780=B781),$A$4:$A780),""))</f>
        <v>9</v>
      </c>
      <c r="I781" s="73">
        <f t="shared" si="12"/>
        <v>33.222222222222221</v>
      </c>
      <c r="J781" s="9">
        <v>143321</v>
      </c>
      <c r="K781" s="6">
        <f>IF(B781="","",IFERROR(AVERAGEIFS($I$4:$I781,$B$4:$B781,B781,$I$4:$I781,"&gt;"&amp;0),""))</f>
        <v>29.593675213675215</v>
      </c>
      <c r="L781" s="9" t="str">
        <f>IF(B781="","",IF(ISNA(MATCH(B781,Client_List!$B:$B,0)),"⚠ NOT FOUND","✓"))</f>
        <v>✓</v>
      </c>
    </row>
    <row r="782" spans="1:14" ht="14" customHeight="1" x14ac:dyDescent="0.2">
      <c r="A782" s="56">
        <v>46087</v>
      </c>
      <c r="B782" s="2" t="s">
        <v>240</v>
      </c>
      <c r="C782" s="11" t="str">
        <f>IF(B782="","",IFERROR(INDEX(Client_List!$C:$C,MATCH(B782,Client_List!$B:$B,0)),""))</f>
        <v>5</v>
      </c>
      <c r="D782" s="4" t="str">
        <f>IF(B782="","",IFERROR(INDEX(Client_List!$D:$D,MATCH(B782,Client_List!$B:$B,0)),""))</f>
        <v>5F</v>
      </c>
      <c r="E782" s="4" t="str">
        <f>IF(B782="","",IFERROR(INDEX(Client_List!$K:$K,MATCH(B782,Client_List!$B:$B,0)),""))</f>
        <v>CANOLA OIL</v>
      </c>
      <c r="F782" s="5">
        <f>IF(B782="","",IFERROR(INDEX(Client_List!$J:$J,MATCH(B782,Client_List!$B:$B,0)),""))</f>
        <v>350</v>
      </c>
      <c r="G782" s="5">
        <v>277</v>
      </c>
      <c r="H782" s="4">
        <f>IF(B782="","",IFERROR(A782-LOOKUP(2,1/($B$4:$B781=B782),$A$4:$A781),""))</f>
        <v>9</v>
      </c>
      <c r="I782" s="72">
        <f t="shared" si="12"/>
        <v>30.777777777777779</v>
      </c>
      <c r="J782" s="4">
        <v>10031</v>
      </c>
      <c r="K782" s="6">
        <f>IF(B782="","",IFERROR(AVERAGEIFS($I$4:$I782,$B$4:$B782,B782,$I$4:$I782,"&gt;"&amp;0),""))</f>
        <v>31.572751322751326</v>
      </c>
      <c r="L782" s="4" t="str">
        <f>IF(B782="","",IF(ISNA(MATCH(B782,Client_List!$B:$B,0)),"⚠ NOT FOUND","✓"))</f>
        <v>✓</v>
      </c>
    </row>
    <row r="783" spans="1:14" ht="14" customHeight="1" x14ac:dyDescent="0.2">
      <c r="A783" s="57">
        <v>46087</v>
      </c>
      <c r="B783" s="7" t="s">
        <v>242</v>
      </c>
      <c r="C783" s="3" t="str">
        <f>IF(B783="","",IFERROR(INDEX(Client_List!$C:$C,MATCH(B783,Client_List!$B:$B,0)),""))</f>
        <v>4</v>
      </c>
      <c r="D783" s="9" t="str">
        <f>IF(B783="","",IFERROR(INDEX(Client_List!$D:$D,MATCH(B783,Client_List!$B:$B,0)),""))</f>
        <v>4D</v>
      </c>
      <c r="E783" s="9" t="str">
        <f>IF(B783="","",IFERROR(INDEX(Client_List!$K:$K,MATCH(B783,Client_List!$B:$B,0)),""))</f>
        <v>FRYERS CHOICE BLEND</v>
      </c>
      <c r="F783" s="10">
        <f>IF(B783="","",IFERROR(INDEX(Client_List!$J:$J,MATCH(B783,Client_List!$B:$B,0)),""))</f>
        <v>950</v>
      </c>
      <c r="G783" s="10">
        <v>573</v>
      </c>
      <c r="H783" s="9">
        <f>IF(B783="","",IFERROR(A783-LOOKUP(2,1/($B$4:$B782=B783),$A$4:$A782),""))</f>
        <v>7</v>
      </c>
      <c r="I783" s="73">
        <f t="shared" si="12"/>
        <v>81.857142857142861</v>
      </c>
      <c r="J783" s="9">
        <v>10018</v>
      </c>
      <c r="K783" s="6">
        <f>IF(B783="","",IFERROR(AVERAGEIFS($I$4:$I783,$B$4:$B783,B783,$I$4:$I783,"&gt;"&amp;0),""))</f>
        <v>76.365893365893371</v>
      </c>
      <c r="L783" s="9" t="str">
        <f>IF(B783="","",IF(ISNA(MATCH(B783,Client_List!$B:$B,0)),"⚠ NOT FOUND","✓"))</f>
        <v>✓</v>
      </c>
    </row>
    <row r="784" spans="1:14" ht="14" customHeight="1" x14ac:dyDescent="0.2">
      <c r="A784" s="56">
        <v>46087</v>
      </c>
      <c r="B784" s="2" t="s">
        <v>270</v>
      </c>
      <c r="C784" s="8" t="str">
        <f>IF(B784="","",IFERROR(INDEX(Client_List!$C:$C,MATCH(B784,Client_List!$B:$B,0)),""))</f>
        <v>3</v>
      </c>
      <c r="D784" s="4" t="str">
        <f>IF(B784="","",IFERROR(INDEX(Client_List!$D:$D,MATCH(B784,Client_List!$B:$B,0)),""))</f>
        <v>3D</v>
      </c>
      <c r="E784" s="4" t="str">
        <f>IF(B784="","",IFERROR(INDEX(Client_List!$K:$K,MATCH(B784,Client_List!$B:$B,0)),""))</f>
        <v>FRYERS CHOICE BLEND</v>
      </c>
      <c r="F784" s="5">
        <f>IF(B784="","",IFERROR(INDEX(Client_List!$J:$J,MATCH(B784,Client_List!$B:$B,0)),""))</f>
        <v>660</v>
      </c>
      <c r="G784" s="5">
        <v>578</v>
      </c>
      <c r="H784" s="4">
        <f>IF(B784="","",IFERROR(A784-LOOKUP(2,1/($B$4:$B783=B784),$A$4:$A783),""))</f>
        <v>23</v>
      </c>
      <c r="I784" s="72">
        <f t="shared" si="12"/>
        <v>25.130434782608695</v>
      </c>
      <c r="J784" s="4">
        <v>143313</v>
      </c>
      <c r="K784" s="6">
        <f>IF(B784="","",IFERROR(AVERAGEIFS($I$4:$I784,$B$4:$B784,B784,$I$4:$I784,"&gt;"&amp;0),""))</f>
        <v>23.418721925586919</v>
      </c>
      <c r="L784" s="4" t="str">
        <f>IF(B784="","",IF(ISNA(MATCH(B784,Client_List!$B:$B,0)),"⚠ NOT FOUND","✓"))</f>
        <v>✓</v>
      </c>
    </row>
    <row r="785" spans="1:12" ht="14" customHeight="1" x14ac:dyDescent="0.2">
      <c r="A785" s="57">
        <v>46087</v>
      </c>
      <c r="B785" s="7" t="s">
        <v>300</v>
      </c>
      <c r="C785" s="3" t="str">
        <f>IF(B785="","",IFERROR(INDEX(Client_List!$C:$C,MATCH(B785,Client_List!$B:$B,0)),""))</f>
        <v>4</v>
      </c>
      <c r="D785" s="9" t="str">
        <f>IF(B785="","",IFERROR(INDEX(Client_List!$D:$D,MATCH(B785,Client_List!$B:$B,0)),""))</f>
        <v>4C</v>
      </c>
      <c r="E785" s="9" t="str">
        <f>IF(B785="","",IFERROR(INDEX(Client_List!$K:$K,MATCH(B785,Client_List!$B:$B,0)),""))</f>
        <v>FRYERS CHOICE BLEND</v>
      </c>
      <c r="F785" s="10">
        <f>IF(B785="","",IFERROR(INDEX(Client_List!$J:$J,MATCH(B785,Client_List!$B:$B,0)),""))</f>
        <v>350</v>
      </c>
      <c r="G785" s="10">
        <v>183</v>
      </c>
      <c r="H785" s="9">
        <f>IF(B785="","",IFERROR(A785-LOOKUP(2,1/($B$4:$B784=B785),$A$4:$A784),""))</f>
        <v>7</v>
      </c>
      <c r="I785" s="73">
        <f t="shared" si="12"/>
        <v>26.142857142857142</v>
      </c>
      <c r="J785" s="9">
        <v>10013</v>
      </c>
      <c r="K785" s="6">
        <f>IF(B785="","",IFERROR(AVERAGEIFS($I$4:$I785,$B$4:$B785,B785,$I$4:$I785,"&gt;"&amp;0),""))</f>
        <v>30.202380952380953</v>
      </c>
      <c r="L785" s="9" t="str">
        <f>IF(B785="","",IF(ISNA(MATCH(B785,Client_List!$B:$B,0)),"⚠ NOT FOUND","✓"))</f>
        <v>✓</v>
      </c>
    </row>
    <row r="786" spans="1:12" ht="14" customHeight="1" x14ac:dyDescent="0.2">
      <c r="A786" s="56">
        <v>46087</v>
      </c>
      <c r="B786" s="2" t="s">
        <v>304</v>
      </c>
      <c r="C786" s="3" t="str">
        <f>IF(B786="","",IFERROR(INDEX(Client_List!$C:$C,MATCH(B786,Client_List!$B:$B,0)),""))</f>
        <v>3</v>
      </c>
      <c r="D786" s="4" t="str">
        <f>IF(B786="","",IFERROR(INDEX(Client_List!$D:$D,MATCH(B786,Client_List!$B:$B,0)),""))</f>
        <v>3B</v>
      </c>
      <c r="E786" s="4" t="str">
        <f>IF(B786="","",IFERROR(INDEX(Client_List!$K:$K,MATCH(B786,Client_List!$B:$B,0)),""))</f>
        <v>CANOLA OIL</v>
      </c>
      <c r="F786" s="5">
        <f>IF(B786="","",IFERROR(INDEX(Client_List!$J:$J,MATCH(B786,Client_List!$B:$B,0)),""))</f>
        <v>350</v>
      </c>
      <c r="G786" s="5">
        <v>426</v>
      </c>
      <c r="H786" s="4">
        <f>IF(B786="","",IFERROR(A786-LOOKUP(2,1/($B$4:$B785=B786),$A$4:$A785),""))</f>
        <v>7</v>
      </c>
      <c r="I786" s="72">
        <f t="shared" si="12"/>
        <v>60.857142857142854</v>
      </c>
      <c r="J786" s="4">
        <v>10012</v>
      </c>
      <c r="K786" s="6">
        <f>IF(B786="","",IFERROR(AVERAGEIFS($I$4:$I786,$B$4:$B786,B786,$I$4:$I786,"&gt;"&amp;0),""))</f>
        <v>45.740362811791378</v>
      </c>
      <c r="L786" s="4" t="str">
        <f>IF(B786="","",IF(ISNA(MATCH(B786,Client_List!$B:$B,0)),"⚠ NOT FOUND","✓"))</f>
        <v>✓</v>
      </c>
    </row>
    <row r="787" spans="1:12" ht="14" customHeight="1" x14ac:dyDescent="0.2">
      <c r="A787" s="57">
        <v>46087</v>
      </c>
      <c r="B787" s="7" t="s">
        <v>334</v>
      </c>
      <c r="C787" s="3" t="str">
        <f>IF(B787="","",IFERROR(INDEX(Client_List!$C:$C,MATCH(B787,Client_List!$B:$B,0)),""))</f>
        <v>5</v>
      </c>
      <c r="D787" s="9" t="str">
        <f>IF(B787="","",IFERROR(INDEX(Client_List!$D:$D,MATCH(B787,Client_List!$B:$B,0)),""))</f>
        <v>5E</v>
      </c>
      <c r="E787" s="9" t="str">
        <f>IF(B787="","",IFERROR(INDEX(Client_List!$K:$K,MATCH(B787,Client_List!$B:$B,0)),""))</f>
        <v>CANOLA OIL</v>
      </c>
      <c r="F787" s="10">
        <f>IF(B787="","",IFERROR(INDEX(Client_List!$J:$J,MATCH(B787,Client_List!$B:$B,0)),""))</f>
        <v>1050</v>
      </c>
      <c r="G787" s="10">
        <v>999</v>
      </c>
      <c r="H787" s="9">
        <f>IF(B787="","",IFERROR(A787-LOOKUP(2,1/($B$4:$B786=B787),$A$4:$A786),""))</f>
        <v>20</v>
      </c>
      <c r="I787" s="73">
        <f t="shared" si="12"/>
        <v>49.95</v>
      </c>
      <c r="J787" s="9">
        <v>10034</v>
      </c>
      <c r="K787" s="6">
        <f>IF(B787="","",IFERROR(AVERAGEIFS($I$4:$I787,$B$4:$B787,B787,$I$4:$I787,"&gt;"&amp;0),""))</f>
        <v>45.071296296296303</v>
      </c>
      <c r="L787" s="9" t="str">
        <f>IF(B787="","",IF(ISNA(MATCH(B787,Client_List!$B:$B,0)),"⚠ NOT FOUND","✓"))</f>
        <v>✓</v>
      </c>
    </row>
    <row r="788" spans="1:12" ht="14" customHeight="1" x14ac:dyDescent="0.2">
      <c r="A788" s="56">
        <v>46087</v>
      </c>
      <c r="B788" s="2" t="s">
        <v>340</v>
      </c>
      <c r="C788" s="12" t="str">
        <f>IF(B788="","",IFERROR(INDEX(Client_List!$C:$C,MATCH(B788,Client_List!$B:$B,0)),""))</f>
        <v>2</v>
      </c>
      <c r="D788" s="4" t="str">
        <f>IF(B788="","",IFERROR(INDEX(Client_List!$D:$D,MATCH(B788,Client_List!$B:$B,0)),""))</f>
        <v>2C</v>
      </c>
      <c r="E788" s="4" t="str">
        <f>IF(B788="","",IFERROR(INDEX(Client_List!$K:$K,MATCH(B788,Client_List!$B:$B,0)),""))</f>
        <v>FRYERS CHOICE BLEND</v>
      </c>
      <c r="F788" s="5">
        <f>IF(B788="","",IFERROR(INDEX(Client_List!$J:$J,MATCH(B788,Client_List!$B:$B,0)),""))</f>
        <v>300</v>
      </c>
      <c r="G788" s="5">
        <v>282</v>
      </c>
      <c r="H788" s="4">
        <f>IF(B788="","",IFERROR(A788-LOOKUP(2,1/($B$4:$B787=B788),$A$4:$A787),""))</f>
        <v>8</v>
      </c>
      <c r="I788" s="72">
        <f t="shared" si="12"/>
        <v>35.25</v>
      </c>
      <c r="J788" s="4">
        <v>10010</v>
      </c>
      <c r="K788" s="6">
        <f>IF(B788="","",IFERROR(AVERAGEIFS($I$4:$I788,$B$4:$B788,B788,$I$4:$I788,"&gt;"&amp;0),""))</f>
        <v>33.219696969696969</v>
      </c>
      <c r="L788" s="4" t="str">
        <f>IF(B788="","",IF(ISNA(MATCH(B788,Client_List!$B:$B,0)),"⚠ NOT FOUND","✓"))</f>
        <v>✓</v>
      </c>
    </row>
    <row r="789" spans="1:12" ht="14" customHeight="1" x14ac:dyDescent="0.2">
      <c r="A789" s="57">
        <v>46088</v>
      </c>
      <c r="B789" s="7" t="s">
        <v>67</v>
      </c>
      <c r="C789" s="3" t="str">
        <f>IF(B789="","",IFERROR(INDEX(Client_List!$C:$C,MATCH(B789,Client_List!$B:$B,0)),""))</f>
        <v>5</v>
      </c>
      <c r="D789" s="9" t="str">
        <f>IF(B789="","",IFERROR(INDEX(Client_List!$D:$D,MATCH(B789,Client_List!$B:$B,0)),""))</f>
        <v>5F</v>
      </c>
      <c r="E789" s="9" t="str">
        <f>IF(B789="","",IFERROR(INDEX(Client_List!$K:$K,MATCH(B789,Client_List!$B:$B,0)),""))</f>
        <v>CANOLA OIL</v>
      </c>
      <c r="F789" s="10">
        <f>IF(B789="","",IFERROR(INDEX(Client_List!$J:$J,MATCH(B789,Client_List!$B:$B,0)),""))</f>
        <v>950</v>
      </c>
      <c r="G789" s="10">
        <v>743</v>
      </c>
      <c r="H789" s="9">
        <f>IF(B789="","",IFERROR(A789-LOOKUP(2,1/($B$4:$B788=B789),$A$4:$A788),""))</f>
        <v>8</v>
      </c>
      <c r="I789" s="73">
        <f t="shared" si="12"/>
        <v>92.875</v>
      </c>
      <c r="J789" s="9">
        <v>10060</v>
      </c>
      <c r="K789" s="6">
        <f>IF(B789="","",IFERROR(AVERAGEIFS($I$4:$I789,$B$4:$B789,B789,$I$4:$I789,"&gt;"&amp;0),""))</f>
        <v>84.958459595959596</v>
      </c>
      <c r="L789" s="9" t="str">
        <f>IF(B789="","",IF(ISNA(MATCH(B789,Client_List!$B:$B,0)),"⚠ NOT FOUND","✓"))</f>
        <v>✓</v>
      </c>
    </row>
    <row r="790" spans="1:12" ht="14" customHeight="1" x14ac:dyDescent="0.2">
      <c r="A790" s="56">
        <v>46088</v>
      </c>
      <c r="B790" s="2" t="s">
        <v>75</v>
      </c>
      <c r="C790" s="3" t="str">
        <f>IF(B790="","",IFERROR(INDEX(Client_List!$C:$C,MATCH(B790,Client_List!$B:$B,0)),""))</f>
        <v>1</v>
      </c>
      <c r="D790" s="4" t="str">
        <f>IF(B790="","",IFERROR(INDEX(Client_List!$D:$D,MATCH(B790,Client_List!$B:$B,0)),""))</f>
        <v>1D</v>
      </c>
      <c r="E790" s="4" t="str">
        <f>IF(B790="","",IFERROR(INDEX(Client_List!$K:$K,MATCH(B790,Client_List!$B:$B,0)),""))</f>
        <v>CANOLA OIL</v>
      </c>
      <c r="F790" s="5">
        <f>IF(B790="","",IFERROR(INDEX(Client_List!$J:$J,MATCH(B790,Client_List!$B:$B,0)),""))</f>
        <v>620</v>
      </c>
      <c r="G790" s="5">
        <v>536</v>
      </c>
      <c r="H790" s="4">
        <f>IF(B790="","",IFERROR(A790-LOOKUP(2,1/($B$4:$B789=B790),$A$4:$A789),""))</f>
        <v>7</v>
      </c>
      <c r="I790" s="72">
        <f t="shared" si="12"/>
        <v>76.571428571428569</v>
      </c>
      <c r="J790" s="4">
        <v>10058</v>
      </c>
      <c r="K790" s="6">
        <f>IF(B790="","",IFERROR(AVERAGEIFS($I$4:$I790,$B$4:$B790,B790,$I$4:$I790,"&gt;"&amp;0),""))</f>
        <v>110.55809523809523</v>
      </c>
      <c r="L790" s="4" t="str">
        <f>IF(B790="","",IF(ISNA(MATCH(B790,Client_List!$B:$B,0)),"⚠ NOT FOUND","✓"))</f>
        <v>✓</v>
      </c>
    </row>
    <row r="791" spans="1:12" ht="14" customHeight="1" x14ac:dyDescent="0.2">
      <c r="A791" s="57">
        <v>46088</v>
      </c>
      <c r="B791" s="7" t="s">
        <v>79</v>
      </c>
      <c r="C791" s="3" t="str">
        <f>IF(B791="","",IFERROR(INDEX(Client_List!$C:$C,MATCH(B791,Client_List!$B:$B,0)),""))</f>
        <v>4</v>
      </c>
      <c r="D791" s="9" t="str">
        <f>IF(B791="","",IFERROR(INDEX(Client_List!$D:$D,MATCH(B791,Client_List!$B:$B,0)),""))</f>
        <v>4D</v>
      </c>
      <c r="E791" s="9" t="str">
        <f>IF(B791="","",IFERROR(INDEX(Client_List!$K:$K,MATCH(B791,Client_List!$B:$B,0)),""))</f>
        <v>CANOLA OIL</v>
      </c>
      <c r="F791" s="10">
        <f>IF(B791="","",IFERROR(INDEX(Client_List!$J:$J,MATCH(B791,Client_List!$B:$B,0)),""))</f>
        <v>500</v>
      </c>
      <c r="G791" s="10">
        <v>475</v>
      </c>
      <c r="H791" s="9" t="str">
        <f>IF(B791="","",IFERROR(A791-LOOKUP(2,1/($B$4:$B790=B791),$A$4:$A790),""))</f>
        <v/>
      </c>
      <c r="I791" s="73" t="str">
        <f t="shared" si="12"/>
        <v/>
      </c>
      <c r="J791" s="9">
        <v>143312</v>
      </c>
      <c r="K791" s="6" t="str">
        <f>IF(B791="","",IFERROR(AVERAGEIFS($I$4:$I791,$B$4:$B791,B791,$I$4:$I791,"&gt;"&amp;0),""))</f>
        <v/>
      </c>
      <c r="L791" s="9" t="str">
        <f>IF(B791="","",IF(ISNA(MATCH(B791,Client_List!$B:$B,0)),"⚠ NOT FOUND","✓"))</f>
        <v>✓</v>
      </c>
    </row>
    <row r="792" spans="1:12" ht="14" customHeight="1" x14ac:dyDescent="0.2">
      <c r="A792" s="56">
        <v>46088</v>
      </c>
      <c r="B792" s="2" t="s">
        <v>142</v>
      </c>
      <c r="C792" s="11" t="str">
        <f>IF(B792="","",IFERROR(INDEX(Client_List!$C:$C,MATCH(B792,Client_List!$B:$B,0)),""))</f>
        <v>4</v>
      </c>
      <c r="D792" s="4" t="str">
        <f>IF(B792="","",IFERROR(INDEX(Client_List!$D:$D,MATCH(B792,Client_List!$B:$B,0)),""))</f>
        <v>4A</v>
      </c>
      <c r="E792" s="4" t="str">
        <f>IF(B792="","",IFERROR(INDEX(Client_List!$K:$K,MATCH(B792,Client_List!$B:$B,0)),""))</f>
        <v>FRYERS CHOICE BLEND</v>
      </c>
      <c r="F792" s="5">
        <f>IF(B792="","",IFERROR(INDEX(Client_List!$J:$J,MATCH(B792,Client_List!$B:$B,0)),""))</f>
        <v>1050</v>
      </c>
      <c r="G792" s="5">
        <v>743</v>
      </c>
      <c r="H792" s="4">
        <f>IF(B792="","",IFERROR(A792-LOOKUP(2,1/($B$4:$B791=B792),$A$4:$A791),""))</f>
        <v>5</v>
      </c>
      <c r="I792" s="72">
        <f t="shared" si="12"/>
        <v>148.6</v>
      </c>
      <c r="J792" s="4">
        <v>143315</v>
      </c>
      <c r="K792" s="6">
        <f>IF(B792="","",IFERROR(AVERAGEIFS($I$4:$I792,$B$4:$B792,B792,$I$4:$I792,"&gt;"&amp;0),""))</f>
        <v>177.44494047619048</v>
      </c>
      <c r="L792" s="4" t="str">
        <f>IF(B792="","",IF(ISNA(MATCH(B792,Client_List!$B:$B,0)),"⚠ NOT FOUND","✓"))</f>
        <v>✓</v>
      </c>
    </row>
    <row r="793" spans="1:12" ht="14" customHeight="1" x14ac:dyDescent="0.2">
      <c r="A793" s="57">
        <v>46088</v>
      </c>
      <c r="B793" s="7" t="s">
        <v>152</v>
      </c>
      <c r="C793" s="12" t="str">
        <f>IF(B793="","",IFERROR(INDEX(Client_List!$C:$C,MATCH(B793,Client_List!$B:$B,0)),""))</f>
        <v>4</v>
      </c>
      <c r="D793" s="9" t="str">
        <f>IF(B793="","",IFERROR(INDEX(Client_List!$D:$D,MATCH(B793,Client_List!$B:$B,0)),""))</f>
        <v>4B</v>
      </c>
      <c r="E793" s="9" t="str">
        <f>IF(B793="","",IFERROR(INDEX(Client_List!$K:$K,MATCH(B793,Client_List!$B:$B,0)),""))</f>
        <v>CANOLA OIL</v>
      </c>
      <c r="F793" s="10">
        <f>IF(B793="","",IFERROR(INDEX(Client_List!$J:$J,MATCH(B793,Client_List!$B:$B,0)),""))</f>
        <v>950</v>
      </c>
      <c r="G793" s="10">
        <v>849</v>
      </c>
      <c r="H793" s="9">
        <f>IF(B793="","",IFERROR(A793-LOOKUP(2,1/($B$4:$B792=B793),$A$4:$A792),""))</f>
        <v>14</v>
      </c>
      <c r="I793" s="73">
        <f t="shared" si="12"/>
        <v>60.642857142857146</v>
      </c>
      <c r="J793" s="9">
        <v>10040</v>
      </c>
      <c r="K793" s="6">
        <f>IF(B793="","",IFERROR(AVERAGEIFS($I$4:$I793,$B$4:$B793,B793,$I$4:$I793,"&gt;"&amp;0),""))</f>
        <v>54.517857142857139</v>
      </c>
      <c r="L793" s="9" t="str">
        <f>IF(B793="","",IF(ISNA(MATCH(B793,Client_List!$B:$B,0)),"⚠ NOT FOUND","✓"))</f>
        <v>✓</v>
      </c>
    </row>
    <row r="794" spans="1:12" ht="14" customHeight="1" x14ac:dyDescent="0.2">
      <c r="A794" s="56">
        <v>46088</v>
      </c>
      <c r="B794" s="2" t="s">
        <v>156</v>
      </c>
      <c r="C794" s="3" t="str">
        <f>IF(B794="","",IFERROR(INDEX(Client_List!$C:$C,MATCH(B794,Client_List!$B:$B,0)),""))</f>
        <v>4</v>
      </c>
      <c r="D794" s="4" t="str">
        <f>IF(B794="","",IFERROR(INDEX(Client_List!$D:$D,MATCH(B794,Client_List!$B:$B,0)),""))</f>
        <v>4B</v>
      </c>
      <c r="E794" s="4" t="str">
        <f>IF(B794="","",IFERROR(INDEX(Client_List!$K:$K,MATCH(B794,Client_List!$B:$B,0)),""))</f>
        <v>CANOLA OIL</v>
      </c>
      <c r="F794" s="5">
        <f>IF(B794="","",IFERROR(INDEX(Client_List!$J:$J,MATCH(B794,Client_List!$B:$B,0)),""))</f>
        <v>1050</v>
      </c>
      <c r="G794" s="5">
        <v>793</v>
      </c>
      <c r="H794" s="4">
        <f>IF(B794="","",IFERROR(A794-LOOKUP(2,1/($B$4:$B793=B794),$A$4:$A793),""))</f>
        <v>11</v>
      </c>
      <c r="I794" s="72">
        <f t="shared" si="12"/>
        <v>72.090909090909093</v>
      </c>
      <c r="J794" s="4">
        <v>10004</v>
      </c>
      <c r="K794" s="6">
        <f>IF(B794="","",IFERROR(AVERAGEIFS($I$4:$I794,$B$4:$B794,B794,$I$4:$I794,"&gt;"&amp;0),""))</f>
        <v>69.73728771228771</v>
      </c>
      <c r="L794" s="4" t="str">
        <f>IF(B794="","",IF(ISNA(MATCH(B794,Client_List!$B:$B,0)),"⚠ NOT FOUND","✓"))</f>
        <v>✓</v>
      </c>
    </row>
    <row r="795" spans="1:12" ht="14" customHeight="1" x14ac:dyDescent="0.2">
      <c r="A795" s="57">
        <v>46088</v>
      </c>
      <c r="B795" s="7" t="s">
        <v>168</v>
      </c>
      <c r="C795" s="3" t="str">
        <f>IF(B795="","",IFERROR(INDEX(Client_List!$C:$C,MATCH(B795,Client_List!$B:$B,0)),""))</f>
        <v>4</v>
      </c>
      <c r="D795" s="9" t="str">
        <f>IF(B795="","",IFERROR(INDEX(Client_List!$D:$D,MATCH(B795,Client_List!$B:$B,0)),""))</f>
        <v>4B</v>
      </c>
      <c r="E795" s="9" t="str">
        <f>IF(B795="","",IFERROR(INDEX(Client_List!$K:$K,MATCH(B795,Client_List!$B:$B,0)),""))</f>
        <v>FRYERS CHOICE BLEND</v>
      </c>
      <c r="F795" s="10">
        <f>IF(B795="","",IFERROR(INDEX(Client_List!$J:$J,MATCH(B795,Client_List!$B:$B,0)),""))</f>
        <v>620</v>
      </c>
      <c r="G795" s="10">
        <v>626</v>
      </c>
      <c r="H795" s="9">
        <f>IF(B795="","",IFERROR(A795-LOOKUP(2,1/($B$4:$B794=B795),$A$4:$A794),""))</f>
        <v>15</v>
      </c>
      <c r="I795" s="73">
        <f t="shared" si="12"/>
        <v>41.733333333333334</v>
      </c>
      <c r="J795" s="9">
        <v>143328</v>
      </c>
      <c r="K795" s="6">
        <f>IF(B795="","",IFERROR(AVERAGEIFS($I$4:$I795,$B$4:$B795,B795,$I$4:$I795,"&gt;"&amp;0),""))</f>
        <v>39.083333333333336</v>
      </c>
      <c r="L795" s="9" t="str">
        <f>IF(B795="","",IF(ISNA(MATCH(B795,Client_List!$B:$B,0)),"⚠ NOT FOUND","✓"))</f>
        <v>✓</v>
      </c>
    </row>
    <row r="796" spans="1:12" ht="14" customHeight="1" x14ac:dyDescent="0.2">
      <c r="A796" s="56">
        <v>46088</v>
      </c>
      <c r="B796" s="2" t="s">
        <v>372</v>
      </c>
      <c r="C796" s="12">
        <f>IF(B796="","",IFERROR(INDEX(Client_List!$C:$C,MATCH(B796,Client_List!$B:$B,0)),""))</f>
        <v>0</v>
      </c>
      <c r="D796" s="4" t="str">
        <f>IF(B796="","",IFERROR(INDEX(Client_List!$D:$D,MATCH(B796,Client_List!$B:$B,0)),""))</f>
        <v>F</v>
      </c>
      <c r="E796" s="4" t="str">
        <f>IF(B796="","",IFERROR(INDEX(Client_List!$K:$K,MATCH(B796,Client_List!$B:$B,0)),""))</f>
        <v>CANOLA OIL</v>
      </c>
      <c r="F796" s="5">
        <f>IF(B796="","",IFERROR(INDEX(Client_List!$J:$J,MATCH(B796,Client_List!$B:$B,0)),""))</f>
        <v>700</v>
      </c>
      <c r="G796" s="5">
        <v>334</v>
      </c>
      <c r="H796" s="4">
        <f>IF(B796="","",IFERROR(A796-LOOKUP(2,1/($B$4:$B795=B796),$A$4:$A795),""))</f>
        <v>14</v>
      </c>
      <c r="I796" s="72">
        <f t="shared" si="12"/>
        <v>23.857142857142858</v>
      </c>
      <c r="J796" s="4">
        <v>10051</v>
      </c>
      <c r="K796" s="6">
        <f>IF(B796="","",IFERROR(AVERAGEIFS($I$4:$I796,$B$4:$B796,B796,$I$4:$I796,"&gt;"&amp;0),""))</f>
        <v>21.5</v>
      </c>
      <c r="L796" s="4" t="str">
        <f>IF(B796="","",IF(ISNA(MATCH(B796,Client_List!$B:$B,0)),"⚠ NOT FOUND","✓"))</f>
        <v>✓</v>
      </c>
    </row>
    <row r="797" spans="1:12" ht="14" customHeight="1" x14ac:dyDescent="0.2">
      <c r="A797" s="57">
        <v>46088</v>
      </c>
      <c r="B797" s="7" t="s">
        <v>180</v>
      </c>
      <c r="C797" s="3" t="str">
        <f>IF(B797="","",IFERROR(INDEX(Client_List!$C:$C,MATCH(B797,Client_List!$B:$B,0)),""))</f>
        <v>1</v>
      </c>
      <c r="D797" s="9" t="str">
        <f>IF(B797="","",IFERROR(INDEX(Client_List!$D:$D,MATCH(B797,Client_List!$B:$B,0)),""))</f>
        <v>1D</v>
      </c>
      <c r="E797" s="9" t="str">
        <f>IF(B797="","",IFERROR(INDEX(Client_List!$K:$K,MATCH(B797,Client_List!$B:$B,0)),""))</f>
        <v>CANOLA OIL</v>
      </c>
      <c r="F797" s="10">
        <f>IF(B797="","",IFERROR(INDEX(Client_List!$J:$J,MATCH(B797,Client_List!$B:$B,0)),""))</f>
        <v>950</v>
      </c>
      <c r="G797" s="10">
        <v>687</v>
      </c>
      <c r="H797" s="9">
        <f>IF(B797="","",IFERROR(A797-LOOKUP(2,1/($B$4:$B796=B797),$A$4:$A796),""))</f>
        <v>10</v>
      </c>
      <c r="I797" s="73">
        <f t="shared" si="12"/>
        <v>68.7</v>
      </c>
      <c r="J797" s="9">
        <v>10059</v>
      </c>
      <c r="K797" s="6">
        <f>IF(B797="","",IFERROR(AVERAGEIFS($I$4:$I797,$B$4:$B797,B797,$I$4:$I797,"&gt;"&amp;0),""))</f>
        <v>74.435185185185176</v>
      </c>
      <c r="L797" s="9" t="str">
        <f>IF(B797="","",IF(ISNA(MATCH(B797,Client_List!$B:$B,0)),"⚠ NOT FOUND","✓"))</f>
        <v>✓</v>
      </c>
    </row>
    <row r="798" spans="1:12" ht="14" customHeight="1" x14ac:dyDescent="0.2">
      <c r="A798" s="56">
        <v>46088</v>
      </c>
      <c r="B798" s="2" t="s">
        <v>373</v>
      </c>
      <c r="C798" s="3">
        <f>IF(B798="","",IFERROR(INDEX(Client_List!$C:$C,MATCH(B798,Client_List!$B:$B,0)),""))</f>
        <v>0</v>
      </c>
      <c r="D798" s="4" t="str">
        <f>IF(B798="","",IFERROR(INDEX(Client_List!$D:$D,MATCH(B798,Client_List!$B:$B,0)),""))</f>
        <v>T</v>
      </c>
      <c r="E798" s="4" t="str">
        <f>IF(B798="","",IFERROR(INDEX(Client_List!$K:$K,MATCH(B798,Client_List!$B:$B,0)),""))</f>
        <v>CANOLA OIL</v>
      </c>
      <c r="F798" s="5">
        <f>IF(B798="","",IFERROR(INDEX(Client_List!$J:$J,MATCH(B798,Client_List!$B:$B,0)),""))</f>
        <v>950</v>
      </c>
      <c r="G798" s="5">
        <v>496</v>
      </c>
      <c r="H798" s="4">
        <f>IF(B798="","",IFERROR(A798-LOOKUP(2,1/($B$4:$B797=B798),$A$4:$A797),""))</f>
        <v>14</v>
      </c>
      <c r="I798" s="72">
        <f t="shared" si="12"/>
        <v>35.428571428571431</v>
      </c>
      <c r="J798" s="4">
        <v>143314</v>
      </c>
      <c r="K798" s="6">
        <f>IF(B798="","",IFERROR(AVERAGEIFS($I$4:$I798,$B$4:$B798,B798,$I$4:$I798,"&gt;"&amp;0),""))</f>
        <v>37</v>
      </c>
      <c r="L798" s="4" t="str">
        <f>IF(B798="","",IF(ISNA(MATCH(B798,Client_List!$B:$B,0)),"⚠ NOT FOUND","✓"))</f>
        <v>✓</v>
      </c>
    </row>
    <row r="799" spans="1:12" ht="14" customHeight="1" x14ac:dyDescent="0.2">
      <c r="A799" s="57">
        <v>46088</v>
      </c>
      <c r="B799" s="7" t="s">
        <v>220</v>
      </c>
      <c r="C799" s="11" t="str">
        <f>IF(B799="","",IFERROR(INDEX(Client_List!$C:$C,MATCH(B799,Client_List!$B:$B,0)),""))</f>
        <v>4</v>
      </c>
      <c r="D799" s="9" t="str">
        <f>IF(B799="","",IFERROR(INDEX(Client_List!$D:$D,MATCH(B799,Client_List!$B:$B,0)),""))</f>
        <v>4A</v>
      </c>
      <c r="E799" s="9" t="str">
        <f>IF(B799="","",IFERROR(INDEX(Client_List!$K:$K,MATCH(B799,Client_List!$B:$B,0)),""))</f>
        <v>CANOLA OIL</v>
      </c>
      <c r="F799" s="10">
        <f>IF(B799="","",IFERROR(INDEX(Client_List!$J:$J,MATCH(B799,Client_List!$B:$B,0)),""))</f>
        <v>480</v>
      </c>
      <c r="G799" s="10">
        <v>213</v>
      </c>
      <c r="H799" s="9">
        <f>IF(B799="","",IFERROR(A799-LOOKUP(2,1/($B$4:$B798=B799),$A$4:$A798),""))</f>
        <v>10</v>
      </c>
      <c r="I799" s="73">
        <f t="shared" si="12"/>
        <v>21.3</v>
      </c>
      <c r="J799" s="9">
        <v>143305</v>
      </c>
      <c r="K799" s="6">
        <f>IF(B799="","",IFERROR(AVERAGEIFS($I$4:$I799,$B$4:$B799,B799,$I$4:$I799,"&gt;"&amp;0),""))</f>
        <v>25.37738095238095</v>
      </c>
      <c r="L799" s="9" t="str">
        <f>IF(B799="","",IF(ISNA(MATCH(B799,Client_List!$B:$B,0)),"⚠ NOT FOUND","✓"))</f>
        <v>✓</v>
      </c>
    </row>
    <row r="800" spans="1:12" ht="14" customHeight="1" x14ac:dyDescent="0.2">
      <c r="A800" s="56">
        <v>46088</v>
      </c>
      <c r="B800" s="2" t="s">
        <v>374</v>
      </c>
      <c r="C800" s="8">
        <f>IF(B800="","",IFERROR(INDEX(Client_List!$C:$C,MATCH(B800,Client_List!$B:$B,0)),""))</f>
        <v>0</v>
      </c>
      <c r="D800" s="4" t="str">
        <f>IF(B800="","",IFERROR(INDEX(Client_List!$D:$D,MATCH(B800,Client_List!$B:$B,0)),""))</f>
        <v>F</v>
      </c>
      <c r="E800" s="4" t="str">
        <f>IF(B800="","",IFERROR(INDEX(Client_List!$K:$K,MATCH(B800,Client_List!$B:$B,0)),""))</f>
        <v>CANOLA OIL</v>
      </c>
      <c r="F800" s="5">
        <f>IF(B800="","",IFERROR(INDEX(Client_List!$J:$J,MATCH(B800,Client_List!$B:$B,0)),""))</f>
        <v>700</v>
      </c>
      <c r="G800" s="5">
        <v>450</v>
      </c>
      <c r="H800" s="4">
        <f>IF(B800="","",IFERROR(A800-LOOKUP(2,1/($B$4:$B799=B800),$A$4:$A799),""))</f>
        <v>28</v>
      </c>
      <c r="I800" s="72">
        <f t="shared" si="12"/>
        <v>16.071428571428573</v>
      </c>
      <c r="J800" s="4">
        <v>143319</v>
      </c>
      <c r="K800" s="6">
        <f>IF(B800="","",IFERROR(AVERAGEIFS($I$4:$I800,$B$4:$B800,B800,$I$4:$I800,"&gt;"&amp;0),""))</f>
        <v>18.946428571428573</v>
      </c>
      <c r="L800" s="4" t="str">
        <f>IF(B800="","",IF(ISNA(MATCH(B800,Client_List!$B:$B,0)),"⚠ NOT FOUND","✓"))</f>
        <v>✓</v>
      </c>
    </row>
    <row r="801" spans="1:12" ht="14" customHeight="1" x14ac:dyDescent="0.2">
      <c r="A801" s="57">
        <v>46088</v>
      </c>
      <c r="B801" s="7" t="s">
        <v>278</v>
      </c>
      <c r="C801" s="8" t="str">
        <f>IF(B801="","",IFERROR(INDEX(Client_List!$C:$C,MATCH(B801,Client_List!$B:$B,0)),""))</f>
        <v>3</v>
      </c>
      <c r="D801" s="9" t="str">
        <f>IF(B801="","",IFERROR(INDEX(Client_List!$D:$D,MATCH(B801,Client_List!$B:$B,0)),""))</f>
        <v>3A</v>
      </c>
      <c r="E801" s="9" t="str">
        <f>IF(B801="","",IFERROR(INDEX(Client_List!$K:$K,MATCH(B801,Client_List!$B:$B,0)),""))</f>
        <v>CANOLA OIL</v>
      </c>
      <c r="F801" s="10">
        <f>IF(B801="","",IFERROR(INDEX(Client_List!$J:$J,MATCH(B801,Client_List!$B:$B,0)),""))</f>
        <v>1850</v>
      </c>
      <c r="G801" s="10">
        <v>1635</v>
      </c>
      <c r="H801" s="9">
        <f>IF(B801="","",IFERROR(A801-LOOKUP(2,1/($B$4:$B800=B801),$A$4:$A800),""))</f>
        <v>22</v>
      </c>
      <c r="I801" s="73">
        <f t="shared" si="12"/>
        <v>74.318181818181813</v>
      </c>
      <c r="J801" s="9"/>
      <c r="K801" s="6">
        <f>IF(B801="","",IFERROR(AVERAGEIFS($I$4:$I801,$B$4:$B801,B801,$I$4:$I801,"&gt;"&amp;0),""))</f>
        <v>76.904761904761912</v>
      </c>
      <c r="L801" s="9" t="str">
        <f>IF(B801="","",IF(ISNA(MATCH(B801,Client_List!$B:$B,0)),"⚠ NOT FOUND","✓"))</f>
        <v>✓</v>
      </c>
    </row>
    <row r="802" spans="1:12" ht="14" customHeight="1" x14ac:dyDescent="0.2">
      <c r="A802" s="56">
        <v>46088</v>
      </c>
      <c r="B802" s="2" t="s">
        <v>306</v>
      </c>
      <c r="C802" s="3" t="str">
        <f>IF(B802="","",IFERROR(INDEX(Client_List!$C:$C,MATCH(B802,Client_List!$B:$B,0)),""))</f>
        <v>4</v>
      </c>
      <c r="D802" s="4" t="str">
        <f>IF(B802="","",IFERROR(INDEX(Client_List!$D:$D,MATCH(B802,Client_List!$B:$B,0)),""))</f>
        <v>4C</v>
      </c>
      <c r="E802" s="4" t="str">
        <f>IF(B802="","",IFERROR(INDEX(Client_List!$K:$K,MATCH(B802,Client_List!$B:$B,0)),""))</f>
        <v>FRYERS CHOICE BLEND</v>
      </c>
      <c r="F802" s="5">
        <f>IF(B802="","",IFERROR(INDEX(Client_List!$J:$J,MATCH(B802,Client_List!$B:$B,0)),""))</f>
        <v>1050</v>
      </c>
      <c r="G802" s="5">
        <v>1101</v>
      </c>
      <c r="H802" s="4">
        <f>IF(B802="","",IFERROR(A802-LOOKUP(2,1/($B$4:$B801=B802),$A$4:$A801),""))</f>
        <v>11</v>
      </c>
      <c r="I802" s="72">
        <f t="shared" si="12"/>
        <v>100.09090909090909</v>
      </c>
      <c r="J802" s="4">
        <v>143316</v>
      </c>
      <c r="K802" s="6">
        <f>IF(B802="","",IFERROR(AVERAGEIFS($I$4:$I802,$B$4:$B802,B802,$I$4:$I802,"&gt;"&amp;0),""))</f>
        <v>105.61376262626264</v>
      </c>
      <c r="L802" s="4" t="str">
        <f>IF(B802="","",IF(ISNA(MATCH(B802,Client_List!$B:$B,0)),"⚠ NOT FOUND","✓"))</f>
        <v>✓</v>
      </c>
    </row>
    <row r="803" spans="1:12" ht="14" customHeight="1" x14ac:dyDescent="0.2">
      <c r="A803" s="57">
        <v>46091</v>
      </c>
      <c r="B803" s="7" t="s">
        <v>51</v>
      </c>
      <c r="C803" s="3" t="str">
        <f>IF(B803="","",IFERROR(INDEX(Client_List!$C:$C,MATCH(B803,Client_List!$B:$B,0)),""))</f>
        <v>3</v>
      </c>
      <c r="D803" s="9" t="str">
        <f>IF(B803="","",IFERROR(INDEX(Client_List!$D:$D,MATCH(B803,Client_List!$B:$B,0)),""))</f>
        <v>3D</v>
      </c>
      <c r="E803" s="9" t="str">
        <f>IF(B803="","",IFERROR(INDEX(Client_List!$K:$K,MATCH(B803,Client_List!$B:$B,0)),""))</f>
        <v>CANOLA OIL</v>
      </c>
      <c r="F803" s="10">
        <f>IF(B803="","",IFERROR(INDEX(Client_List!$J:$J,MATCH(B803,Client_List!$B:$B,0)),""))</f>
        <v>700</v>
      </c>
      <c r="G803" s="10">
        <v>633</v>
      </c>
      <c r="H803" s="9">
        <f>IF(B803="","",IFERROR(A803-LOOKUP(2,1/($B$4:$B802=B803),$A$4:$A802),""))</f>
        <v>11</v>
      </c>
      <c r="I803" s="73">
        <f t="shared" si="12"/>
        <v>57.545454545454547</v>
      </c>
      <c r="J803" s="9">
        <v>10103</v>
      </c>
      <c r="K803" s="6">
        <f>IF(B803="","",IFERROR(AVERAGEIFS($I$4:$I803,$B$4:$B803,B803,$I$4:$I803,"&gt;"&amp;0),""))</f>
        <v>62.236655011655017</v>
      </c>
      <c r="L803" s="9" t="str">
        <f>IF(B803="","",IF(ISNA(MATCH(B803,Client_List!$B:$B,0)),"⚠ NOT FOUND","✓"))</f>
        <v>✓</v>
      </c>
    </row>
    <row r="804" spans="1:12" ht="14" customHeight="1" x14ac:dyDescent="0.2">
      <c r="A804" s="56">
        <v>46091</v>
      </c>
      <c r="B804" s="2" t="s">
        <v>77</v>
      </c>
      <c r="C804" s="3" t="str">
        <f>IF(B804="","",IFERROR(INDEX(Client_List!$C:$C,MATCH(B804,Client_List!$B:$B,0)),""))</f>
        <v>1</v>
      </c>
      <c r="D804" s="4" t="str">
        <f>IF(B804="","",IFERROR(INDEX(Client_List!$D:$D,MATCH(B804,Client_List!$B:$B,0)),""))</f>
        <v>1D</v>
      </c>
      <c r="E804" s="4" t="str">
        <f>IF(B804="","",IFERROR(INDEX(Client_List!$K:$K,MATCH(B804,Client_List!$B:$B,0)),""))</f>
        <v>CANOLA OIL</v>
      </c>
      <c r="F804" s="5">
        <f>IF(B804="","",IFERROR(INDEX(Client_List!$J:$J,MATCH(B804,Client_List!$B:$B,0)),""))</f>
        <v>620</v>
      </c>
      <c r="G804" s="5">
        <v>438</v>
      </c>
      <c r="H804" s="4">
        <f>IF(B804="","",IFERROR(A804-LOOKUP(2,1/($B$4:$B803=B804),$A$4:$A803),""))</f>
        <v>7</v>
      </c>
      <c r="I804" s="72">
        <f t="shared" si="12"/>
        <v>62.571428571428569</v>
      </c>
      <c r="J804" s="4">
        <v>10175</v>
      </c>
      <c r="K804" s="6">
        <f>IF(B804="","",IFERROR(AVERAGEIFS($I$4:$I804,$B$4:$B804,B804,$I$4:$I804,"&gt;"&amp;0),""))</f>
        <v>67.989434523809521</v>
      </c>
      <c r="L804" s="4" t="str">
        <f>IF(B804="","",IF(ISNA(MATCH(B804,Client_List!$B:$B,0)),"⚠ NOT FOUND","✓"))</f>
        <v>✓</v>
      </c>
    </row>
    <row r="805" spans="1:12" ht="14" customHeight="1" x14ac:dyDescent="0.2">
      <c r="A805" s="57">
        <v>46091</v>
      </c>
      <c r="B805" s="7" t="s">
        <v>94</v>
      </c>
      <c r="C805" s="12" t="str">
        <f>IF(B805="","",IFERROR(INDEX(Client_List!$C:$C,MATCH(B805,Client_List!$B:$B,0)),""))</f>
        <v>2</v>
      </c>
      <c r="D805" s="9" t="str">
        <f>IF(B805="","",IFERROR(INDEX(Client_List!$D:$D,MATCH(B805,Client_List!$B:$B,0)),""))</f>
        <v>2C</v>
      </c>
      <c r="E805" s="9" t="str">
        <f>IF(B805="","",IFERROR(INDEX(Client_List!$K:$K,MATCH(B805,Client_List!$B:$B,0)),""))</f>
        <v>CANOLA OIL</v>
      </c>
      <c r="F805" s="10">
        <f>IF(B805="","",IFERROR(INDEX(Client_List!$J:$J,MATCH(B805,Client_List!$B:$B,0)),""))</f>
        <v>450</v>
      </c>
      <c r="G805" s="10">
        <v>466</v>
      </c>
      <c r="H805" s="9">
        <f>IF(B805="","",IFERROR(A805-LOOKUP(2,1/($B$4:$B804=B805),$A$4:$A804),""))</f>
        <v>14</v>
      </c>
      <c r="I805" s="73">
        <f t="shared" si="12"/>
        <v>33.285714285714285</v>
      </c>
      <c r="J805" s="9">
        <v>10087</v>
      </c>
      <c r="K805" s="6">
        <f>IF(B805="","",IFERROR(AVERAGEIFS($I$4:$I805,$B$4:$B805,B805,$I$4:$I805,"&gt;"&amp;0),""))</f>
        <v>34.378679653679654</v>
      </c>
      <c r="L805" s="9" t="str">
        <f>IF(B805="","",IF(ISNA(MATCH(B805,Client_List!$B:$B,0)),"⚠ NOT FOUND","✓"))</f>
        <v>✓</v>
      </c>
    </row>
    <row r="806" spans="1:12" ht="14" customHeight="1" x14ac:dyDescent="0.2">
      <c r="A806" s="56">
        <v>46091</v>
      </c>
      <c r="B806" s="2" t="s">
        <v>132</v>
      </c>
      <c r="C806" s="3" t="str">
        <f>IF(B806="","",IFERROR(INDEX(Client_List!$C:$C,MATCH(B806,Client_List!$B:$B,0)),""))</f>
        <v>3</v>
      </c>
      <c r="D806" s="4" t="str">
        <f>IF(B806="","",IFERROR(INDEX(Client_List!$D:$D,MATCH(B806,Client_List!$B:$B,0)),""))</f>
        <v>3C</v>
      </c>
      <c r="E806" s="4" t="str">
        <f>IF(B806="","",IFERROR(INDEX(Client_List!$K:$K,MATCH(B806,Client_List!$B:$B,0)),""))</f>
        <v>CANOLA OIL</v>
      </c>
      <c r="F806" s="5">
        <f>IF(B806="","",IFERROR(INDEX(Client_List!$J:$J,MATCH(B806,Client_List!$B:$B,0)),""))</f>
        <v>630</v>
      </c>
      <c r="G806" s="5">
        <v>514</v>
      </c>
      <c r="H806" s="4">
        <f>IF(B806="","",IFERROR(A806-LOOKUP(2,1/($B$4:$B805=B806),$A$4:$A805),""))</f>
        <v>11</v>
      </c>
      <c r="I806" s="72">
        <f t="shared" si="12"/>
        <v>46.727272727272727</v>
      </c>
      <c r="J806" s="4">
        <v>10164</v>
      </c>
      <c r="K806" s="6">
        <f>IF(B806="","",IFERROR(AVERAGEIFS($I$4:$I806,$B$4:$B806,B806,$I$4:$I806,"&gt;"&amp;0),""))</f>
        <v>43.412626262626262</v>
      </c>
      <c r="L806" s="4" t="str">
        <f>IF(B806="","",IF(ISNA(MATCH(B806,Client_List!$B:$B,0)),"⚠ NOT FOUND","✓"))</f>
        <v>✓</v>
      </c>
    </row>
    <row r="807" spans="1:12" ht="14" customHeight="1" x14ac:dyDescent="0.2">
      <c r="A807" s="57">
        <v>46091</v>
      </c>
      <c r="B807" s="7" t="s">
        <v>140</v>
      </c>
      <c r="C807" s="3" t="str">
        <f>IF(B807="","",IFERROR(INDEX(Client_List!$C:$C,MATCH(B807,Client_List!$B:$B,0)),""))</f>
        <v>5</v>
      </c>
      <c r="D807" s="9" t="str">
        <f>IF(B807="","",IFERROR(INDEX(Client_List!$D:$D,MATCH(B807,Client_List!$B:$B,0)),""))</f>
        <v>5E</v>
      </c>
      <c r="E807" s="9" t="str">
        <f>IF(B807="","",IFERROR(INDEX(Client_List!$K:$K,MATCH(B807,Client_List!$B:$B,0)),""))</f>
        <v>CANOLA OIL</v>
      </c>
      <c r="F807" s="10">
        <f>IF(B807="","",IFERROR(INDEX(Client_List!$J:$J,MATCH(B807,Client_List!$B:$B,0)),""))</f>
        <v>350</v>
      </c>
      <c r="G807" s="10">
        <v>271</v>
      </c>
      <c r="H807" s="9">
        <f>IF(B807="","",IFERROR(A807-LOOKUP(2,1/($B$4:$B806=B807),$A$4:$A806),""))</f>
        <v>14</v>
      </c>
      <c r="I807" s="73">
        <f t="shared" si="12"/>
        <v>19.357142857142858</v>
      </c>
      <c r="J807" s="9">
        <v>10111</v>
      </c>
      <c r="K807" s="6">
        <f>IF(B807="","",IFERROR(AVERAGEIFS($I$4:$I807,$B$4:$B807,B807,$I$4:$I807,"&gt;"&amp;0),""))</f>
        <v>34.715277777777779</v>
      </c>
      <c r="L807" s="9" t="str">
        <f>IF(B807="","",IF(ISNA(MATCH(B807,Client_List!$B:$B,0)),"⚠ NOT FOUND","✓"))</f>
        <v>✓</v>
      </c>
    </row>
    <row r="808" spans="1:12" ht="14" customHeight="1" x14ac:dyDescent="0.2">
      <c r="A808" s="56">
        <v>46091</v>
      </c>
      <c r="B808" s="2" t="s">
        <v>170</v>
      </c>
      <c r="C808" s="3" t="str">
        <f>IF(B808="","",IFERROR(INDEX(Client_List!$C:$C,MATCH(B808,Client_List!$B:$B,0)),""))</f>
        <v>3</v>
      </c>
      <c r="D808" s="4" t="str">
        <f>IF(B808="","",IFERROR(INDEX(Client_List!$D:$D,MATCH(B808,Client_List!$B:$B,0)),""))</f>
        <v>3E</v>
      </c>
      <c r="E808" s="4" t="str">
        <f>IF(B808="","",IFERROR(INDEX(Client_List!$K:$K,MATCH(B808,Client_List!$B:$B,0)),""))</f>
        <v>CANOLA OIL</v>
      </c>
      <c r="F808" s="5">
        <f>IF(B808="","",IFERROR(INDEX(Client_List!$J:$J,MATCH(B808,Client_List!$B:$B,0)),""))</f>
        <v>1050</v>
      </c>
      <c r="G808" s="5">
        <v>980</v>
      </c>
      <c r="H808" s="4">
        <f>IF(B808="","",IFERROR(A808-LOOKUP(2,1/($B$4:$B807=B808),$A$4:$A807),""))</f>
        <v>18</v>
      </c>
      <c r="I808" s="72">
        <f t="shared" si="12"/>
        <v>54.444444444444443</v>
      </c>
      <c r="J808" s="4">
        <v>10072</v>
      </c>
      <c r="K808" s="6">
        <f>IF(B808="","",IFERROR(AVERAGEIFS($I$4:$I808,$B$4:$B808,B808,$I$4:$I808,"&gt;"&amp;0),""))</f>
        <v>53.425925925925924</v>
      </c>
      <c r="L808" s="4" t="str">
        <f>IF(B808="","",IF(ISNA(MATCH(B808,Client_List!$B:$B,0)),"⚠ NOT FOUND","✓"))</f>
        <v>✓</v>
      </c>
    </row>
    <row r="809" spans="1:12" ht="14" customHeight="1" x14ac:dyDescent="0.2">
      <c r="A809" s="57">
        <v>46091</v>
      </c>
      <c r="B809" s="7" t="s">
        <v>174</v>
      </c>
      <c r="C809" s="3" t="str">
        <f>IF(B809="","",IFERROR(INDEX(Client_List!$C:$C,MATCH(B809,Client_List!$B:$B,0)),""))</f>
        <v>2</v>
      </c>
      <c r="D809" s="9" t="str">
        <f>IF(B809="","",IFERROR(INDEX(Client_List!$D:$D,MATCH(B809,Client_List!$B:$B,0)),""))</f>
        <v>2D</v>
      </c>
      <c r="E809" s="9" t="str">
        <f>IF(B809="","",IFERROR(INDEX(Client_List!$K:$K,MATCH(B809,Client_List!$B:$B,0)),""))</f>
        <v>CANOLA OIL</v>
      </c>
      <c r="F809" s="10">
        <f>IF(B809="","",IFERROR(INDEX(Client_List!$J:$J,MATCH(B809,Client_List!$B:$B,0)),""))</f>
        <v>700</v>
      </c>
      <c r="G809" s="10">
        <v>326</v>
      </c>
      <c r="H809" s="9">
        <f>IF(B809="","",IFERROR(A809-LOOKUP(2,1/($B$4:$B808=B809),$A$4:$A808),""))</f>
        <v>18</v>
      </c>
      <c r="I809" s="73">
        <f t="shared" si="12"/>
        <v>18.111111111111111</v>
      </c>
      <c r="J809" s="9">
        <v>10172</v>
      </c>
      <c r="K809" s="6">
        <f>IF(B809="","",IFERROR(AVERAGEIFS($I$4:$I809,$B$4:$B809,B809,$I$4:$I809,"&gt;"&amp;0),""))</f>
        <v>16.494949494949495</v>
      </c>
      <c r="L809" s="9" t="str">
        <f>IF(B809="","",IF(ISNA(MATCH(B809,Client_List!$B:$B,0)),"⚠ NOT FOUND","✓"))</f>
        <v>✓</v>
      </c>
    </row>
    <row r="810" spans="1:12" ht="14" customHeight="1" x14ac:dyDescent="0.2">
      <c r="A810" s="56">
        <v>46091</v>
      </c>
      <c r="B810" s="2" t="s">
        <v>178</v>
      </c>
      <c r="C810" s="3" t="str">
        <f>IF(B810="","",IFERROR(INDEX(Client_List!$C:$C,MATCH(B810,Client_List!$B:$B,0)),""))</f>
        <v>3</v>
      </c>
      <c r="D810" s="4" t="str">
        <f>IF(B810="","",IFERROR(INDEX(Client_List!$D:$D,MATCH(B810,Client_List!$B:$B,0)),""))</f>
        <v>3C</v>
      </c>
      <c r="E810" s="4" t="str">
        <f>IF(B810="","",IFERROR(INDEX(Client_List!$K:$K,MATCH(B810,Client_List!$B:$B,0)),""))</f>
        <v>CANOLA OIL</v>
      </c>
      <c r="F810" s="5">
        <f>IF(B810="","",IFERROR(INDEX(Client_List!$J:$J,MATCH(B810,Client_List!$B:$B,0)),""))</f>
        <v>900</v>
      </c>
      <c r="G810" s="5">
        <v>863</v>
      </c>
      <c r="H810" s="4">
        <f>IF(B810="","",IFERROR(A810-LOOKUP(2,1/($B$4:$B809=B810),$A$4:$A809),""))</f>
        <v>20</v>
      </c>
      <c r="I810" s="72">
        <f t="shared" si="12"/>
        <v>43.15</v>
      </c>
      <c r="J810" s="4">
        <v>10070</v>
      </c>
      <c r="K810" s="6">
        <f>IF(B810="","",IFERROR(AVERAGEIFS($I$4:$I810,$B$4:$B810,B810,$I$4:$I810,"&gt;"&amp;0),""))</f>
        <v>40.228846153846149</v>
      </c>
      <c r="L810" s="4" t="str">
        <f>IF(B810="","",IF(ISNA(MATCH(B810,Client_List!$B:$B,0)),"⚠ NOT FOUND","✓"))</f>
        <v>✓</v>
      </c>
    </row>
    <row r="811" spans="1:12" ht="14" customHeight="1" x14ac:dyDescent="0.2">
      <c r="A811" s="57">
        <v>46091</v>
      </c>
      <c r="B811" s="7" t="s">
        <v>184</v>
      </c>
      <c r="C811" s="11" t="str">
        <f>IF(B811="","",IFERROR(INDEX(Client_List!$C:$C,MATCH(B811,Client_List!$B:$B,0)),""))</f>
        <v>3</v>
      </c>
      <c r="D811" s="9" t="str">
        <f>IF(B811="","",IFERROR(INDEX(Client_List!$D:$D,MATCH(B811,Client_List!$B:$B,0)),""))</f>
        <v>3C</v>
      </c>
      <c r="E811" s="9" t="str">
        <f>IF(B811="","",IFERROR(INDEX(Client_List!$K:$K,MATCH(B811,Client_List!$B:$B,0)),""))</f>
        <v>CANOLA OIL</v>
      </c>
      <c r="F811" s="10">
        <f>IF(B811="","",IFERROR(INDEX(Client_List!$J:$J,MATCH(B811,Client_List!$B:$B,0)),""))</f>
        <v>1050</v>
      </c>
      <c r="G811" s="10">
        <v>1082</v>
      </c>
      <c r="H811" s="9">
        <f>IF(B811="","",IFERROR(A811-LOOKUP(2,1/($B$4:$B810=B811),$A$4:$A810),""))</f>
        <v>11</v>
      </c>
      <c r="I811" s="73">
        <f t="shared" si="12"/>
        <v>98.36363636363636</v>
      </c>
      <c r="J811" s="9">
        <v>10076</v>
      </c>
      <c r="K811" s="6">
        <f>IF(B811="","",IFERROR(AVERAGEIFS($I$4:$I811,$B$4:$B811,B811,$I$4:$I811,"&gt;"&amp;0),""))</f>
        <v>101.59285714285716</v>
      </c>
      <c r="L811" s="9" t="str">
        <f>IF(B811="","",IF(ISNA(MATCH(B811,Client_List!$B:$B,0)),"⚠ NOT FOUND","✓"))</f>
        <v>✓</v>
      </c>
    </row>
    <row r="812" spans="1:12" ht="14" customHeight="1" x14ac:dyDescent="0.2">
      <c r="A812" s="56">
        <v>46091</v>
      </c>
      <c r="B812" s="2" t="s">
        <v>190</v>
      </c>
      <c r="C812" s="3" t="str">
        <f>IF(B812="","",IFERROR(INDEX(Client_List!$C:$C,MATCH(B812,Client_List!$B:$B,0)),""))</f>
        <v>2</v>
      </c>
      <c r="D812" s="4" t="str">
        <f>IF(B812="","",IFERROR(INDEX(Client_List!$D:$D,MATCH(B812,Client_List!$B:$B,0)),""))</f>
        <v>2C</v>
      </c>
      <c r="E812" s="4" t="str">
        <f>IF(B812="","",IFERROR(INDEX(Client_List!$K:$K,MATCH(B812,Client_List!$B:$B,0)),""))</f>
        <v>CANOLA OIL</v>
      </c>
      <c r="F812" s="5">
        <f>IF(B812="","",IFERROR(INDEX(Client_List!$J:$J,MATCH(B812,Client_List!$B:$B,0)),""))</f>
        <v>1050</v>
      </c>
      <c r="G812" s="5">
        <v>937</v>
      </c>
      <c r="H812" s="4">
        <f>IF(B812="","",IFERROR(A812-LOOKUP(2,1/($B$4:$B811=B812),$A$4:$A811),""))</f>
        <v>7</v>
      </c>
      <c r="I812" s="72">
        <f t="shared" si="12"/>
        <v>133.85714285714286</v>
      </c>
      <c r="J812" s="4">
        <v>10165</v>
      </c>
      <c r="K812" s="6">
        <f>IF(B812="","",IFERROR(AVERAGEIFS($I$4:$I812,$B$4:$B812,B812,$I$4:$I812,"&gt;"&amp;0),""))</f>
        <v>132.90410052910053</v>
      </c>
      <c r="L812" s="4" t="str">
        <f>IF(B812="","",IF(ISNA(MATCH(B812,Client_List!$B:$B,0)),"⚠ NOT FOUND","✓"))</f>
        <v>✓</v>
      </c>
    </row>
    <row r="813" spans="1:12" ht="14" customHeight="1" x14ac:dyDescent="0.2">
      <c r="A813" s="57">
        <v>46091</v>
      </c>
      <c r="B813" s="7" t="s">
        <v>202</v>
      </c>
      <c r="C813" s="3" t="str">
        <f>IF(B813="","",IFERROR(INDEX(Client_List!$C:$C,MATCH(B813,Client_List!$B:$B,0)),""))</f>
        <v>4</v>
      </c>
      <c r="D813" s="9" t="str">
        <f>IF(B813="","",IFERROR(INDEX(Client_List!$D:$D,MATCH(B813,Client_List!$B:$B,0)),""))</f>
        <v>4D</v>
      </c>
      <c r="E813" s="9" t="str">
        <f>IF(B813="","",IFERROR(INDEX(Client_List!$K:$K,MATCH(B813,Client_List!$B:$B,0)),""))</f>
        <v>CANOLA OIL</v>
      </c>
      <c r="F813" s="10">
        <f>IF(B813="","",IFERROR(INDEX(Client_List!$J:$J,MATCH(B813,Client_List!$B:$B,0)),""))</f>
        <v>1050</v>
      </c>
      <c r="G813" s="10">
        <v>1086</v>
      </c>
      <c r="H813" s="9">
        <f>IF(B813="","",IFERROR(A813-LOOKUP(2,1/($B$4:$B812=B813),$A$4:$A812),""))</f>
        <v>11</v>
      </c>
      <c r="I813" s="73">
        <f t="shared" si="12"/>
        <v>98.727272727272734</v>
      </c>
      <c r="J813" s="9">
        <v>10065</v>
      </c>
      <c r="K813" s="6">
        <f>IF(B813="","",IFERROR(AVERAGEIFS($I$4:$I813,$B$4:$B813,B813,$I$4:$I813,"&gt;"&amp;0),""))</f>
        <v>81.647792207792207</v>
      </c>
      <c r="L813" s="9" t="str">
        <f>IF(B813="","",IF(ISNA(MATCH(B813,Client_List!$B:$B,0)),"⚠ NOT FOUND","✓"))</f>
        <v>✓</v>
      </c>
    </row>
    <row r="814" spans="1:12" ht="14" customHeight="1" x14ac:dyDescent="0.2">
      <c r="A814" s="56">
        <v>46091</v>
      </c>
      <c r="B814" s="2" t="s">
        <v>212</v>
      </c>
      <c r="C814" s="3" t="str">
        <f>IF(B814="","",IFERROR(INDEX(Client_List!$C:$C,MATCH(B814,Client_List!$B:$B,0)),""))</f>
        <v>2</v>
      </c>
      <c r="D814" s="4" t="str">
        <f>IF(B814="","",IFERROR(INDEX(Client_List!$D:$D,MATCH(B814,Client_List!$B:$B,0)),""))</f>
        <v>2C</v>
      </c>
      <c r="E814" s="4" t="str">
        <f>IF(B814="","",IFERROR(INDEX(Client_List!$K:$K,MATCH(B814,Client_List!$B:$B,0)),""))</f>
        <v>CANOLA OIL</v>
      </c>
      <c r="F814" s="5">
        <f>IF(B814="","",IFERROR(INDEX(Client_List!$J:$J,MATCH(B814,Client_List!$B:$B,0)),""))</f>
        <v>1050</v>
      </c>
      <c r="G814" s="5">
        <v>1083</v>
      </c>
      <c r="H814" s="4">
        <f>IF(B814="","",IFERROR(A814-LOOKUP(2,1/($B$4:$B813=B814),$A$4:$A813),""))</f>
        <v>40</v>
      </c>
      <c r="I814" s="72">
        <f t="shared" si="12"/>
        <v>27.074999999999999</v>
      </c>
      <c r="J814" s="4">
        <v>10090</v>
      </c>
      <c r="K814" s="6">
        <f>IF(B814="","",IFERROR(AVERAGEIFS($I$4:$I814,$B$4:$B814,B814,$I$4:$I814,"&gt;"&amp;0),""))</f>
        <v>27.074999999999999</v>
      </c>
      <c r="L814" s="4" t="str">
        <f>IF(B814="","",IF(ISNA(MATCH(B814,Client_List!$B:$B,0)),"⚠ NOT FOUND","✓"))</f>
        <v>✓</v>
      </c>
    </row>
    <row r="815" spans="1:12" ht="14" customHeight="1" x14ac:dyDescent="0.2">
      <c r="A815" s="57">
        <v>46091</v>
      </c>
      <c r="B815" s="7" t="s">
        <v>248</v>
      </c>
      <c r="C815" s="8" t="str">
        <f>IF(B815="","",IFERROR(INDEX(Client_List!$C:$C,MATCH(B815,Client_List!$B:$B,0)),""))</f>
        <v>3</v>
      </c>
      <c r="D815" s="9" t="str">
        <f>IF(B815="","",IFERROR(INDEX(Client_List!$D:$D,MATCH(B815,Client_List!$B:$B,0)),""))</f>
        <v>3E</v>
      </c>
      <c r="E815" s="9" t="str">
        <f>IF(B815="","",IFERROR(INDEX(Client_List!$K:$K,MATCH(B815,Client_List!$B:$B,0)),""))</f>
        <v>FRYERS CHOICE BLEND</v>
      </c>
      <c r="F815" s="10">
        <f>IF(B815="","",IFERROR(INDEX(Client_List!$J:$J,MATCH(B815,Client_List!$B:$B,0)),""))</f>
        <v>950</v>
      </c>
      <c r="G815" s="10">
        <v>757</v>
      </c>
      <c r="H815" s="9">
        <f>IF(B815="","",IFERROR(A815-LOOKUP(2,1/($B$4:$B814=B815),$A$4:$A814),""))</f>
        <v>11</v>
      </c>
      <c r="I815" s="73">
        <f t="shared" si="12"/>
        <v>68.818181818181813</v>
      </c>
      <c r="J815" s="9">
        <v>10084</v>
      </c>
      <c r="K815" s="6">
        <f>IF(B815="","",IFERROR(AVERAGEIFS($I$4:$I815,$B$4:$B815,B815,$I$4:$I815,"&gt;"&amp;0),""))</f>
        <v>70.236363636363635</v>
      </c>
      <c r="L815" s="9" t="str">
        <f>IF(B815="","",IF(ISNA(MATCH(B815,Client_List!$B:$B,0)),"⚠ NOT FOUND","✓"))</f>
        <v>✓</v>
      </c>
    </row>
    <row r="816" spans="1:12" ht="14" customHeight="1" x14ac:dyDescent="0.2">
      <c r="A816" s="56">
        <v>46091</v>
      </c>
      <c r="B816" s="2" t="s">
        <v>250</v>
      </c>
      <c r="C816" s="12" t="str">
        <f>IF(B816="","",IFERROR(INDEX(Client_List!$C:$C,MATCH(B816,Client_List!$B:$B,0)),""))</f>
        <v>2</v>
      </c>
      <c r="D816" s="4" t="str">
        <f>IF(B816="","",IFERROR(INDEX(Client_List!$D:$D,MATCH(B816,Client_List!$B:$B,0)),""))</f>
        <v>2D</v>
      </c>
      <c r="E816" s="4" t="str">
        <f>IF(B816="","",IFERROR(INDEX(Client_List!$K:$K,MATCH(B816,Client_List!$B:$B,0)),""))</f>
        <v>FRYERS CHOICE BLEND</v>
      </c>
      <c r="F816" s="5">
        <f>IF(B816="","",IFERROR(INDEX(Client_List!$J:$J,MATCH(B816,Client_List!$B:$B,0)),""))</f>
        <v>950</v>
      </c>
      <c r="G816" s="5">
        <v>944</v>
      </c>
      <c r="H816" s="4">
        <f>IF(B816="","",IFERROR(A816-LOOKUP(2,1/($B$4:$B815=B816),$A$4:$A815),""))</f>
        <v>7</v>
      </c>
      <c r="I816" s="72">
        <f t="shared" si="12"/>
        <v>134.85714285714286</v>
      </c>
      <c r="J816" s="4">
        <v>10171</v>
      </c>
      <c r="K816" s="6">
        <f>IF(B816="","",IFERROR(AVERAGEIFS($I$4:$I816,$B$4:$B816,B816,$I$4:$I816,"&gt;"&amp;0),""))</f>
        <v>120.75</v>
      </c>
      <c r="L816" s="4" t="str">
        <f>IF(B816="","",IF(ISNA(MATCH(B816,Client_List!$B:$B,0)),"⚠ NOT FOUND","✓"))</f>
        <v>✓</v>
      </c>
    </row>
    <row r="817" spans="1:12" ht="14" customHeight="1" x14ac:dyDescent="0.2">
      <c r="A817" s="57">
        <v>46091</v>
      </c>
      <c r="B817" s="7" t="s">
        <v>256</v>
      </c>
      <c r="C817" s="3" t="str">
        <f>IF(B817="","",IFERROR(INDEX(Client_List!$C:$C,MATCH(B817,Client_List!$B:$B,0)),""))</f>
        <v>3</v>
      </c>
      <c r="D817" s="9" t="str">
        <f>IF(B817="","",IFERROR(INDEX(Client_List!$D:$D,MATCH(B817,Client_List!$B:$B,0)),""))</f>
        <v>3E</v>
      </c>
      <c r="E817" s="9" t="str">
        <f>IF(B817="","",IFERROR(INDEX(Client_List!$K:$K,MATCH(B817,Client_List!$B:$B,0)),""))</f>
        <v>FRYERS CHOICE BLEND</v>
      </c>
      <c r="F817" s="10">
        <f>IF(B817="","",IFERROR(INDEX(Client_List!$J:$J,MATCH(B817,Client_List!$B:$B,0)),""))</f>
        <v>950</v>
      </c>
      <c r="G817" s="10">
        <v>736</v>
      </c>
      <c r="H817" s="9">
        <f>IF(B817="","",IFERROR(A817-LOOKUP(2,1/($B$4:$B816=B817),$A$4:$A816),""))</f>
        <v>7</v>
      </c>
      <c r="I817" s="73">
        <f t="shared" si="12"/>
        <v>105.14285714285714</v>
      </c>
      <c r="J817" s="9">
        <v>10078</v>
      </c>
      <c r="K817" s="6">
        <f>IF(B817="","",IFERROR(AVERAGEIFS($I$4:$I817,$B$4:$B817,B817,$I$4:$I817,"&gt;"&amp;0),""))</f>
        <v>98.63249559082891</v>
      </c>
      <c r="L817" s="9" t="str">
        <f>IF(B817="","",IF(ISNA(MATCH(B817,Client_List!$B:$B,0)),"⚠ NOT FOUND","✓"))</f>
        <v>✓</v>
      </c>
    </row>
    <row r="818" spans="1:12" ht="14" customHeight="1" x14ac:dyDescent="0.2">
      <c r="A818" s="56">
        <v>46091</v>
      </c>
      <c r="B818" s="2" t="s">
        <v>262</v>
      </c>
      <c r="C818" s="13" t="str">
        <f>IF(B818="","",IFERROR(INDEX(Client_List!$C:$C,MATCH(B818,Client_List!$B:$B,0)),""))</f>
        <v>2</v>
      </c>
      <c r="D818" s="4" t="str">
        <f>IF(B818="","",IFERROR(INDEX(Client_List!$D:$D,MATCH(B818,Client_List!$B:$B,0)),""))</f>
        <v>2C</v>
      </c>
      <c r="E818" s="4" t="str">
        <f>IF(B818="","",IFERROR(INDEX(Client_List!$K:$K,MATCH(B818,Client_List!$B:$B,0)),""))</f>
        <v>CANOLA OIL</v>
      </c>
      <c r="F818" s="5">
        <f>IF(B818="","",IFERROR(INDEX(Client_List!$J:$J,MATCH(B818,Client_List!$B:$B,0)),""))</f>
        <v>1950</v>
      </c>
      <c r="G818" s="5">
        <v>1751</v>
      </c>
      <c r="H818" s="4">
        <f>IF(B818="","",IFERROR(A818-LOOKUP(2,1/($B$4:$B817=B818),$A$4:$A817),""))</f>
        <v>10</v>
      </c>
      <c r="I818" s="72">
        <f t="shared" si="12"/>
        <v>175.1</v>
      </c>
      <c r="J818" s="4">
        <v>10089</v>
      </c>
      <c r="K818" s="6">
        <f>IF(B818="","",IFERROR(AVERAGEIFS($I$4:$I818,$B$4:$B818,B818,$I$4:$I818,"&gt;"&amp;0),""))</f>
        <v>164.19206349206348</v>
      </c>
      <c r="L818" s="4" t="str">
        <f>IF(B818="","",IF(ISNA(MATCH(B818,Client_List!$B:$B,0)),"⚠ NOT FOUND","✓"))</f>
        <v>✓</v>
      </c>
    </row>
    <row r="819" spans="1:12" ht="14" customHeight="1" x14ac:dyDescent="0.2">
      <c r="A819" s="57">
        <v>46091</v>
      </c>
      <c r="B819" s="7" t="s">
        <v>280</v>
      </c>
      <c r="C819" s="11" t="str">
        <f>IF(B819="","",IFERROR(INDEX(Client_List!$C:$C,MATCH(B819,Client_List!$B:$B,0)),""))</f>
        <v>5</v>
      </c>
      <c r="D819" s="9" t="str">
        <f>IF(B819="","",IFERROR(INDEX(Client_List!$D:$D,MATCH(B819,Client_List!$B:$B,0)),""))</f>
        <v>5E</v>
      </c>
      <c r="E819" s="9" t="str">
        <f>IF(B819="","",IFERROR(INDEX(Client_List!$K:$K,MATCH(B819,Client_List!$B:$B,0)),""))</f>
        <v>CANOLA OIL</v>
      </c>
      <c r="F819" s="10">
        <f>IF(B819="","",IFERROR(INDEX(Client_List!$J:$J,MATCH(B819,Client_List!$B:$B,0)),""))</f>
        <v>1050</v>
      </c>
      <c r="G819" s="10">
        <v>905</v>
      </c>
      <c r="H819" s="9">
        <f>IF(B819="","",IFERROR(A819-LOOKUP(2,1/($B$4:$B818=B819),$A$4:$A818),""))</f>
        <v>14</v>
      </c>
      <c r="I819" s="73">
        <f t="shared" si="12"/>
        <v>64.642857142857139</v>
      </c>
      <c r="J819" s="9">
        <v>10168</v>
      </c>
      <c r="K819" s="6">
        <f>IF(B819="","",IFERROR(AVERAGEIFS($I$4:$I819,$B$4:$B819,B819,$I$4:$I819,"&gt;"&amp;0),""))</f>
        <v>63.789750110570544</v>
      </c>
      <c r="L819" s="9" t="str">
        <f>IF(B819="","",IF(ISNA(MATCH(B819,Client_List!$B:$B,0)),"⚠ NOT FOUND","✓"))</f>
        <v>✓</v>
      </c>
    </row>
    <row r="820" spans="1:12" ht="14" customHeight="1" x14ac:dyDescent="0.2">
      <c r="A820" s="56">
        <v>46091</v>
      </c>
      <c r="B820" s="2" t="s">
        <v>282</v>
      </c>
      <c r="C820" s="13" t="str">
        <f>IF(B820="","",IFERROR(INDEX(Client_List!$C:$C,MATCH(B820,Client_List!$B:$B,0)),""))</f>
        <v>1</v>
      </c>
      <c r="D820" s="4" t="str">
        <f>IF(B820="","",IFERROR(INDEX(Client_List!$D:$D,MATCH(B820,Client_List!$B:$B,0)),""))</f>
        <v>1E</v>
      </c>
      <c r="E820" s="4" t="str">
        <f>IF(B820="","",IFERROR(INDEX(Client_List!$K:$K,MATCH(B820,Client_List!$B:$B,0)),""))</f>
        <v>FRYERS CHOICE BLEND</v>
      </c>
      <c r="F820" s="5">
        <f>IF(B820="","",IFERROR(INDEX(Client_List!$J:$J,MATCH(B820,Client_List!$B:$B,0)),""))</f>
        <v>1100</v>
      </c>
      <c r="G820" s="5">
        <v>923</v>
      </c>
      <c r="H820" s="4">
        <f>IF(B820="","",IFERROR(A820-LOOKUP(2,1/($B$4:$B819=B820),$A$4:$A819),""))</f>
        <v>13</v>
      </c>
      <c r="I820" s="72">
        <f t="shared" si="12"/>
        <v>71</v>
      </c>
      <c r="J820" s="4">
        <v>10177</v>
      </c>
      <c r="K820" s="6">
        <f>IF(B820="","",IFERROR(AVERAGEIFS($I$4:$I820,$B$4:$B820,B820,$I$4:$I820,"&gt;"&amp;0),""))</f>
        <v>58.258996212121218</v>
      </c>
      <c r="L820" s="4" t="str">
        <f>IF(B820="","",IF(ISNA(MATCH(B820,Client_List!$B:$B,0)),"⚠ NOT FOUND","✓"))</f>
        <v>✓</v>
      </c>
    </row>
    <row r="821" spans="1:12" ht="14" customHeight="1" x14ac:dyDescent="0.2">
      <c r="A821" s="57">
        <v>46091</v>
      </c>
      <c r="B821" s="7" t="s">
        <v>286</v>
      </c>
      <c r="C821" s="8" t="str">
        <f>IF(B821="","",IFERROR(INDEX(Client_List!$C:$C,MATCH(B821,Client_List!$B:$B,0)),""))</f>
        <v>3</v>
      </c>
      <c r="D821" s="9" t="str">
        <f>IF(B821="","",IFERROR(INDEX(Client_List!$D:$D,MATCH(B821,Client_List!$B:$B,0)),""))</f>
        <v>3C</v>
      </c>
      <c r="E821" s="9" t="str">
        <f>IF(B821="","",IFERROR(INDEX(Client_List!$K:$K,MATCH(B821,Client_List!$B:$B,0)),""))</f>
        <v>CANOLA OIL</v>
      </c>
      <c r="F821" s="10">
        <f>IF(B821="","",IFERROR(INDEX(Client_List!$J:$J,MATCH(B821,Client_List!$B:$B,0)),""))</f>
        <v>620</v>
      </c>
      <c r="G821" s="10">
        <v>320</v>
      </c>
      <c r="H821" s="9">
        <f>IF(B821="","",IFERROR(A821-LOOKUP(2,1/($B$4:$B820=B821),$A$4:$A820),""))</f>
        <v>18</v>
      </c>
      <c r="I821" s="73">
        <f t="shared" si="12"/>
        <v>17.777777777777779</v>
      </c>
      <c r="J821" s="9">
        <v>10083</v>
      </c>
      <c r="K821" s="6">
        <f>IF(B821="","",IFERROR(AVERAGEIFS($I$4:$I821,$B$4:$B821,B821,$I$4:$I821,"&gt;"&amp;0),""))</f>
        <v>25.676495726495723</v>
      </c>
      <c r="L821" s="9" t="str">
        <f>IF(B821="","",IF(ISNA(MATCH(B821,Client_List!$B:$B,0)),"⚠ NOT FOUND","✓"))</f>
        <v>✓</v>
      </c>
    </row>
    <row r="822" spans="1:12" ht="14" customHeight="1" x14ac:dyDescent="0.2">
      <c r="A822" s="56">
        <v>46091</v>
      </c>
      <c r="B822" s="2" t="s">
        <v>318</v>
      </c>
      <c r="C822" s="11" t="str">
        <f>IF(B822="","",IFERROR(INDEX(Client_List!$C:$C,MATCH(B822,Client_List!$B:$B,0)),""))</f>
        <v>2</v>
      </c>
      <c r="D822" s="4" t="str">
        <f>IF(B822="","",IFERROR(INDEX(Client_List!$D:$D,MATCH(B822,Client_List!$B:$B,0)),""))</f>
        <v>2D</v>
      </c>
      <c r="E822" s="4" t="str">
        <f>IF(B822="","",IFERROR(INDEX(Client_List!$K:$K,MATCH(B822,Client_List!$B:$B,0)),""))</f>
        <v>FRYERS CHOICE BLEND</v>
      </c>
      <c r="F822" s="5">
        <f>IF(B822="","",IFERROR(INDEX(Client_List!$J:$J,MATCH(B822,Client_List!$B:$B,0)),""))</f>
        <v>1050</v>
      </c>
      <c r="G822" s="5">
        <v>852</v>
      </c>
      <c r="H822" s="4">
        <f>IF(B822="","",IFERROR(A822-LOOKUP(2,1/($B$4:$B821=B822),$A$4:$A821),""))</f>
        <v>14</v>
      </c>
      <c r="I822" s="72">
        <f t="shared" si="12"/>
        <v>60.857142857142854</v>
      </c>
      <c r="J822" s="4">
        <v>10091</v>
      </c>
      <c r="K822" s="6">
        <f>IF(B822="","",IFERROR(AVERAGEIFS($I$4:$I822,$B$4:$B822,B822,$I$4:$I822,"&gt;"&amp;0),""))</f>
        <v>61.735410830999065</v>
      </c>
      <c r="L822" s="4" t="str">
        <f>IF(B822="","",IF(ISNA(MATCH(B822,Client_List!$B:$B,0)),"⚠ NOT FOUND","✓"))</f>
        <v>✓</v>
      </c>
    </row>
    <row r="823" spans="1:12" ht="14" customHeight="1" x14ac:dyDescent="0.2">
      <c r="A823" s="57">
        <v>46091</v>
      </c>
      <c r="B823" s="7" t="s">
        <v>320</v>
      </c>
      <c r="C823" s="12" t="str">
        <f>IF(B823="","",IFERROR(INDEX(Client_List!$C:$C,MATCH(B823,Client_List!$B:$B,0)),""))</f>
        <v>1</v>
      </c>
      <c r="D823" s="9" t="str">
        <f>IF(B823="","",IFERROR(INDEX(Client_List!$D:$D,MATCH(B823,Client_List!$B:$B,0)),""))</f>
        <v>1E</v>
      </c>
      <c r="E823" s="9" t="str">
        <f>IF(B823="","",IFERROR(INDEX(Client_List!$K:$K,MATCH(B823,Client_List!$B:$B,0)),""))</f>
        <v>CANOLA OIL</v>
      </c>
      <c r="F823" s="10">
        <f>IF(B823="","",IFERROR(INDEX(Client_List!$J:$J,MATCH(B823,Client_List!$B:$B,0)),""))</f>
        <v>1050</v>
      </c>
      <c r="G823" s="10">
        <v>658</v>
      </c>
      <c r="H823" s="9">
        <f>IF(B823="","",IFERROR(A823-LOOKUP(2,1/($B$4:$B822=B823),$A$4:$A822),""))</f>
        <v>14</v>
      </c>
      <c r="I823" s="73">
        <f t="shared" si="12"/>
        <v>47</v>
      </c>
      <c r="J823" s="9">
        <v>10109</v>
      </c>
      <c r="K823" s="6">
        <f>IF(B823="","",IFERROR(AVERAGEIFS($I$4:$I823,$B$4:$B823,B823,$I$4:$I823,"&gt;"&amp;0),""))</f>
        <v>62.145571095571093</v>
      </c>
      <c r="L823" s="9" t="str">
        <f>IF(B823="","",IF(ISNA(MATCH(B823,Client_List!$B:$B,0)),"⚠ NOT FOUND","✓"))</f>
        <v>✓</v>
      </c>
    </row>
    <row r="824" spans="1:12" ht="14" customHeight="1" x14ac:dyDescent="0.2">
      <c r="A824" s="56">
        <v>46092</v>
      </c>
      <c r="B824" s="2" t="s">
        <v>35</v>
      </c>
      <c r="C824" s="11" t="str">
        <f>IF(B824="","",IFERROR(INDEX(Client_List!$C:$C,MATCH(B824,Client_List!$B:$B,0)),""))</f>
        <v>2</v>
      </c>
      <c r="D824" s="4" t="str">
        <f>IF(B824="","",IFERROR(INDEX(Client_List!$D:$D,MATCH(B824,Client_List!$B:$B,0)),""))</f>
        <v>2C</v>
      </c>
      <c r="E824" s="4" t="str">
        <f>IF(B824="","",IFERROR(INDEX(Client_List!$K:$K,MATCH(B824,Client_List!$B:$B,0)),""))</f>
        <v>CANOLA OIL</v>
      </c>
      <c r="F824" s="5">
        <f>IF(B824="","",IFERROR(INDEX(Client_List!$J:$J,MATCH(B824,Client_List!$B:$B,0)),""))</f>
        <v>950</v>
      </c>
      <c r="G824" s="5">
        <v>771</v>
      </c>
      <c r="H824" s="4">
        <f>IF(B824="","",IFERROR(A824-LOOKUP(2,1/($B$4:$B823=B824),$A$4:$A823),""))</f>
        <v>11</v>
      </c>
      <c r="I824" s="72">
        <f t="shared" si="12"/>
        <v>70.090909090909093</v>
      </c>
      <c r="J824" s="4">
        <v>10138</v>
      </c>
      <c r="K824" s="6">
        <f>IF(B824="","",IFERROR(AVERAGEIFS($I$4:$I824,$B$4:$B824,B824,$I$4:$I824,"&gt;"&amp;0),""))</f>
        <v>78.953897953897965</v>
      </c>
      <c r="L824" s="4" t="str">
        <f>IF(B824="","",IF(ISNA(MATCH(B824,Client_List!$B:$B,0)),"⚠ NOT FOUND","✓"))</f>
        <v>✓</v>
      </c>
    </row>
    <row r="825" spans="1:12" ht="14" customHeight="1" x14ac:dyDescent="0.2">
      <c r="A825" s="57">
        <v>46092</v>
      </c>
      <c r="B825" s="7" t="s">
        <v>49</v>
      </c>
      <c r="C825" s="13" t="str">
        <f>IF(B825="","",IFERROR(INDEX(Client_List!$C:$C,MATCH(B825,Client_List!$B:$B,0)),""))</f>
        <v>2</v>
      </c>
      <c r="D825" s="9" t="str">
        <f>IF(B825="","",IFERROR(INDEX(Client_List!$D:$D,MATCH(B825,Client_List!$B:$B,0)),""))</f>
        <v>2C</v>
      </c>
      <c r="E825" s="9" t="str">
        <f>IF(B825="","",IFERROR(INDEX(Client_List!$K:$K,MATCH(B825,Client_List!$B:$B,0)),""))</f>
        <v>CANOLA OIL</v>
      </c>
      <c r="F825" s="10">
        <f>IF(B825="","",IFERROR(INDEX(Client_List!$J:$J,MATCH(B825,Client_List!$B:$B,0)),""))</f>
        <v>950</v>
      </c>
      <c r="G825" s="10">
        <v>924</v>
      </c>
      <c r="H825" s="9">
        <f>IF(B825="","",IFERROR(A825-LOOKUP(2,1/($B$4:$B824=B825),$A$4:$A824),""))</f>
        <v>11</v>
      </c>
      <c r="I825" s="73">
        <f t="shared" si="12"/>
        <v>84</v>
      </c>
      <c r="J825" s="9">
        <v>10136</v>
      </c>
      <c r="K825" s="6">
        <f>IF(B825="","",IFERROR(AVERAGEIFS($I$4:$I825,$B$4:$B825,B825,$I$4:$I825,"&gt;"&amp;0),""))</f>
        <v>73.322222222222209</v>
      </c>
      <c r="L825" s="9" t="str">
        <f>IF(B825="","",IF(ISNA(MATCH(B825,Client_List!$B:$B,0)),"⚠ NOT FOUND","✓"))</f>
        <v>✓</v>
      </c>
    </row>
    <row r="826" spans="1:12" ht="14" customHeight="1" x14ac:dyDescent="0.2">
      <c r="A826" s="56">
        <v>46092</v>
      </c>
      <c r="B826" s="2" t="s">
        <v>61</v>
      </c>
      <c r="C826" s="12" t="str">
        <f>IF(B826="","",IFERROR(INDEX(Client_List!$C:$C,MATCH(B826,Client_List!$B:$B,0)),""))</f>
        <v>3</v>
      </c>
      <c r="D826" s="4" t="str">
        <f>IF(B826="","",IFERROR(INDEX(Client_List!$D:$D,MATCH(B826,Client_List!$B:$B,0)),""))</f>
        <v>3D</v>
      </c>
      <c r="E826" s="4" t="str">
        <f>IF(B826="","",IFERROR(INDEX(Client_List!$K:$K,MATCH(B826,Client_List!$B:$B,0)),""))</f>
        <v>CANOLA OIL</v>
      </c>
      <c r="F826" s="5">
        <f>IF(B826="","",IFERROR(INDEX(Client_List!$J:$J,MATCH(B826,Client_List!$B:$B,0)),""))</f>
        <v>350</v>
      </c>
      <c r="G826" s="5">
        <v>299</v>
      </c>
      <c r="H826" s="4">
        <f>IF(B826="","",IFERROR(A826-LOOKUP(2,1/($B$4:$B825=B826),$A$4:$A825),""))</f>
        <v>8</v>
      </c>
      <c r="I826" s="72">
        <f t="shared" si="12"/>
        <v>37.375</v>
      </c>
      <c r="J826" s="4">
        <v>10139</v>
      </c>
      <c r="K826" s="6">
        <f>IF(B826="","",IFERROR(AVERAGEIFS($I$4:$I826,$B$4:$B826,B826,$I$4:$I826,"&gt;"&amp;0),""))</f>
        <v>43.507653061224495</v>
      </c>
      <c r="L826" s="4" t="str">
        <f>IF(B826="","",IF(ISNA(MATCH(B826,Client_List!$B:$B,0)),"⚠ NOT FOUND","✓"))</f>
        <v>✓</v>
      </c>
    </row>
    <row r="827" spans="1:12" ht="14" customHeight="1" x14ac:dyDescent="0.2">
      <c r="A827" s="57">
        <v>46092</v>
      </c>
      <c r="B827" s="7" t="s">
        <v>120</v>
      </c>
      <c r="C827" s="13" t="str">
        <f>IF(B827="","",IFERROR(INDEX(Client_List!$C:$C,MATCH(B827,Client_List!$B:$B,0)),""))</f>
        <v>5</v>
      </c>
      <c r="D827" s="9" t="str">
        <f>IF(B827="","",IFERROR(INDEX(Client_List!$D:$D,MATCH(B827,Client_List!$B:$B,0)),""))</f>
        <v>5D</v>
      </c>
      <c r="E827" s="9" t="str">
        <f>IF(B827="","",IFERROR(INDEX(Client_List!$K:$K,MATCH(B827,Client_List!$B:$B,0)),""))</f>
        <v>FRYERS CHOICE BLEND</v>
      </c>
      <c r="F827" s="10">
        <f>IF(B827="","",IFERROR(INDEX(Client_List!$J:$J,MATCH(B827,Client_List!$B:$B,0)),""))</f>
        <v>450</v>
      </c>
      <c r="G827" s="10">
        <v>411</v>
      </c>
      <c r="H827" s="9">
        <f>IF(B827="","",IFERROR(A827-LOOKUP(2,1/($B$4:$B826=B827),$A$4:$A826),""))</f>
        <v>12</v>
      </c>
      <c r="I827" s="73">
        <f t="shared" si="12"/>
        <v>34.25</v>
      </c>
      <c r="J827" s="9">
        <v>10135</v>
      </c>
      <c r="K827" s="6">
        <f>IF(B827="","",IFERROR(AVERAGEIFS($I$4:$I827,$B$4:$B827,B827,$I$4:$I827,"&gt;"&amp;0),""))</f>
        <v>39.385106163677598</v>
      </c>
      <c r="L827" s="9" t="str">
        <f>IF(B827="","",IF(ISNA(MATCH(B827,Client_List!$B:$B,0)),"⚠ NOT FOUND","✓"))</f>
        <v>✓</v>
      </c>
    </row>
    <row r="828" spans="1:12" ht="14" customHeight="1" x14ac:dyDescent="0.2">
      <c r="A828" s="56">
        <v>46092</v>
      </c>
      <c r="B828" s="2" t="s">
        <v>128</v>
      </c>
      <c r="C828" s="13" t="str">
        <f>IF(B828="","",IFERROR(INDEX(Client_List!$C:$C,MATCH(B828,Client_List!$B:$B,0)),""))</f>
        <v>4</v>
      </c>
      <c r="D828" s="4" t="str">
        <f>IF(B828="","",IFERROR(INDEX(Client_List!$D:$D,MATCH(B828,Client_List!$B:$B,0)),""))</f>
        <v>4E</v>
      </c>
      <c r="E828" s="4" t="str">
        <f>IF(B828="","",IFERROR(INDEX(Client_List!$K:$K,MATCH(B828,Client_List!$B:$B,0)),""))</f>
        <v>CANOLA OIL</v>
      </c>
      <c r="F828" s="5">
        <f>IF(B828="","",IFERROR(INDEX(Client_List!$J:$J,MATCH(B828,Client_List!$B:$B,0)),""))</f>
        <v>700</v>
      </c>
      <c r="G828" s="5">
        <v>661</v>
      </c>
      <c r="H828" s="4">
        <f>IF(B828="","",IFERROR(A828-LOOKUP(2,1/($B$4:$B827=B828),$A$4:$A827),""))</f>
        <v>8</v>
      </c>
      <c r="I828" s="72">
        <f t="shared" si="12"/>
        <v>82.625</v>
      </c>
      <c r="J828" s="4">
        <v>10119</v>
      </c>
      <c r="K828" s="6">
        <f>IF(B828="","",IFERROR(AVERAGEIFS($I$4:$I828,$B$4:$B828,B828,$I$4:$I828,"&gt;"&amp;0),""))</f>
        <v>69.943121693121697</v>
      </c>
      <c r="L828" s="4" t="str">
        <f>IF(B828="","",IF(ISNA(MATCH(B828,Client_List!$B:$B,0)),"⚠ NOT FOUND","✓"))</f>
        <v>✓</v>
      </c>
    </row>
    <row r="829" spans="1:12" ht="14" customHeight="1" x14ac:dyDescent="0.2">
      <c r="A829" s="57">
        <v>46092</v>
      </c>
      <c r="B829" s="7" t="s">
        <v>136</v>
      </c>
      <c r="C829" s="13" t="str">
        <f>IF(B829="","",IFERROR(INDEX(Client_List!$C:$C,MATCH(B829,Client_List!$B:$B,0)),""))</f>
        <v>5</v>
      </c>
      <c r="D829" s="9" t="str">
        <f>IF(B829="","",IFERROR(INDEX(Client_List!$D:$D,MATCH(B829,Client_List!$B:$B,0)),""))</f>
        <v>5F</v>
      </c>
      <c r="E829" s="9" t="str">
        <f>IF(B829="","",IFERROR(INDEX(Client_List!$K:$K,MATCH(B829,Client_List!$B:$B,0)),""))</f>
        <v>FRYERS CHOICE BLEND</v>
      </c>
      <c r="F829" s="10">
        <f>IF(B829="","",IFERROR(INDEX(Client_List!$J:$J,MATCH(B829,Client_List!$B:$B,0)),""))</f>
        <v>480</v>
      </c>
      <c r="G829" s="10">
        <v>488</v>
      </c>
      <c r="H829" s="9">
        <f>IF(B829="","",IFERROR(A829-LOOKUP(2,1/($B$4:$B828=B829),$A$4:$A828),""))</f>
        <v>14</v>
      </c>
      <c r="I829" s="73">
        <f t="shared" si="12"/>
        <v>34.857142857142854</v>
      </c>
      <c r="J829" s="9">
        <v>10147</v>
      </c>
      <c r="K829" s="6">
        <f>IF(B829="","",IFERROR(AVERAGEIFS($I$4:$I829,$B$4:$B829,B829,$I$4:$I829,"&gt;"&amp;0),""))</f>
        <v>42.93023088023088</v>
      </c>
      <c r="L829" s="9" t="str">
        <f>IF(B829="","",IF(ISNA(MATCH(B829,Client_List!$B:$B,0)),"⚠ NOT FOUND","✓"))</f>
        <v>✓</v>
      </c>
    </row>
    <row r="830" spans="1:12" ht="14" customHeight="1" x14ac:dyDescent="0.2">
      <c r="A830" s="56">
        <v>46092</v>
      </c>
      <c r="B830" s="2" t="s">
        <v>148</v>
      </c>
      <c r="C830" s="13" t="str">
        <f>IF(B830="","",IFERROR(INDEX(Client_List!$C:$C,MATCH(B830,Client_List!$B:$B,0)),""))</f>
        <v>4</v>
      </c>
      <c r="D830" s="4" t="str">
        <f>IF(B830="","",IFERROR(INDEX(Client_List!$D:$D,MATCH(B830,Client_List!$B:$B,0)),""))</f>
        <v>4B</v>
      </c>
      <c r="E830" s="4" t="str">
        <f>IF(B830="","",IFERROR(INDEX(Client_List!$K:$K,MATCH(B830,Client_List!$B:$B,0)),""))</f>
        <v>FRYERS CHOICE BLEND</v>
      </c>
      <c r="F830" s="5">
        <f>IF(B830="","",IFERROR(INDEX(Client_List!$J:$J,MATCH(B830,Client_List!$B:$B,0)),""))</f>
        <v>950</v>
      </c>
      <c r="G830" s="5">
        <v>649</v>
      </c>
      <c r="H830" s="4">
        <f>IF(B830="","",IFERROR(A830-LOOKUP(2,1/($B$4:$B829=B830),$A$4:$A829),""))</f>
        <v>7</v>
      </c>
      <c r="I830" s="72">
        <f t="shared" si="12"/>
        <v>92.714285714285708</v>
      </c>
      <c r="J830" s="4">
        <v>10182</v>
      </c>
      <c r="K830" s="6">
        <f>IF(B830="","",IFERROR(AVERAGEIFS($I$4:$I830,$B$4:$B830,B830,$I$4:$I830,"&gt;"&amp;0),""))</f>
        <v>84.718491032776754</v>
      </c>
      <c r="L830" s="4" t="str">
        <f>IF(B830="","",IF(ISNA(MATCH(B830,Client_List!$B:$B,0)),"⚠ NOT FOUND","✓"))</f>
        <v>✓</v>
      </c>
    </row>
    <row r="831" spans="1:12" ht="14" customHeight="1" x14ac:dyDescent="0.2">
      <c r="A831" s="57">
        <v>46092</v>
      </c>
      <c r="B831" s="7" t="s">
        <v>164</v>
      </c>
      <c r="C831" s="3" t="str">
        <f>IF(B831="","",IFERROR(INDEX(Client_List!$C:$C,MATCH(B831,Client_List!$B:$B,0)),""))</f>
        <v>3</v>
      </c>
      <c r="D831" s="9" t="str">
        <f>IF(B831="","",IFERROR(INDEX(Client_List!$D:$D,MATCH(B831,Client_List!$B:$B,0)),""))</f>
        <v>3E</v>
      </c>
      <c r="E831" s="9" t="str">
        <f>IF(B831="","",IFERROR(INDEX(Client_List!$K:$K,MATCH(B831,Client_List!$B:$B,0)),""))</f>
        <v>CANOLA OIL</v>
      </c>
      <c r="F831" s="10">
        <f>IF(B831="","",IFERROR(INDEX(Client_List!$J:$J,MATCH(B831,Client_List!$B:$B,0)),""))</f>
        <v>1050</v>
      </c>
      <c r="G831" s="10">
        <v>897</v>
      </c>
      <c r="H831" s="9">
        <f>IF(B831="","",IFERROR(A831-LOOKUP(2,1/($B$4:$B830=B831),$A$4:$A830),""))</f>
        <v>12</v>
      </c>
      <c r="I831" s="73">
        <f t="shared" si="12"/>
        <v>74.75</v>
      </c>
      <c r="J831" s="9">
        <v>10176</v>
      </c>
      <c r="K831" s="6">
        <f>IF(B831="","",IFERROR(AVERAGEIFS($I$4:$I831,$B$4:$B831,B831,$I$4:$I831,"&gt;"&amp;0),""))</f>
        <v>66.700116978609628</v>
      </c>
      <c r="L831" s="9" t="str">
        <f>IF(B831="","",IF(ISNA(MATCH(B831,Client_List!$B:$B,0)),"⚠ NOT FOUND","✓"))</f>
        <v>✓</v>
      </c>
    </row>
    <row r="832" spans="1:12" ht="14" customHeight="1" x14ac:dyDescent="0.2">
      <c r="A832" s="56">
        <v>46092</v>
      </c>
      <c r="B832" s="2" t="s">
        <v>166</v>
      </c>
      <c r="C832" s="13" t="str">
        <f>IF(B832="","",IFERROR(INDEX(Client_List!$C:$C,MATCH(B832,Client_List!$B:$B,0)),""))</f>
        <v>4</v>
      </c>
      <c r="D832" s="4" t="str">
        <f>IF(B832="","",IFERROR(INDEX(Client_List!$D:$D,MATCH(B832,Client_List!$B:$B,0)),""))</f>
        <v>4B</v>
      </c>
      <c r="E832" s="4" t="str">
        <f>IF(B832="","",IFERROR(INDEX(Client_List!$K:$K,MATCH(B832,Client_List!$B:$B,0)),""))</f>
        <v>CANOLA OIL</v>
      </c>
      <c r="F832" s="5">
        <f>IF(B832="","",IFERROR(INDEX(Client_List!$J:$J,MATCH(B832,Client_List!$B:$B,0)),""))</f>
        <v>1050</v>
      </c>
      <c r="G832" s="5">
        <v>984</v>
      </c>
      <c r="H832" s="4">
        <f>IF(B832="","",IFERROR(A832-LOOKUP(2,1/($B$4:$B831=B832),$A$4:$A831),""))</f>
        <v>12</v>
      </c>
      <c r="I832" s="72">
        <f t="shared" si="12"/>
        <v>82</v>
      </c>
      <c r="J832" s="4">
        <v>10181</v>
      </c>
      <c r="K832" s="6">
        <f>IF(B832="","",IFERROR(AVERAGEIFS($I$4:$I832,$B$4:$B832,B832,$I$4:$I832,"&gt;"&amp;0),""))</f>
        <v>74.016666666666666</v>
      </c>
      <c r="L832" s="4" t="str">
        <f>IF(B832="","",IF(ISNA(MATCH(B832,Client_List!$B:$B,0)),"⚠ NOT FOUND","✓"))</f>
        <v>✓</v>
      </c>
    </row>
    <row r="833" spans="1:12" ht="14" customHeight="1" x14ac:dyDescent="0.2">
      <c r="A833" s="57">
        <v>46092</v>
      </c>
      <c r="B833" s="7" t="s">
        <v>196</v>
      </c>
      <c r="C833" s="13" t="str">
        <f>IF(B833="","",IFERROR(INDEX(Client_List!$C:$C,MATCH(B833,Client_List!$B:$B,0)),""))</f>
        <v>4</v>
      </c>
      <c r="D833" s="9" t="str">
        <f>IF(B833="","",IFERROR(INDEX(Client_List!$D:$D,MATCH(B833,Client_List!$B:$B,0)),""))</f>
        <v>4F</v>
      </c>
      <c r="E833" s="9" t="str">
        <f>IF(B833="","",IFERROR(INDEX(Client_List!$K:$K,MATCH(B833,Client_List!$B:$B,0)),""))</f>
        <v>FRYERS CHOICE BLEND</v>
      </c>
      <c r="F833" s="10">
        <f>IF(B833="","",IFERROR(INDEX(Client_List!$J:$J,MATCH(B833,Client_List!$B:$B,0)),""))</f>
        <v>620</v>
      </c>
      <c r="G833" s="10">
        <v>340</v>
      </c>
      <c r="H833" s="9">
        <f>IF(B833="","",IFERROR(A833-LOOKUP(2,1/($B$4:$B832=B833),$A$4:$A832),""))</f>
        <v>13</v>
      </c>
      <c r="I833" s="73">
        <f t="shared" si="12"/>
        <v>26.153846153846153</v>
      </c>
      <c r="J833" s="9">
        <v>10131</v>
      </c>
      <c r="K833" s="6">
        <f>IF(B833="","",IFERROR(AVERAGEIFS($I$4:$I833,$B$4:$B833,B833,$I$4:$I833,"&gt;"&amp;0),""))</f>
        <v>31.940575214259429</v>
      </c>
      <c r="L833" s="9" t="str">
        <f>IF(B833="","",IF(ISNA(MATCH(B833,Client_List!$B:$B,0)),"⚠ NOT FOUND","✓"))</f>
        <v>✓</v>
      </c>
    </row>
    <row r="834" spans="1:12" ht="14" customHeight="1" x14ac:dyDescent="0.2">
      <c r="A834" s="56">
        <v>46092</v>
      </c>
      <c r="B834" s="2" t="s">
        <v>238</v>
      </c>
      <c r="C834" s="13" t="str">
        <f>IF(B834="","",IFERROR(INDEX(Client_List!$C:$C,MATCH(B834,Client_List!$B:$B,0)),""))</f>
        <v>4</v>
      </c>
      <c r="D834" s="4" t="str">
        <f>IF(B834="","",IFERROR(INDEX(Client_List!$D:$D,MATCH(B834,Client_List!$B:$B,0)),""))</f>
        <v>4D</v>
      </c>
      <c r="E834" s="4" t="str">
        <f>IF(B834="","",IFERROR(INDEX(Client_List!$K:$K,MATCH(B834,Client_List!$B:$B,0)),""))</f>
        <v>CANOLA OIL</v>
      </c>
      <c r="F834" s="5">
        <f>IF(B834="","",IFERROR(INDEX(Client_List!$J:$J,MATCH(B834,Client_List!$B:$B,0)),""))</f>
        <v>660</v>
      </c>
      <c r="G834" s="5">
        <v>509</v>
      </c>
      <c r="H834" s="4">
        <f>IF(B834="","",IFERROR(A834-LOOKUP(2,1/($B$4:$B833=B834),$A$4:$A833),""))</f>
        <v>13</v>
      </c>
      <c r="I834" s="72">
        <f t="shared" si="12"/>
        <v>39.153846153846153</v>
      </c>
      <c r="J834" s="4">
        <v>10146</v>
      </c>
      <c r="K834" s="6">
        <f>IF(B834="","",IFERROR(AVERAGEIFS($I$4:$I834,$B$4:$B834,B834,$I$4:$I834,"&gt;"&amp;0),""))</f>
        <v>34.313218031968034</v>
      </c>
      <c r="L834" s="4" t="str">
        <f>IF(B834="","",IF(ISNA(MATCH(B834,Client_List!$B:$B,0)),"⚠ NOT FOUND","✓"))</f>
        <v>✓</v>
      </c>
    </row>
    <row r="835" spans="1:12" ht="14" customHeight="1" x14ac:dyDescent="0.2">
      <c r="A835" s="57">
        <v>46092</v>
      </c>
      <c r="B835" s="7" t="s">
        <v>258</v>
      </c>
      <c r="C835" s="8" t="str">
        <f>IF(B835="","",IFERROR(INDEX(Client_List!$C:$C,MATCH(B835,Client_List!$B:$B,0)),""))</f>
        <v>4</v>
      </c>
      <c r="D835" s="9" t="str">
        <f>IF(B835="","",IFERROR(INDEX(Client_List!$D:$D,MATCH(B835,Client_List!$B:$B,0)),""))</f>
        <v>4F</v>
      </c>
      <c r="E835" s="9" t="str">
        <f>IF(B835="","",IFERROR(INDEX(Client_List!$K:$K,MATCH(B835,Client_List!$B:$B,0)),""))</f>
        <v>FRYERS CHOICE BLEND</v>
      </c>
      <c r="F835" s="10">
        <f>IF(B835="","",IFERROR(INDEX(Client_List!$J:$J,MATCH(B835,Client_List!$B:$B,0)),""))</f>
        <v>950</v>
      </c>
      <c r="G835" s="10">
        <v>827</v>
      </c>
      <c r="H835" s="9">
        <f>IF(B835="","",IFERROR(A835-LOOKUP(2,1/($B$4:$B834=B835),$A$4:$A834),""))</f>
        <v>18</v>
      </c>
      <c r="I835" s="73">
        <f t="shared" si="12"/>
        <v>45.944444444444443</v>
      </c>
      <c r="J835" s="9">
        <v>10128</v>
      </c>
      <c r="K835" s="6">
        <f>IF(B835="","",IFERROR(AVERAGEIFS($I$4:$I835,$B$4:$B835,B835,$I$4:$I835,"&gt;"&amp;0),""))</f>
        <v>48.062748015873012</v>
      </c>
      <c r="L835" s="9" t="str">
        <f>IF(B835="","",IF(ISNA(MATCH(B835,Client_List!$B:$B,0)),"⚠ NOT FOUND","✓"))</f>
        <v>✓</v>
      </c>
    </row>
    <row r="836" spans="1:12" ht="14" customHeight="1" x14ac:dyDescent="0.2">
      <c r="A836" s="56">
        <v>46092</v>
      </c>
      <c r="B836" s="2" t="s">
        <v>312</v>
      </c>
      <c r="C836" s="3" t="str">
        <f>IF(B836="","",IFERROR(INDEX(Client_List!$C:$C,MATCH(B836,Client_List!$B:$B,0)),""))</f>
        <v>2</v>
      </c>
      <c r="D836" s="4" t="str">
        <f>IF(B836="","",IFERROR(INDEX(Client_List!$D:$D,MATCH(B836,Client_List!$B:$B,0)),""))</f>
        <v>2C</v>
      </c>
      <c r="E836" s="4" t="str">
        <f>IF(B836="","",IFERROR(INDEX(Client_List!$K:$K,MATCH(B836,Client_List!$B:$B,0)),""))</f>
        <v>CANOLA OIL</v>
      </c>
      <c r="F836" s="5">
        <f>IF(B836="","",IFERROR(INDEX(Client_List!$J:$J,MATCH(B836,Client_List!$B:$B,0)),""))</f>
        <v>1050</v>
      </c>
      <c r="G836" s="5">
        <v>932</v>
      </c>
      <c r="H836" s="4">
        <f>IF(B836="","",IFERROR(A836-LOOKUP(2,1/($B$4:$B835=B836),$A$4:$A835),""))</f>
        <v>15</v>
      </c>
      <c r="I836" s="72">
        <f t="shared" ref="I836:I899" si="13">IF(B836="","",IFERROR(G836/H836,""))</f>
        <v>62.133333333333333</v>
      </c>
      <c r="J836" s="4">
        <v>10132</v>
      </c>
      <c r="K836" s="6">
        <f>IF(B836="","",IFERROR(AVERAGEIFS($I$4:$I836,$B$4:$B836,B836,$I$4:$I836,"&gt;"&amp;0),""))</f>
        <v>52.665302144249516</v>
      </c>
      <c r="L836" s="4" t="str">
        <f>IF(B836="","",IF(ISNA(MATCH(B836,Client_List!$B:$B,0)),"⚠ NOT FOUND","✓"))</f>
        <v>✓</v>
      </c>
    </row>
    <row r="837" spans="1:12" ht="14" customHeight="1" x14ac:dyDescent="0.2">
      <c r="A837" s="57">
        <v>46092</v>
      </c>
      <c r="B837" s="7" t="s">
        <v>322</v>
      </c>
      <c r="C837" s="12" t="str">
        <f>IF(B837="","",IFERROR(INDEX(Client_List!$C:$C,MATCH(B837,Client_List!$B:$B,0)),""))</f>
        <v>4</v>
      </c>
      <c r="D837" s="9" t="str">
        <f>IF(B837="","",IFERROR(INDEX(Client_List!$D:$D,MATCH(B837,Client_List!$B:$B,0)),""))</f>
        <v>4B</v>
      </c>
      <c r="E837" s="9" t="str">
        <f>IF(B837="","",IFERROR(INDEX(Client_List!$K:$K,MATCH(B837,Client_List!$B:$B,0)),""))</f>
        <v>CANOLA OIL</v>
      </c>
      <c r="F837" s="10">
        <f>IF(B837="","",IFERROR(INDEX(Client_List!$J:$J,MATCH(B837,Client_List!$B:$B,0)),""))</f>
        <v>1050</v>
      </c>
      <c r="G837" s="10">
        <v>804</v>
      </c>
      <c r="H837" s="9">
        <f>IF(B837="","",IFERROR(A837-LOOKUP(2,1/($B$4:$B836=B837),$A$4:$A836),""))</f>
        <v>21</v>
      </c>
      <c r="I837" s="73">
        <f t="shared" si="13"/>
        <v>38.285714285714285</v>
      </c>
      <c r="J837" s="9">
        <v>10121</v>
      </c>
      <c r="K837" s="6">
        <f>IF(B837="","",IFERROR(AVERAGEIFS($I$4:$I837,$B$4:$B837,B837,$I$4:$I837,"&gt;"&amp;0),""))</f>
        <v>38.42285714285714</v>
      </c>
      <c r="L837" s="9" t="str">
        <f>IF(B837="","",IF(ISNA(MATCH(B837,Client_List!$B:$B,0)),"⚠ NOT FOUND","✓"))</f>
        <v>✓</v>
      </c>
    </row>
    <row r="838" spans="1:12" ht="14" customHeight="1" x14ac:dyDescent="0.2">
      <c r="A838" s="56">
        <v>46092</v>
      </c>
      <c r="B838" s="2" t="s">
        <v>338</v>
      </c>
      <c r="C838" s="3" t="str">
        <f>IF(B838="","",IFERROR(INDEX(Client_List!$C:$C,MATCH(B838,Client_List!$B:$B,0)),""))</f>
        <v>4</v>
      </c>
      <c r="D838" s="4" t="str">
        <f>IF(B838="","",IFERROR(INDEX(Client_List!$D:$D,MATCH(B838,Client_List!$B:$B,0)),""))</f>
        <v>4D</v>
      </c>
      <c r="E838" s="4" t="str">
        <f>IF(B838="","",IFERROR(INDEX(Client_List!$K:$K,MATCH(B838,Client_List!$B:$B,0)),""))</f>
        <v>CANOLA OIL</v>
      </c>
      <c r="F838" s="5">
        <f>IF(B838="","",IFERROR(INDEX(Client_List!$J:$J,MATCH(B838,Client_List!$B:$B,0)),""))</f>
        <v>1050</v>
      </c>
      <c r="G838" s="5">
        <v>1031</v>
      </c>
      <c r="H838" s="4">
        <f>IF(B838="","",IFERROR(A838-LOOKUP(2,1/($B$4:$B837=B838),$A$4:$A837),""))</f>
        <v>22</v>
      </c>
      <c r="I838" s="72">
        <f t="shared" si="13"/>
        <v>46.863636363636367</v>
      </c>
      <c r="J838" s="4">
        <v>10144</v>
      </c>
      <c r="K838" s="6">
        <f>IF(B838="","",IFERROR(AVERAGEIFS($I$4:$I838,$B$4:$B838,B838,$I$4:$I838,"&gt;"&amp;0),""))</f>
        <v>43.17255892255892</v>
      </c>
      <c r="L838" s="4" t="str">
        <f>IF(B838="","",IF(ISNA(MATCH(B838,Client_List!$B:$B,0)),"⚠ NOT FOUND","✓"))</f>
        <v>✓</v>
      </c>
    </row>
    <row r="839" spans="1:12" ht="14" customHeight="1" x14ac:dyDescent="0.2">
      <c r="A839" s="57">
        <v>46093</v>
      </c>
      <c r="B839" s="7" t="s">
        <v>63</v>
      </c>
      <c r="C839" s="13" t="str">
        <f>IF(B839="","",IFERROR(INDEX(Client_List!$C:$C,MATCH(B839,Client_List!$B:$B,0)),""))</f>
        <v>5</v>
      </c>
      <c r="D839" s="9" t="str">
        <f>IF(B839="","",IFERROR(INDEX(Client_List!$D:$D,MATCH(B839,Client_List!$B:$B,0)),""))</f>
        <v>5D</v>
      </c>
      <c r="E839" s="9" t="str">
        <f>IF(B839="","",IFERROR(INDEX(Client_List!$K:$K,MATCH(B839,Client_List!$B:$B,0)),""))</f>
        <v>CANOLA OIL</v>
      </c>
      <c r="F839" s="10">
        <f>IF(B839="","",IFERROR(INDEX(Client_List!$J:$J,MATCH(B839,Client_List!$B:$B,0)),""))</f>
        <v>425</v>
      </c>
      <c r="G839" s="10">
        <v>263</v>
      </c>
      <c r="H839" s="9">
        <f>IF(B839="","",IFERROR(A839-LOOKUP(2,1/($B$4:$B838=B839),$A$4:$A838),""))</f>
        <v>7</v>
      </c>
      <c r="I839" s="73">
        <f t="shared" si="13"/>
        <v>37.571428571428569</v>
      </c>
      <c r="J839" s="9">
        <v>10162</v>
      </c>
      <c r="K839" s="6">
        <f>IF(B839="","",IFERROR(AVERAGEIFS($I$4:$I839,$B$4:$B839,B839,$I$4:$I839,"&gt;"&amp;0),""))</f>
        <v>35.594404761904755</v>
      </c>
      <c r="L839" s="9" t="str">
        <f>IF(B839="","",IF(ISNA(MATCH(B839,Client_List!$B:$B,0)),"⚠ NOT FOUND","✓"))</f>
        <v>✓</v>
      </c>
    </row>
    <row r="840" spans="1:12" ht="14" customHeight="1" x14ac:dyDescent="0.2">
      <c r="A840" s="56">
        <v>46093</v>
      </c>
      <c r="B840" s="2" t="s">
        <v>85</v>
      </c>
      <c r="C840" s="3" t="str">
        <f>IF(B840="","",IFERROR(INDEX(Client_List!$C:$C,MATCH(B840,Client_List!$B:$B,0)),""))</f>
        <v>2</v>
      </c>
      <c r="D840" s="4" t="str">
        <f>IF(B840="","",IFERROR(INDEX(Client_List!$D:$D,MATCH(B840,Client_List!$B:$B,0)),""))</f>
        <v>2C</v>
      </c>
      <c r="E840" s="4" t="str">
        <f>IF(B840="","",IFERROR(INDEX(Client_List!$K:$K,MATCH(B840,Client_List!$B:$B,0)),""))</f>
        <v>CANOLA OIL</v>
      </c>
      <c r="F840" s="5">
        <f>IF(B840="","",IFERROR(INDEX(Client_List!$J:$J,MATCH(B840,Client_List!$B:$B,0)),""))</f>
        <v>1050</v>
      </c>
      <c r="G840" s="5">
        <v>937</v>
      </c>
      <c r="H840" s="4">
        <f>IF(B840="","",IFERROR(A840-LOOKUP(2,1/($B$4:$B839=B840),$A$4:$A839),""))</f>
        <v>44</v>
      </c>
      <c r="I840" s="72">
        <f t="shared" si="13"/>
        <v>21.295454545454547</v>
      </c>
      <c r="J840" s="4">
        <v>10149</v>
      </c>
      <c r="K840" s="6">
        <f>IF(B840="","",IFERROR(AVERAGEIFS($I$4:$I840,$B$4:$B840,B840,$I$4:$I840,"&gt;"&amp;0),""))</f>
        <v>21.295454545454547</v>
      </c>
      <c r="L840" s="4" t="str">
        <f>IF(B840="","",IF(ISNA(MATCH(B840,Client_List!$B:$B,0)),"⚠ NOT FOUND","✓"))</f>
        <v>✓</v>
      </c>
    </row>
    <row r="841" spans="1:12" ht="14" customHeight="1" x14ac:dyDescent="0.2">
      <c r="A841" s="57">
        <v>46093</v>
      </c>
      <c r="B841" s="7" t="s">
        <v>96</v>
      </c>
      <c r="C841" s="8" t="str">
        <f>IF(B841="","",IFERROR(INDEX(Client_List!$C:$C,MATCH(B841,Client_List!$B:$B,0)),""))</f>
        <v>2</v>
      </c>
      <c r="D841" s="9" t="str">
        <f>IF(B841="","",IFERROR(INDEX(Client_List!$D:$D,MATCH(B841,Client_List!$B:$B,0)),""))</f>
        <v>2C</v>
      </c>
      <c r="E841" s="9" t="str">
        <f>IF(B841="","",IFERROR(INDEX(Client_List!$K:$K,MATCH(B841,Client_List!$B:$B,0)),""))</f>
        <v>CANOLA OIL</v>
      </c>
      <c r="F841" s="10">
        <f>IF(B841="","",IFERROR(INDEX(Client_List!$J:$J,MATCH(B841,Client_List!$B:$B,0)),""))</f>
        <v>1000</v>
      </c>
      <c r="G841" s="10">
        <v>221</v>
      </c>
      <c r="H841" s="9">
        <f>IF(B841="","",IFERROR(A841-LOOKUP(2,1/($B$4:$B840=B841),$A$4:$A840),""))</f>
        <v>9</v>
      </c>
      <c r="I841" s="73">
        <f t="shared" si="13"/>
        <v>24.555555555555557</v>
      </c>
      <c r="J841" s="9"/>
      <c r="K841" s="6">
        <f>IF(B841="","",IFERROR(AVERAGEIFS($I$4:$I841,$B$4:$B841,B841,$I$4:$I841,"&gt;"&amp;0),""))</f>
        <v>34.994708994708994</v>
      </c>
      <c r="L841" s="9" t="str">
        <f>IF(B841="","",IF(ISNA(MATCH(B841,Client_List!$B:$B,0)),"⚠ NOT FOUND","✓"))</f>
        <v>✓</v>
      </c>
    </row>
    <row r="842" spans="1:12" ht="14" customHeight="1" x14ac:dyDescent="0.2">
      <c r="A842" s="56">
        <v>46093</v>
      </c>
      <c r="B842" s="2" t="s">
        <v>104</v>
      </c>
      <c r="C842" s="3" t="str">
        <f>IF(B842="","",IFERROR(INDEX(Client_List!$C:$C,MATCH(B842,Client_List!$B:$B,0)),""))</f>
        <v>4</v>
      </c>
      <c r="D842" s="4" t="str">
        <f>IF(B842="","",IFERROR(INDEX(Client_List!$D:$D,MATCH(B842,Client_List!$B:$B,0)),""))</f>
        <v>4E</v>
      </c>
      <c r="E842" s="4" t="str">
        <f>IF(B842="","",IFERROR(INDEX(Client_List!$K:$K,MATCH(B842,Client_List!$B:$B,0)),""))</f>
        <v>CANOLA OIL</v>
      </c>
      <c r="F842" s="5">
        <f>IF(B842="","",IFERROR(INDEX(Client_List!$J:$J,MATCH(B842,Client_List!$B:$B,0)),""))</f>
        <v>350</v>
      </c>
      <c r="G842" s="5">
        <v>325</v>
      </c>
      <c r="H842" s="4">
        <f>IF(B842="","",IFERROR(A842-LOOKUP(2,1/($B$4:$B841=B842),$A$4:$A841),""))</f>
        <v>15</v>
      </c>
      <c r="I842" s="72">
        <f t="shared" si="13"/>
        <v>21.666666666666668</v>
      </c>
      <c r="J842" s="4">
        <v>10376</v>
      </c>
      <c r="K842" s="6">
        <f>IF(B842="","",IFERROR(AVERAGEIFS($I$4:$I842,$B$4:$B842,B842,$I$4:$I842,"&gt;"&amp;0),""))</f>
        <v>16.152777777777779</v>
      </c>
      <c r="L842" s="4" t="str">
        <f>IF(B842="","",IF(ISNA(MATCH(B842,Client_List!$B:$B,0)),"⚠ NOT FOUND","✓"))</f>
        <v>✓</v>
      </c>
    </row>
    <row r="843" spans="1:12" ht="14" customHeight="1" x14ac:dyDescent="0.2">
      <c r="A843" s="57">
        <v>46093</v>
      </c>
      <c r="B843" s="7" t="s">
        <v>106</v>
      </c>
      <c r="C843" s="11" t="str">
        <f>IF(B843="","",IFERROR(INDEX(Client_List!$C:$C,MATCH(B843,Client_List!$B:$B,0)),""))</f>
        <v>4</v>
      </c>
      <c r="D843" s="9" t="str">
        <f>IF(B843="","",IFERROR(INDEX(Client_List!$D:$D,MATCH(B843,Client_List!$B:$B,0)),""))</f>
        <v>4E</v>
      </c>
      <c r="E843" s="9" t="str">
        <f>IF(B843="","",IFERROR(INDEX(Client_List!$K:$K,MATCH(B843,Client_List!$B:$B,0)),""))</f>
        <v>CANOLA OIL</v>
      </c>
      <c r="F843" s="10">
        <f>IF(B843="","",IFERROR(INDEX(Client_List!$J:$J,MATCH(B843,Client_List!$B:$B,0)),""))</f>
        <v>350</v>
      </c>
      <c r="G843" s="10">
        <v>325</v>
      </c>
      <c r="H843" s="9">
        <f>IF(B843="","",IFERROR(A843-LOOKUP(2,1/($B$4:$B842=B843),$A$4:$A842),""))</f>
        <v>19</v>
      </c>
      <c r="I843" s="73">
        <f t="shared" si="13"/>
        <v>17.105263157894736</v>
      </c>
      <c r="J843" s="9">
        <v>10371</v>
      </c>
      <c r="K843" s="6">
        <f>IF(B843="","",IFERROR(AVERAGEIFS($I$4:$I843,$B$4:$B843,B843,$I$4:$I843,"&gt;"&amp;0),""))</f>
        <v>15.728917599428435</v>
      </c>
      <c r="L843" s="9" t="str">
        <f>IF(B843="","",IF(ISNA(MATCH(B843,Client_List!$B:$B,0)),"⚠ NOT FOUND","✓"))</f>
        <v>✓</v>
      </c>
    </row>
    <row r="844" spans="1:12" ht="14" customHeight="1" x14ac:dyDescent="0.2">
      <c r="A844" s="56">
        <v>46093</v>
      </c>
      <c r="B844" s="2" t="s">
        <v>114</v>
      </c>
      <c r="C844" s="13" t="str">
        <f>IF(B844="","",IFERROR(INDEX(Client_List!$C:$C,MATCH(B844,Client_List!$B:$B,0)),""))</f>
        <v>2</v>
      </c>
      <c r="D844" s="4" t="str">
        <f>IF(B844="","",IFERROR(INDEX(Client_List!$D:$D,MATCH(B844,Client_List!$B:$B,0)),""))</f>
        <v>2A</v>
      </c>
      <c r="E844" s="4" t="str">
        <f>IF(B844="","",IFERROR(INDEX(Client_List!$K:$K,MATCH(B844,Client_List!$B:$B,0)),""))</f>
        <v>FRYERS CHOICE BLEND</v>
      </c>
      <c r="F844" s="5">
        <f>IF(B844="","",IFERROR(INDEX(Client_List!$J:$J,MATCH(B844,Client_List!$B:$B,0)),""))</f>
        <v>500</v>
      </c>
      <c r="G844" s="5">
        <v>468</v>
      </c>
      <c r="H844" s="4">
        <f>IF(B844="","",IFERROR(A844-LOOKUP(2,1/($B$4:$B843=B844),$A$4:$A843),""))</f>
        <v>14</v>
      </c>
      <c r="I844" s="72">
        <f t="shared" si="13"/>
        <v>33.428571428571431</v>
      </c>
      <c r="J844" s="4">
        <v>10151</v>
      </c>
      <c r="K844" s="6">
        <f>IF(B844="","",IFERROR(AVERAGEIFS($I$4:$I844,$B$4:$B844,B844,$I$4:$I844,"&gt;"&amp;0),""))</f>
        <v>34.150549450549455</v>
      </c>
      <c r="L844" s="4" t="str">
        <f>IF(B844="","",IF(ISNA(MATCH(B844,Client_List!$B:$B,0)),"⚠ NOT FOUND","✓"))</f>
        <v>✓</v>
      </c>
    </row>
    <row r="845" spans="1:12" ht="14" customHeight="1" x14ac:dyDescent="0.2">
      <c r="A845" s="57">
        <v>46093</v>
      </c>
      <c r="B845" s="7" t="s">
        <v>186</v>
      </c>
      <c r="C845" s="3" t="str">
        <f>IF(B845="","",IFERROR(INDEX(Client_List!$C:$C,MATCH(B845,Client_List!$B:$B,0)),""))</f>
        <v>4</v>
      </c>
      <c r="D845" s="9" t="str">
        <f>IF(B845="","",IFERROR(INDEX(Client_List!$D:$D,MATCH(B845,Client_List!$B:$B,0)),""))</f>
        <v>4E</v>
      </c>
      <c r="E845" s="9" t="str">
        <f>IF(B845="","",IFERROR(INDEX(Client_List!$K:$K,MATCH(B845,Client_List!$B:$B,0)),""))</f>
        <v>CANOLA OIL</v>
      </c>
      <c r="F845" s="10">
        <f>IF(B845="","",IFERROR(INDEX(Client_List!$J:$J,MATCH(B845,Client_List!$B:$B,0)),""))</f>
        <v>950</v>
      </c>
      <c r="G845" s="10">
        <v>639</v>
      </c>
      <c r="H845" s="9">
        <f>IF(B845="","",IFERROR(A845-LOOKUP(2,1/($B$4:$B844=B845),$A$4:$A844),""))</f>
        <v>8</v>
      </c>
      <c r="I845" s="73">
        <f t="shared" si="13"/>
        <v>79.875</v>
      </c>
      <c r="J845" s="9">
        <v>10178</v>
      </c>
      <c r="K845" s="6">
        <f>IF(B845="","",IFERROR(AVERAGEIFS($I$4:$I845,$B$4:$B845,B845,$I$4:$I845,"&gt;"&amp;0),""))</f>
        <v>87.440476190476176</v>
      </c>
      <c r="L845" s="9" t="str">
        <f>IF(B845="","",IF(ISNA(MATCH(B845,Client_List!$B:$B,0)),"⚠ NOT FOUND","✓"))</f>
        <v>✓</v>
      </c>
    </row>
    <row r="846" spans="1:12" ht="14" customHeight="1" x14ac:dyDescent="0.2">
      <c r="A846" s="56">
        <v>46093</v>
      </c>
      <c r="B846" s="2" t="s">
        <v>234</v>
      </c>
      <c r="C846" s="3" t="str">
        <f>IF(B846="","",IFERROR(INDEX(Client_List!$C:$C,MATCH(B846,Client_List!$B:$B,0)),""))</f>
        <v>4</v>
      </c>
      <c r="D846" s="4" t="str">
        <f>IF(B846="","",IFERROR(INDEX(Client_List!$D:$D,MATCH(B846,Client_List!$B:$B,0)),""))</f>
        <v>4E</v>
      </c>
      <c r="E846" s="4" t="str">
        <f>IF(B846="","",IFERROR(INDEX(Client_List!$K:$K,MATCH(B846,Client_List!$B:$B,0)),""))</f>
        <v>CANOLA OIL</v>
      </c>
      <c r="F846" s="5">
        <f>IF(B846="","",IFERROR(INDEX(Client_List!$J:$J,MATCH(B846,Client_List!$B:$B,0)),""))</f>
        <v>630</v>
      </c>
      <c r="G846" s="5">
        <v>332</v>
      </c>
      <c r="H846" s="4">
        <f>IF(B846="","",IFERROR(A846-LOOKUP(2,1/($B$4:$B845=B846),$A$4:$A845),""))</f>
        <v>15</v>
      </c>
      <c r="I846" s="72">
        <f t="shared" si="13"/>
        <v>22.133333333333333</v>
      </c>
      <c r="J846" s="4">
        <v>10166</v>
      </c>
      <c r="K846" s="6">
        <f>IF(B846="","",IFERROR(AVERAGEIFS($I$4:$I846,$B$4:$B846,B846,$I$4:$I846,"&gt;"&amp;0),""))</f>
        <v>22.211111111111109</v>
      </c>
      <c r="L846" s="4" t="str">
        <f>IF(B846="","",IF(ISNA(MATCH(B846,Client_List!$B:$B,0)),"⚠ NOT FOUND","✓"))</f>
        <v>✓</v>
      </c>
    </row>
    <row r="847" spans="1:12" ht="14" customHeight="1" x14ac:dyDescent="0.2">
      <c r="A847" s="57">
        <v>46093</v>
      </c>
      <c r="B847" s="7" t="s">
        <v>376</v>
      </c>
      <c r="C847" s="12">
        <f>IF(B847="","",IFERROR(INDEX(Client_List!$C:$C,MATCH(B847,Client_List!$B:$B,0)),""))</f>
        <v>0</v>
      </c>
      <c r="D847" s="9" t="str">
        <f>IF(B847="","",IFERROR(INDEX(Client_List!$D:$D,MATCH(B847,Client_List!$B:$B,0)),""))</f>
        <v>P</v>
      </c>
      <c r="E847" s="9" t="str">
        <f>IF(B847="","",IFERROR(INDEX(Client_List!$K:$K,MATCH(B847,Client_List!$B:$B,0)),""))</f>
        <v>CANOLA OIL</v>
      </c>
      <c r="F847" s="10">
        <f>IF(B847="","",IFERROR(INDEX(Client_List!$J:$J,MATCH(B847,Client_List!$B:$B,0)),""))</f>
        <v>1800</v>
      </c>
      <c r="G847" s="10">
        <v>1096</v>
      </c>
      <c r="H847" s="9">
        <f>IF(B847="","",IFERROR(A847-LOOKUP(2,1/($B$4:$B846=B847),$A$4:$A846),""))</f>
        <v>28</v>
      </c>
      <c r="I847" s="73">
        <f t="shared" si="13"/>
        <v>39.142857142857146</v>
      </c>
      <c r="J847" s="9">
        <v>10191</v>
      </c>
      <c r="K847" s="6">
        <f>IF(B847="","",IFERROR(AVERAGEIFS($I$4:$I847,$B$4:$B847,B847,$I$4:$I847,"&gt;"&amp;0),""))</f>
        <v>37.446428571428569</v>
      </c>
      <c r="L847" s="9" t="str">
        <f>IF(B847="","",IF(ISNA(MATCH(B847,Client_List!$B:$B,0)),"⚠ NOT FOUND","✓"))</f>
        <v>✓</v>
      </c>
    </row>
    <row r="848" spans="1:12" ht="14" customHeight="1" x14ac:dyDescent="0.2">
      <c r="A848" s="56">
        <v>46093</v>
      </c>
      <c r="B848" s="2" t="s">
        <v>260</v>
      </c>
      <c r="C848" s="3" t="str">
        <f>IF(B848="","",IFERROR(INDEX(Client_List!$C:$C,MATCH(B848,Client_List!$B:$B,0)),""))</f>
        <v>5</v>
      </c>
      <c r="D848" s="4" t="str">
        <f>IF(B848="","",IFERROR(INDEX(Client_List!$D:$D,MATCH(B848,Client_List!$B:$B,0)),""))</f>
        <v>5E</v>
      </c>
      <c r="E848" s="4" t="str">
        <f>IF(B848="","",IFERROR(INDEX(Client_List!$K:$K,MATCH(B848,Client_List!$B:$B,0)),""))</f>
        <v>FRYERS CHOICE BLEND</v>
      </c>
      <c r="F848" s="5">
        <f>IF(B848="","",IFERROR(INDEX(Client_List!$J:$J,MATCH(B848,Client_List!$B:$B,0)),""))</f>
        <v>950</v>
      </c>
      <c r="G848" s="5">
        <v>932</v>
      </c>
      <c r="H848" s="4">
        <f>IF(B848="","",IFERROR(A848-LOOKUP(2,1/($B$4:$B847=B848),$A$4:$A847),""))</f>
        <v>23</v>
      </c>
      <c r="I848" s="72">
        <f t="shared" si="13"/>
        <v>40.521739130434781</v>
      </c>
      <c r="J848" s="4">
        <v>10225</v>
      </c>
      <c r="K848" s="6">
        <f>IF(B848="","",IFERROR(AVERAGEIFS($I$4:$I848,$B$4:$B848,B848,$I$4:$I848,"&gt;"&amp;0),""))</f>
        <v>35.303542673107891</v>
      </c>
      <c r="L848" s="4" t="str">
        <f>IF(B848="","",IF(ISNA(MATCH(B848,Client_List!$B:$B,0)),"⚠ NOT FOUND","✓"))</f>
        <v>✓</v>
      </c>
    </row>
    <row r="849" spans="1:12" ht="14" customHeight="1" x14ac:dyDescent="0.2">
      <c r="A849" s="57">
        <v>46093</v>
      </c>
      <c r="B849" s="7" t="s">
        <v>274</v>
      </c>
      <c r="C849" s="3" t="str">
        <f>IF(B849="","",IFERROR(INDEX(Client_List!$C:$C,MATCH(B849,Client_List!$B:$B,0)),""))</f>
        <v>3</v>
      </c>
      <c r="D849" s="9" t="str">
        <f>IF(B849="","",IFERROR(INDEX(Client_List!$D:$D,MATCH(B849,Client_List!$B:$B,0)),""))</f>
        <v>3C</v>
      </c>
      <c r="E849" s="9" t="str">
        <f>IF(B849="","",IFERROR(INDEX(Client_List!$K:$K,MATCH(B849,Client_List!$B:$B,0)),""))</f>
        <v>FRYERS CHOICE BLEND</v>
      </c>
      <c r="F849" s="10">
        <f>IF(B849="","",IFERROR(INDEX(Client_List!$J:$J,MATCH(B849,Client_List!$B:$B,0)),""))</f>
        <v>450</v>
      </c>
      <c r="G849" s="10">
        <v>308</v>
      </c>
      <c r="H849" s="9">
        <f>IF(B849="","",IFERROR(A849-LOOKUP(2,1/($B$4:$B848=B849),$A$4:$A848),""))</f>
        <v>8</v>
      </c>
      <c r="I849" s="73">
        <f t="shared" si="13"/>
        <v>38.5</v>
      </c>
      <c r="J849" s="9">
        <v>10157</v>
      </c>
      <c r="K849" s="6">
        <f>IF(B849="","",IFERROR(AVERAGEIFS($I$4:$I849,$B$4:$B849,B849,$I$4:$I849,"&gt;"&amp;0),""))</f>
        <v>42.731250000000003</v>
      </c>
      <c r="L849" s="9" t="str">
        <f>IF(B849="","",IF(ISNA(MATCH(B849,Client_List!$B:$B,0)),"⚠ NOT FOUND","✓"))</f>
        <v>✓</v>
      </c>
    </row>
    <row r="850" spans="1:12" ht="14" customHeight="1" x14ac:dyDescent="0.2">
      <c r="A850" s="56">
        <v>46093</v>
      </c>
      <c r="B850" s="2" t="s">
        <v>276</v>
      </c>
      <c r="C850" s="3" t="str">
        <f>IF(B850="","",IFERROR(INDEX(Client_List!$C:$C,MATCH(B850,Client_List!$B:$B,0)),""))</f>
        <v>3</v>
      </c>
      <c r="D850" s="4" t="str">
        <f>IF(B850="","",IFERROR(INDEX(Client_List!$D:$D,MATCH(B850,Client_List!$B:$B,0)),""))</f>
        <v>3D</v>
      </c>
      <c r="E850" s="4" t="str">
        <f>IF(B850="","",IFERROR(INDEX(Client_List!$K:$K,MATCH(B850,Client_List!$B:$B,0)),""))</f>
        <v>FRYERS CHOICE BLEND</v>
      </c>
      <c r="F850" s="5">
        <f>IF(B850="","",IFERROR(INDEX(Client_List!$J:$J,MATCH(B850,Client_List!$B:$B,0)),""))</f>
        <v>950</v>
      </c>
      <c r="G850" s="5">
        <v>598</v>
      </c>
      <c r="H850" s="4">
        <f>IF(B850="","",IFERROR(A850-LOOKUP(2,1/($B$4:$B849=B850),$A$4:$A849),""))</f>
        <v>8</v>
      </c>
      <c r="I850" s="72">
        <f t="shared" si="13"/>
        <v>74.75</v>
      </c>
      <c r="J850" s="4">
        <v>10188</v>
      </c>
      <c r="K850" s="6">
        <f>IF(B850="","",IFERROR(AVERAGEIFS($I$4:$I850,$B$4:$B850,B850,$I$4:$I850,"&gt;"&amp;0),""))</f>
        <v>87.496924603174605</v>
      </c>
      <c r="L850" s="4" t="str">
        <f>IF(B850="","",IF(ISNA(MATCH(B850,Client_List!$B:$B,0)),"⚠ NOT FOUND","✓"))</f>
        <v>✓</v>
      </c>
    </row>
    <row r="851" spans="1:12" ht="14" customHeight="1" x14ac:dyDescent="0.2">
      <c r="A851" s="57">
        <v>46093</v>
      </c>
      <c r="B851" s="7" t="s">
        <v>377</v>
      </c>
      <c r="C851" s="8">
        <f>IF(B851="","",IFERROR(INDEX(Client_List!$C:$C,MATCH(B851,Client_List!$B:$B,0)),""))</f>
        <v>0</v>
      </c>
      <c r="D851" s="9" t="str">
        <f>IF(B851="","",IFERROR(INDEX(Client_List!$D:$D,MATCH(B851,Client_List!$B:$B,0)),""))</f>
        <v>P</v>
      </c>
      <c r="E851" s="9" t="str">
        <f>IF(B851="","",IFERROR(INDEX(Client_List!$K:$K,MATCH(B851,Client_List!$B:$B,0)),""))</f>
        <v>CANOLA OIL</v>
      </c>
      <c r="F851" s="10">
        <f>IF(B851="","",IFERROR(INDEX(Client_List!$J:$J,MATCH(B851,Client_List!$B:$B,0)),""))</f>
        <v>1050</v>
      </c>
      <c r="G851" s="10">
        <v>1071</v>
      </c>
      <c r="H851" s="9">
        <f>IF(B851="","",IFERROR(A851-LOOKUP(2,1/($B$4:$B850=B851),$A$4:$A850),""))</f>
        <v>28</v>
      </c>
      <c r="I851" s="73">
        <f t="shared" si="13"/>
        <v>38.25</v>
      </c>
      <c r="J851" s="9">
        <v>10179</v>
      </c>
      <c r="K851" s="6">
        <f>IF(B851="","",IFERROR(AVERAGEIFS($I$4:$I851,$B$4:$B851,B851,$I$4:$I851,"&gt;"&amp;0),""))</f>
        <v>38.160714285714285</v>
      </c>
      <c r="L851" s="9" t="str">
        <f>IF(B851="","",IF(ISNA(MATCH(B851,Client_List!$B:$B,0)),"⚠ NOT FOUND","✓"))</f>
        <v>✓</v>
      </c>
    </row>
    <row r="852" spans="1:12" ht="14" customHeight="1" x14ac:dyDescent="0.2">
      <c r="A852" s="56">
        <v>46093</v>
      </c>
      <c r="B852" s="2" t="s">
        <v>324</v>
      </c>
      <c r="C852" s="12" t="str">
        <f>IF(B852="","",IFERROR(INDEX(Client_List!$C:$C,MATCH(B852,Client_List!$B:$B,0)),""))</f>
        <v>4</v>
      </c>
      <c r="D852" s="4" t="str">
        <f>IF(B852="","",IFERROR(INDEX(Client_List!$D:$D,MATCH(B852,Client_List!$B:$B,0)),""))</f>
        <v>4B</v>
      </c>
      <c r="E852" s="4" t="str">
        <f>IF(B852="","",IFERROR(INDEX(Client_List!$K:$K,MATCH(B852,Client_List!$B:$B,0)),""))</f>
        <v>CANOLA OIL</v>
      </c>
      <c r="F852" s="5">
        <f>IF(B852="","",IFERROR(INDEX(Client_List!$J:$J,MATCH(B852,Client_List!$B:$B,0)),""))</f>
        <v>1050</v>
      </c>
      <c r="G852" s="5">
        <v>842</v>
      </c>
      <c r="H852" s="4">
        <f>IF(B852="","",IFERROR(A852-LOOKUP(2,1/($B$4:$B851=B852),$A$4:$A851),""))</f>
        <v>16</v>
      </c>
      <c r="I852" s="72">
        <f t="shared" si="13"/>
        <v>52.625</v>
      </c>
      <c r="J852" s="4">
        <v>10153</v>
      </c>
      <c r="K852" s="6">
        <f>IF(B852="","",IFERROR(AVERAGEIFS($I$4:$I852,$B$4:$B852,B852,$I$4:$I852,"&gt;"&amp;0),""))</f>
        <v>152.63829258976318</v>
      </c>
      <c r="L852" s="4" t="str">
        <f>IF(B852="","",IF(ISNA(MATCH(B852,Client_List!$B:$B,0)),"⚠ NOT FOUND","✓"))</f>
        <v>✓</v>
      </c>
    </row>
    <row r="853" spans="1:12" ht="14" customHeight="1" x14ac:dyDescent="0.2">
      <c r="A853" s="57">
        <v>46094</v>
      </c>
      <c r="B853" s="7" t="s">
        <v>73</v>
      </c>
      <c r="C853" s="3" t="str">
        <f>IF(B853="","",IFERROR(INDEX(Client_List!$C:$C,MATCH(B853,Client_List!$B:$B,0)),""))</f>
        <v>4</v>
      </c>
      <c r="D853" s="9" t="str">
        <f>IF(B853="","",IFERROR(INDEX(Client_List!$D:$D,MATCH(B853,Client_List!$B:$B,0)),""))</f>
        <v>4D</v>
      </c>
      <c r="E853" s="9" t="str">
        <f>IF(B853="","",IFERROR(INDEX(Client_List!$K:$K,MATCH(B853,Client_List!$B:$B,0)),""))</f>
        <v>CANOLA OIL</v>
      </c>
      <c r="F853" s="10">
        <f>IF(B853="","",IFERROR(INDEX(Client_List!$J:$J,MATCH(B853,Client_List!$B:$B,0)),""))</f>
        <v>620</v>
      </c>
      <c r="G853" s="10">
        <v>337</v>
      </c>
      <c r="H853" s="9">
        <f>IF(B853="","",IFERROR(A853-LOOKUP(2,1/($B$4:$B852=B853),$A$4:$A852),""))</f>
        <v>7</v>
      </c>
      <c r="I853" s="73">
        <f t="shared" si="13"/>
        <v>48.142857142857146</v>
      </c>
      <c r="J853" s="9">
        <v>10211</v>
      </c>
      <c r="K853" s="6">
        <f>IF(B853="","",IFERROR(AVERAGEIFS($I$4:$I853,$B$4:$B853,B853,$I$4:$I853,"&gt;"&amp;0),""))</f>
        <v>54.136647083075658</v>
      </c>
      <c r="L853" s="9" t="str">
        <f>IF(B853="","",IF(ISNA(MATCH(B853,Client_List!$B:$B,0)),"⚠ NOT FOUND","✓"))</f>
        <v>✓</v>
      </c>
    </row>
    <row r="854" spans="1:12" ht="14" customHeight="1" x14ac:dyDescent="0.2">
      <c r="A854" s="56">
        <v>46094</v>
      </c>
      <c r="B854" s="2" t="s">
        <v>83</v>
      </c>
      <c r="C854" s="3" t="str">
        <f>IF(B854="","",IFERROR(INDEX(Client_List!$C:$C,MATCH(B854,Client_List!$B:$B,0)),""))</f>
        <v>4</v>
      </c>
      <c r="D854" s="4" t="str">
        <f>IF(B854="","",IFERROR(INDEX(Client_List!$D:$D,MATCH(B854,Client_List!$B:$B,0)),""))</f>
        <v>4D</v>
      </c>
      <c r="E854" s="4" t="str">
        <f>IF(B854="","",IFERROR(INDEX(Client_List!$K:$K,MATCH(B854,Client_List!$B:$B,0)),""))</f>
        <v>FRYERS CHOICE BLEND</v>
      </c>
      <c r="F854" s="5">
        <f>IF(B854="","",IFERROR(INDEX(Client_List!$J:$J,MATCH(B854,Client_List!$B:$B,0)),""))</f>
        <v>350</v>
      </c>
      <c r="G854" s="5">
        <v>307</v>
      </c>
      <c r="H854" s="4">
        <f>IF(B854="","",IFERROR(A854-LOOKUP(2,1/($B$4:$B853=B854),$A$4:$A853),""))</f>
        <v>7</v>
      </c>
      <c r="I854" s="72">
        <f t="shared" si="13"/>
        <v>43.857142857142854</v>
      </c>
      <c r="J854" s="4">
        <v>10234</v>
      </c>
      <c r="K854" s="6">
        <f>IF(B854="","",IFERROR(AVERAGEIFS($I$4:$I854,$B$4:$B854,B854,$I$4:$I854,"&gt;"&amp;0),""))</f>
        <v>36.368551587301582</v>
      </c>
      <c r="L854" s="4" t="str">
        <f>IF(B854="","",IF(ISNA(MATCH(B854,Client_List!$B:$B,0)),"⚠ NOT FOUND","✓"))</f>
        <v>✓</v>
      </c>
    </row>
    <row r="855" spans="1:12" ht="14" customHeight="1" x14ac:dyDescent="0.2">
      <c r="A855" s="57">
        <v>46094</v>
      </c>
      <c r="B855" s="7" t="s">
        <v>112</v>
      </c>
      <c r="C855" s="13" t="str">
        <f>IF(B855="","",IFERROR(INDEX(Client_List!$C:$C,MATCH(B855,Client_List!$B:$B,0)),""))</f>
        <v>2</v>
      </c>
      <c r="D855" s="9" t="str">
        <f>IF(B855="","",IFERROR(INDEX(Client_List!$D:$D,MATCH(B855,Client_List!$B:$B,0)),""))</f>
        <v>2A</v>
      </c>
      <c r="E855" s="9" t="str">
        <f>IF(B855="","",IFERROR(INDEX(Client_List!$K:$K,MATCH(B855,Client_List!$B:$B,0)),""))</f>
        <v>FRYERS CHOICE BLEND</v>
      </c>
      <c r="F855" s="10">
        <f>IF(B855="","",IFERROR(INDEX(Client_List!$J:$J,MATCH(B855,Client_List!$B:$B,0)),""))</f>
        <v>450</v>
      </c>
      <c r="G855" s="10">
        <v>264</v>
      </c>
      <c r="H855" s="9">
        <f>IF(B855="","",IFERROR(A855-LOOKUP(2,1/($B$4:$B854=B855),$A$4:$A854),""))</f>
        <v>8</v>
      </c>
      <c r="I855" s="73">
        <f t="shared" si="13"/>
        <v>33</v>
      </c>
      <c r="J855" s="9">
        <v>10238</v>
      </c>
      <c r="K855" s="6">
        <f>IF(B855="","",IFERROR(AVERAGEIFS($I$4:$I855,$B$4:$B855,B855,$I$4:$I855,"&gt;"&amp;0),""))</f>
        <v>35.067307692307693</v>
      </c>
      <c r="L855" s="9" t="str">
        <f>IF(B855="","",IF(ISNA(MATCH(B855,Client_List!$B:$B,0)),"⚠ NOT FOUND","✓"))</f>
        <v>✓</v>
      </c>
    </row>
    <row r="856" spans="1:12" ht="14" customHeight="1" x14ac:dyDescent="0.2">
      <c r="A856" s="56">
        <v>46094</v>
      </c>
      <c r="B856" s="2" t="s">
        <v>126</v>
      </c>
      <c r="C856" s="13" t="str">
        <f>IF(B856="","",IFERROR(INDEX(Client_List!$C:$C,MATCH(B856,Client_List!$B:$B,0)),""))</f>
        <v>4</v>
      </c>
      <c r="D856" s="4" t="str">
        <f>IF(B856="","",IFERROR(INDEX(Client_List!$D:$D,MATCH(B856,Client_List!$B:$B,0)),""))</f>
        <v>4D</v>
      </c>
      <c r="E856" s="4" t="str">
        <f>IF(B856="","",IFERROR(INDEX(Client_List!$K:$K,MATCH(B856,Client_List!$B:$B,0)),""))</f>
        <v>CANOLA OIL</v>
      </c>
      <c r="F856" s="5">
        <f>IF(B856="","",IFERROR(INDEX(Client_List!$J:$J,MATCH(B856,Client_List!$B:$B,0)),""))</f>
        <v>700</v>
      </c>
      <c r="G856" s="5">
        <v>534</v>
      </c>
      <c r="H856" s="4">
        <f>IF(B856="","",IFERROR(A856-LOOKUP(2,1/($B$4:$B855=B856),$A$4:$A855),""))</f>
        <v>7</v>
      </c>
      <c r="I856" s="72">
        <f t="shared" si="13"/>
        <v>76.285714285714292</v>
      </c>
      <c r="J856" s="4">
        <v>10205</v>
      </c>
      <c r="K856" s="6">
        <f>IF(B856="","",IFERROR(AVERAGEIFS($I$4:$I856,$B$4:$B856,B856,$I$4:$I856,"&gt;"&amp;0),""))</f>
        <v>71.618386243386254</v>
      </c>
      <c r="L856" s="4" t="str">
        <f>IF(B856="","",IF(ISNA(MATCH(B856,Client_List!$B:$B,0)),"⚠ NOT FOUND","✓"))</f>
        <v>✓</v>
      </c>
    </row>
    <row r="857" spans="1:12" ht="14" customHeight="1" x14ac:dyDescent="0.2">
      <c r="A857" s="57">
        <v>46094</v>
      </c>
      <c r="B857" s="7" t="s">
        <v>130</v>
      </c>
      <c r="C857" s="3" t="str">
        <f>IF(B857="","",IFERROR(INDEX(Client_List!$C:$C,MATCH(B857,Client_List!$B:$B,0)),""))</f>
        <v>4</v>
      </c>
      <c r="D857" s="9" t="str">
        <f>IF(B857="","",IFERROR(INDEX(Client_List!$D:$D,MATCH(B857,Client_List!$B:$B,0)),""))</f>
        <v>4E</v>
      </c>
      <c r="E857" s="9" t="str">
        <f>IF(B857="","",IFERROR(INDEX(Client_List!$K:$K,MATCH(B857,Client_List!$B:$B,0)),""))</f>
        <v>FRYERS CHOICE BLEND</v>
      </c>
      <c r="F857" s="10">
        <f>IF(B857="","",IFERROR(INDEX(Client_List!$J:$J,MATCH(B857,Client_List!$B:$B,0)),""))</f>
        <v>2500</v>
      </c>
      <c r="G857" s="10">
        <v>1431</v>
      </c>
      <c r="H857" s="9">
        <f>IF(B857="","",IFERROR(A857-LOOKUP(2,1/($B$4:$B856=B857),$A$4:$A856),""))</f>
        <v>14</v>
      </c>
      <c r="I857" s="73">
        <f t="shared" si="13"/>
        <v>102.21428571428571</v>
      </c>
      <c r="J857" s="9">
        <v>10219</v>
      </c>
      <c r="K857" s="6">
        <f>IF(B857="","",IFERROR(AVERAGEIFS($I$4:$I857,$B$4:$B857,B857,$I$4:$I857,"&gt;"&amp;0),""))</f>
        <v>109.34703733766234</v>
      </c>
      <c r="L857" s="9" t="str">
        <f>IF(B857="","",IF(ISNA(MATCH(B857,Client_List!$B:$B,0)),"⚠ NOT FOUND","✓"))</f>
        <v>✓</v>
      </c>
    </row>
    <row r="858" spans="1:12" ht="14" customHeight="1" x14ac:dyDescent="0.2">
      <c r="A858" s="56">
        <v>46094</v>
      </c>
      <c r="B858" s="2" t="s">
        <v>142</v>
      </c>
      <c r="C858" s="3" t="str">
        <f>IF(B858="","",IFERROR(INDEX(Client_List!$C:$C,MATCH(B858,Client_List!$B:$B,0)),""))</f>
        <v>4</v>
      </c>
      <c r="D858" s="4" t="str">
        <f>IF(B858="","",IFERROR(INDEX(Client_List!$D:$D,MATCH(B858,Client_List!$B:$B,0)),""))</f>
        <v>4A</v>
      </c>
      <c r="E858" s="4" t="str">
        <f>IF(B858="","",IFERROR(INDEX(Client_List!$K:$K,MATCH(B858,Client_List!$B:$B,0)),""))</f>
        <v>FRYERS CHOICE BLEND</v>
      </c>
      <c r="F858" s="5">
        <f>IF(B858="","",IFERROR(INDEX(Client_List!$J:$J,MATCH(B858,Client_List!$B:$B,0)),""))</f>
        <v>1050</v>
      </c>
      <c r="G858" s="5">
        <v>814</v>
      </c>
      <c r="H858" s="4">
        <f>IF(B858="","",IFERROR(A858-LOOKUP(2,1/($B$4:$B857=B858),$A$4:$A857),""))</f>
        <v>6</v>
      </c>
      <c r="I858" s="72">
        <f t="shared" si="13"/>
        <v>135.66666666666666</v>
      </c>
      <c r="J858" s="4">
        <v>10226</v>
      </c>
      <c r="K858" s="6">
        <f>IF(B858="","",IFERROR(AVERAGEIFS($I$4:$I858,$B$4:$B858,B858,$I$4:$I858,"&gt;"&amp;0),""))</f>
        <v>174.2312271062271</v>
      </c>
      <c r="L858" s="4" t="str">
        <f>IF(B858="","",IF(ISNA(MATCH(B858,Client_List!$B:$B,0)),"⚠ NOT FOUND","✓"))</f>
        <v>✓</v>
      </c>
    </row>
    <row r="859" spans="1:12" ht="14" customHeight="1" x14ac:dyDescent="0.2">
      <c r="A859" s="57">
        <v>46094</v>
      </c>
      <c r="B859" s="7" t="s">
        <v>144</v>
      </c>
      <c r="C859" s="3" t="str">
        <f>IF(B859="","",IFERROR(INDEX(Client_List!$C:$C,MATCH(B859,Client_List!$B:$B,0)),""))</f>
        <v>4</v>
      </c>
      <c r="D859" s="9" t="str">
        <f>IF(B859="","",IFERROR(INDEX(Client_List!$D:$D,MATCH(B859,Client_List!$B:$B,0)),""))</f>
        <v>4A</v>
      </c>
      <c r="E859" s="9" t="str">
        <f>IF(B859="","",IFERROR(INDEX(Client_List!$K:$K,MATCH(B859,Client_List!$B:$B,0)),""))</f>
        <v>FRYERS CHOICE BLEND</v>
      </c>
      <c r="F859" s="10">
        <f>IF(B859="","",IFERROR(INDEX(Client_List!$J:$J,MATCH(B859,Client_List!$B:$B,0)),""))</f>
        <v>900</v>
      </c>
      <c r="G859" s="10">
        <v>618</v>
      </c>
      <c r="H859" s="9">
        <f>IF(B859="","",IFERROR(A859-LOOKUP(2,1/($B$4:$B858=B859),$A$4:$A858),""))</f>
        <v>11</v>
      </c>
      <c r="I859" s="73">
        <f t="shared" si="13"/>
        <v>56.18181818181818</v>
      </c>
      <c r="J859" s="9">
        <v>10230</v>
      </c>
      <c r="K859" s="6">
        <f>IF(B859="","",IFERROR(AVERAGEIFS($I$4:$I859,$B$4:$B859,B859,$I$4:$I859,"&gt;"&amp;0),""))</f>
        <v>71.778589466089457</v>
      </c>
      <c r="L859" s="9" t="str">
        <f>IF(B859="","",IF(ISNA(MATCH(B859,Client_List!$B:$B,0)),"⚠ NOT FOUND","✓"))</f>
        <v>✓</v>
      </c>
    </row>
    <row r="860" spans="1:12" ht="14" customHeight="1" x14ac:dyDescent="0.2">
      <c r="A860" s="56">
        <v>46094</v>
      </c>
      <c r="B860" s="2" t="s">
        <v>200</v>
      </c>
      <c r="C860" s="3" t="str">
        <f>IF(B860="","",IFERROR(INDEX(Client_List!$C:$C,MATCH(B860,Client_List!$B:$B,0)),""))</f>
        <v>4</v>
      </c>
      <c r="D860" s="4" t="str">
        <f>IF(B860="","",IFERROR(INDEX(Client_List!$D:$D,MATCH(B860,Client_List!$B:$B,0)),""))</f>
        <v>4E</v>
      </c>
      <c r="E860" s="4" t="str">
        <f>IF(B860="","",IFERROR(INDEX(Client_List!$K:$K,MATCH(B860,Client_List!$B:$B,0)),""))</f>
        <v>CANOLA OIL</v>
      </c>
      <c r="F860" s="5">
        <f>IF(B860="","",IFERROR(INDEX(Client_List!$J:$J,MATCH(B860,Client_List!$B:$B,0)),""))</f>
        <v>2000</v>
      </c>
      <c r="G860" s="5">
        <v>1603</v>
      </c>
      <c r="H860" s="4">
        <f>IF(B860="","",IFERROR(A860-LOOKUP(2,1/($B$4:$B859=B860),$A$4:$A859),""))</f>
        <v>9</v>
      </c>
      <c r="I860" s="72">
        <f t="shared" si="13"/>
        <v>178.11111111111111</v>
      </c>
      <c r="J860" s="4">
        <v>10215</v>
      </c>
      <c r="K860" s="6">
        <f>IF(B860="","",IFERROR(AVERAGEIFS($I$4:$I860,$B$4:$B860,B860,$I$4:$I860,"&gt;"&amp;0),""))</f>
        <v>102.98090277777777</v>
      </c>
      <c r="L860" s="4" t="str">
        <f>IF(B860="","",IF(ISNA(MATCH(B860,Client_List!$B:$B,0)),"⚠ NOT FOUND","✓"))</f>
        <v>✓</v>
      </c>
    </row>
    <row r="861" spans="1:12" ht="14" customHeight="1" x14ac:dyDescent="0.2">
      <c r="A861" s="57">
        <v>46094</v>
      </c>
      <c r="B861" s="7" t="s">
        <v>204</v>
      </c>
      <c r="C861" s="3" t="str">
        <f>IF(B861="","",IFERROR(INDEX(Client_List!$C:$C,MATCH(B861,Client_List!$B:$B,0)),""))</f>
        <v>5</v>
      </c>
      <c r="D861" s="9" t="str">
        <f>IF(B861="","",IFERROR(INDEX(Client_List!$D:$D,MATCH(B861,Client_List!$B:$B,0)),""))</f>
        <v>5E</v>
      </c>
      <c r="E861" s="9" t="str">
        <f>IF(B861="","",IFERROR(INDEX(Client_List!$K:$K,MATCH(B861,Client_List!$B:$B,0)),""))</f>
        <v>CANOLA OIL</v>
      </c>
      <c r="F861" s="10">
        <f>IF(B861="","",IFERROR(INDEX(Client_List!$J:$J,MATCH(B861,Client_List!$B:$B,0)),""))</f>
        <v>1800</v>
      </c>
      <c r="G861" s="10">
        <v>1311</v>
      </c>
      <c r="H861" s="9">
        <f>IF(B861="","",IFERROR(A861-LOOKUP(2,1/($B$4:$B860=B861),$A$4:$A860),""))</f>
        <v>9</v>
      </c>
      <c r="I861" s="73">
        <f t="shared" si="13"/>
        <v>145.66666666666666</v>
      </c>
      <c r="J861" s="9">
        <v>10241</v>
      </c>
      <c r="K861" s="6">
        <f>IF(B861="","",IFERROR(AVERAGEIFS($I$4:$I861,$B$4:$B861,B861,$I$4:$I861,"&gt;"&amp;0),""))</f>
        <v>157.41790674603175</v>
      </c>
      <c r="L861" s="9" t="str">
        <f>IF(B861="","",IF(ISNA(MATCH(B861,Client_List!$B:$B,0)),"⚠ NOT FOUND","✓"))</f>
        <v>✓</v>
      </c>
    </row>
    <row r="862" spans="1:12" ht="14" customHeight="1" x14ac:dyDescent="0.2">
      <c r="A862" s="56">
        <v>46094</v>
      </c>
      <c r="B862" s="2" t="s">
        <v>206</v>
      </c>
      <c r="C862" s="3" t="str">
        <f>IF(B862="","",IFERROR(INDEX(Client_List!$C:$C,MATCH(B862,Client_List!$B:$B,0)),""))</f>
        <v>4</v>
      </c>
      <c r="D862" s="4" t="str">
        <f>IF(B862="","",IFERROR(INDEX(Client_List!$D:$D,MATCH(B862,Client_List!$B:$B,0)),""))</f>
        <v>4C</v>
      </c>
      <c r="E862" s="4" t="str">
        <f>IF(B862="","",IFERROR(INDEX(Client_List!$K:$K,MATCH(B862,Client_List!$B:$B,0)),""))</f>
        <v>CANOLA OIL</v>
      </c>
      <c r="F862" s="5">
        <f>IF(B862="","",IFERROR(INDEX(Client_List!$J:$J,MATCH(B862,Client_List!$B:$B,0)),""))</f>
        <v>1050</v>
      </c>
      <c r="G862" s="5">
        <v>900</v>
      </c>
      <c r="H862" s="4">
        <f>IF(B862="","",IFERROR(A862-LOOKUP(2,1/($B$4:$B861=B862),$A$4:$A861),""))</f>
        <v>10</v>
      </c>
      <c r="I862" s="72">
        <f t="shared" si="13"/>
        <v>90</v>
      </c>
      <c r="J862" s="4">
        <v>10372</v>
      </c>
      <c r="K862" s="6">
        <f>IF(B862="","",IFERROR(AVERAGEIFS($I$4:$I862,$B$4:$B862,B862,$I$4:$I862,"&gt;"&amp;0),""))</f>
        <v>83.68752913752914</v>
      </c>
      <c r="L862" s="4" t="str">
        <f>IF(B862="","",IF(ISNA(MATCH(B862,Client_List!$B:$B,0)),"⚠ NOT FOUND","✓"))</f>
        <v>✓</v>
      </c>
    </row>
    <row r="863" spans="1:12" ht="14" customHeight="1" x14ac:dyDescent="0.2">
      <c r="A863" s="57">
        <v>46094</v>
      </c>
      <c r="B863" s="7" t="s">
        <v>208</v>
      </c>
      <c r="C863" s="8" t="str">
        <f>IF(B863="","",IFERROR(INDEX(Client_List!$C:$C,MATCH(B863,Client_List!$B:$B,0)),""))</f>
        <v>4</v>
      </c>
      <c r="D863" s="9" t="str">
        <f>IF(B863="","",IFERROR(INDEX(Client_List!$D:$D,MATCH(B863,Client_List!$B:$B,0)),""))</f>
        <v>4C</v>
      </c>
      <c r="E863" s="9" t="str">
        <f>IF(B863="","",IFERROR(INDEX(Client_List!$K:$K,MATCH(B863,Client_List!$B:$B,0)),""))</f>
        <v>UNKNOWN</v>
      </c>
      <c r="F863" s="10">
        <f>IF(B863="","",IFERROR(INDEX(Client_List!$J:$J,MATCH(B863,Client_List!$B:$B,0)),""))</f>
        <v>1050</v>
      </c>
      <c r="G863" s="10">
        <v>953</v>
      </c>
      <c r="H863" s="9">
        <f>IF(B863="","",IFERROR(A863-LOOKUP(2,1/($B$4:$B862=B863),$A$4:$A862),""))</f>
        <v>10</v>
      </c>
      <c r="I863" s="73">
        <f t="shared" si="13"/>
        <v>95.3</v>
      </c>
      <c r="J863" s="9">
        <v>10354</v>
      </c>
      <c r="K863" s="6">
        <f>IF(B863="","",IFERROR(AVERAGEIFS($I$4:$I863,$B$4:$B863,B863,$I$4:$I863,"&gt;"&amp;0),""))</f>
        <v>75.865476190476187</v>
      </c>
      <c r="L863" s="9" t="str">
        <f>IF(B863="","",IF(ISNA(MATCH(B863,Client_List!$B:$B,0)),"⚠ NOT FOUND","✓"))</f>
        <v>✓</v>
      </c>
    </row>
    <row r="864" spans="1:12" ht="14" customHeight="1" x14ac:dyDescent="0.2">
      <c r="A864" s="56">
        <v>46094</v>
      </c>
      <c r="B864" s="2" t="s">
        <v>242</v>
      </c>
      <c r="C864" s="8" t="str">
        <f>IF(B864="","",IFERROR(INDEX(Client_List!$C:$C,MATCH(B864,Client_List!$B:$B,0)),""))</f>
        <v>4</v>
      </c>
      <c r="D864" s="4" t="str">
        <f>IF(B864="","",IFERROR(INDEX(Client_List!$D:$D,MATCH(B864,Client_List!$B:$B,0)),""))</f>
        <v>4D</v>
      </c>
      <c r="E864" s="4" t="str">
        <f>IF(B864="","",IFERROR(INDEX(Client_List!$K:$K,MATCH(B864,Client_List!$B:$B,0)),""))</f>
        <v>FRYERS CHOICE BLEND</v>
      </c>
      <c r="F864" s="5">
        <f>IF(B864="","",IFERROR(INDEX(Client_List!$J:$J,MATCH(B864,Client_List!$B:$B,0)),""))</f>
        <v>950</v>
      </c>
      <c r="G864" s="5">
        <v>526</v>
      </c>
      <c r="H864" s="4">
        <f>IF(B864="","",IFERROR(A864-LOOKUP(2,1/($B$4:$B863=B864),$A$4:$A863),""))</f>
        <v>7</v>
      </c>
      <c r="I864" s="72">
        <f t="shared" si="13"/>
        <v>75.142857142857139</v>
      </c>
      <c r="J864" s="4">
        <v>10202</v>
      </c>
      <c r="K864" s="6">
        <f>IF(B864="","",IFERROR(AVERAGEIFS($I$4:$I864,$B$4:$B864,B864,$I$4:$I864,"&gt;"&amp;0),""))</f>
        <v>76.191173905459621</v>
      </c>
      <c r="L864" s="4" t="str">
        <f>IF(B864="","",IF(ISNA(MATCH(B864,Client_List!$B:$B,0)),"⚠ NOT FOUND","✓"))</f>
        <v>✓</v>
      </c>
    </row>
    <row r="865" spans="1:12" ht="14" customHeight="1" x14ac:dyDescent="0.2">
      <c r="A865" s="57">
        <v>46094</v>
      </c>
      <c r="B865" s="7" t="s">
        <v>246</v>
      </c>
      <c r="C865" s="8" t="str">
        <f>IF(B865="","",IFERROR(INDEX(Client_List!$C:$C,MATCH(B865,Client_List!$B:$B,0)),""))</f>
        <v>3</v>
      </c>
      <c r="D865" s="9" t="str">
        <f>IF(B865="","",IFERROR(INDEX(Client_List!$D:$D,MATCH(B865,Client_List!$B:$B,0)),""))</f>
        <v>3E</v>
      </c>
      <c r="E865" s="9" t="str">
        <f>IF(B865="","",IFERROR(INDEX(Client_List!$K:$K,MATCH(B865,Client_List!$B:$B,0)),""))</f>
        <v>FRYERS CHOICE BLEND</v>
      </c>
      <c r="F865" s="10">
        <f>IF(B865="","",IFERROR(INDEX(Client_List!$J:$J,MATCH(B865,Client_List!$B:$B,0)),""))</f>
        <v>950</v>
      </c>
      <c r="G865" s="10">
        <v>604</v>
      </c>
      <c r="H865" s="9">
        <f>IF(B865="","",IFERROR(A865-LOOKUP(2,1/($B$4:$B864=B865),$A$4:$A864),""))</f>
        <v>8</v>
      </c>
      <c r="I865" s="73">
        <f t="shared" si="13"/>
        <v>75.5</v>
      </c>
      <c r="J865" s="9">
        <v>10200</v>
      </c>
      <c r="K865" s="6">
        <f>IF(B865="","",IFERROR(AVERAGEIFS($I$4:$I865,$B$4:$B865,B865,$I$4:$I865,"&gt;"&amp;0),""))</f>
        <v>72.98504273504274</v>
      </c>
      <c r="L865" s="9" t="str">
        <f>IF(B865="","",IF(ISNA(MATCH(B865,Client_List!$B:$B,0)),"⚠ NOT FOUND","✓"))</f>
        <v>✓</v>
      </c>
    </row>
    <row r="866" spans="1:12" ht="14" customHeight="1" x14ac:dyDescent="0.2">
      <c r="A866" s="56">
        <v>46094</v>
      </c>
      <c r="B866" s="2" t="s">
        <v>254</v>
      </c>
      <c r="C866" s="3" t="str">
        <f>IF(B866="","",IFERROR(INDEX(Client_List!$C:$C,MATCH(B866,Client_List!$B:$B,0)),""))</f>
        <v>2</v>
      </c>
      <c r="D866" s="4" t="str">
        <f>IF(B866="","",IFERROR(INDEX(Client_List!$D:$D,MATCH(B866,Client_List!$B:$B,0)),""))</f>
        <v>2E</v>
      </c>
      <c r="E866" s="4" t="str">
        <f>IF(B866="","",IFERROR(INDEX(Client_List!$K:$K,MATCH(B866,Client_List!$B:$B,0)),""))</f>
        <v>FRYERS CHOICE BLEND</v>
      </c>
      <c r="F866" s="5">
        <f>IF(B866="","",IFERROR(INDEX(Client_List!$J:$J,MATCH(B866,Client_List!$B:$B,0)),""))</f>
        <v>1950</v>
      </c>
      <c r="G866" s="5">
        <v>1292</v>
      </c>
      <c r="H866" s="4">
        <f>IF(B866="","",IFERROR(A866-LOOKUP(2,1/($B$4:$B865=B866),$A$4:$A865),""))</f>
        <v>8</v>
      </c>
      <c r="I866" s="72">
        <f t="shared" si="13"/>
        <v>161.5</v>
      </c>
      <c r="J866" s="4">
        <v>10206</v>
      </c>
      <c r="K866" s="6">
        <f>IF(B866="","",IFERROR(AVERAGEIFS($I$4:$I866,$B$4:$B866,B866,$I$4:$I866,"&gt;"&amp;0),""))</f>
        <v>149.88095238095235</v>
      </c>
      <c r="L866" s="4" t="str">
        <f>IF(B866="","",IF(ISNA(MATCH(B866,Client_List!$B:$B,0)),"⚠ NOT FOUND","✓"))</f>
        <v>✓</v>
      </c>
    </row>
    <row r="867" spans="1:12" ht="14" customHeight="1" x14ac:dyDescent="0.2">
      <c r="A867" s="57">
        <v>46094</v>
      </c>
      <c r="B867" s="7" t="s">
        <v>300</v>
      </c>
      <c r="C867" s="12" t="str">
        <f>IF(B867="","",IFERROR(INDEX(Client_List!$C:$C,MATCH(B867,Client_List!$B:$B,0)),""))</f>
        <v>4</v>
      </c>
      <c r="D867" s="9" t="str">
        <f>IF(B867="","",IFERROR(INDEX(Client_List!$D:$D,MATCH(B867,Client_List!$B:$B,0)),""))</f>
        <v>4C</v>
      </c>
      <c r="E867" s="9" t="str">
        <f>IF(B867="","",IFERROR(INDEX(Client_List!$K:$K,MATCH(B867,Client_List!$B:$B,0)),""))</f>
        <v>FRYERS CHOICE BLEND</v>
      </c>
      <c r="F867" s="10">
        <f>IF(B867="","",IFERROR(INDEX(Client_List!$J:$J,MATCH(B867,Client_List!$B:$B,0)),""))</f>
        <v>350</v>
      </c>
      <c r="G867" s="10">
        <v>188</v>
      </c>
      <c r="H867" s="9">
        <f>IF(B867="","",IFERROR(A867-LOOKUP(2,1/($B$4:$B866=B867),$A$4:$A866),""))</f>
        <v>7</v>
      </c>
      <c r="I867" s="73">
        <f t="shared" si="13"/>
        <v>26.857142857142858</v>
      </c>
      <c r="J867" s="9">
        <v>10224</v>
      </c>
      <c r="K867" s="6">
        <f>IF(B867="","",IFERROR(AVERAGEIFS($I$4:$I867,$B$4:$B867,B867,$I$4:$I867,"&gt;"&amp;0),""))</f>
        <v>29.72448979591837</v>
      </c>
      <c r="L867" s="9" t="str">
        <f>IF(B867="","",IF(ISNA(MATCH(B867,Client_List!$B:$B,0)),"⚠ NOT FOUND","✓"))</f>
        <v>✓</v>
      </c>
    </row>
    <row r="868" spans="1:12" ht="14" customHeight="1" x14ac:dyDescent="0.2">
      <c r="A868" s="56">
        <v>46095</v>
      </c>
      <c r="B868" s="2" t="s">
        <v>364</v>
      </c>
      <c r="C868" s="11">
        <f>IF(B868="","",IFERROR(INDEX(Client_List!$C:$C,MATCH(B868,Client_List!$B:$B,0)),""))</f>
        <v>0</v>
      </c>
      <c r="D868" s="4" t="str">
        <f>IF(B868="","",IFERROR(INDEX(Client_List!$D:$D,MATCH(B868,Client_List!$B:$B,0)),""))</f>
        <v>TU</v>
      </c>
      <c r="E868" s="4" t="str">
        <f>IF(B868="","",IFERROR(INDEX(Client_List!$K:$K,MATCH(B868,Client_List!$B:$B,0)),""))</f>
        <v>FRYERS CHOICE BLEND</v>
      </c>
      <c r="F868" s="5">
        <f>IF(B868="","",IFERROR(INDEX(Client_List!$J:$J,MATCH(B868,Client_List!$B:$B,0)),""))</f>
        <v>1000</v>
      </c>
      <c r="G868" s="5">
        <v>687</v>
      </c>
      <c r="H868" s="4">
        <f>IF(B868="","",IFERROR(A868-LOOKUP(2,1/($B$4:$B867=B868),$A$4:$A867),""))</f>
        <v>14</v>
      </c>
      <c r="I868" s="72">
        <f t="shared" si="13"/>
        <v>49.071428571428569</v>
      </c>
      <c r="J868" s="4">
        <v>10270</v>
      </c>
      <c r="K868" s="6">
        <f>IF(B868="","",IFERROR(AVERAGEIFS($I$4:$I868,$B$4:$B868,B868,$I$4:$I868,"&gt;"&amp;0),""))</f>
        <v>52.128571428571419</v>
      </c>
      <c r="L868" s="4" t="str">
        <f>IF(B868="","",IF(ISNA(MATCH(B868,Client_List!$B:$B,0)),"⚠ NOT FOUND","✓"))</f>
        <v>✓</v>
      </c>
    </row>
    <row r="869" spans="1:12" ht="14" customHeight="1" x14ac:dyDescent="0.2">
      <c r="A869" s="57">
        <v>46095</v>
      </c>
      <c r="B869" s="7" t="s">
        <v>71</v>
      </c>
      <c r="C869" s="8" t="str">
        <f>IF(B869="","",IFERROR(INDEX(Client_List!$C:$C,MATCH(B869,Client_List!$B:$B,0)),""))</f>
        <v>5</v>
      </c>
      <c r="D869" s="9" t="str">
        <f>IF(B869="","",IFERROR(INDEX(Client_List!$D:$D,MATCH(B869,Client_List!$B:$B,0)),""))</f>
        <v>5F</v>
      </c>
      <c r="E869" s="9" t="str">
        <f>IF(B869="","",IFERROR(INDEX(Client_List!$K:$K,MATCH(B869,Client_List!$B:$B,0)),""))</f>
        <v>CANOLA OIL</v>
      </c>
      <c r="F869" s="10">
        <f>IF(B869="","",IFERROR(INDEX(Client_List!$J:$J,MATCH(B869,Client_List!$B:$B,0)),""))</f>
        <v>350</v>
      </c>
      <c r="G869" s="10">
        <v>267</v>
      </c>
      <c r="H869" s="9">
        <f>IF(B869="","",IFERROR(A869-LOOKUP(2,1/($B$4:$B868=B869),$A$4:$A868),""))</f>
        <v>8</v>
      </c>
      <c r="I869" s="73">
        <f t="shared" si="13"/>
        <v>33.375</v>
      </c>
      <c r="J869" s="9">
        <v>10330</v>
      </c>
      <c r="K869" s="6">
        <f>IF(B869="","",IFERROR(AVERAGEIFS($I$4:$I869,$B$4:$B869,B869,$I$4:$I869,"&gt;"&amp;0),""))</f>
        <v>34.11810515873016</v>
      </c>
      <c r="L869" s="9" t="str">
        <f>IF(B869="","",IF(ISNA(MATCH(B869,Client_List!$B:$B,0)),"⚠ NOT FOUND","✓"))</f>
        <v>✓</v>
      </c>
    </row>
    <row r="870" spans="1:12" ht="14" customHeight="1" x14ac:dyDescent="0.2">
      <c r="A870" s="56">
        <v>46095</v>
      </c>
      <c r="B870" s="2" t="s">
        <v>75</v>
      </c>
      <c r="C870" s="3" t="str">
        <f>IF(B870="","",IFERROR(INDEX(Client_List!$C:$C,MATCH(B870,Client_List!$B:$B,0)),""))</f>
        <v>1</v>
      </c>
      <c r="D870" s="4" t="str">
        <f>IF(B870="","",IFERROR(INDEX(Client_List!$D:$D,MATCH(B870,Client_List!$B:$B,0)),""))</f>
        <v>1D</v>
      </c>
      <c r="E870" s="4" t="str">
        <f>IF(B870="","",IFERROR(INDEX(Client_List!$K:$K,MATCH(B870,Client_List!$B:$B,0)),""))</f>
        <v>CANOLA OIL</v>
      </c>
      <c r="F870" s="5">
        <f>IF(B870="","",IFERROR(INDEX(Client_List!$J:$J,MATCH(B870,Client_List!$B:$B,0)),""))</f>
        <v>620</v>
      </c>
      <c r="G870" s="5">
        <v>390</v>
      </c>
      <c r="H870" s="4">
        <f>IF(B870="","",IFERROR(A870-LOOKUP(2,1/($B$4:$B869=B870),$A$4:$A869),""))</f>
        <v>7</v>
      </c>
      <c r="I870" s="72">
        <f t="shared" si="13"/>
        <v>55.714285714285715</v>
      </c>
      <c r="J870" s="4">
        <v>10265</v>
      </c>
      <c r="K870" s="6">
        <f>IF(B870="","",IFERROR(AVERAGEIFS($I$4:$I870,$B$4:$B870,B870,$I$4:$I870,"&gt;"&amp;0),""))</f>
        <v>105.57229437229438</v>
      </c>
      <c r="L870" s="4" t="str">
        <f>IF(B870="","",IF(ISNA(MATCH(B870,Client_List!$B:$B,0)),"⚠ NOT FOUND","✓"))</f>
        <v>✓</v>
      </c>
    </row>
    <row r="871" spans="1:12" ht="14" customHeight="1" x14ac:dyDescent="0.2">
      <c r="A871" s="57">
        <v>46095</v>
      </c>
      <c r="B871" s="7" t="s">
        <v>122</v>
      </c>
      <c r="C871" s="8" t="str">
        <f>IF(B871="","",IFERROR(INDEX(Client_List!$C:$C,MATCH(B871,Client_List!$B:$B,0)),""))</f>
        <v>3</v>
      </c>
      <c r="D871" s="9" t="str">
        <f>IF(B871="","",IFERROR(INDEX(Client_List!$D:$D,MATCH(B871,Client_List!$B:$B,0)),""))</f>
        <v>3D</v>
      </c>
      <c r="E871" s="9" t="str">
        <f>IF(B871="","",IFERROR(INDEX(Client_List!$K:$K,MATCH(B871,Client_List!$B:$B,0)),""))</f>
        <v>CANOLA OIL</v>
      </c>
      <c r="F871" s="10">
        <f>IF(B871="","",IFERROR(INDEX(Client_List!$J:$J,MATCH(B871,Client_List!$B:$B,0)),""))</f>
        <v>500</v>
      </c>
      <c r="G871" s="10">
        <v>473</v>
      </c>
      <c r="H871" s="9">
        <f>IF(B871="","",IFERROR(A871-LOOKUP(2,1/($B$4:$B870=B871),$A$4:$A870),""))</f>
        <v>22</v>
      </c>
      <c r="I871" s="73">
        <f t="shared" si="13"/>
        <v>21.5</v>
      </c>
      <c r="J871" s="9">
        <v>10333</v>
      </c>
      <c r="K871" s="6">
        <f>IF(B871="","",IFERROR(AVERAGEIFS($I$4:$I871,$B$4:$B871,B871,$I$4:$I871,"&gt;"&amp;0),""))</f>
        <v>18.774122807017545</v>
      </c>
      <c r="L871" s="9" t="str">
        <f>IF(B871="","",IF(ISNA(MATCH(B871,Client_List!$B:$B,0)),"⚠ NOT FOUND","✓"))</f>
        <v>✓</v>
      </c>
    </row>
    <row r="872" spans="1:12" ht="14" customHeight="1" x14ac:dyDescent="0.2">
      <c r="A872" s="56">
        <v>46095</v>
      </c>
      <c r="B872" s="2" t="s">
        <v>367</v>
      </c>
      <c r="C872" s="11">
        <f>IF(B872="","",IFERROR(INDEX(Client_List!$C:$C,MATCH(B872,Client_List!$B:$B,0)),""))</f>
        <v>0</v>
      </c>
      <c r="D872" s="4" t="str">
        <f>IF(B872="","",IFERROR(INDEX(Client_List!$D:$D,MATCH(B872,Client_List!$B:$B,0)),""))</f>
        <v>T</v>
      </c>
      <c r="E872" s="4" t="str">
        <f>IF(B872="","",IFERROR(INDEX(Client_List!$K:$K,MATCH(B872,Client_List!$B:$B,0)),""))</f>
        <v>CANOLA OIL</v>
      </c>
      <c r="F872" s="5">
        <f>IF(B872="","",IFERROR(INDEX(Client_List!$J:$J,MATCH(B872,Client_List!$B:$B,0)),""))</f>
        <v>500</v>
      </c>
      <c r="G872" s="5">
        <v>355</v>
      </c>
      <c r="H872" s="4">
        <f>IF(B872="","",IFERROR(A872-LOOKUP(2,1/($B$4:$B871=B872),$A$4:$A871),""))</f>
        <v>14</v>
      </c>
      <c r="I872" s="72">
        <f t="shared" si="13"/>
        <v>25.357142857142858</v>
      </c>
      <c r="J872" s="4">
        <v>10279</v>
      </c>
      <c r="K872" s="6">
        <f>IF(B872="","",IFERROR(AVERAGEIFS($I$4:$I872,$B$4:$B872,B872,$I$4:$I872,"&gt;"&amp;0),""))</f>
        <v>27.942857142857143</v>
      </c>
      <c r="L872" s="4" t="str">
        <f>IF(B872="","",IF(ISNA(MATCH(B872,Client_List!$B:$B,0)),"⚠ NOT FOUND","✓"))</f>
        <v>✓</v>
      </c>
    </row>
    <row r="873" spans="1:12" ht="14" customHeight="1" x14ac:dyDescent="0.2">
      <c r="A873" s="57">
        <v>46095</v>
      </c>
      <c r="B873" s="7" t="s">
        <v>232</v>
      </c>
      <c r="C873" s="11" t="str">
        <f>IF(B873="","",IFERROR(INDEX(Client_List!$C:$C,MATCH(B873,Client_List!$B:$B,0)),""))</f>
        <v>5</v>
      </c>
      <c r="D873" s="9" t="str">
        <f>IF(B873="","",IFERROR(INDEX(Client_List!$D:$D,MATCH(B873,Client_List!$B:$B,0)),""))</f>
        <v>5F</v>
      </c>
      <c r="E873" s="9" t="str">
        <f>IF(B873="","",IFERROR(INDEX(Client_List!$K:$K,MATCH(B873,Client_List!$B:$B,0)),""))</f>
        <v>CANOLA OIL</v>
      </c>
      <c r="F873" s="10">
        <f>IF(B873="","",IFERROR(INDEX(Client_List!$J:$J,MATCH(B873,Client_List!$B:$B,0)),""))</f>
        <v>500</v>
      </c>
      <c r="G873" s="10">
        <v>495</v>
      </c>
      <c r="H873" s="9">
        <f>IF(B873="","",IFERROR(A873-LOOKUP(2,1/($B$4:$B872=B873),$A$4:$A872),""))</f>
        <v>10</v>
      </c>
      <c r="I873" s="73">
        <f t="shared" si="13"/>
        <v>49.5</v>
      </c>
      <c r="J873" s="9">
        <v>10384</v>
      </c>
      <c r="K873" s="6">
        <f>IF(B873="","",IFERROR(AVERAGEIFS($I$4:$I873,$B$4:$B873,B873,$I$4:$I873,"&gt;"&amp;0),""))</f>
        <v>42.696351267779839</v>
      </c>
      <c r="L873" s="9" t="str">
        <f>IF(B873="","",IF(ISNA(MATCH(B873,Client_List!$B:$B,0)),"⚠ NOT FOUND","✓"))</f>
        <v>✓</v>
      </c>
    </row>
    <row r="874" spans="1:12" ht="14" customHeight="1" x14ac:dyDescent="0.2">
      <c r="A874" s="56">
        <v>46095</v>
      </c>
      <c r="B874" s="2" t="s">
        <v>368</v>
      </c>
      <c r="C874" s="8">
        <f>IF(B874="","",IFERROR(INDEX(Client_List!$C:$C,MATCH(B874,Client_List!$B:$B,0)),""))</f>
        <v>0</v>
      </c>
      <c r="D874" s="4" t="str">
        <f>IF(B874="","",IFERROR(INDEX(Client_List!$D:$D,MATCH(B874,Client_List!$B:$B,0)),""))</f>
        <v>TU</v>
      </c>
      <c r="E874" s="4" t="str">
        <f>IF(B874="","",IFERROR(INDEX(Client_List!$K:$K,MATCH(B874,Client_List!$B:$B,0)),""))</f>
        <v>CANOLA OIL</v>
      </c>
      <c r="F874" s="5">
        <f>IF(B874="","",IFERROR(INDEX(Client_List!$J:$J,MATCH(B874,Client_List!$B:$B,0)),""))</f>
        <v>950</v>
      </c>
      <c r="G874" s="5">
        <v>584</v>
      </c>
      <c r="H874" s="4">
        <f>IF(B874="","",IFERROR(A874-LOOKUP(2,1/($B$4:$B873=B874),$A$4:$A873),""))</f>
        <v>14</v>
      </c>
      <c r="I874" s="72">
        <f t="shared" si="13"/>
        <v>41.714285714285715</v>
      </c>
      <c r="J874" s="4">
        <v>10326</v>
      </c>
      <c r="K874" s="6">
        <f>IF(B874="","",IFERROR(AVERAGEIFS($I$4:$I874,$B$4:$B874,B874,$I$4:$I874,"&gt;"&amp;0),""))</f>
        <v>43.971428571428575</v>
      </c>
      <c r="L874" s="4" t="str">
        <f>IF(B874="","",IF(ISNA(MATCH(B874,Client_List!$B:$B,0)),"⚠ NOT FOUND","✓"))</f>
        <v>✓</v>
      </c>
    </row>
    <row r="875" spans="1:12" ht="14" customHeight="1" x14ac:dyDescent="0.2">
      <c r="A875" s="57">
        <v>46095</v>
      </c>
      <c r="B875" s="7" t="s">
        <v>369</v>
      </c>
      <c r="C875" s="8">
        <f>IF(B875="","",IFERROR(INDEX(Client_List!$C:$C,MATCH(B875,Client_List!$B:$B,0)),""))</f>
        <v>0</v>
      </c>
      <c r="D875" s="9" t="str">
        <f>IF(B875="","",IFERROR(INDEX(Client_List!$D:$D,MATCH(B875,Client_List!$B:$B,0)),""))</f>
        <v>TU</v>
      </c>
      <c r="E875" s="9" t="str">
        <f>IF(B875="","",IFERROR(INDEX(Client_List!$K:$K,MATCH(B875,Client_List!$B:$B,0)),""))</f>
        <v>CANOLA OIL</v>
      </c>
      <c r="F875" s="10">
        <f>IF(B875="","",IFERROR(INDEX(Client_List!$J:$J,MATCH(B875,Client_List!$B:$B,0)),""))</f>
        <v>700</v>
      </c>
      <c r="G875" s="10">
        <v>419</v>
      </c>
      <c r="H875" s="9">
        <f>IF(B875="","",IFERROR(A875-LOOKUP(2,1/($B$4:$B874=B875),$A$4:$A874),""))</f>
        <v>14</v>
      </c>
      <c r="I875" s="73">
        <f t="shared" si="13"/>
        <v>29.928571428571427</v>
      </c>
      <c r="J875" s="9">
        <v>10311</v>
      </c>
      <c r="K875" s="6">
        <f>IF(B875="","",IFERROR(AVERAGEIFS($I$4:$I875,$B$4:$B875,B875,$I$4:$I875,"&gt;"&amp;0),""))</f>
        <v>25.8</v>
      </c>
      <c r="L875" s="9" t="str">
        <f>IF(B875="","",IF(ISNA(MATCH(B875,Client_List!$B:$B,0)),"⚠ NOT FOUND","✓"))</f>
        <v>✓</v>
      </c>
    </row>
    <row r="876" spans="1:12" ht="14" customHeight="1" x14ac:dyDescent="0.2">
      <c r="A876" s="56">
        <v>46095</v>
      </c>
      <c r="B876" s="2" t="s">
        <v>250</v>
      </c>
      <c r="C876" s="8" t="str">
        <f>IF(B876="","",IFERROR(INDEX(Client_List!$C:$C,MATCH(B876,Client_List!$B:$B,0)),""))</f>
        <v>2</v>
      </c>
      <c r="D876" s="4" t="str">
        <f>IF(B876="","",IFERROR(INDEX(Client_List!$D:$D,MATCH(B876,Client_List!$B:$B,0)),""))</f>
        <v>2D</v>
      </c>
      <c r="E876" s="4" t="str">
        <f>IF(B876="","",IFERROR(INDEX(Client_List!$K:$K,MATCH(B876,Client_List!$B:$B,0)),""))</f>
        <v>FRYERS CHOICE BLEND</v>
      </c>
      <c r="F876" s="5">
        <f>IF(B876="","",IFERROR(INDEX(Client_List!$J:$J,MATCH(B876,Client_List!$B:$B,0)),""))</f>
        <v>950</v>
      </c>
      <c r="G876" s="5">
        <v>583</v>
      </c>
      <c r="H876" s="4">
        <f>IF(B876="","",IFERROR(A876-LOOKUP(2,1/($B$4:$B875=B876),$A$4:$A875),""))</f>
        <v>4</v>
      </c>
      <c r="I876" s="72">
        <f t="shared" si="13"/>
        <v>145.75</v>
      </c>
      <c r="J876" s="4">
        <v>10378</v>
      </c>
      <c r="K876" s="6">
        <f>IF(B876="","",IFERROR(AVERAGEIFS($I$4:$I876,$B$4:$B876,B876,$I$4:$I876,"&gt;"&amp;0),""))</f>
        <v>123.25</v>
      </c>
      <c r="L876" s="4" t="str">
        <f>IF(B876="","",IF(ISNA(MATCH(B876,Client_List!$B:$B,0)),"⚠ NOT FOUND","✓"))</f>
        <v>✓</v>
      </c>
    </row>
    <row r="877" spans="1:12" ht="14" customHeight="1" x14ac:dyDescent="0.2">
      <c r="A877" s="57">
        <v>46095</v>
      </c>
      <c r="B877" s="7" t="s">
        <v>379</v>
      </c>
      <c r="C877" s="12">
        <f>IF(B877="","",IFERROR(INDEX(Client_List!$C:$C,MATCH(B877,Client_List!$B:$B,0)),""))</f>
        <v>0</v>
      </c>
      <c r="D877" s="9" t="str">
        <f>IF(B877="","",IFERROR(INDEX(Client_List!$D:$D,MATCH(B877,Client_List!$B:$B,0)),""))</f>
        <v>C</v>
      </c>
      <c r="E877" s="9" t="str">
        <f>IF(B877="","",IFERROR(INDEX(Client_List!$K:$K,MATCH(B877,Client_List!$B:$B,0)),""))</f>
        <v>FRYERS CHOICE BLEND</v>
      </c>
      <c r="F877" s="10">
        <f>IF(B877="","",IFERROR(INDEX(Client_List!$J:$J,MATCH(B877,Client_List!$B:$B,0)),""))</f>
        <v>700</v>
      </c>
      <c r="G877" s="10">
        <v>551</v>
      </c>
      <c r="H877" s="9">
        <f>IF(B877="","",IFERROR(A877-LOOKUP(2,1/($B$4:$B876=B877),$A$4:$A876),""))</f>
        <v>14</v>
      </c>
      <c r="I877" s="73">
        <f t="shared" si="13"/>
        <v>39.357142857142854</v>
      </c>
      <c r="J877" s="9">
        <v>10293</v>
      </c>
      <c r="K877" s="6">
        <f>IF(B877="","",IFERROR(AVERAGEIFS($I$4:$I877,$B$4:$B877,B877,$I$4:$I877,"&gt;"&amp;0),""))</f>
        <v>39.589285714285715</v>
      </c>
      <c r="L877" s="9" t="str">
        <f>IF(B877="","",IF(ISNA(MATCH(B877,Client_List!$B:$B,0)),"⚠ NOT FOUND","✓"))</f>
        <v>✓</v>
      </c>
    </row>
    <row r="878" spans="1:12" ht="14" customHeight="1" x14ac:dyDescent="0.2">
      <c r="A878" s="56">
        <v>46095</v>
      </c>
      <c r="B878" s="2" t="s">
        <v>370</v>
      </c>
      <c r="C878" s="12" t="str">
        <f>IF(B878="","",IFERROR(INDEX(Client_List!$C:$C,MATCH(B878,Client_List!$B:$B,0)),""))</f>
        <v>1</v>
      </c>
      <c r="D878" s="4" t="str">
        <f>IF(B878="","",IFERROR(INDEX(Client_List!$D:$D,MATCH(B878,Client_List!$B:$B,0)),""))</f>
        <v>1D</v>
      </c>
      <c r="E878" s="4" t="str">
        <f>IF(B878="","",IFERROR(INDEX(Client_List!$K:$K,MATCH(B878,Client_List!$B:$B,0)),""))</f>
        <v>CANOLA OIL</v>
      </c>
      <c r="F878" s="5">
        <f>IF(B878="","",IFERROR(INDEX(Client_List!$J:$J,MATCH(B878,Client_List!$B:$B,0)),""))</f>
        <v>2000</v>
      </c>
      <c r="G878" s="5">
        <v>1943</v>
      </c>
      <c r="H878" s="4">
        <f>IF(B878="","",IFERROR(A878-LOOKUP(2,1/($B$4:$B877=B878),$A$4:$A877),""))</f>
        <v>17</v>
      </c>
      <c r="I878" s="72">
        <f t="shared" si="13"/>
        <v>114.29411764705883</v>
      </c>
      <c r="J878" s="4">
        <v>10380</v>
      </c>
      <c r="K878" s="6">
        <f>IF(B878="","",IFERROR(AVERAGEIFS($I$4:$I878,$B$4:$B878,B878,$I$4:$I878,"&gt;"&amp;0),""))</f>
        <v>126.60160741219563</v>
      </c>
      <c r="L878" s="4" t="str">
        <f>IF(B878="","",IF(ISNA(MATCH(B878,Client_List!$B:$B,0)),"⚠ NOT FOUND","✓"))</f>
        <v>✓</v>
      </c>
    </row>
    <row r="879" spans="1:12" ht="14" customHeight="1" x14ac:dyDescent="0.2">
      <c r="A879" s="57">
        <v>46095</v>
      </c>
      <c r="B879" s="7" t="s">
        <v>268</v>
      </c>
      <c r="C879" s="12" t="str">
        <f>IF(B879="","",IFERROR(INDEX(Client_List!$C:$C,MATCH(B879,Client_List!$B:$B,0)),""))</f>
        <v>5</v>
      </c>
      <c r="D879" s="9" t="str">
        <f>IF(B879="","",IFERROR(INDEX(Client_List!$D:$D,MATCH(B879,Client_List!$B:$B,0)),""))</f>
        <v>5D</v>
      </c>
      <c r="E879" s="9" t="str">
        <f>IF(B879="","",IFERROR(INDEX(Client_List!$K:$K,MATCH(B879,Client_List!$B:$B,0)),""))</f>
        <v>CANOLA OIL</v>
      </c>
      <c r="F879" s="10">
        <f>IF(B879="","",IFERROR(INDEX(Client_List!$J:$J,MATCH(B879,Client_List!$B:$B,0)),""))</f>
        <v>660</v>
      </c>
      <c r="G879" s="10">
        <v>681</v>
      </c>
      <c r="H879" s="9">
        <f>IF(B879="","",IFERROR(A879-LOOKUP(2,1/($B$4:$B878=B879),$A$4:$A878),""))</f>
        <v>10</v>
      </c>
      <c r="I879" s="73">
        <f t="shared" si="13"/>
        <v>68.099999999999994</v>
      </c>
      <c r="J879" s="9">
        <v>10331</v>
      </c>
      <c r="K879" s="6">
        <f>IF(B879="","",IFERROR(AVERAGEIFS($I$4:$I879,$B$4:$B879,B879,$I$4:$I879,"&gt;"&amp;0),""))</f>
        <v>62.313888888888883</v>
      </c>
      <c r="L879" s="9" t="str">
        <f>IF(B879="","",IF(ISNA(MATCH(B879,Client_List!$B:$B,0)),"⚠ NOT FOUND","✓"))</f>
        <v>✓</v>
      </c>
    </row>
    <row r="880" spans="1:12" ht="14" customHeight="1" x14ac:dyDescent="0.2">
      <c r="A880" s="56">
        <v>46095</v>
      </c>
      <c r="B880" s="2" t="s">
        <v>316</v>
      </c>
      <c r="C880" s="12" t="str">
        <f>IF(B880="","",IFERROR(INDEX(Client_List!$C:$C,MATCH(B880,Client_List!$B:$B,0)),""))</f>
        <v>1</v>
      </c>
      <c r="D880" s="4" t="str">
        <f>IF(B880="","",IFERROR(INDEX(Client_List!$D:$D,MATCH(B880,Client_List!$B:$B,0)),""))</f>
        <v>1E</v>
      </c>
      <c r="E880" s="4" t="str">
        <f>IF(B880="","",IFERROR(INDEX(Client_List!$K:$K,MATCH(B880,Client_List!$B:$B,0)),""))</f>
        <v>CANOLA OIL</v>
      </c>
      <c r="F880" s="5">
        <f>IF(B880="","",IFERROR(INDEX(Client_List!$J:$J,MATCH(B880,Client_List!$B:$B,0)),""))</f>
        <v>1050</v>
      </c>
      <c r="G880" s="5">
        <v>731</v>
      </c>
      <c r="H880" s="4">
        <f>IF(B880="","",IFERROR(A880-LOOKUP(2,1/($B$4:$B879=B880),$A$4:$A879),""))</f>
        <v>11</v>
      </c>
      <c r="I880" s="72">
        <f t="shared" si="13"/>
        <v>66.454545454545453</v>
      </c>
      <c r="J880" s="4">
        <v>10379</v>
      </c>
      <c r="K880" s="6">
        <f>IF(B880="","",IFERROR(AVERAGEIFS($I$4:$I880,$B$4:$B880,B880,$I$4:$I880,"&gt;"&amp;0),""))</f>
        <v>62.403566919191917</v>
      </c>
      <c r="L880" s="4" t="str">
        <f>IF(B880="","",IF(ISNA(MATCH(B880,Client_List!$B:$B,0)),"⚠ NOT FOUND","✓"))</f>
        <v>✓</v>
      </c>
    </row>
    <row r="881" spans="1:12" ht="14" customHeight="1" x14ac:dyDescent="0.2">
      <c r="A881" s="57">
        <v>46095</v>
      </c>
      <c r="B881" s="7" t="s">
        <v>332</v>
      </c>
      <c r="C881" s="3" t="str">
        <f>IF(B881="","",IFERROR(INDEX(Client_List!$C:$C,MATCH(B881,Client_List!$B:$B,0)),""))</f>
        <v>2</v>
      </c>
      <c r="D881" s="9" t="str">
        <f>IF(B881="","",IFERROR(INDEX(Client_List!$D:$D,MATCH(B881,Client_List!$B:$B,0)),""))</f>
        <v>2C</v>
      </c>
      <c r="E881" s="9" t="str">
        <f>IF(B881="","",IFERROR(INDEX(Client_List!$K:$K,MATCH(B881,Client_List!$B:$B,0)),""))</f>
        <v>CANOLA OIL</v>
      </c>
      <c r="F881" s="10">
        <f>IF(B881="","",IFERROR(INDEX(Client_List!$J:$J,MATCH(B881,Client_List!$B:$B,0)),""))</f>
        <v>1050</v>
      </c>
      <c r="G881" s="10">
        <v>819</v>
      </c>
      <c r="H881" s="9">
        <f>IF(B881="","",IFERROR(A881-LOOKUP(2,1/($B$4:$B880=B881),$A$4:$A880),""))</f>
        <v>14</v>
      </c>
      <c r="I881" s="73">
        <f t="shared" si="13"/>
        <v>58.5</v>
      </c>
      <c r="J881" s="9">
        <v>10274</v>
      </c>
      <c r="K881" s="6">
        <f>IF(B881="","",IFERROR(AVERAGEIFS($I$4:$I881,$B$4:$B881,B881,$I$4:$I881,"&gt;"&amp;0),""))</f>
        <v>42.588888888888889</v>
      </c>
      <c r="L881" s="9" t="str">
        <f>IF(B881="","",IF(ISNA(MATCH(B881,Client_List!$B:$B,0)),"⚠ NOT FOUND","✓"))</f>
        <v>✓</v>
      </c>
    </row>
    <row r="882" spans="1:12" ht="14" customHeight="1" x14ac:dyDescent="0.2">
      <c r="A882" s="56">
        <v>46096</v>
      </c>
      <c r="B882" s="2" t="s">
        <v>365</v>
      </c>
      <c r="C882" s="12">
        <f>IF(B882="","",IFERROR(INDEX(Client_List!$C:$C,MATCH(B882,Client_List!$B:$B,0)),""))</f>
        <v>0</v>
      </c>
      <c r="D882" s="4">
        <f>IF(B882="","",IFERROR(INDEX(Client_List!$D:$D,MATCH(B882,Client_List!$B:$B,0)),""))</f>
        <v>0</v>
      </c>
      <c r="E882" s="4" t="str">
        <f>IF(B882="","",IFERROR(INDEX(Client_List!$K:$K,MATCH(B882,Client_List!$B:$B,0)),""))</f>
        <v>CANOLA OIL</v>
      </c>
      <c r="F882" s="5">
        <f>IF(B882="","",IFERROR(INDEX(Client_List!$J:$J,MATCH(B882,Client_List!$B:$B,0)),""))</f>
        <v>700</v>
      </c>
      <c r="G882" s="5">
        <v>507</v>
      </c>
      <c r="H882" s="4">
        <f>IF(B882="","",IFERROR(A882-LOOKUP(2,1/($B$4:$B881=B882),$A$4:$A881),""))</f>
        <v>10</v>
      </c>
      <c r="I882" s="72">
        <f t="shared" si="13"/>
        <v>50.7</v>
      </c>
      <c r="J882" s="4">
        <v>10394</v>
      </c>
      <c r="K882" s="6">
        <f>IF(B882="","",IFERROR(AVERAGEIFS($I$4:$I882,$B$4:$B882,B882,$I$4:$I882,"&gt;"&amp;0),""))</f>
        <v>53.017738095238101</v>
      </c>
      <c r="L882" s="4" t="str">
        <f>IF(B882="","",IF(ISNA(MATCH(B882,Client_List!$B:$B,0)),"⚠ NOT FOUND","✓"))</f>
        <v>✓</v>
      </c>
    </row>
    <row r="883" spans="1:12" ht="14" customHeight="1" x14ac:dyDescent="0.2">
      <c r="A883" s="57">
        <v>46096</v>
      </c>
      <c r="B883" s="7" t="s">
        <v>298</v>
      </c>
      <c r="C883" s="11" t="str">
        <f>IF(B883="","",IFERROR(INDEX(Client_List!$C:$C,MATCH(B883,Client_List!$B:$B,0)),""))</f>
        <v>1</v>
      </c>
      <c r="D883" s="9" t="str">
        <f>IF(B883="","",IFERROR(INDEX(Client_List!$D:$D,MATCH(B883,Client_List!$B:$B,0)),""))</f>
        <v>1C</v>
      </c>
      <c r="E883" s="9" t="str">
        <f>IF(B883="","",IFERROR(INDEX(Client_List!$K:$K,MATCH(B883,Client_List!$B:$B,0)),""))</f>
        <v>CANOLA OIL</v>
      </c>
      <c r="F883" s="10">
        <f>IF(B883="","",IFERROR(INDEX(Client_List!$J:$J,MATCH(B883,Client_List!$B:$B,0)),""))</f>
        <v>950</v>
      </c>
      <c r="G883" s="10">
        <v>946</v>
      </c>
      <c r="H883" s="9">
        <f>IF(B883="","",IFERROR(A883-LOOKUP(2,1/($B$4:$B882=B883),$A$4:$A882),""))</f>
        <v>17</v>
      </c>
      <c r="I883" s="73">
        <f t="shared" si="13"/>
        <v>55.647058823529413</v>
      </c>
      <c r="J883" s="9">
        <v>10338</v>
      </c>
      <c r="K883" s="6">
        <f>IF(B883="","",IFERROR(AVERAGEIFS($I$4:$I883,$B$4:$B883,B883,$I$4:$I883,"&gt;"&amp;0),""))</f>
        <v>49.69754363283775</v>
      </c>
      <c r="L883" s="9" t="str">
        <f>IF(B883="","",IF(ISNA(MATCH(B883,Client_List!$B:$B,0)),"⚠ NOT FOUND","✓"))</f>
        <v>✓</v>
      </c>
    </row>
    <row r="884" spans="1:12" ht="14" customHeight="1" x14ac:dyDescent="0.2">
      <c r="A884" s="56">
        <v>46096</v>
      </c>
      <c r="B884" s="2" t="s">
        <v>314</v>
      </c>
      <c r="C884" s="3" t="str">
        <f>IF(B884="","",IFERROR(INDEX(Client_List!$C:$C,MATCH(B884,Client_List!$B:$B,0)),""))</f>
        <v>1</v>
      </c>
      <c r="D884" s="4" t="str">
        <f>IF(B884="","",IFERROR(INDEX(Client_List!$D:$D,MATCH(B884,Client_List!$B:$B,0)),""))</f>
        <v>1C</v>
      </c>
      <c r="E884" s="4" t="str">
        <f>IF(B884="","",IFERROR(INDEX(Client_List!$K:$K,MATCH(B884,Client_List!$B:$B,0)),""))</f>
        <v>CANOLA OIL</v>
      </c>
      <c r="F884" s="5">
        <f>IF(B884="","",IFERROR(INDEX(Client_List!$J:$J,MATCH(B884,Client_List!$B:$B,0)),""))</f>
        <v>1050</v>
      </c>
      <c r="G884" s="5">
        <v>914</v>
      </c>
      <c r="H884" s="4">
        <f>IF(B884="","",IFERROR(A884-LOOKUP(2,1/($B$4:$B883=B884),$A$4:$A883),""))</f>
        <v>10</v>
      </c>
      <c r="I884" s="72">
        <f t="shared" si="13"/>
        <v>91.4</v>
      </c>
      <c r="J884" s="4">
        <v>10337</v>
      </c>
      <c r="K884" s="6">
        <f>IF(B884="","",IFERROR(AVERAGEIFS($I$4:$I884,$B$4:$B884,B884,$I$4:$I884,"&gt;"&amp;0),""))</f>
        <v>83.888491508491512</v>
      </c>
      <c r="L884" s="4" t="str">
        <f>IF(B884="","",IF(ISNA(MATCH(B884,Client_List!$B:$B,0)),"⚠ NOT FOUND","✓"))</f>
        <v>✓</v>
      </c>
    </row>
    <row r="885" spans="1:12" ht="14" customHeight="1" x14ac:dyDescent="0.2">
      <c r="A885" s="57">
        <v>46096</v>
      </c>
      <c r="B885" s="7" t="s">
        <v>326</v>
      </c>
      <c r="C885" s="11" t="str">
        <f>IF(B885="","",IFERROR(INDEX(Client_List!$C:$C,MATCH(B885,Client_List!$B:$B,0)),""))</f>
        <v>1</v>
      </c>
      <c r="D885" s="9" t="str">
        <f>IF(B885="","",IFERROR(INDEX(Client_List!$D:$D,MATCH(B885,Client_List!$B:$B,0)),""))</f>
        <v>1C</v>
      </c>
      <c r="E885" s="9" t="str">
        <f>IF(B885="","",IFERROR(INDEX(Client_List!$K:$K,MATCH(B885,Client_List!$B:$B,0)),""))</f>
        <v>FRYERS CHOICE BLEND</v>
      </c>
      <c r="F885" s="10">
        <f>IF(B885="","",IFERROR(INDEX(Client_List!$J:$J,MATCH(B885,Client_List!$B:$B,0)),""))</f>
        <v>950</v>
      </c>
      <c r="G885" s="10">
        <v>738</v>
      </c>
      <c r="H885" s="9">
        <f>IF(B885="","",IFERROR(A885-LOOKUP(2,1/($B$4:$B884=B885),$A$4:$A884),""))</f>
        <v>24</v>
      </c>
      <c r="I885" s="73">
        <f t="shared" si="13"/>
        <v>30.75</v>
      </c>
      <c r="J885" s="9">
        <v>10342</v>
      </c>
      <c r="K885" s="6">
        <f>IF(B885="","",IFERROR(AVERAGEIFS($I$4:$I885,$B$4:$B885,B885,$I$4:$I885,"&gt;"&amp;0),""))</f>
        <v>29.709523809523812</v>
      </c>
      <c r="L885" s="9" t="str">
        <f>IF(B885="","",IF(ISNA(MATCH(B885,Client_List!$B:$B,0)),"⚠ NOT FOUND","✓"))</f>
        <v>✓</v>
      </c>
    </row>
    <row r="886" spans="1:12" ht="14" customHeight="1" x14ac:dyDescent="0.2">
      <c r="A886" s="56">
        <v>46096</v>
      </c>
      <c r="B886" s="2" t="s">
        <v>342</v>
      </c>
      <c r="C886" s="3" t="str">
        <f>IF(B886="","",IFERROR(INDEX(Client_List!$C:$C,MATCH(B886,Client_List!$B:$B,0)),""))</f>
        <v>4</v>
      </c>
      <c r="D886" s="4" t="str">
        <f>IF(B886="","",IFERROR(INDEX(Client_List!$D:$D,MATCH(B886,Client_List!$B:$B,0)),""))</f>
        <v>4A</v>
      </c>
      <c r="E886" s="4" t="str">
        <f>IF(B886="","",IFERROR(INDEX(Client_List!$K:$K,MATCH(B886,Client_List!$B:$B,0)),""))</f>
        <v>FRYERS CHOICE BLEND</v>
      </c>
      <c r="F886" s="5">
        <f>IF(B886="","",IFERROR(INDEX(Client_List!$J:$J,MATCH(B886,Client_List!$B:$B,0)),""))</f>
        <v>630</v>
      </c>
      <c r="G886" s="5">
        <v>625</v>
      </c>
      <c r="H886" s="4">
        <f>IF(B886="","",IFERROR(A886-LOOKUP(2,1/($B$4:$B885=B886),$A$4:$A885),""))</f>
        <v>13</v>
      </c>
      <c r="I886" s="72">
        <f t="shared" si="13"/>
        <v>48.07692307692308</v>
      </c>
      <c r="J886" s="4">
        <v>10349</v>
      </c>
      <c r="K886" s="6">
        <f>IF(B886="","",IFERROR(AVERAGEIFS($I$4:$I886,$B$4:$B886,B886,$I$4:$I886,"&gt;"&amp;0),""))</f>
        <v>39.10129370629371</v>
      </c>
      <c r="L886" s="4" t="str">
        <f>IF(B886="","",IF(ISNA(MATCH(B886,Client_List!$B:$B,0)),"⚠ NOT FOUND","✓"))</f>
        <v>✓</v>
      </c>
    </row>
    <row r="887" spans="1:12" ht="14" customHeight="1" x14ac:dyDescent="0.2">
      <c r="A887" s="57">
        <v>46097</v>
      </c>
      <c r="B887" s="7" t="s">
        <v>214</v>
      </c>
      <c r="C887" s="3" t="str">
        <f>IF(B887="","",IFERROR(INDEX(Client_List!$C:$C,MATCH(B887,Client_List!$B:$B,0)),""))</f>
        <v>1</v>
      </c>
      <c r="D887" s="9" t="str">
        <f>IF(B887="","",IFERROR(INDEX(Client_List!$D:$D,MATCH(B887,Client_List!$B:$B,0)),""))</f>
        <v>1C</v>
      </c>
      <c r="E887" s="9" t="str">
        <f>IF(B887="","",IFERROR(INDEX(Client_List!$K:$K,MATCH(B887,Client_List!$B:$B,0)),""))</f>
        <v>CANOLA OIL</v>
      </c>
      <c r="F887" s="10">
        <f>IF(B887="","",IFERROR(INDEX(Client_List!$J:$J,MATCH(B887,Client_List!$B:$B,0)),""))</f>
        <v>630</v>
      </c>
      <c r="G887" s="10">
        <v>355</v>
      </c>
      <c r="H887" s="9">
        <f>IF(B887="","",IFERROR(A887-LOOKUP(2,1/($B$4:$B886=B887),$A$4:$A886),""))</f>
        <v>18</v>
      </c>
      <c r="I887" s="73">
        <f t="shared" si="13"/>
        <v>19.722222222222221</v>
      </c>
      <c r="J887" s="9">
        <v>10422</v>
      </c>
      <c r="K887" s="6">
        <f>IF(B887="","",IFERROR(AVERAGEIFS($I$4:$I887,$B$4:$B887,B887,$I$4:$I887,"&gt;"&amp;0),""))</f>
        <v>23.116071428571431</v>
      </c>
      <c r="L887" s="9" t="str">
        <f>IF(B887="","",IF(ISNA(MATCH(B887,Client_List!$B:$B,0)),"⚠ NOT FOUND","✓"))</f>
        <v>✓</v>
      </c>
    </row>
    <row r="888" spans="1:12" ht="14" customHeight="1" x14ac:dyDescent="0.2">
      <c r="A888" s="56">
        <v>46097</v>
      </c>
      <c r="B888" s="2" t="s">
        <v>230</v>
      </c>
      <c r="C888" s="3" t="str">
        <f>IF(B888="","",IFERROR(INDEX(Client_List!$C:$C,MATCH(B888,Client_List!$B:$B,0)),""))</f>
        <v>1</v>
      </c>
      <c r="D888" s="4" t="str">
        <f>IF(B888="","",IFERROR(INDEX(Client_List!$D:$D,MATCH(B888,Client_List!$B:$B,0)),""))</f>
        <v>1D</v>
      </c>
      <c r="E888" s="4" t="str">
        <f>IF(B888="","",IFERROR(INDEX(Client_List!$K:$K,MATCH(B888,Client_List!$B:$B,0)),""))</f>
        <v>CANOLA OIL</v>
      </c>
      <c r="F888" s="5">
        <f>IF(B888="","",IFERROR(INDEX(Client_List!$J:$J,MATCH(B888,Client_List!$B:$B,0)),""))</f>
        <v>660</v>
      </c>
      <c r="G888" s="5">
        <v>648</v>
      </c>
      <c r="H888" s="4">
        <f>IF(B888="","",IFERROR(A888-LOOKUP(2,1/($B$4:$B887=B888),$A$4:$A887),""))</f>
        <v>13</v>
      </c>
      <c r="I888" s="72">
        <f t="shared" si="13"/>
        <v>49.846153846153847</v>
      </c>
      <c r="J888" s="4">
        <v>10434</v>
      </c>
      <c r="K888" s="6">
        <f>IF(B888="","",IFERROR(AVERAGEIFS($I$4:$I888,$B$4:$B888,B888,$I$4:$I888,"&gt;"&amp;0),""))</f>
        <v>47.499347319347315</v>
      </c>
      <c r="L888" s="4" t="str">
        <f>IF(B888="","",IF(ISNA(MATCH(B888,Client_List!$B:$B,0)),"⚠ NOT FOUND","✓"))</f>
        <v>✓</v>
      </c>
    </row>
    <row r="889" spans="1:12" ht="14" customHeight="1" x14ac:dyDescent="0.2">
      <c r="A889" s="57">
        <v>46097</v>
      </c>
      <c r="B889" s="7" t="s">
        <v>310</v>
      </c>
      <c r="C889" s="13" t="str">
        <f>IF(B889="","",IFERROR(INDEX(Client_List!$C:$C,MATCH(B889,Client_List!$B:$B,0)),""))</f>
        <v>3</v>
      </c>
      <c r="D889" s="9" t="str">
        <f>IF(B889="","",IFERROR(INDEX(Client_List!$D:$D,MATCH(B889,Client_List!$B:$B,0)),""))</f>
        <v>3D</v>
      </c>
      <c r="E889" s="9" t="str">
        <f>IF(B889="","",IFERROR(INDEX(Client_List!$K:$K,MATCH(B889,Client_List!$B:$B,0)),""))</f>
        <v>CANOLA OIL</v>
      </c>
      <c r="F889" s="10">
        <f>IF(B889="","",IFERROR(INDEX(Client_List!$J:$J,MATCH(B889,Client_List!$B:$B,0)),""))</f>
        <v>1050</v>
      </c>
      <c r="G889" s="10">
        <v>1019</v>
      </c>
      <c r="H889" s="9">
        <f>IF(B889="","",IFERROR(A889-LOOKUP(2,1/($B$4:$B888=B889),$A$4:$A888),""))</f>
        <v>12</v>
      </c>
      <c r="I889" s="73">
        <f t="shared" si="13"/>
        <v>84.916666666666671</v>
      </c>
      <c r="J889" s="9">
        <v>10429</v>
      </c>
      <c r="K889" s="6">
        <f>IF(B889="","",IFERROR(AVERAGEIFS($I$4:$I889,$B$4:$B889,B889,$I$4:$I889,"&gt;"&amp;0),""))</f>
        <v>71.508562271062274</v>
      </c>
      <c r="L889" s="9" t="str">
        <f>IF(B889="","",IF(ISNA(MATCH(B889,Client_List!$B:$B,0)),"⚠ NOT FOUND","✓"))</f>
        <v>✓</v>
      </c>
    </row>
    <row r="890" spans="1:12" ht="14" customHeight="1" x14ac:dyDescent="0.2">
      <c r="A890" s="56">
        <v>46097</v>
      </c>
      <c r="B890" s="2" t="s">
        <v>336</v>
      </c>
      <c r="C890" s="8" t="str">
        <f>IF(B890="","",IFERROR(INDEX(Client_List!$C:$C,MATCH(B890,Client_List!$B:$B,0)),""))</f>
        <v>4</v>
      </c>
      <c r="D890" s="4" t="str">
        <f>IF(B890="","",IFERROR(INDEX(Client_List!$D:$D,MATCH(B890,Client_List!$B:$B,0)),""))</f>
        <v>4D</v>
      </c>
      <c r="E890" s="4" t="str">
        <f>IF(B890="","",IFERROR(INDEX(Client_List!$K:$K,MATCH(B890,Client_List!$B:$B,0)),""))</f>
        <v>CANOLA OIL</v>
      </c>
      <c r="F890" s="5">
        <f>IF(B890="","",IFERROR(INDEX(Client_List!$J:$J,MATCH(B890,Client_List!$B:$B,0)),""))</f>
        <v>1050</v>
      </c>
      <c r="G890" s="5">
        <v>1061</v>
      </c>
      <c r="H890" s="4">
        <f>IF(B890="","",IFERROR(A890-LOOKUP(2,1/($B$4:$B889=B890),$A$4:$A889),""))</f>
        <v>13</v>
      </c>
      <c r="I890" s="72">
        <f t="shared" si="13"/>
        <v>81.615384615384613</v>
      </c>
      <c r="J890" s="4">
        <v>10374</v>
      </c>
      <c r="K890" s="6">
        <f>IF(B890="","",IFERROR(AVERAGEIFS($I$4:$I890,$B$4:$B890,B890,$I$4:$I890,"&gt;"&amp;0),""))</f>
        <v>90.775641025641036</v>
      </c>
      <c r="L890" s="4" t="str">
        <f>IF(B890="","",IF(ISNA(MATCH(B890,Client_List!$B:$B,0)),"⚠ NOT FOUND","✓"))</f>
        <v>✓</v>
      </c>
    </row>
    <row r="891" spans="1:12" ht="14" customHeight="1" x14ac:dyDescent="0.2">
      <c r="A891" s="57">
        <v>46097</v>
      </c>
      <c r="B891" s="7" t="s">
        <v>350</v>
      </c>
      <c r="C891" s="3" t="str">
        <f>IF(B891="","",IFERROR(INDEX(Client_List!$C:$C,MATCH(B891,Client_List!$B:$B,0)),""))</f>
        <v>2</v>
      </c>
      <c r="D891" s="9" t="str">
        <f>IF(B891="","",IFERROR(INDEX(Client_List!$D:$D,MATCH(B891,Client_List!$B:$B,0)),""))</f>
        <v>2D</v>
      </c>
      <c r="E891" s="9" t="str">
        <f>IF(B891="","",IFERROR(INDEX(Client_List!$K:$K,MATCH(B891,Client_List!$B:$B,0)),""))</f>
        <v>CANOLA OIL</v>
      </c>
      <c r="F891" s="10">
        <f>IF(B891="","",IFERROR(INDEX(Client_List!$J:$J,MATCH(B891,Client_List!$B:$B,0)),""))</f>
        <v>1050</v>
      </c>
      <c r="G891" s="10">
        <v>1038</v>
      </c>
      <c r="H891" s="9">
        <f>IF(B891="","",IFERROR(A891-LOOKUP(2,1/($B$4:$B890=B891),$A$4:$A890),""))</f>
        <v>16</v>
      </c>
      <c r="I891" s="73">
        <f t="shared" si="13"/>
        <v>64.875</v>
      </c>
      <c r="J891" s="9">
        <v>10428</v>
      </c>
      <c r="K891" s="6">
        <f>IF(B891="","",IFERROR(AVERAGEIFS($I$4:$I891,$B$4:$B891,B891,$I$4:$I891,"&gt;"&amp;0),""))</f>
        <v>63.180803571428569</v>
      </c>
      <c r="L891" s="9" t="str">
        <f>IF(B891="","",IF(ISNA(MATCH(B891,Client_List!$B:$B,0)),"⚠ NOT FOUND","✓"))</f>
        <v>✓</v>
      </c>
    </row>
    <row r="892" spans="1:12" ht="14" customHeight="1" x14ac:dyDescent="0.2">
      <c r="A892" s="56">
        <v>46098</v>
      </c>
      <c r="B892" s="2" t="s">
        <v>38</v>
      </c>
      <c r="C892" s="3" t="str">
        <f>IF(B892="","",IFERROR(INDEX(Client_List!$C:$C,MATCH(B892,Client_List!$B:$B,0)),""))</f>
        <v>4</v>
      </c>
      <c r="D892" s="4" t="str">
        <f>IF(B892="","",IFERROR(INDEX(Client_List!$D:$D,MATCH(B892,Client_List!$B:$B,0)),""))</f>
        <v>4C</v>
      </c>
      <c r="E892" s="4" t="str">
        <f>IF(B892="","",IFERROR(INDEX(Client_List!$K:$K,MATCH(B892,Client_List!$B:$B,0)),""))</f>
        <v>CANOLA OIL</v>
      </c>
      <c r="F892" s="5">
        <f>IF(B892="","",IFERROR(INDEX(Client_List!$J:$J,MATCH(B892,Client_List!$B:$B,0)),""))</f>
        <v>900</v>
      </c>
      <c r="G892" s="5">
        <v>782</v>
      </c>
      <c r="H892" s="4">
        <f>IF(B892="","",IFERROR(A892-LOOKUP(2,1/($B$4:$B891=B892),$A$4:$A891),""))</f>
        <v>14</v>
      </c>
      <c r="I892" s="72">
        <f t="shared" si="13"/>
        <v>55.857142857142854</v>
      </c>
      <c r="J892" s="4">
        <v>10407</v>
      </c>
      <c r="K892" s="6">
        <f>IF(B892="","",IFERROR(AVERAGEIFS($I$4:$I892,$B$4:$B892,B892,$I$4:$I892,"&gt;"&amp;0),""))</f>
        <v>50.318373015873014</v>
      </c>
      <c r="L892" s="4" t="str">
        <f>IF(B892="","",IF(ISNA(MATCH(B892,Client_List!$B:$B,0)),"⚠ NOT FOUND","✓"))</f>
        <v>✓</v>
      </c>
    </row>
    <row r="893" spans="1:12" ht="14" customHeight="1" x14ac:dyDescent="0.2">
      <c r="A893" s="57">
        <v>46098</v>
      </c>
      <c r="B893" s="7" t="s">
        <v>43</v>
      </c>
      <c r="C893" s="3" t="str">
        <f>IF(B893="","",IFERROR(INDEX(Client_List!$C:$C,MATCH(B893,Client_List!$B:$B,0)),""))</f>
        <v>1</v>
      </c>
      <c r="D893" s="9" t="str">
        <f>IF(B893="","",IFERROR(INDEX(Client_List!$D:$D,MATCH(B893,Client_List!$B:$B,0)),""))</f>
        <v>1C</v>
      </c>
      <c r="E893" s="9" t="str">
        <f>IF(B893="","",IFERROR(INDEX(Client_List!$K:$K,MATCH(B893,Client_List!$B:$B,0)),""))</f>
        <v>FRYERS CHOICE BLEND</v>
      </c>
      <c r="F893" s="10">
        <f>IF(B893="","",IFERROR(INDEX(Client_List!$J:$J,MATCH(B893,Client_List!$B:$B,0)),""))</f>
        <v>620</v>
      </c>
      <c r="G893" s="10">
        <v>542</v>
      </c>
      <c r="H893" s="9">
        <f>IF(B893="","",IFERROR(A893-LOOKUP(2,1/($B$4:$B892=B893),$A$4:$A892),""))</f>
        <v>12</v>
      </c>
      <c r="I893" s="73">
        <f t="shared" si="13"/>
        <v>45.166666666666664</v>
      </c>
      <c r="J893" s="9">
        <v>10426</v>
      </c>
      <c r="K893" s="6">
        <f>IF(B893="","",IFERROR(AVERAGEIFS($I$4:$I893,$B$4:$B893,B893,$I$4:$I893,"&gt;"&amp;0),""))</f>
        <v>45.713909932659931</v>
      </c>
      <c r="L893" s="9" t="str">
        <f>IF(B893="","",IF(ISNA(MATCH(B893,Client_List!$B:$B,0)),"⚠ NOT FOUND","✓"))</f>
        <v>✓</v>
      </c>
    </row>
    <row r="894" spans="1:12" ht="14" customHeight="1" x14ac:dyDescent="0.2">
      <c r="A894" s="56">
        <v>46098</v>
      </c>
      <c r="B894" s="2" t="s">
        <v>54</v>
      </c>
      <c r="C894" s="12" t="str">
        <f>IF(B894="","",IFERROR(INDEX(Client_List!$C:$C,MATCH(B894,Client_List!$B:$B,0)),""))</f>
        <v>4</v>
      </c>
      <c r="D894" s="4" t="str">
        <f>IF(B894="","",IFERROR(INDEX(Client_List!$D:$D,MATCH(B894,Client_List!$B:$B,0)),""))</f>
        <v>4F</v>
      </c>
      <c r="E894" s="4" t="str">
        <f>IF(B894="","",IFERROR(INDEX(Client_List!$K:$K,MATCH(B894,Client_List!$B:$B,0)),""))</f>
        <v>CANOLA OIL</v>
      </c>
      <c r="F894" s="5">
        <f>IF(B894="","",IFERROR(INDEX(Client_List!$J:$J,MATCH(B894,Client_List!$B:$B,0)),""))</f>
        <v>1000</v>
      </c>
      <c r="G894" s="5">
        <v>1005</v>
      </c>
      <c r="H894" s="4">
        <f>IF(B894="","",IFERROR(A894-LOOKUP(2,1/($B$4:$B893=B894),$A$4:$A893),""))</f>
        <v>14</v>
      </c>
      <c r="I894" s="72">
        <f t="shared" si="13"/>
        <v>71.785714285714292</v>
      </c>
      <c r="J894" s="4">
        <v>10411</v>
      </c>
      <c r="K894" s="6">
        <f>IF(B894="","",IFERROR(AVERAGEIFS($I$4:$I894,$B$4:$B894,B894,$I$4:$I894,"&gt;"&amp;0),""))</f>
        <v>67.912380952380957</v>
      </c>
      <c r="L894" s="4" t="str">
        <f>IF(B894="","",IF(ISNA(MATCH(B894,Client_List!$B:$B,0)),"⚠ NOT FOUND","✓"))</f>
        <v>✓</v>
      </c>
    </row>
    <row r="895" spans="1:12" ht="14" customHeight="1" x14ac:dyDescent="0.2">
      <c r="A895" s="57">
        <v>46098</v>
      </c>
      <c r="B895" s="7" t="s">
        <v>59</v>
      </c>
      <c r="C895" s="13" t="str">
        <f>IF(B895="","",IFERROR(INDEX(Client_List!$C:$C,MATCH(B895,Client_List!$B:$B,0)),""))</f>
        <v>1</v>
      </c>
      <c r="D895" s="9" t="str">
        <f>IF(B895="","",IFERROR(INDEX(Client_List!$D:$D,MATCH(B895,Client_List!$B:$B,0)),""))</f>
        <v>1D</v>
      </c>
      <c r="E895" s="9" t="str">
        <f>IF(B895="","",IFERROR(INDEX(Client_List!$K:$K,MATCH(B895,Client_List!$B:$B,0)),""))</f>
        <v>CANOLA OIL</v>
      </c>
      <c r="F895" s="10">
        <f>IF(B895="","",IFERROR(INDEX(Client_List!$J:$J,MATCH(B895,Client_List!$B:$B,0)),""))</f>
        <v>900</v>
      </c>
      <c r="G895" s="10">
        <v>964</v>
      </c>
      <c r="H895" s="9">
        <f>IF(B895="","",IFERROR(A895-LOOKUP(2,1/($B$4:$B894=B895),$A$4:$A894),""))</f>
        <v>12</v>
      </c>
      <c r="I895" s="73">
        <f t="shared" si="13"/>
        <v>80.333333333333329</v>
      </c>
      <c r="J895" s="9">
        <v>10436</v>
      </c>
      <c r="K895" s="6">
        <f>IF(B895="","",IFERROR(AVERAGEIFS($I$4:$I895,$B$4:$B895,B895,$I$4:$I895,"&gt;"&amp;0),""))</f>
        <v>75.073484848484853</v>
      </c>
      <c r="L895" s="9" t="str">
        <f>IF(B895="","",IF(ISNA(MATCH(B895,Client_List!$B:$B,0)),"⚠ NOT FOUND","✓"))</f>
        <v>✓</v>
      </c>
    </row>
    <row r="896" spans="1:12" ht="14" customHeight="1" x14ac:dyDescent="0.2">
      <c r="A896" s="56">
        <v>46098</v>
      </c>
      <c r="B896" s="2" t="s">
        <v>61</v>
      </c>
      <c r="C896" s="3" t="str">
        <f>IF(B896="","",IFERROR(INDEX(Client_List!$C:$C,MATCH(B896,Client_List!$B:$B,0)),""))</f>
        <v>3</v>
      </c>
      <c r="D896" s="4" t="str">
        <f>IF(B896="","",IFERROR(INDEX(Client_List!$D:$D,MATCH(B896,Client_List!$B:$B,0)),""))</f>
        <v>3D</v>
      </c>
      <c r="E896" s="4" t="str">
        <f>IF(B896="","",IFERROR(INDEX(Client_List!$K:$K,MATCH(B896,Client_List!$B:$B,0)),""))</f>
        <v>CANOLA OIL</v>
      </c>
      <c r="F896" s="5">
        <f>IF(B896="","",IFERROR(INDEX(Client_List!$J:$J,MATCH(B896,Client_List!$B:$B,0)),""))</f>
        <v>350</v>
      </c>
      <c r="G896" s="5">
        <v>218</v>
      </c>
      <c r="H896" s="4">
        <f>IF(B896="","",IFERROR(A896-LOOKUP(2,1/($B$4:$B895=B896),$A$4:$A895),""))</f>
        <v>6</v>
      </c>
      <c r="I896" s="72">
        <f t="shared" si="13"/>
        <v>36.333333333333336</v>
      </c>
      <c r="J896" s="4">
        <v>10399</v>
      </c>
      <c r="K896" s="6">
        <f>IF(B896="","",IFERROR(AVERAGEIFS($I$4:$I896,$B$4:$B896,B896,$I$4:$I896,"&gt;"&amp;0),""))</f>
        <v>42.610863095238095</v>
      </c>
      <c r="L896" s="4" t="str">
        <f>IF(B896="","",IF(ISNA(MATCH(B896,Client_List!$B:$B,0)),"⚠ NOT FOUND","✓"))</f>
        <v>✓</v>
      </c>
    </row>
    <row r="897" spans="1:12" ht="14" customHeight="1" x14ac:dyDescent="0.2">
      <c r="A897" s="57">
        <v>46098</v>
      </c>
      <c r="B897" s="7" t="s">
        <v>67</v>
      </c>
      <c r="C897" s="12" t="str">
        <f>IF(B897="","",IFERROR(INDEX(Client_List!$C:$C,MATCH(B897,Client_List!$B:$B,0)),""))</f>
        <v>5</v>
      </c>
      <c r="D897" s="9" t="str">
        <f>IF(B897="","",IFERROR(INDEX(Client_List!$D:$D,MATCH(B897,Client_List!$B:$B,0)),""))</f>
        <v>5F</v>
      </c>
      <c r="E897" s="9" t="str">
        <f>IF(B897="","",IFERROR(INDEX(Client_List!$K:$K,MATCH(B897,Client_List!$B:$B,0)),""))</f>
        <v>CANOLA OIL</v>
      </c>
      <c r="F897" s="10">
        <f>IF(B897="","",IFERROR(INDEX(Client_List!$J:$J,MATCH(B897,Client_List!$B:$B,0)),""))</f>
        <v>950</v>
      </c>
      <c r="G897" s="10">
        <v>889</v>
      </c>
      <c r="H897" s="9">
        <f>IF(B897="","",IFERROR(A897-LOOKUP(2,1/($B$4:$B896=B897),$A$4:$A896),""))</f>
        <v>10</v>
      </c>
      <c r="I897" s="73">
        <f t="shared" si="13"/>
        <v>88.9</v>
      </c>
      <c r="J897" s="9">
        <v>10431</v>
      </c>
      <c r="K897" s="6">
        <f>IF(B897="","",IFERROR(AVERAGEIFS($I$4:$I897,$B$4:$B897,B897,$I$4:$I897,"&gt;"&amp;0),""))</f>
        <v>85.521536796536793</v>
      </c>
      <c r="L897" s="9" t="str">
        <f>IF(B897="","",IF(ISNA(MATCH(B897,Client_List!$B:$B,0)),"⚠ NOT FOUND","✓"))</f>
        <v>✓</v>
      </c>
    </row>
    <row r="898" spans="1:12" ht="14" customHeight="1" x14ac:dyDescent="0.2">
      <c r="A898" s="56">
        <v>46098</v>
      </c>
      <c r="B898" s="2" t="s">
        <v>69</v>
      </c>
      <c r="C898" s="8" t="str">
        <f>IF(B898="","",IFERROR(INDEX(Client_List!$C:$C,MATCH(B898,Client_List!$B:$B,0)),""))</f>
        <v>5</v>
      </c>
      <c r="D898" s="4" t="str">
        <f>IF(B898="","",IFERROR(INDEX(Client_List!$D:$D,MATCH(B898,Client_List!$B:$B,0)),""))</f>
        <v>5D</v>
      </c>
      <c r="E898" s="4" t="str">
        <f>IF(B898="","",IFERROR(INDEX(Client_List!$K:$K,MATCH(B898,Client_List!$B:$B,0)),""))</f>
        <v>CANOLA OIL</v>
      </c>
      <c r="F898" s="5">
        <f>IF(B898="","",IFERROR(INDEX(Client_List!$J:$J,MATCH(B898,Client_List!$B:$B,0)),""))</f>
        <v>1050</v>
      </c>
      <c r="G898" s="5">
        <v>1052</v>
      </c>
      <c r="H898" s="4">
        <f>IF(B898="","",IFERROR(A898-LOOKUP(2,1/($B$4:$B897=B898),$A$4:$A897),""))</f>
        <v>18</v>
      </c>
      <c r="I898" s="72">
        <f t="shared" si="13"/>
        <v>58.444444444444443</v>
      </c>
      <c r="J898" s="4">
        <v>10398</v>
      </c>
      <c r="K898" s="6">
        <f>IF(B898="","",IFERROR(AVERAGEIFS($I$4:$I898,$B$4:$B898,B898,$I$4:$I898,"&gt;"&amp;0),""))</f>
        <v>60.658329517704516</v>
      </c>
      <c r="L898" s="4" t="str">
        <f>IF(B898="","",IF(ISNA(MATCH(B898,Client_List!$B:$B,0)),"⚠ NOT FOUND","✓"))</f>
        <v>✓</v>
      </c>
    </row>
    <row r="899" spans="1:12" ht="14" customHeight="1" x14ac:dyDescent="0.2">
      <c r="A899" s="57">
        <v>46098</v>
      </c>
      <c r="B899" s="7" t="s">
        <v>77</v>
      </c>
      <c r="C899" s="11" t="str">
        <f>IF(B899="","",IFERROR(INDEX(Client_List!$C:$C,MATCH(B899,Client_List!$B:$B,0)),""))</f>
        <v>1</v>
      </c>
      <c r="D899" s="9" t="str">
        <f>IF(B899="","",IFERROR(INDEX(Client_List!$D:$D,MATCH(B899,Client_List!$B:$B,0)),""))</f>
        <v>1D</v>
      </c>
      <c r="E899" s="9" t="str">
        <f>IF(B899="","",IFERROR(INDEX(Client_List!$K:$K,MATCH(B899,Client_List!$B:$B,0)),""))</f>
        <v>CANOLA OIL</v>
      </c>
      <c r="F899" s="10">
        <f>IF(B899="","",IFERROR(INDEX(Client_List!$J:$J,MATCH(B899,Client_List!$B:$B,0)),""))</f>
        <v>620</v>
      </c>
      <c r="G899" s="10">
        <v>440</v>
      </c>
      <c r="H899" s="9">
        <f>IF(B899="","",IFERROR(A899-LOOKUP(2,1/($B$4:$B898=B899),$A$4:$A898),""))</f>
        <v>7</v>
      </c>
      <c r="I899" s="73">
        <f t="shared" si="13"/>
        <v>62.857142857142854</v>
      </c>
      <c r="J899" s="9">
        <v>10441</v>
      </c>
      <c r="K899" s="6">
        <f>IF(B899="","",IFERROR(AVERAGEIFS($I$4:$I899,$B$4:$B899,B899,$I$4:$I899,"&gt;"&amp;0),""))</f>
        <v>67.419179894179891</v>
      </c>
      <c r="L899" s="9" t="str">
        <f>IF(B899="","",IF(ISNA(MATCH(B899,Client_List!$B:$B,0)),"⚠ NOT FOUND","✓"))</f>
        <v>✓</v>
      </c>
    </row>
    <row r="900" spans="1:12" ht="14" customHeight="1" x14ac:dyDescent="0.2">
      <c r="A900" s="56">
        <v>46098</v>
      </c>
      <c r="B900" s="2" t="s">
        <v>150</v>
      </c>
      <c r="C900" s="8" t="str">
        <f>IF(B900="","",IFERROR(INDEX(Client_List!$C:$C,MATCH(B900,Client_List!$B:$B,0)),""))</f>
        <v>4</v>
      </c>
      <c r="D900" s="4" t="str">
        <f>IF(B900="","",IFERROR(INDEX(Client_List!$D:$D,MATCH(B900,Client_List!$B:$B,0)),""))</f>
        <v>4B</v>
      </c>
      <c r="E900" s="4" t="str">
        <f>IF(B900="","",IFERROR(INDEX(Client_List!$K:$K,MATCH(B900,Client_List!$B:$B,0)),""))</f>
        <v>FRYERS CHOICE BLEND</v>
      </c>
      <c r="F900" s="5">
        <f>IF(B900="","",IFERROR(INDEX(Client_List!$J:$J,MATCH(B900,Client_List!$B:$B,0)),""))</f>
        <v>620</v>
      </c>
      <c r="G900" s="5">
        <v>351</v>
      </c>
      <c r="H900" s="4">
        <f>IF(B900="","",IFERROR(A900-LOOKUP(2,1/($B$4:$B899=B900),$A$4:$A899),""))</f>
        <v>26</v>
      </c>
      <c r="I900" s="72">
        <f t="shared" ref="I900:I963" si="14">IF(B900="","",IFERROR(G900/H900,""))</f>
        <v>13.5</v>
      </c>
      <c r="J900" s="4">
        <v>10405</v>
      </c>
      <c r="K900" s="6">
        <f>IF(B900="","",IFERROR(AVERAGEIFS($I$4:$I900,$B$4:$B900,B900,$I$4:$I900,"&gt;"&amp;0),""))</f>
        <v>15.090909090909092</v>
      </c>
      <c r="L900" s="4" t="str">
        <f>IF(B900="","",IF(ISNA(MATCH(B900,Client_List!$B:$B,0)),"⚠ NOT FOUND","✓"))</f>
        <v>✓</v>
      </c>
    </row>
    <row r="901" spans="1:12" ht="14" customHeight="1" x14ac:dyDescent="0.2">
      <c r="A901" s="57">
        <v>46098</v>
      </c>
      <c r="B901" s="7" t="s">
        <v>176</v>
      </c>
      <c r="C901" s="3" t="str">
        <f>IF(B901="","",IFERROR(INDEX(Client_List!$C:$C,MATCH(B901,Client_List!$B:$B,0)),""))</f>
        <v>4</v>
      </c>
      <c r="D901" s="9" t="str">
        <f>IF(B901="","",IFERROR(INDEX(Client_List!$D:$D,MATCH(B901,Client_List!$B:$B,0)),""))</f>
        <v>4F</v>
      </c>
      <c r="E901" s="9" t="str">
        <f>IF(B901="","",IFERROR(INDEX(Client_List!$K:$K,MATCH(B901,Client_List!$B:$B,0)),""))</f>
        <v>CANOLA OIL</v>
      </c>
      <c r="F901" s="10">
        <f>IF(B901="","",IFERROR(INDEX(Client_List!$J:$J,MATCH(B901,Client_List!$B:$B,0)),""))</f>
        <v>950</v>
      </c>
      <c r="G901" s="10">
        <v>583</v>
      </c>
      <c r="H901" s="9">
        <f>IF(B901="","",IFERROR(A901-LOOKUP(2,1/($B$4:$B900=B901),$A$4:$A900),""))</f>
        <v>11</v>
      </c>
      <c r="I901" s="73">
        <f t="shared" si="14"/>
        <v>53</v>
      </c>
      <c r="J901" s="9">
        <v>10419</v>
      </c>
      <c r="K901" s="6">
        <f>IF(B901="","",IFERROR(AVERAGEIFS($I$4:$I901,$B$4:$B901,B901,$I$4:$I901,"&gt;"&amp;0),""))</f>
        <v>47.553310023310019</v>
      </c>
      <c r="L901" s="9" t="str">
        <f>IF(B901="","",IF(ISNA(MATCH(B901,Client_List!$B:$B,0)),"⚠ NOT FOUND","✓"))</f>
        <v>✓</v>
      </c>
    </row>
    <row r="902" spans="1:12" ht="14" customHeight="1" x14ac:dyDescent="0.2">
      <c r="A902" s="56">
        <v>46098</v>
      </c>
      <c r="B902" s="2" t="s">
        <v>190</v>
      </c>
      <c r="C902" s="8" t="str">
        <f>IF(B902="","",IFERROR(INDEX(Client_List!$C:$C,MATCH(B902,Client_List!$B:$B,0)),""))</f>
        <v>2</v>
      </c>
      <c r="D902" s="4" t="str">
        <f>IF(B902="","",IFERROR(INDEX(Client_List!$D:$D,MATCH(B902,Client_List!$B:$B,0)),""))</f>
        <v>2C</v>
      </c>
      <c r="E902" s="4" t="str">
        <f>IF(B902="","",IFERROR(INDEX(Client_List!$K:$K,MATCH(B902,Client_List!$B:$B,0)),""))</f>
        <v>CANOLA OIL</v>
      </c>
      <c r="F902" s="5">
        <f>IF(B902="","",IFERROR(INDEX(Client_List!$J:$J,MATCH(B902,Client_List!$B:$B,0)),""))</f>
        <v>1050</v>
      </c>
      <c r="G902" s="5">
        <v>959</v>
      </c>
      <c r="H902" s="4">
        <f>IF(B902="","",IFERROR(A902-LOOKUP(2,1/($B$4:$B901=B902),$A$4:$A901),""))</f>
        <v>7</v>
      </c>
      <c r="I902" s="72">
        <f t="shared" si="14"/>
        <v>137</v>
      </c>
      <c r="J902" s="4">
        <v>10388</v>
      </c>
      <c r="K902" s="6">
        <f>IF(B902="","",IFERROR(AVERAGEIFS($I$4:$I902,$B$4:$B902,B902,$I$4:$I902,"&gt;"&amp;0),""))</f>
        <v>133.31369047619049</v>
      </c>
      <c r="L902" s="4" t="str">
        <f>IF(B902="","",IF(ISNA(MATCH(B902,Client_List!$B:$B,0)),"⚠ NOT FOUND","✓"))</f>
        <v>✓</v>
      </c>
    </row>
    <row r="903" spans="1:12" ht="14" customHeight="1" x14ac:dyDescent="0.2">
      <c r="A903" s="57">
        <v>46098</v>
      </c>
      <c r="B903" s="7" t="s">
        <v>222</v>
      </c>
      <c r="C903" s="12" t="str">
        <f>IF(B903="","",IFERROR(INDEX(Client_List!$C:$C,MATCH(B903,Client_List!$B:$B,0)),""))</f>
        <v>4</v>
      </c>
      <c r="D903" s="9" t="str">
        <f>IF(B903="","",IFERROR(INDEX(Client_List!$D:$D,MATCH(B903,Client_List!$B:$B,0)),""))</f>
        <v>4E</v>
      </c>
      <c r="E903" s="9" t="str">
        <f>IF(B903="","",IFERROR(INDEX(Client_List!$K:$K,MATCH(B903,Client_List!$B:$B,0)),""))</f>
        <v>CANOLA OIL</v>
      </c>
      <c r="F903" s="10">
        <f>IF(B903="","",IFERROR(INDEX(Client_List!$J:$J,MATCH(B903,Client_List!$B:$B,0)),""))</f>
        <v>630</v>
      </c>
      <c r="G903" s="10">
        <v>453</v>
      </c>
      <c r="H903" s="9">
        <f>IF(B903="","",IFERROR(A903-LOOKUP(2,1/($B$4:$B902=B903),$A$4:$A902),""))</f>
        <v>14</v>
      </c>
      <c r="I903" s="73">
        <f t="shared" si="14"/>
        <v>32.357142857142854</v>
      </c>
      <c r="J903" s="9">
        <v>10424</v>
      </c>
      <c r="K903" s="6">
        <f>IF(B903="","",IFERROR(AVERAGEIFS($I$4:$I903,$B$4:$B903,B903,$I$4:$I903,"&gt;"&amp;0),""))</f>
        <v>33.975250626566421</v>
      </c>
      <c r="L903" s="9" t="str">
        <f>IF(B903="","",IF(ISNA(MATCH(B903,Client_List!$B:$B,0)),"⚠ NOT FOUND","✓"))</f>
        <v>✓</v>
      </c>
    </row>
    <row r="904" spans="1:12" ht="14" customHeight="1" x14ac:dyDescent="0.2">
      <c r="A904" s="56">
        <v>46098</v>
      </c>
      <c r="B904" s="2" t="s">
        <v>244</v>
      </c>
      <c r="C904" s="12" t="str">
        <f>IF(B904="","",IFERROR(INDEX(Client_List!$C:$C,MATCH(B904,Client_List!$B:$B,0)),""))</f>
        <v>4</v>
      </c>
      <c r="D904" s="4" t="str">
        <f>IF(B904="","",IFERROR(INDEX(Client_List!$D:$D,MATCH(B904,Client_List!$B:$B,0)),""))</f>
        <v>4E</v>
      </c>
      <c r="E904" s="4" t="str">
        <f>IF(B904="","",IFERROR(INDEX(Client_List!$K:$K,MATCH(B904,Client_List!$B:$B,0)),""))</f>
        <v>FRYERS CHOICE BLEND</v>
      </c>
      <c r="F904" s="5">
        <f>IF(B904="","",IFERROR(INDEX(Client_List!$J:$J,MATCH(B904,Client_List!$B:$B,0)),""))</f>
        <v>950</v>
      </c>
      <c r="G904" s="5">
        <v>699</v>
      </c>
      <c r="H904" s="4">
        <f>IF(B904="","",IFERROR(A904-LOOKUP(2,1/($B$4:$B903=B904),$A$4:$A903),""))</f>
        <v>13</v>
      </c>
      <c r="I904" s="72">
        <f t="shared" si="14"/>
        <v>53.769230769230766</v>
      </c>
      <c r="J904" s="4">
        <v>10392</v>
      </c>
      <c r="K904" s="6">
        <f>IF(B904="","",IFERROR(AVERAGEIFS($I$4:$I904,$B$4:$B904,B904,$I$4:$I904,"&gt;"&amp;0),""))</f>
        <v>51.722934472934469</v>
      </c>
      <c r="L904" s="4" t="str">
        <f>IF(B904="","",IF(ISNA(MATCH(B904,Client_List!$B:$B,0)),"⚠ NOT FOUND","✓"))</f>
        <v>✓</v>
      </c>
    </row>
    <row r="905" spans="1:12" ht="14" customHeight="1" x14ac:dyDescent="0.2">
      <c r="A905" s="57">
        <v>46098</v>
      </c>
      <c r="B905" s="7" t="s">
        <v>252</v>
      </c>
      <c r="C905" s="11" t="str">
        <f>IF(B905="","",IFERROR(INDEX(Client_List!$C:$C,MATCH(B905,Client_List!$B:$B,0)),""))</f>
        <v>4</v>
      </c>
      <c r="D905" s="9" t="str">
        <f>IF(B905="","",IFERROR(INDEX(Client_List!$D:$D,MATCH(B905,Client_List!$B:$B,0)),""))</f>
        <v>4E</v>
      </c>
      <c r="E905" s="9" t="str">
        <f>IF(B905="","",IFERROR(INDEX(Client_List!$K:$K,MATCH(B905,Client_List!$B:$B,0)),""))</f>
        <v>FRYERS CHOICE BLEND</v>
      </c>
      <c r="F905" s="10">
        <f>IF(B905="","",IFERROR(INDEX(Client_List!$J:$J,MATCH(B905,Client_List!$B:$B,0)),""))</f>
        <v>1950</v>
      </c>
      <c r="G905" s="10">
        <v>1871</v>
      </c>
      <c r="H905" s="9">
        <f>IF(B905="","",IFERROR(A905-LOOKUP(2,1/($B$4:$B904=B905),$A$4:$A904),""))</f>
        <v>14</v>
      </c>
      <c r="I905" s="73">
        <f t="shared" si="14"/>
        <v>133.64285714285714</v>
      </c>
      <c r="J905" s="9">
        <v>10395</v>
      </c>
      <c r="K905" s="6">
        <f>IF(B905="","",IFERROR(AVERAGEIFS($I$4:$I905,$B$4:$B905,B905,$I$4:$I905,"&gt;"&amp;0),""))</f>
        <v>139.4454425204425</v>
      </c>
      <c r="L905" s="9" t="str">
        <f>IF(B905="","",IF(ISNA(MATCH(B905,Client_List!$B:$B,0)),"⚠ NOT FOUND","✓"))</f>
        <v>✓</v>
      </c>
    </row>
    <row r="906" spans="1:12" ht="14" customHeight="1" x14ac:dyDescent="0.2">
      <c r="A906" s="56">
        <v>46098</v>
      </c>
      <c r="B906" s="2" t="s">
        <v>256</v>
      </c>
      <c r="C906" s="8" t="str">
        <f>IF(B906="","",IFERROR(INDEX(Client_List!$C:$C,MATCH(B906,Client_List!$B:$B,0)),""))</f>
        <v>3</v>
      </c>
      <c r="D906" s="4" t="str">
        <f>IF(B906="","",IFERROR(INDEX(Client_List!$D:$D,MATCH(B906,Client_List!$B:$B,0)),""))</f>
        <v>3E</v>
      </c>
      <c r="E906" s="4" t="str">
        <f>IF(B906="","",IFERROR(INDEX(Client_List!$K:$K,MATCH(B906,Client_List!$B:$B,0)),""))</f>
        <v>FRYERS CHOICE BLEND</v>
      </c>
      <c r="F906" s="5">
        <f>IF(B906="","",IFERROR(INDEX(Client_List!$J:$J,MATCH(B906,Client_List!$B:$B,0)),""))</f>
        <v>950</v>
      </c>
      <c r="G906" s="5">
        <v>699</v>
      </c>
      <c r="H906" s="4">
        <f>IF(B906="","",IFERROR(A906-LOOKUP(2,1/($B$4:$B905=B906),$A$4:$A905),""))</f>
        <v>7</v>
      </c>
      <c r="I906" s="72">
        <f t="shared" si="14"/>
        <v>99.857142857142861</v>
      </c>
      <c r="J906" s="4">
        <v>10396</v>
      </c>
      <c r="K906" s="6">
        <f>IF(B906="","",IFERROR(AVERAGEIFS($I$4:$I906,$B$4:$B906,B906,$I$4:$I906,"&gt;"&amp;0),""))</f>
        <v>98.754960317460316</v>
      </c>
      <c r="L906" s="4" t="str">
        <f>IF(B906="","",IF(ISNA(MATCH(B906,Client_List!$B:$B,0)),"⚠ NOT FOUND","✓"))</f>
        <v>✓</v>
      </c>
    </row>
    <row r="907" spans="1:12" ht="14" customHeight="1" x14ac:dyDescent="0.2">
      <c r="A907" s="57">
        <v>46098</v>
      </c>
      <c r="B907" s="7" t="s">
        <v>264</v>
      </c>
      <c r="C907" s="11" t="str">
        <f>IF(B907="","",IFERROR(INDEX(Client_List!$C:$C,MATCH(B907,Client_List!$B:$B,0)),""))</f>
        <v>2</v>
      </c>
      <c r="D907" s="9" t="str">
        <f>IF(B907="","",IFERROR(INDEX(Client_List!$D:$D,MATCH(B907,Client_List!$B:$B,0)),""))</f>
        <v>2D</v>
      </c>
      <c r="E907" s="9" t="str">
        <f>IF(B907="","",IFERROR(INDEX(Client_List!$K:$K,MATCH(B907,Client_List!$B:$B,0)),""))</f>
        <v>FRYERS CHOICE BLEND</v>
      </c>
      <c r="F907" s="10">
        <f>IF(B907="","",IFERROR(INDEX(Client_List!$J:$J,MATCH(B907,Client_List!$B:$B,0)),""))</f>
        <v>1950</v>
      </c>
      <c r="G907" s="10">
        <v>1290</v>
      </c>
      <c r="H907" s="9">
        <f>IF(B907="","",IFERROR(A907-LOOKUP(2,1/($B$4:$B906=B907),$A$4:$A906),""))</f>
        <v>12</v>
      </c>
      <c r="I907" s="73">
        <f t="shared" si="14"/>
        <v>107.5</v>
      </c>
      <c r="J907" s="9">
        <v>10390</v>
      </c>
      <c r="K907" s="6">
        <f>IF(B907="","",IFERROR(AVERAGEIFS($I$4:$I907,$B$4:$B907,B907,$I$4:$I907,"&gt;"&amp;0),""))</f>
        <v>99.358780108780124</v>
      </c>
      <c r="L907" s="9" t="str">
        <f>IF(B907="","",IF(ISNA(MATCH(B907,Client_List!$B:$B,0)),"⚠ NOT FOUND","✓"))</f>
        <v>✓</v>
      </c>
    </row>
    <row r="908" spans="1:12" ht="14" customHeight="1" x14ac:dyDescent="0.2">
      <c r="A908" s="56">
        <v>46098</v>
      </c>
      <c r="B908" s="2" t="s">
        <v>296</v>
      </c>
      <c r="C908" s="8" t="str">
        <f>IF(B908="","",IFERROR(INDEX(Client_List!$C:$C,MATCH(B908,Client_List!$B:$B,0)),""))</f>
        <v>4</v>
      </c>
      <c r="D908" s="4" t="str">
        <f>IF(B908="","",IFERROR(INDEX(Client_List!$D:$D,MATCH(B908,Client_List!$B:$B,0)),""))</f>
        <v>4C</v>
      </c>
      <c r="E908" s="4" t="str">
        <f>IF(B908="","",IFERROR(INDEX(Client_List!$K:$K,MATCH(B908,Client_List!$B:$B,0)),""))</f>
        <v>FRYERS CHOICE BLEND</v>
      </c>
      <c r="F908" s="5">
        <f>IF(B908="","",IFERROR(INDEX(Client_List!$J:$J,MATCH(B908,Client_List!$B:$B,0)),""))</f>
        <v>480</v>
      </c>
      <c r="G908" s="5">
        <v>427</v>
      </c>
      <c r="H908" s="4">
        <f>IF(B908="","",IFERROR(A908-LOOKUP(2,1/($B$4:$B907=B908),$A$4:$A907),""))</f>
        <v>18</v>
      </c>
      <c r="I908" s="72">
        <f t="shared" si="14"/>
        <v>23.722222222222221</v>
      </c>
      <c r="J908" s="4">
        <v>10401</v>
      </c>
      <c r="K908" s="6">
        <f>IF(B908="","",IFERROR(AVERAGEIFS($I$4:$I908,$B$4:$B908,B908,$I$4:$I908,"&gt;"&amp;0),""))</f>
        <v>19.395593869731801</v>
      </c>
      <c r="L908" s="4" t="str">
        <f>IF(B908="","",IF(ISNA(MATCH(B908,Client_List!$B:$B,0)),"⚠ NOT FOUND","✓"))</f>
        <v>✓</v>
      </c>
    </row>
    <row r="909" spans="1:12" ht="14" customHeight="1" x14ac:dyDescent="0.2">
      <c r="A909" s="57">
        <v>46098</v>
      </c>
      <c r="B909" s="7" t="s">
        <v>306</v>
      </c>
      <c r="C909" s="8" t="str">
        <f>IF(B909="","",IFERROR(INDEX(Client_List!$C:$C,MATCH(B909,Client_List!$B:$B,0)),""))</f>
        <v>4</v>
      </c>
      <c r="D909" s="9" t="str">
        <f>IF(B909="","",IFERROR(INDEX(Client_List!$D:$D,MATCH(B909,Client_List!$B:$B,0)),""))</f>
        <v>4C</v>
      </c>
      <c r="E909" s="9" t="str">
        <f>IF(B909="","",IFERROR(INDEX(Client_List!$K:$K,MATCH(B909,Client_List!$B:$B,0)),""))</f>
        <v>FRYERS CHOICE BLEND</v>
      </c>
      <c r="F909" s="10">
        <f>IF(B909="","",IFERROR(INDEX(Client_List!$J:$J,MATCH(B909,Client_List!$B:$B,0)),""))</f>
        <v>1050</v>
      </c>
      <c r="G909" s="10">
        <v>1055</v>
      </c>
      <c r="H909" s="9">
        <f>IF(B909="","",IFERROR(A909-LOOKUP(2,1/($B$4:$B908=B909),$A$4:$A908),""))</f>
        <v>10</v>
      </c>
      <c r="I909" s="73">
        <f t="shared" si="14"/>
        <v>105.5</v>
      </c>
      <c r="J909" s="9">
        <v>10403</v>
      </c>
      <c r="K909" s="6">
        <f>IF(B909="","",IFERROR(AVERAGEIFS($I$4:$I909,$B$4:$B909,B909,$I$4:$I909,"&gt;"&amp;0),""))</f>
        <v>105.59751082251083</v>
      </c>
      <c r="L909" s="9" t="str">
        <f>IF(B909="","",IF(ISNA(MATCH(B909,Client_List!$B:$B,0)),"⚠ NOT FOUND","✓"))</f>
        <v>✓</v>
      </c>
    </row>
    <row r="910" spans="1:12" ht="14" customHeight="1" x14ac:dyDescent="0.2">
      <c r="A910" s="56">
        <v>46098</v>
      </c>
      <c r="B910" s="2" t="s">
        <v>320</v>
      </c>
      <c r="C910" s="3" t="str">
        <f>IF(B910="","",IFERROR(INDEX(Client_List!$C:$C,MATCH(B910,Client_List!$B:$B,0)),""))</f>
        <v>1</v>
      </c>
      <c r="D910" s="4" t="str">
        <f>IF(B910="","",IFERROR(INDEX(Client_List!$D:$D,MATCH(B910,Client_List!$B:$B,0)),""))</f>
        <v>1E</v>
      </c>
      <c r="E910" s="4" t="str">
        <f>IF(B910="","",IFERROR(INDEX(Client_List!$K:$K,MATCH(B910,Client_List!$B:$B,0)),""))</f>
        <v>CANOLA OIL</v>
      </c>
      <c r="F910" s="5">
        <f>IF(B910="","",IFERROR(INDEX(Client_List!$J:$J,MATCH(B910,Client_List!$B:$B,0)),""))</f>
        <v>1050</v>
      </c>
      <c r="G910" s="5">
        <v>679</v>
      </c>
      <c r="H910" s="4">
        <f>IF(B910="","",IFERROR(A910-LOOKUP(2,1/($B$4:$B909=B910),$A$4:$A909),""))</f>
        <v>7</v>
      </c>
      <c r="I910" s="72">
        <f t="shared" si="14"/>
        <v>97</v>
      </c>
      <c r="J910" s="4">
        <v>10416</v>
      </c>
      <c r="K910" s="6">
        <f>IF(B910="","",IFERROR(AVERAGEIFS($I$4:$I910,$B$4:$B910,B910,$I$4:$I910,"&gt;"&amp;0),""))</f>
        <v>69.116456876456866</v>
      </c>
      <c r="L910" s="4" t="str">
        <f>IF(B910="","",IF(ISNA(MATCH(B910,Client_List!$B:$B,0)),"⚠ NOT FOUND","✓"))</f>
        <v>✓</v>
      </c>
    </row>
    <row r="911" spans="1:12" ht="14" customHeight="1" x14ac:dyDescent="0.2">
      <c r="A911" s="57">
        <v>46098</v>
      </c>
      <c r="B911" s="7" t="s">
        <v>330</v>
      </c>
      <c r="C911" s="3" t="str">
        <f>IF(B911="","",IFERROR(INDEX(Client_List!$C:$C,MATCH(B911,Client_List!$B:$B,0)),""))</f>
        <v>1</v>
      </c>
      <c r="D911" s="9" t="str">
        <f>IF(B911="","",IFERROR(INDEX(Client_List!$D:$D,MATCH(B911,Client_List!$B:$B,0)),""))</f>
        <v>1E</v>
      </c>
      <c r="E911" s="9" t="str">
        <f>IF(B911="","",IFERROR(INDEX(Client_List!$K:$K,MATCH(B911,Client_List!$B:$B,0)),""))</f>
        <v>CANOLA OIL</v>
      </c>
      <c r="F911" s="10">
        <f>IF(B911="","",IFERROR(INDEX(Client_List!$J:$J,MATCH(B911,Client_List!$B:$B,0)),""))</f>
        <v>1050</v>
      </c>
      <c r="G911" s="10">
        <v>963</v>
      </c>
      <c r="H911" s="9">
        <f>IF(B911="","",IFERROR(A911-LOOKUP(2,1/($B$4:$B910=B911),$A$4:$A910),""))</f>
        <v>31</v>
      </c>
      <c r="I911" s="73">
        <f t="shared" si="14"/>
        <v>31.06451612903226</v>
      </c>
      <c r="J911" s="9">
        <v>10420</v>
      </c>
      <c r="K911" s="6">
        <f>IF(B911="","",IFERROR(AVERAGEIFS($I$4:$I911,$B$4:$B911,B911,$I$4:$I911,"&gt;"&amp;0),""))</f>
        <v>41.247886838019667</v>
      </c>
      <c r="L911" s="9" t="str">
        <f>IF(B911="","",IF(ISNA(MATCH(B911,Client_List!$B:$B,0)),"⚠ NOT FOUND","✓"))</f>
        <v>✓</v>
      </c>
    </row>
    <row r="912" spans="1:12" ht="14" customHeight="1" x14ac:dyDescent="0.2">
      <c r="A912" s="56">
        <v>46099</v>
      </c>
      <c r="B912" s="2" t="s">
        <v>41</v>
      </c>
      <c r="C912" s="3" t="str">
        <f>IF(B912="","",IFERROR(INDEX(Client_List!$C:$C,MATCH(B912,Client_List!$B:$B,0)),""))</f>
        <v>4</v>
      </c>
      <c r="D912" s="4" t="str">
        <f>IF(B912="","",IFERROR(INDEX(Client_List!$D:$D,MATCH(B912,Client_List!$B:$B,0)),""))</f>
        <v>4C</v>
      </c>
      <c r="E912" s="4" t="str">
        <f>IF(B912="","",IFERROR(INDEX(Client_List!$K:$K,MATCH(B912,Client_List!$B:$B,0)),""))</f>
        <v>CANOLA OIL</v>
      </c>
      <c r="F912" s="5">
        <f>IF(B912="","",IFERROR(INDEX(Client_List!$J:$J,MATCH(B912,Client_List!$B:$B,0)),""))</f>
        <v>2000</v>
      </c>
      <c r="G912" s="5">
        <v>1474</v>
      </c>
      <c r="H912" s="4">
        <f>IF(B912="","",IFERROR(A912-LOOKUP(2,1/($B$4:$B911=B912),$A$4:$A911),""))</f>
        <v>144</v>
      </c>
      <c r="I912" s="72">
        <f t="shared" si="14"/>
        <v>10.236111111111111</v>
      </c>
      <c r="J912" s="4">
        <v>10465</v>
      </c>
      <c r="K912" s="6">
        <f>IF(B912="","",IFERROR(AVERAGEIFS($I$4:$I912,$B$4:$B912,B912,$I$4:$I912,"&gt;"&amp;0),""))</f>
        <v>10.236111111111111</v>
      </c>
      <c r="L912" s="4" t="str">
        <f>IF(B912="","",IF(ISNA(MATCH(B912,Client_List!$B:$B,0)),"⚠ NOT FOUND","✓"))</f>
        <v>✓</v>
      </c>
    </row>
    <row r="913" spans="1:12" ht="14" customHeight="1" x14ac:dyDescent="0.2">
      <c r="A913" s="57">
        <v>46099</v>
      </c>
      <c r="B913" s="7" t="s">
        <v>365</v>
      </c>
      <c r="C913" s="11">
        <f>IF(B913="","",IFERROR(INDEX(Client_List!$C:$C,MATCH(B913,Client_List!$B:$B,0)),""))</f>
        <v>0</v>
      </c>
      <c r="D913" s="9">
        <f>IF(B913="","",IFERROR(INDEX(Client_List!$D:$D,MATCH(B913,Client_List!$B:$B,0)),""))</f>
        <v>0</v>
      </c>
      <c r="E913" s="9" t="str">
        <f>IF(B913="","",IFERROR(INDEX(Client_List!$K:$K,MATCH(B913,Client_List!$B:$B,0)),""))</f>
        <v>CANOLA OIL</v>
      </c>
      <c r="F913" s="10">
        <f>IF(B913="","",IFERROR(INDEX(Client_List!$J:$J,MATCH(B913,Client_List!$B:$B,0)),""))</f>
        <v>700</v>
      </c>
      <c r="G913" s="10">
        <v>570</v>
      </c>
      <c r="H913" s="9">
        <f>IF(B913="","",IFERROR(A913-LOOKUP(2,1/($B$4:$B912=B913),$A$4:$A912),""))</f>
        <v>3</v>
      </c>
      <c r="I913" s="73">
        <f t="shared" si="14"/>
        <v>190</v>
      </c>
      <c r="J913" s="9">
        <v>10749</v>
      </c>
      <c r="K913" s="6">
        <f>IF(B913="","",IFERROR(AVERAGEIFS($I$4:$I913,$B$4:$B913,B913,$I$4:$I913,"&gt;"&amp;0),""))</f>
        <v>65.470670995671</v>
      </c>
      <c r="L913" s="9" t="str">
        <f>IF(B913="","",IF(ISNA(MATCH(B913,Client_List!$B:$B,0)),"⚠ NOT FOUND","✓"))</f>
        <v>✓</v>
      </c>
    </row>
    <row r="914" spans="1:12" ht="14" customHeight="1" x14ac:dyDescent="0.2">
      <c r="A914" s="56">
        <v>46099</v>
      </c>
      <c r="B914" s="2" t="s">
        <v>118</v>
      </c>
      <c r="C914" s="3" t="str">
        <f>IF(B914="","",IFERROR(INDEX(Client_List!$C:$C,MATCH(B914,Client_List!$B:$B,0)),""))</f>
        <v>4</v>
      </c>
      <c r="D914" s="4" t="str">
        <f>IF(B914="","",IFERROR(INDEX(Client_List!$D:$D,MATCH(B914,Client_List!$B:$B,0)),""))</f>
        <v>4E</v>
      </c>
      <c r="E914" s="4" t="str">
        <f>IF(B914="","",IFERROR(INDEX(Client_List!$K:$K,MATCH(B914,Client_List!$B:$B,0)),""))</f>
        <v>CANOLA OIL</v>
      </c>
      <c r="F914" s="5">
        <f>IF(B914="","",IFERROR(INDEX(Client_List!$J:$J,MATCH(B914,Client_List!$B:$B,0)),""))</f>
        <v>2500</v>
      </c>
      <c r="G914" s="5">
        <v>1852</v>
      </c>
      <c r="H914" s="4">
        <f>IF(B914="","",IFERROR(A914-LOOKUP(2,1/($B$4:$B913=B914),$A$4:$A913),""))</f>
        <v>13</v>
      </c>
      <c r="I914" s="72">
        <f t="shared" si="14"/>
        <v>142.46153846153845</v>
      </c>
      <c r="J914" s="4">
        <v>10455</v>
      </c>
      <c r="K914" s="6">
        <f>IF(B914="","",IFERROR(AVERAGEIFS($I$4:$I914,$B$4:$B914,B914,$I$4:$I914,"&gt;"&amp;0),""))</f>
        <v>233.8825434981685</v>
      </c>
      <c r="L914" s="4" t="str">
        <f>IF(B914="","",IF(ISNA(MATCH(B914,Client_List!$B:$B,0)),"⚠ NOT FOUND","✓"))</f>
        <v>✓</v>
      </c>
    </row>
    <row r="915" spans="1:12" ht="14" customHeight="1" x14ac:dyDescent="0.2">
      <c r="A915" s="57">
        <v>46099</v>
      </c>
      <c r="B915" s="7" t="s">
        <v>142</v>
      </c>
      <c r="C915" s="3" t="str">
        <f>IF(B915="","",IFERROR(INDEX(Client_List!$C:$C,MATCH(B915,Client_List!$B:$B,0)),""))</f>
        <v>4</v>
      </c>
      <c r="D915" s="9" t="str">
        <f>IF(B915="","",IFERROR(INDEX(Client_List!$D:$D,MATCH(B915,Client_List!$B:$B,0)),""))</f>
        <v>4A</v>
      </c>
      <c r="E915" s="9" t="str">
        <f>IF(B915="","",IFERROR(INDEX(Client_List!$K:$K,MATCH(B915,Client_List!$B:$B,0)),""))</f>
        <v>FRYERS CHOICE BLEND</v>
      </c>
      <c r="F915" s="10">
        <f>IF(B915="","",IFERROR(INDEX(Client_List!$J:$J,MATCH(B915,Client_List!$B:$B,0)),""))</f>
        <v>1050</v>
      </c>
      <c r="G915" s="10">
        <v>873</v>
      </c>
      <c r="H915" s="9">
        <f>IF(B915="","",IFERROR(A915-LOOKUP(2,1/($B$4:$B914=B915),$A$4:$A914),""))</f>
        <v>5</v>
      </c>
      <c r="I915" s="73">
        <f t="shared" si="14"/>
        <v>174.6</v>
      </c>
      <c r="J915" s="9">
        <v>10456</v>
      </c>
      <c r="K915" s="6">
        <f>IF(B915="","",IFERROR(AVERAGEIFS($I$4:$I915,$B$4:$B915,B915,$I$4:$I915,"&gt;"&amp;0),""))</f>
        <v>174.25756802721088</v>
      </c>
      <c r="L915" s="9" t="str">
        <f>IF(B915="","",IF(ISNA(MATCH(B915,Client_List!$B:$B,0)),"⚠ NOT FOUND","✓"))</f>
        <v>✓</v>
      </c>
    </row>
    <row r="916" spans="1:12" ht="14" customHeight="1" x14ac:dyDescent="0.2">
      <c r="A916" s="56">
        <v>46099</v>
      </c>
      <c r="B916" s="2" t="s">
        <v>144</v>
      </c>
      <c r="C916" s="13" t="str">
        <f>IF(B916="","",IFERROR(INDEX(Client_List!$C:$C,MATCH(B916,Client_List!$B:$B,0)),""))</f>
        <v>4</v>
      </c>
      <c r="D916" s="4" t="str">
        <f>IF(B916="","",IFERROR(INDEX(Client_List!$D:$D,MATCH(B916,Client_List!$B:$B,0)),""))</f>
        <v>4A</v>
      </c>
      <c r="E916" s="4" t="str">
        <f>IF(B916="","",IFERROR(INDEX(Client_List!$K:$K,MATCH(B916,Client_List!$B:$B,0)),""))</f>
        <v>FRYERS CHOICE BLEND</v>
      </c>
      <c r="F916" s="5">
        <f>IF(B916="","",IFERROR(INDEX(Client_List!$J:$J,MATCH(B916,Client_List!$B:$B,0)),""))</f>
        <v>900</v>
      </c>
      <c r="G916" s="5">
        <v>369</v>
      </c>
      <c r="H916" s="4">
        <f>IF(B916="","",IFERROR(A916-LOOKUP(2,1/($B$4:$B915=B916),$A$4:$A915),""))</f>
        <v>5</v>
      </c>
      <c r="I916" s="72">
        <f t="shared" si="14"/>
        <v>73.8</v>
      </c>
      <c r="J916" s="4">
        <v>10460</v>
      </c>
      <c r="K916" s="6">
        <f>IF(B916="","",IFERROR(AVERAGEIFS($I$4:$I916,$B$4:$B916,B916,$I$4:$I916,"&gt;"&amp;0),""))</f>
        <v>72.003190636523954</v>
      </c>
      <c r="L916" s="4" t="str">
        <f>IF(B916="","",IF(ISNA(MATCH(B916,Client_List!$B:$B,0)),"⚠ NOT FOUND","✓"))</f>
        <v>✓</v>
      </c>
    </row>
    <row r="917" spans="1:12" ht="14" customHeight="1" x14ac:dyDescent="0.2">
      <c r="A917" s="57">
        <v>46099</v>
      </c>
      <c r="B917" s="7" t="s">
        <v>156</v>
      </c>
      <c r="C917" s="8" t="str">
        <f>IF(B917="","",IFERROR(INDEX(Client_List!$C:$C,MATCH(B917,Client_List!$B:$B,0)),""))</f>
        <v>4</v>
      </c>
      <c r="D917" s="9" t="str">
        <f>IF(B917="","",IFERROR(INDEX(Client_List!$D:$D,MATCH(B917,Client_List!$B:$B,0)),""))</f>
        <v>4B</v>
      </c>
      <c r="E917" s="9" t="str">
        <f>IF(B917="","",IFERROR(INDEX(Client_List!$K:$K,MATCH(B917,Client_List!$B:$B,0)),""))</f>
        <v>CANOLA OIL</v>
      </c>
      <c r="F917" s="10">
        <f>IF(B917="","",IFERROR(INDEX(Client_List!$J:$J,MATCH(B917,Client_List!$B:$B,0)),""))</f>
        <v>1050</v>
      </c>
      <c r="G917" s="10">
        <v>832</v>
      </c>
      <c r="H917" s="9">
        <f>IF(B917="","",IFERROR(A917-LOOKUP(2,1/($B$4:$B916=B917),$A$4:$A916),""))</f>
        <v>11</v>
      </c>
      <c r="I917" s="73">
        <f t="shared" si="14"/>
        <v>75.63636363636364</v>
      </c>
      <c r="J917" s="9">
        <v>10444</v>
      </c>
      <c r="K917" s="6">
        <f>IF(B917="","",IFERROR(AVERAGEIFS($I$4:$I917,$B$4:$B917,B917,$I$4:$I917,"&gt;"&amp;0),""))</f>
        <v>70.917102897102893</v>
      </c>
      <c r="L917" s="9" t="str">
        <f>IF(B917="","",IF(ISNA(MATCH(B917,Client_List!$B:$B,0)),"⚠ NOT FOUND","✓"))</f>
        <v>✓</v>
      </c>
    </row>
    <row r="918" spans="1:12" ht="14" customHeight="1" x14ac:dyDescent="0.2">
      <c r="A918" s="56">
        <v>46099</v>
      </c>
      <c r="B918" s="2" t="s">
        <v>194</v>
      </c>
      <c r="C918" s="8" t="str">
        <f>IF(B918="","",IFERROR(INDEX(Client_List!$C:$C,MATCH(B918,Client_List!$B:$B,0)),""))</f>
        <v>4</v>
      </c>
      <c r="D918" s="4" t="str">
        <f>IF(B918="","",IFERROR(INDEX(Client_List!$D:$D,MATCH(B918,Client_List!$B:$B,0)),""))</f>
        <v>4A</v>
      </c>
      <c r="E918" s="4" t="str">
        <f>IF(B918="","",IFERROR(INDEX(Client_List!$K:$K,MATCH(B918,Client_List!$B:$B,0)),""))</f>
        <v>FRYERS CHOICE BLEND</v>
      </c>
      <c r="F918" s="5">
        <f>IF(B918="","",IFERROR(INDEX(Client_List!$J:$J,MATCH(B918,Client_List!$B:$B,0)),""))</f>
        <v>620</v>
      </c>
      <c r="G918" s="5">
        <v>429</v>
      </c>
      <c r="H918" s="4">
        <f>IF(B918="","",IFERROR(A918-LOOKUP(2,1/($B$4:$B917=B918),$A$4:$A917),""))</f>
        <v>16</v>
      </c>
      <c r="I918" s="72">
        <f t="shared" si="14"/>
        <v>26.8125</v>
      </c>
      <c r="J918" s="4">
        <v>10458</v>
      </c>
      <c r="K918" s="6">
        <f>IF(B918="","",IFERROR(AVERAGEIFS($I$4:$I918,$B$4:$B918,B918,$I$4:$I918,"&gt;"&amp;0),""))</f>
        <v>20.382630135387487</v>
      </c>
      <c r="L918" s="4" t="str">
        <f>IF(B918="","",IF(ISNA(MATCH(B918,Client_List!$B:$B,0)),"⚠ NOT FOUND","✓"))</f>
        <v>✓</v>
      </c>
    </row>
    <row r="919" spans="1:12" ht="14" customHeight="1" x14ac:dyDescent="0.2">
      <c r="A919" s="57">
        <v>46099</v>
      </c>
      <c r="B919" s="7" t="s">
        <v>286</v>
      </c>
      <c r="C919" s="11" t="str">
        <f>IF(B919="","",IFERROR(INDEX(Client_List!$C:$C,MATCH(B919,Client_List!$B:$B,0)),""))</f>
        <v>3</v>
      </c>
      <c r="D919" s="9" t="str">
        <f>IF(B919="","",IFERROR(INDEX(Client_List!$D:$D,MATCH(B919,Client_List!$B:$B,0)),""))</f>
        <v>3C</v>
      </c>
      <c r="E919" s="9" t="str">
        <f>IF(B919="","",IFERROR(INDEX(Client_List!$K:$K,MATCH(B919,Client_List!$B:$B,0)),""))</f>
        <v>CANOLA OIL</v>
      </c>
      <c r="F919" s="10">
        <f>IF(B919="","",IFERROR(INDEX(Client_List!$J:$J,MATCH(B919,Client_List!$B:$B,0)),""))</f>
        <v>620</v>
      </c>
      <c r="G919" s="10">
        <v>601</v>
      </c>
      <c r="H919" s="9">
        <f>IF(B919="","",IFERROR(A919-LOOKUP(2,1/($B$4:$B918=B919),$A$4:$A918),""))</f>
        <v>8</v>
      </c>
      <c r="I919" s="73">
        <f t="shared" si="14"/>
        <v>75.125</v>
      </c>
      <c r="J919" s="9">
        <v>10457</v>
      </c>
      <c r="K919" s="6">
        <f>IF(B919="","",IFERROR(AVERAGEIFS($I$4:$I919,$B$4:$B919,B919,$I$4:$I919,"&gt;"&amp;0),""))</f>
        <v>35.566196581196579</v>
      </c>
      <c r="L919" s="9" t="str">
        <f>IF(B919="","",IF(ISNA(MATCH(B919,Client_List!$B:$B,0)),"⚠ NOT FOUND","✓"))</f>
        <v>✓</v>
      </c>
    </row>
    <row r="920" spans="1:12" ht="14" customHeight="1" x14ac:dyDescent="0.2">
      <c r="A920" s="56">
        <v>46099</v>
      </c>
      <c r="B920" s="2" t="s">
        <v>288</v>
      </c>
      <c r="C920" s="3" t="str">
        <f>IF(B920="","",IFERROR(INDEX(Client_List!$C:$C,MATCH(B920,Client_List!$B:$B,0)),""))</f>
        <v>3</v>
      </c>
      <c r="D920" s="4" t="str">
        <f>IF(B920="","",IFERROR(INDEX(Client_List!$D:$D,MATCH(B920,Client_List!$B:$B,0)),""))</f>
        <v>3C</v>
      </c>
      <c r="E920" s="4" t="str">
        <f>IF(B920="","",IFERROR(INDEX(Client_List!$K:$K,MATCH(B920,Client_List!$B:$B,0)),""))</f>
        <v>CANOLA OIL</v>
      </c>
      <c r="F920" s="5">
        <f>IF(B920="","",IFERROR(INDEX(Client_List!$J:$J,MATCH(B920,Client_List!$B:$B,0)),""))</f>
        <v>620</v>
      </c>
      <c r="G920" s="5">
        <v>411</v>
      </c>
      <c r="H920" s="4">
        <f>IF(B920="","",IFERROR(A920-LOOKUP(2,1/($B$4:$B919=B920),$A$4:$A919),""))</f>
        <v>14</v>
      </c>
      <c r="I920" s="72">
        <f t="shared" si="14"/>
        <v>29.357142857142858</v>
      </c>
      <c r="J920" s="4">
        <v>10447</v>
      </c>
      <c r="K920" s="6">
        <f>IF(B920="","",IFERROR(AVERAGEIFS($I$4:$I920,$B$4:$B920,B920,$I$4:$I920,"&gt;"&amp;0),""))</f>
        <v>39.216300366300359</v>
      </c>
      <c r="L920" s="4" t="str">
        <f>IF(B920="","",IF(ISNA(MATCH(B920,Client_List!$B:$B,0)),"⚠ NOT FOUND","✓"))</f>
        <v>✓</v>
      </c>
    </row>
    <row r="921" spans="1:12" ht="14" customHeight="1" x14ac:dyDescent="0.2">
      <c r="A921" s="57">
        <v>46099</v>
      </c>
      <c r="B921" s="7" t="s">
        <v>290</v>
      </c>
      <c r="C921" s="12" t="str">
        <f>IF(B921="","",IFERROR(INDEX(Client_List!$C:$C,MATCH(B921,Client_List!$B:$B,0)),""))</f>
        <v>3</v>
      </c>
      <c r="D921" s="9" t="str">
        <f>IF(B921="","",IFERROR(INDEX(Client_List!$D:$D,MATCH(B921,Client_List!$B:$B,0)),""))</f>
        <v>3D</v>
      </c>
      <c r="E921" s="9" t="str">
        <f>IF(B921="","",IFERROR(INDEX(Client_List!$K:$K,MATCH(B921,Client_List!$B:$B,0)),""))</f>
        <v>CANOLA OIL</v>
      </c>
      <c r="F921" s="10">
        <f>IF(B921="","",IFERROR(INDEX(Client_List!$J:$J,MATCH(B921,Client_List!$B:$B,0)),""))</f>
        <v>350</v>
      </c>
      <c r="G921" s="10">
        <v>351</v>
      </c>
      <c r="H921" s="9">
        <f>IF(B921="","",IFERROR(A921-LOOKUP(2,1/($B$4:$B920=B921),$A$4:$A920),""))</f>
        <v>26</v>
      </c>
      <c r="I921" s="73">
        <f t="shared" si="14"/>
        <v>13.5</v>
      </c>
      <c r="J921" s="9">
        <v>10446</v>
      </c>
      <c r="K921" s="6">
        <f>IF(B921="","",IFERROR(AVERAGEIFS($I$4:$I921,$B$4:$B921,B921,$I$4:$I921,"&gt;"&amp;0),""))</f>
        <v>14.370192307692307</v>
      </c>
      <c r="L921" s="9" t="str">
        <f>IF(B921="","",IF(ISNA(MATCH(B921,Client_List!$B:$B,0)),"⚠ NOT FOUND","✓"))</f>
        <v>✓</v>
      </c>
    </row>
    <row r="922" spans="1:12" ht="14" customHeight="1" x14ac:dyDescent="0.2">
      <c r="A922" s="56">
        <v>46099</v>
      </c>
      <c r="B922" s="2" t="s">
        <v>294</v>
      </c>
      <c r="C922" s="12" t="str">
        <f>IF(B922="","",IFERROR(INDEX(Client_List!$C:$C,MATCH(B922,Client_List!$B:$B,0)),""))</f>
        <v>4</v>
      </c>
      <c r="D922" s="4" t="str">
        <f>IF(B922="","",IFERROR(INDEX(Client_List!$D:$D,MATCH(B922,Client_List!$B:$B,0)),""))</f>
        <v>4D</v>
      </c>
      <c r="E922" s="4" t="str">
        <f>IF(B922="","",IFERROR(INDEX(Client_List!$K:$K,MATCH(B922,Client_List!$B:$B,0)),""))</f>
        <v>CANOLA OIL</v>
      </c>
      <c r="F922" s="5">
        <f>IF(B922="","",IFERROR(INDEX(Client_List!$J:$J,MATCH(B922,Client_List!$B:$B,0)),""))</f>
        <v>1500</v>
      </c>
      <c r="G922" s="5">
        <v>984</v>
      </c>
      <c r="H922" s="4">
        <f>IF(B922="","",IFERROR(A922-LOOKUP(2,1/($B$4:$B921=B922),$A$4:$A921),""))</f>
        <v>22</v>
      </c>
      <c r="I922" s="72">
        <f t="shared" si="14"/>
        <v>44.727272727272727</v>
      </c>
      <c r="J922" s="4">
        <v>10442</v>
      </c>
      <c r="K922" s="6">
        <f>IF(B922="","",IFERROR(AVERAGEIFS($I$4:$I922,$B$4:$B922,B922,$I$4:$I922,"&gt;"&amp;0),""))</f>
        <v>44.649350649350652</v>
      </c>
      <c r="L922" s="4" t="str">
        <f>IF(B922="","",IF(ISNA(MATCH(B922,Client_List!$B:$B,0)),"⚠ NOT FOUND","✓"))</f>
        <v>✓</v>
      </c>
    </row>
    <row r="923" spans="1:12" ht="14" customHeight="1" x14ac:dyDescent="0.2">
      <c r="A923" s="57">
        <v>46099</v>
      </c>
      <c r="B923" s="7" t="s">
        <v>302</v>
      </c>
      <c r="C923" s="13" t="str">
        <f>IF(B923="","",IFERROR(INDEX(Client_List!$C:$C,MATCH(B923,Client_List!$B:$B,0)),""))</f>
        <v>2</v>
      </c>
      <c r="D923" s="9" t="str">
        <f>IF(B923="","",IFERROR(INDEX(Client_List!$D:$D,MATCH(B923,Client_List!$B:$B,0)),""))</f>
        <v>2D</v>
      </c>
      <c r="E923" s="9" t="str">
        <f>IF(B923="","",IFERROR(INDEX(Client_List!$K:$K,MATCH(B923,Client_List!$B:$B,0)),""))</f>
        <v>CANOLA OIL</v>
      </c>
      <c r="F923" s="10">
        <f>IF(B923="","",IFERROR(INDEX(Client_List!$J:$J,MATCH(B923,Client_List!$B:$B,0)),""))</f>
        <v>350</v>
      </c>
      <c r="G923" s="10">
        <v>292</v>
      </c>
      <c r="H923" s="9">
        <f>IF(B923="","",IFERROR(A923-LOOKUP(2,1/($B$4:$B922=B923),$A$4:$A922),""))</f>
        <v>13</v>
      </c>
      <c r="I923" s="73">
        <f t="shared" si="14"/>
        <v>22.46153846153846</v>
      </c>
      <c r="J923" s="9">
        <v>10452</v>
      </c>
      <c r="K923" s="6">
        <f>IF(B923="","",IFERROR(AVERAGEIFS($I$4:$I923,$B$4:$B923,B923,$I$4:$I923,"&gt;"&amp;0),""))</f>
        <v>35.339112739112736</v>
      </c>
      <c r="L923" s="9" t="str">
        <f>IF(B923="","",IF(ISNA(MATCH(B923,Client_List!$B:$B,0)),"⚠ NOT FOUND","✓"))</f>
        <v>✓</v>
      </c>
    </row>
    <row r="924" spans="1:12" ht="14" customHeight="1" x14ac:dyDescent="0.2">
      <c r="A924" s="56">
        <v>46100</v>
      </c>
      <c r="B924" s="2" t="s">
        <v>63</v>
      </c>
      <c r="C924" s="12" t="str">
        <f>IF(B924="","",IFERROR(INDEX(Client_List!$C:$C,MATCH(B924,Client_List!$B:$B,0)),""))</f>
        <v>5</v>
      </c>
      <c r="D924" s="4" t="str">
        <f>IF(B924="","",IFERROR(INDEX(Client_List!$D:$D,MATCH(B924,Client_List!$B:$B,0)),""))</f>
        <v>5D</v>
      </c>
      <c r="E924" s="4" t="str">
        <f>IF(B924="","",IFERROR(INDEX(Client_List!$K:$K,MATCH(B924,Client_List!$B:$B,0)),""))</f>
        <v>CANOLA OIL</v>
      </c>
      <c r="F924" s="5">
        <f>IF(B924="","",IFERROR(INDEX(Client_List!$J:$J,MATCH(B924,Client_List!$B:$B,0)),""))</f>
        <v>425</v>
      </c>
      <c r="G924" s="5">
        <v>252</v>
      </c>
      <c r="H924" s="4">
        <f>IF(B924="","",IFERROR(A924-LOOKUP(2,1/($B$4:$B923=B924),$A$4:$A923),""))</f>
        <v>7</v>
      </c>
      <c r="I924" s="72">
        <f t="shared" si="14"/>
        <v>36</v>
      </c>
      <c r="J924" s="4"/>
      <c r="K924" s="6">
        <f>IF(B924="","",IFERROR(AVERAGEIFS($I$4:$I924,$B$4:$B924,B924,$I$4:$I924,"&gt;"&amp;0),""))</f>
        <v>35.63127705627705</v>
      </c>
      <c r="L924" s="4" t="str">
        <f>IF(B924="","",IF(ISNA(MATCH(B924,Client_List!$B:$B,0)),"⚠ NOT FOUND","✓"))</f>
        <v>✓</v>
      </c>
    </row>
    <row r="925" spans="1:12" ht="14" customHeight="1" x14ac:dyDescent="0.2">
      <c r="A925" s="57">
        <v>46100</v>
      </c>
      <c r="B925" s="7" t="s">
        <v>81</v>
      </c>
      <c r="C925" s="3" t="str">
        <f>IF(B925="","",IFERROR(INDEX(Client_List!$C:$C,MATCH(B925,Client_List!$B:$B,0)),""))</f>
        <v>3</v>
      </c>
      <c r="D925" s="9" t="str">
        <f>IF(B925="","",IFERROR(INDEX(Client_List!$D:$D,MATCH(B925,Client_List!$B:$B,0)),""))</f>
        <v>3E</v>
      </c>
      <c r="E925" s="9" t="str">
        <f>IF(B925="","",IFERROR(INDEX(Client_List!$K:$K,MATCH(B925,Client_List!$B:$B,0)),""))</f>
        <v>CANOLA OIL</v>
      </c>
      <c r="F925" s="10">
        <f>IF(B925="","",IFERROR(INDEX(Client_List!$J:$J,MATCH(B925,Client_List!$B:$B,0)),""))</f>
        <v>350</v>
      </c>
      <c r="G925" s="10">
        <v>202</v>
      </c>
      <c r="H925" s="9">
        <f>IF(B925="","",IFERROR(A925-LOOKUP(2,1/($B$4:$B924=B925),$A$4:$A924),""))</f>
        <v>14</v>
      </c>
      <c r="I925" s="73">
        <f t="shared" si="14"/>
        <v>14.428571428571429</v>
      </c>
      <c r="J925" s="9"/>
      <c r="K925" s="6">
        <f>IF(B925="","",IFERROR(AVERAGEIFS($I$4:$I925,$B$4:$B925,B925,$I$4:$I925,"&gt;"&amp;0),""))</f>
        <v>17.995555555555555</v>
      </c>
      <c r="L925" s="9" t="str">
        <f>IF(B925="","",IF(ISNA(MATCH(B925,Client_List!$B:$B,0)),"⚠ NOT FOUND","✓"))</f>
        <v>✓</v>
      </c>
    </row>
    <row r="926" spans="1:12" ht="14" customHeight="1" x14ac:dyDescent="0.2">
      <c r="A926" s="56">
        <v>46100</v>
      </c>
      <c r="B926" s="2" t="s">
        <v>100</v>
      </c>
      <c r="C926" s="12" t="str">
        <f>IF(B926="","",IFERROR(INDEX(Client_List!$C:$C,MATCH(B926,Client_List!$B:$B,0)),""))</f>
        <v>4</v>
      </c>
      <c r="D926" s="4" t="str">
        <f>IF(B926="","",IFERROR(INDEX(Client_List!$D:$D,MATCH(B926,Client_List!$B:$B,0)),""))</f>
        <v>4F</v>
      </c>
      <c r="E926" s="4" t="str">
        <f>IF(B926="","",IFERROR(INDEX(Client_List!$K:$K,MATCH(B926,Client_List!$B:$B,0)),""))</f>
        <v>CANOLA OIL</v>
      </c>
      <c r="F926" s="5">
        <f>IF(B926="","",IFERROR(INDEX(Client_List!$J:$J,MATCH(B926,Client_List!$B:$B,0)),""))</f>
        <v>700</v>
      </c>
      <c r="G926" s="5">
        <v>625</v>
      </c>
      <c r="H926" s="4">
        <f>IF(B926="","",IFERROR(A926-LOOKUP(2,1/($B$4:$B925=B926),$A$4:$A925),""))</f>
        <v>21</v>
      </c>
      <c r="I926" s="72">
        <f t="shared" si="14"/>
        <v>29.761904761904763</v>
      </c>
      <c r="J926" s="4"/>
      <c r="K926" s="6">
        <f>IF(B926="","",IFERROR(AVERAGEIFS($I$4:$I926,$B$4:$B926,B926,$I$4:$I926,"&gt;"&amp;0),""))</f>
        <v>28.503968253968253</v>
      </c>
      <c r="L926" s="4" t="str">
        <f>IF(B926="","",IF(ISNA(MATCH(B926,Client_List!$B:$B,0)),"⚠ NOT FOUND","✓"))</f>
        <v>✓</v>
      </c>
    </row>
    <row r="927" spans="1:12" ht="14" customHeight="1" x14ac:dyDescent="0.2">
      <c r="A927" s="57">
        <v>46100</v>
      </c>
      <c r="B927" s="7" t="s">
        <v>102</v>
      </c>
      <c r="C927" s="13" t="str">
        <f>IF(B927="","",IFERROR(INDEX(Client_List!$C:$C,MATCH(B927,Client_List!$B:$B,0)),""))</f>
        <v>3</v>
      </c>
      <c r="D927" s="9" t="str">
        <f>IF(B927="","",IFERROR(INDEX(Client_List!$D:$D,MATCH(B927,Client_List!$B:$B,0)),""))</f>
        <v>3C</v>
      </c>
      <c r="E927" s="9" t="str">
        <f>IF(B927="","",IFERROR(INDEX(Client_List!$K:$K,MATCH(B927,Client_List!$B:$B,0)),""))</f>
        <v>CANOLA OIL</v>
      </c>
      <c r="F927" s="10">
        <f>IF(B927="","",IFERROR(INDEX(Client_List!$J:$J,MATCH(B927,Client_List!$B:$B,0)),""))</f>
        <v>500</v>
      </c>
      <c r="G927" s="10">
        <v>501</v>
      </c>
      <c r="H927" s="9">
        <f>IF(B927="","",IFERROR(A927-LOOKUP(2,1/($B$4:$B926=B927),$A$4:$A926),""))</f>
        <v>15</v>
      </c>
      <c r="I927" s="73">
        <f t="shared" si="14"/>
        <v>33.4</v>
      </c>
      <c r="J927" s="9"/>
      <c r="K927" s="6">
        <f>IF(B927="","",IFERROR(AVERAGEIFS($I$4:$I927,$B$4:$B927,B927,$I$4:$I927,"&gt;"&amp;0),""))</f>
        <v>33.402051282051289</v>
      </c>
      <c r="L927" s="9" t="str">
        <f>IF(B927="","",IF(ISNA(MATCH(B927,Client_List!$B:$B,0)),"⚠ NOT FOUND","✓"))</f>
        <v>✓</v>
      </c>
    </row>
    <row r="928" spans="1:12" ht="14" customHeight="1" x14ac:dyDescent="0.2">
      <c r="A928" s="56">
        <v>46100</v>
      </c>
      <c r="B928" s="2" t="s">
        <v>186</v>
      </c>
      <c r="C928" s="3" t="str">
        <f>IF(B928="","",IFERROR(INDEX(Client_List!$C:$C,MATCH(B928,Client_List!$B:$B,0)),""))</f>
        <v>4</v>
      </c>
      <c r="D928" s="4" t="str">
        <f>IF(B928="","",IFERROR(INDEX(Client_List!$D:$D,MATCH(B928,Client_List!$B:$B,0)),""))</f>
        <v>4E</v>
      </c>
      <c r="E928" s="4" t="str">
        <f>IF(B928="","",IFERROR(INDEX(Client_List!$K:$K,MATCH(B928,Client_List!$B:$B,0)),""))</f>
        <v>CANOLA OIL</v>
      </c>
      <c r="F928" s="5">
        <f>IF(B928="","",IFERROR(INDEX(Client_List!$J:$J,MATCH(B928,Client_List!$B:$B,0)),""))</f>
        <v>950</v>
      </c>
      <c r="G928" s="5">
        <v>664</v>
      </c>
      <c r="H928" s="4">
        <f>IF(B928="","",IFERROR(A928-LOOKUP(2,1/($B$4:$B927=B928),$A$4:$A927),""))</f>
        <v>7</v>
      </c>
      <c r="I928" s="72">
        <f t="shared" si="14"/>
        <v>94.857142857142861</v>
      </c>
      <c r="J928" s="4"/>
      <c r="K928" s="6">
        <f>IF(B928="","",IFERROR(AVERAGEIFS($I$4:$I928,$B$4:$B928,B928,$I$4:$I928,"&gt;"&amp;0),""))</f>
        <v>88.367559523809518</v>
      </c>
      <c r="L928" s="4" t="str">
        <f>IF(B928="","",IF(ISNA(MATCH(B928,Client_List!$B:$B,0)),"⚠ NOT FOUND","✓"))</f>
        <v>✓</v>
      </c>
    </row>
    <row r="929" spans="1:12" ht="14" customHeight="1" x14ac:dyDescent="0.2">
      <c r="A929" s="57">
        <v>46100</v>
      </c>
      <c r="B929" s="7" t="s">
        <v>236</v>
      </c>
      <c r="C929" s="3" t="str">
        <f>IF(B929="","",IFERROR(INDEX(Client_List!$C:$C,MATCH(B929,Client_List!$B:$B,0)),""))</f>
        <v>5</v>
      </c>
      <c r="D929" s="9" t="str">
        <f>IF(B929="","",IFERROR(INDEX(Client_List!$D:$D,MATCH(B929,Client_List!$B:$B,0)),""))</f>
        <v>5E</v>
      </c>
      <c r="E929" s="9" t="str">
        <f>IF(B929="","",IFERROR(INDEX(Client_List!$K:$K,MATCH(B929,Client_List!$B:$B,0)),""))</f>
        <v>CANOLA OIL</v>
      </c>
      <c r="F929" s="10">
        <f>IF(B929="","",IFERROR(INDEX(Client_List!$J:$J,MATCH(B929,Client_List!$B:$B,0)),""))</f>
        <v>500</v>
      </c>
      <c r="G929" s="10">
        <v>321</v>
      </c>
      <c r="H929" s="9">
        <f>IF(B929="","",IFERROR(A929-LOOKUP(2,1/($B$4:$B928=B929),$A$4:$A928),""))</f>
        <v>13</v>
      </c>
      <c r="I929" s="73">
        <f t="shared" si="14"/>
        <v>24.692307692307693</v>
      </c>
      <c r="J929" s="9"/>
      <c r="K929" s="6">
        <f>IF(B929="","",IFERROR(AVERAGEIFS($I$4:$I929,$B$4:$B929,B929,$I$4:$I929,"&gt;"&amp;0),""))</f>
        <v>28.776780626780624</v>
      </c>
      <c r="L929" s="9" t="str">
        <f>IF(B929="","",IF(ISNA(MATCH(B929,Client_List!$B:$B,0)),"⚠ NOT FOUND","✓"))</f>
        <v>✓</v>
      </c>
    </row>
    <row r="930" spans="1:12" ht="14" customHeight="1" x14ac:dyDescent="0.2">
      <c r="A930" s="56">
        <v>46100</v>
      </c>
      <c r="B930" s="2" t="s">
        <v>240</v>
      </c>
      <c r="C930" s="13" t="str">
        <f>IF(B930="","",IFERROR(INDEX(Client_List!$C:$C,MATCH(B930,Client_List!$B:$B,0)),""))</f>
        <v>5</v>
      </c>
      <c r="D930" s="4" t="str">
        <f>IF(B930="","",IFERROR(INDEX(Client_List!$D:$D,MATCH(B930,Client_List!$B:$B,0)),""))</f>
        <v>5F</v>
      </c>
      <c r="E930" s="4" t="str">
        <f>IF(B930="","",IFERROR(INDEX(Client_List!$K:$K,MATCH(B930,Client_List!$B:$B,0)),""))</f>
        <v>CANOLA OIL</v>
      </c>
      <c r="F930" s="5">
        <f>IF(B930="","",IFERROR(INDEX(Client_List!$J:$J,MATCH(B930,Client_List!$B:$B,0)),""))</f>
        <v>350</v>
      </c>
      <c r="G930" s="5">
        <v>346</v>
      </c>
      <c r="H930" s="4">
        <f>IF(B930="","",IFERROR(A930-LOOKUP(2,1/($B$4:$B929=B930),$A$4:$A929),""))</f>
        <v>13</v>
      </c>
      <c r="I930" s="72">
        <f t="shared" si="14"/>
        <v>26.615384615384617</v>
      </c>
      <c r="J930" s="4"/>
      <c r="K930" s="6">
        <f>IF(B930="","",IFERROR(AVERAGEIFS($I$4:$I930,$B$4:$B930,B930,$I$4:$I930,"&gt;"&amp;0),""))</f>
        <v>30.864556078841794</v>
      </c>
      <c r="L930" s="4" t="str">
        <f>IF(B930="","",IF(ISNA(MATCH(B930,Client_List!$B:$B,0)),"⚠ NOT FOUND","✓"))</f>
        <v>✓</v>
      </c>
    </row>
    <row r="931" spans="1:12" ht="14" customHeight="1" x14ac:dyDescent="0.2">
      <c r="A931" s="57">
        <v>46100</v>
      </c>
      <c r="B931" s="7" t="s">
        <v>274</v>
      </c>
      <c r="C931" s="3" t="str">
        <f>IF(B931="","",IFERROR(INDEX(Client_List!$C:$C,MATCH(B931,Client_List!$B:$B,0)),""))</f>
        <v>3</v>
      </c>
      <c r="D931" s="9" t="str">
        <f>IF(B931="","",IFERROR(INDEX(Client_List!$D:$D,MATCH(B931,Client_List!$B:$B,0)),""))</f>
        <v>3C</v>
      </c>
      <c r="E931" s="9" t="str">
        <f>IF(B931="","",IFERROR(INDEX(Client_List!$K:$K,MATCH(B931,Client_List!$B:$B,0)),""))</f>
        <v>FRYERS CHOICE BLEND</v>
      </c>
      <c r="F931" s="10">
        <f>IF(B931="","",IFERROR(INDEX(Client_List!$J:$J,MATCH(B931,Client_List!$B:$B,0)),""))</f>
        <v>450</v>
      </c>
      <c r="G931" s="10">
        <v>327</v>
      </c>
      <c r="H931" s="9">
        <f>IF(B931="","",IFERROR(A931-LOOKUP(2,1/($B$4:$B930=B931),$A$4:$A930),""))</f>
        <v>7</v>
      </c>
      <c r="I931" s="73">
        <f t="shared" si="14"/>
        <v>46.714285714285715</v>
      </c>
      <c r="J931" s="9"/>
      <c r="K931" s="6">
        <f>IF(B931="","",IFERROR(AVERAGEIFS($I$4:$I931,$B$4:$B931,B931,$I$4:$I931,"&gt;"&amp;0),""))</f>
        <v>43.173809523809524</v>
      </c>
      <c r="L931" s="9" t="str">
        <f>IF(B931="","",IF(ISNA(MATCH(B931,Client_List!$B:$B,0)),"⚠ NOT FOUND","✓"))</f>
        <v>✓</v>
      </c>
    </row>
    <row r="932" spans="1:12" ht="14" customHeight="1" x14ac:dyDescent="0.2">
      <c r="A932" s="56">
        <v>46100</v>
      </c>
      <c r="B932" s="2" t="s">
        <v>276</v>
      </c>
      <c r="C932" s="11" t="str">
        <f>IF(B932="","",IFERROR(INDEX(Client_List!$C:$C,MATCH(B932,Client_List!$B:$B,0)),""))</f>
        <v>3</v>
      </c>
      <c r="D932" s="4" t="str">
        <f>IF(B932="","",IFERROR(INDEX(Client_List!$D:$D,MATCH(B932,Client_List!$B:$B,0)),""))</f>
        <v>3D</v>
      </c>
      <c r="E932" s="4" t="str">
        <f>IF(B932="","",IFERROR(INDEX(Client_List!$K:$K,MATCH(B932,Client_List!$B:$B,0)),""))</f>
        <v>FRYERS CHOICE BLEND</v>
      </c>
      <c r="F932" s="5">
        <f>IF(B932="","",IFERROR(INDEX(Client_List!$J:$J,MATCH(B932,Client_List!$B:$B,0)),""))</f>
        <v>950</v>
      </c>
      <c r="G932" s="5">
        <v>561</v>
      </c>
      <c r="H932" s="4">
        <f>IF(B932="","",IFERROR(A932-LOOKUP(2,1/($B$4:$B931=B932),$A$4:$A931),""))</f>
        <v>7</v>
      </c>
      <c r="I932" s="72">
        <f t="shared" si="14"/>
        <v>80.142857142857139</v>
      </c>
      <c r="J932" s="4"/>
      <c r="K932" s="6">
        <f>IF(B932="","",IFERROR(AVERAGEIFS($I$4:$I932,$B$4:$B932,B932,$I$4:$I932,"&gt;"&amp;0),""))</f>
        <v>86.679805996472666</v>
      </c>
      <c r="L932" s="4" t="str">
        <f>IF(B932="","",IF(ISNA(MATCH(B932,Client_List!$B:$B,0)),"⚠ NOT FOUND","✓"))</f>
        <v>✓</v>
      </c>
    </row>
    <row r="933" spans="1:12" ht="14" customHeight="1" x14ac:dyDescent="0.2">
      <c r="A933" s="57">
        <v>46100</v>
      </c>
      <c r="B933" s="7" t="s">
        <v>304</v>
      </c>
      <c r="C933" s="3" t="str">
        <f>IF(B933="","",IFERROR(INDEX(Client_List!$C:$C,MATCH(B933,Client_List!$B:$B,0)),""))</f>
        <v>3</v>
      </c>
      <c r="D933" s="9" t="str">
        <f>IF(B933="","",IFERROR(INDEX(Client_List!$D:$D,MATCH(B933,Client_List!$B:$B,0)),""))</f>
        <v>3B</v>
      </c>
      <c r="E933" s="9" t="str">
        <f>IF(B933="","",IFERROR(INDEX(Client_List!$K:$K,MATCH(B933,Client_List!$B:$B,0)),""))</f>
        <v>CANOLA OIL</v>
      </c>
      <c r="F933" s="10">
        <f>IF(B933="","",IFERROR(INDEX(Client_List!$J:$J,MATCH(B933,Client_List!$B:$B,0)),""))</f>
        <v>350</v>
      </c>
      <c r="G933" s="10">
        <v>421</v>
      </c>
      <c r="H933" s="9">
        <f>IF(B933="","",IFERROR(A933-LOOKUP(2,1/($B$4:$B932=B933),$A$4:$A932),""))</f>
        <v>13</v>
      </c>
      <c r="I933" s="73">
        <f t="shared" si="14"/>
        <v>32.384615384615387</v>
      </c>
      <c r="J933" s="9"/>
      <c r="K933" s="6">
        <f>IF(B933="","",IFERROR(AVERAGEIFS($I$4:$I933,$B$4:$B933,B933,$I$4:$I933,"&gt;"&amp;0),""))</f>
        <v>44.070894383394375</v>
      </c>
      <c r="L933" s="9" t="str">
        <f>IF(B933="","",IF(ISNA(MATCH(B933,Client_List!$B:$B,0)),"⚠ NOT FOUND","✓"))</f>
        <v>✓</v>
      </c>
    </row>
    <row r="934" spans="1:12" ht="14" customHeight="1" x14ac:dyDescent="0.2">
      <c r="A934" s="56">
        <v>46100</v>
      </c>
      <c r="B934" s="2" t="s">
        <v>340</v>
      </c>
      <c r="C934" s="8" t="str">
        <f>IF(B934="","",IFERROR(INDEX(Client_List!$C:$C,MATCH(B934,Client_List!$B:$B,0)),""))</f>
        <v>2</v>
      </c>
      <c r="D934" s="4" t="str">
        <f>IF(B934="","",IFERROR(INDEX(Client_List!$D:$D,MATCH(B934,Client_List!$B:$B,0)),""))</f>
        <v>2C</v>
      </c>
      <c r="E934" s="4" t="str">
        <f>IF(B934="","",IFERROR(INDEX(Client_List!$K:$K,MATCH(B934,Client_List!$B:$B,0)),""))</f>
        <v>FRYERS CHOICE BLEND</v>
      </c>
      <c r="F934" s="5">
        <f>IF(B934="","",IFERROR(INDEX(Client_List!$J:$J,MATCH(B934,Client_List!$B:$B,0)),""))</f>
        <v>300</v>
      </c>
      <c r="G934" s="5">
        <v>227</v>
      </c>
      <c r="H934" s="4">
        <f>IF(B934="","",IFERROR(A934-LOOKUP(2,1/($B$4:$B933=B934),$A$4:$A933),""))</f>
        <v>13</v>
      </c>
      <c r="I934" s="72">
        <f t="shared" si="14"/>
        <v>17.46153846153846</v>
      </c>
      <c r="J934" s="4"/>
      <c r="K934" s="6">
        <f>IF(B934="","",IFERROR(AVERAGEIFS($I$4:$I934,$B$4:$B934,B934,$I$4:$I934,"&gt;"&amp;0),""))</f>
        <v>31.249927156177154</v>
      </c>
      <c r="L934" s="4" t="str">
        <f>IF(B934="","",IF(ISNA(MATCH(B934,Client_List!$B:$B,0)),"⚠ NOT FOUND","✓"))</f>
        <v>✓</v>
      </c>
    </row>
    <row r="935" spans="1:12" ht="14" customHeight="1" x14ac:dyDescent="0.2">
      <c r="A935" s="57">
        <v>46100</v>
      </c>
      <c r="B935" s="7" t="s">
        <v>344</v>
      </c>
      <c r="C935" s="8" t="str">
        <f>IF(B935="","",IFERROR(INDEX(Client_List!$C:$C,MATCH(B935,Client_List!$B:$B,0)),""))</f>
        <v>2</v>
      </c>
      <c r="D935" s="9" t="str">
        <f>IF(B935="","",IFERROR(INDEX(Client_List!$D:$D,MATCH(B935,Client_List!$B:$B,0)),""))</f>
        <v>2C</v>
      </c>
      <c r="E935" s="9" t="str">
        <f>IF(B935="","",IFERROR(INDEX(Client_List!$K:$K,MATCH(B935,Client_List!$B:$B,0)),""))</f>
        <v>FRYERS CHOICE BLEND</v>
      </c>
      <c r="F935" s="10">
        <f>IF(B935="","",IFERROR(INDEX(Client_List!$J:$J,MATCH(B935,Client_List!$B:$B,0)),""))</f>
        <v>1200</v>
      </c>
      <c r="G935" s="10">
        <v>1196</v>
      </c>
      <c r="H935" s="9">
        <f>IF(B935="","",IFERROR(A935-LOOKUP(2,1/($B$4:$B934=B935),$A$4:$A934),""))</f>
        <v>21</v>
      </c>
      <c r="I935" s="73">
        <f t="shared" si="14"/>
        <v>56.952380952380949</v>
      </c>
      <c r="J935" s="9"/>
      <c r="K935" s="6">
        <f>IF(B935="","",IFERROR(AVERAGEIFS($I$4:$I935,$B$4:$B935,B935,$I$4:$I935,"&gt;"&amp;0),""))</f>
        <v>55.330128205128204</v>
      </c>
      <c r="L935" s="9" t="str">
        <f>IF(B935="","",IF(ISNA(MATCH(B935,Client_List!$B:$B,0)),"⚠ NOT FOUND","✓"))</f>
        <v>✓</v>
      </c>
    </row>
    <row r="936" spans="1:12" ht="14" customHeight="1" x14ac:dyDescent="0.2">
      <c r="A936" s="56">
        <v>46101</v>
      </c>
      <c r="B936" s="2" t="s">
        <v>35</v>
      </c>
      <c r="C936" s="11" t="str">
        <f>IF(B936="","",IFERROR(INDEX(Client_List!$C:$C,MATCH(B936,Client_List!$B:$B,0)),""))</f>
        <v>2</v>
      </c>
      <c r="D936" s="4" t="str">
        <f>IF(B936="","",IFERROR(INDEX(Client_List!$D:$D,MATCH(B936,Client_List!$B:$B,0)),""))</f>
        <v>2C</v>
      </c>
      <c r="E936" s="4" t="str">
        <f>IF(B936="","",IFERROR(INDEX(Client_List!$K:$K,MATCH(B936,Client_List!$B:$B,0)),""))</f>
        <v>CANOLA OIL</v>
      </c>
      <c r="F936" s="5">
        <f>IF(B936="","",IFERROR(INDEX(Client_List!$J:$J,MATCH(B936,Client_List!$B:$B,0)),""))</f>
        <v>950</v>
      </c>
      <c r="G936" s="5">
        <v>787</v>
      </c>
      <c r="H936" s="4">
        <f>IF(B936="","",IFERROR(A936-LOOKUP(2,1/($B$4:$B935=B936),$A$4:$A935),""))</f>
        <v>9</v>
      </c>
      <c r="I936" s="72">
        <f t="shared" si="14"/>
        <v>87.444444444444443</v>
      </c>
      <c r="J936" s="4"/>
      <c r="K936" s="6">
        <f>IF(B936="","",IFERROR(AVERAGEIFS($I$4:$I936,$B$4:$B936,B936,$I$4:$I936,"&gt;"&amp;0),""))</f>
        <v>80.166833166833172</v>
      </c>
      <c r="L936" s="4" t="str">
        <f>IF(B936="","",IF(ISNA(MATCH(B936,Client_List!$B:$B,0)),"⚠ NOT FOUND","✓"))</f>
        <v>✓</v>
      </c>
    </row>
    <row r="937" spans="1:12" ht="14" customHeight="1" x14ac:dyDescent="0.2">
      <c r="A937" s="57">
        <v>46101</v>
      </c>
      <c r="B937" s="7" t="s">
        <v>49</v>
      </c>
      <c r="C937" s="12" t="str">
        <f>IF(B937="","",IFERROR(INDEX(Client_List!$C:$C,MATCH(B937,Client_List!$B:$B,0)),""))</f>
        <v>2</v>
      </c>
      <c r="D937" s="9" t="str">
        <f>IF(B937="","",IFERROR(INDEX(Client_List!$D:$D,MATCH(B937,Client_List!$B:$B,0)),""))</f>
        <v>2C</v>
      </c>
      <c r="E937" s="9" t="str">
        <f>IF(B937="","",IFERROR(INDEX(Client_List!$K:$K,MATCH(B937,Client_List!$B:$B,0)),""))</f>
        <v>CANOLA OIL</v>
      </c>
      <c r="F937" s="10">
        <f>IF(B937="","",IFERROR(INDEX(Client_List!$J:$J,MATCH(B937,Client_List!$B:$B,0)),""))</f>
        <v>950</v>
      </c>
      <c r="G937" s="10">
        <v>712</v>
      </c>
      <c r="H937" s="9">
        <f>IF(B937="","",IFERROR(A937-LOOKUP(2,1/($B$4:$B936=B937),$A$4:$A936),""))</f>
        <v>9</v>
      </c>
      <c r="I937" s="73">
        <f t="shared" si="14"/>
        <v>79.111111111111114</v>
      </c>
      <c r="J937" s="9"/>
      <c r="K937" s="6">
        <f>IF(B937="","",IFERROR(AVERAGEIFS($I$4:$I937,$B$4:$B937,B937,$I$4:$I937,"&gt;"&amp;0),""))</f>
        <v>74.149206349206338</v>
      </c>
      <c r="L937" s="9" t="str">
        <f>IF(B937="","",IF(ISNA(MATCH(B937,Client_List!$B:$B,0)),"⚠ NOT FOUND","✓"))</f>
        <v>✓</v>
      </c>
    </row>
    <row r="938" spans="1:12" ht="14" customHeight="1" x14ac:dyDescent="0.2">
      <c r="A938" s="56">
        <v>46101</v>
      </c>
      <c r="B938" s="2" t="s">
        <v>83</v>
      </c>
      <c r="C938" s="12" t="str">
        <f>IF(B938="","",IFERROR(INDEX(Client_List!$C:$C,MATCH(B938,Client_List!$B:$B,0)),""))</f>
        <v>4</v>
      </c>
      <c r="D938" s="4" t="str">
        <f>IF(B938="","",IFERROR(INDEX(Client_List!$D:$D,MATCH(B938,Client_List!$B:$B,0)),""))</f>
        <v>4D</v>
      </c>
      <c r="E938" s="4" t="str">
        <f>IF(B938="","",IFERROR(INDEX(Client_List!$K:$K,MATCH(B938,Client_List!$B:$B,0)),""))</f>
        <v>FRYERS CHOICE BLEND</v>
      </c>
      <c r="F938" s="5">
        <f>IF(B938="","",IFERROR(INDEX(Client_List!$J:$J,MATCH(B938,Client_List!$B:$B,0)),""))</f>
        <v>350</v>
      </c>
      <c r="G938" s="5">
        <v>278</v>
      </c>
      <c r="H938" s="4">
        <f>IF(B938="","",IFERROR(A938-LOOKUP(2,1/($B$4:$B937=B938),$A$4:$A937),""))</f>
        <v>7</v>
      </c>
      <c r="I938" s="72">
        <f t="shared" si="14"/>
        <v>39.714285714285715</v>
      </c>
      <c r="J938" s="4"/>
      <c r="K938" s="6">
        <f>IF(B938="","",IFERROR(AVERAGEIFS($I$4:$I938,$B$4:$B938,B938,$I$4:$I938,"&gt;"&amp;0),""))</f>
        <v>36.740299823633151</v>
      </c>
      <c r="L938" s="4" t="str">
        <f>IF(B938="","",IF(ISNA(MATCH(B938,Client_List!$B:$B,0)),"⚠ NOT FOUND","✓"))</f>
        <v>✓</v>
      </c>
    </row>
    <row r="939" spans="1:12" ht="14" customHeight="1" x14ac:dyDescent="0.2">
      <c r="A939" s="57">
        <v>46101</v>
      </c>
      <c r="B939" s="7" t="s">
        <v>90</v>
      </c>
      <c r="C939" s="8" t="str">
        <f>IF(B939="","",IFERROR(INDEX(Client_List!$C:$C,MATCH(B939,Client_List!$B:$B,0)),""))</f>
        <v>2</v>
      </c>
      <c r="D939" s="9" t="str">
        <f>IF(B939="","",IFERROR(INDEX(Client_List!$D:$D,MATCH(B939,Client_List!$B:$B,0)),""))</f>
        <v>2C</v>
      </c>
      <c r="E939" s="9" t="str">
        <f>IF(B939="","",IFERROR(INDEX(Client_List!$K:$K,MATCH(B939,Client_List!$B:$B,0)),""))</f>
        <v>CANOLA OIL</v>
      </c>
      <c r="F939" s="10">
        <f>IF(B939="","",IFERROR(INDEX(Client_List!$J:$J,MATCH(B939,Client_List!$B:$B,0)),""))</f>
        <v>1000</v>
      </c>
      <c r="G939" s="10">
        <v>1010</v>
      </c>
      <c r="H939" s="9">
        <f>IF(B939="","",IFERROR(A939-LOOKUP(2,1/($B$4:$B938=B939),$A$4:$A938),""))</f>
        <v>36</v>
      </c>
      <c r="I939" s="73">
        <f t="shared" si="14"/>
        <v>28.055555555555557</v>
      </c>
      <c r="J939" s="9"/>
      <c r="K939" s="6">
        <f>IF(B939="","",IFERROR(AVERAGEIFS($I$4:$I939,$B$4:$B939,B939,$I$4:$I939,"&gt;"&amp;0),""))</f>
        <v>28.727777777777778</v>
      </c>
      <c r="L939" s="9" t="str">
        <f>IF(B939="","",IF(ISNA(MATCH(B939,Client_List!$B:$B,0)),"⚠ NOT FOUND","✓"))</f>
        <v>✓</v>
      </c>
    </row>
    <row r="940" spans="1:12" ht="14" customHeight="1" x14ac:dyDescent="0.2">
      <c r="A940" s="56">
        <v>46101</v>
      </c>
      <c r="B940" s="2" t="s">
        <v>120</v>
      </c>
      <c r="C940" s="11" t="str">
        <f>IF(B940="","",IFERROR(INDEX(Client_List!$C:$C,MATCH(B940,Client_List!$B:$B,0)),""))</f>
        <v>5</v>
      </c>
      <c r="D940" s="4" t="str">
        <f>IF(B940="","",IFERROR(INDEX(Client_List!$D:$D,MATCH(B940,Client_List!$B:$B,0)),""))</f>
        <v>5D</v>
      </c>
      <c r="E940" s="4" t="str">
        <f>IF(B940="","",IFERROR(INDEX(Client_List!$K:$K,MATCH(B940,Client_List!$B:$B,0)),""))</f>
        <v>FRYERS CHOICE BLEND</v>
      </c>
      <c r="F940" s="5">
        <f>IF(B940="","",IFERROR(INDEX(Client_List!$J:$J,MATCH(B940,Client_List!$B:$B,0)),""))</f>
        <v>450</v>
      </c>
      <c r="G940" s="5">
        <v>470</v>
      </c>
      <c r="H940" s="4">
        <f>IF(B940="","",IFERROR(A940-LOOKUP(2,1/($B$4:$B939=B940),$A$4:$A939),""))</f>
        <v>9</v>
      </c>
      <c r="I940" s="72">
        <f t="shared" si="14"/>
        <v>52.222222222222221</v>
      </c>
      <c r="J940" s="4"/>
      <c r="K940" s="6">
        <f>IF(B940="","",IFERROR(AVERAGEIFS($I$4:$I940,$B$4:$B940,B940,$I$4:$I940,"&gt;"&amp;0),""))</f>
        <v>40.989745670995674</v>
      </c>
      <c r="L940" s="4" t="str">
        <f>IF(B940="","",IF(ISNA(MATCH(B940,Client_List!$B:$B,0)),"⚠ NOT FOUND","✓"))</f>
        <v>✓</v>
      </c>
    </row>
    <row r="941" spans="1:12" ht="14" customHeight="1" x14ac:dyDescent="0.2">
      <c r="A941" s="57">
        <v>46101</v>
      </c>
      <c r="B941" s="7" t="s">
        <v>128</v>
      </c>
      <c r="C941" s="3" t="str">
        <f>IF(B941="","",IFERROR(INDEX(Client_List!$C:$C,MATCH(B941,Client_List!$B:$B,0)),""))</f>
        <v>4</v>
      </c>
      <c r="D941" s="9" t="str">
        <f>IF(B941="","",IFERROR(INDEX(Client_List!$D:$D,MATCH(B941,Client_List!$B:$B,0)),""))</f>
        <v>4E</v>
      </c>
      <c r="E941" s="9" t="str">
        <f>IF(B941="","",IFERROR(INDEX(Client_List!$K:$K,MATCH(B941,Client_List!$B:$B,0)),""))</f>
        <v>CANOLA OIL</v>
      </c>
      <c r="F941" s="10">
        <f>IF(B941="","",IFERROR(INDEX(Client_List!$J:$J,MATCH(B941,Client_List!$B:$B,0)),""))</f>
        <v>700</v>
      </c>
      <c r="G941" s="10">
        <v>623</v>
      </c>
      <c r="H941" s="9">
        <f>IF(B941="","",IFERROR(A941-LOOKUP(2,1/($B$4:$B940=B941),$A$4:$A940),""))</f>
        <v>9</v>
      </c>
      <c r="I941" s="73">
        <f t="shared" si="14"/>
        <v>69.222222222222229</v>
      </c>
      <c r="J941" s="9"/>
      <c r="K941" s="6">
        <f>IF(B941="","",IFERROR(AVERAGEIFS($I$4:$I941,$B$4:$B941,B941,$I$4:$I941,"&gt;"&amp;0),""))</f>
        <v>69.871031746031761</v>
      </c>
      <c r="L941" s="9" t="str">
        <f>IF(B941="","",IF(ISNA(MATCH(B941,Client_List!$B:$B,0)),"⚠ NOT FOUND","✓"))</f>
        <v>✓</v>
      </c>
    </row>
    <row r="942" spans="1:12" ht="14" customHeight="1" x14ac:dyDescent="0.2">
      <c r="A942" s="56">
        <v>46101</v>
      </c>
      <c r="B942" s="2" t="s">
        <v>136</v>
      </c>
      <c r="C942" s="13" t="str">
        <f>IF(B942="","",IFERROR(INDEX(Client_List!$C:$C,MATCH(B942,Client_List!$B:$B,0)),""))</f>
        <v>5</v>
      </c>
      <c r="D942" s="4" t="str">
        <f>IF(B942="","",IFERROR(INDEX(Client_List!$D:$D,MATCH(B942,Client_List!$B:$B,0)),""))</f>
        <v>5F</v>
      </c>
      <c r="E942" s="4" t="str">
        <f>IF(B942="","",IFERROR(INDEX(Client_List!$K:$K,MATCH(B942,Client_List!$B:$B,0)),""))</f>
        <v>FRYERS CHOICE BLEND</v>
      </c>
      <c r="F942" s="5">
        <f>IF(B942="","",IFERROR(INDEX(Client_List!$J:$J,MATCH(B942,Client_List!$B:$B,0)),""))</f>
        <v>480</v>
      </c>
      <c r="G942" s="5">
        <v>411</v>
      </c>
      <c r="H942" s="4">
        <f>IF(B942="","",IFERROR(A942-LOOKUP(2,1/($B$4:$B941=B942),$A$4:$A941),""))</f>
        <v>9</v>
      </c>
      <c r="I942" s="72">
        <f t="shared" si="14"/>
        <v>45.666666666666664</v>
      </c>
      <c r="J942" s="4"/>
      <c r="K942" s="6">
        <f>IF(B942="","",IFERROR(AVERAGEIFS($I$4:$I942,$B$4:$B942,B942,$I$4:$I942,"&gt;"&amp;0),""))</f>
        <v>43.321150278293139</v>
      </c>
      <c r="L942" s="4" t="str">
        <f>IF(B942="","",IF(ISNA(MATCH(B942,Client_List!$B:$B,0)),"⚠ NOT FOUND","✓"))</f>
        <v>✓</v>
      </c>
    </row>
    <row r="943" spans="1:12" ht="14" customHeight="1" x14ac:dyDescent="0.2">
      <c r="A943" s="57">
        <v>46101</v>
      </c>
      <c r="B943" s="7" t="s">
        <v>138</v>
      </c>
      <c r="C943" s="3" t="str">
        <f>IF(B943="","",IFERROR(INDEX(Client_List!$C:$C,MATCH(B943,Client_List!$B:$B,0)),""))</f>
        <v>4</v>
      </c>
      <c r="D943" s="9" t="str">
        <f>IF(B943="","",IFERROR(INDEX(Client_List!$D:$D,MATCH(B943,Client_List!$B:$B,0)),""))</f>
        <v>4E</v>
      </c>
      <c r="E943" s="9" t="str">
        <f>IF(B943="","",IFERROR(INDEX(Client_List!$K:$K,MATCH(B943,Client_List!$B:$B,0)),""))</f>
        <v>CANOLA OIL</v>
      </c>
      <c r="F943" s="10">
        <f>IF(B943="","",IFERROR(INDEX(Client_List!$J:$J,MATCH(B943,Client_List!$B:$B,0)),""))</f>
        <v>350</v>
      </c>
      <c r="G943" s="10">
        <v>361</v>
      </c>
      <c r="H943" s="9">
        <f>IF(B943="","",IFERROR(A943-LOOKUP(2,1/($B$4:$B942=B943),$A$4:$A942),""))</f>
        <v>14</v>
      </c>
      <c r="I943" s="73">
        <f t="shared" si="14"/>
        <v>25.785714285714285</v>
      </c>
      <c r="J943" s="9"/>
      <c r="K943" s="6">
        <f>IF(B943="","",IFERROR(AVERAGEIFS($I$4:$I943,$B$4:$B943,B943,$I$4:$I943,"&gt;"&amp;0),""))</f>
        <v>36.269345238095234</v>
      </c>
      <c r="L943" s="9" t="str">
        <f>IF(B943="","",IF(ISNA(MATCH(B943,Client_List!$B:$B,0)),"⚠ NOT FOUND","✓"))</f>
        <v>✓</v>
      </c>
    </row>
    <row r="944" spans="1:12" ht="14" customHeight="1" x14ac:dyDescent="0.2">
      <c r="A944" s="56">
        <v>46101</v>
      </c>
      <c r="B944" s="2" t="s">
        <v>140</v>
      </c>
      <c r="C944" s="3" t="str">
        <f>IF(B944="","",IFERROR(INDEX(Client_List!$C:$C,MATCH(B944,Client_List!$B:$B,0)),""))</f>
        <v>5</v>
      </c>
      <c r="D944" s="4" t="str">
        <f>IF(B944="","",IFERROR(INDEX(Client_List!$D:$D,MATCH(B944,Client_List!$B:$B,0)),""))</f>
        <v>5E</v>
      </c>
      <c r="E944" s="4" t="str">
        <f>IF(B944="","",IFERROR(INDEX(Client_List!$K:$K,MATCH(B944,Client_List!$B:$B,0)),""))</f>
        <v>CANOLA OIL</v>
      </c>
      <c r="F944" s="5">
        <f>IF(B944="","",IFERROR(INDEX(Client_List!$J:$J,MATCH(B944,Client_List!$B:$B,0)),""))</f>
        <v>350</v>
      </c>
      <c r="G944" s="5">
        <v>220</v>
      </c>
      <c r="H944" s="4">
        <f>IF(B944="","",IFERROR(A944-LOOKUP(2,1/($B$4:$B943=B944),$A$4:$A943),""))</f>
        <v>10</v>
      </c>
      <c r="I944" s="72">
        <f t="shared" si="14"/>
        <v>22</v>
      </c>
      <c r="J944" s="4"/>
      <c r="K944" s="6">
        <f>IF(B944="","",IFERROR(AVERAGEIFS($I$4:$I944,$B$4:$B944,B944,$I$4:$I944,"&gt;"&amp;0),""))</f>
        <v>32.898809523809526</v>
      </c>
      <c r="L944" s="4" t="str">
        <f>IF(B944="","",IF(ISNA(MATCH(B944,Client_List!$B:$B,0)),"⚠ NOT FOUND","✓"))</f>
        <v>✓</v>
      </c>
    </row>
    <row r="945" spans="1:12" ht="14" customHeight="1" x14ac:dyDescent="0.2">
      <c r="A945" s="57">
        <v>46101</v>
      </c>
      <c r="B945" s="7" t="s">
        <v>148</v>
      </c>
      <c r="C945" s="3" t="str">
        <f>IF(B945="","",IFERROR(INDEX(Client_List!$C:$C,MATCH(B945,Client_List!$B:$B,0)),""))</f>
        <v>4</v>
      </c>
      <c r="D945" s="9" t="str">
        <f>IF(B945="","",IFERROR(INDEX(Client_List!$D:$D,MATCH(B945,Client_List!$B:$B,0)),""))</f>
        <v>4B</v>
      </c>
      <c r="E945" s="9" t="str">
        <f>IF(B945="","",IFERROR(INDEX(Client_List!$K:$K,MATCH(B945,Client_List!$B:$B,0)),""))</f>
        <v>FRYERS CHOICE BLEND</v>
      </c>
      <c r="F945" s="10">
        <f>IF(B945="","",IFERROR(INDEX(Client_List!$J:$J,MATCH(B945,Client_List!$B:$B,0)),""))</f>
        <v>950</v>
      </c>
      <c r="G945" s="10">
        <v>690</v>
      </c>
      <c r="H945" s="9">
        <f>IF(B945="","",IFERROR(A945-LOOKUP(2,1/($B$4:$B944=B945),$A$4:$A944),""))</f>
        <v>9</v>
      </c>
      <c r="I945" s="73">
        <f t="shared" si="14"/>
        <v>76.666666666666671</v>
      </c>
      <c r="J945" s="9"/>
      <c r="K945" s="6">
        <f>IF(B945="","",IFERROR(AVERAGEIFS($I$4:$I945,$B$4:$B945,B945,$I$4:$I945,"&gt;"&amp;0),""))</f>
        <v>83.712012987012983</v>
      </c>
      <c r="L945" s="9" t="str">
        <f>IF(B945="","",IF(ISNA(MATCH(B945,Client_List!$B:$B,0)),"⚠ NOT FOUND","✓"))</f>
        <v>✓</v>
      </c>
    </row>
    <row r="946" spans="1:12" ht="14" customHeight="1" x14ac:dyDescent="0.2">
      <c r="A946" s="56">
        <v>46101</v>
      </c>
      <c r="B946" s="2" t="s">
        <v>168</v>
      </c>
      <c r="C946" s="3" t="str">
        <f>IF(B946="","",IFERROR(INDEX(Client_List!$C:$C,MATCH(B946,Client_List!$B:$B,0)),""))</f>
        <v>4</v>
      </c>
      <c r="D946" s="4" t="str">
        <f>IF(B946="","",IFERROR(INDEX(Client_List!$D:$D,MATCH(B946,Client_List!$B:$B,0)),""))</f>
        <v>4B</v>
      </c>
      <c r="E946" s="4" t="str">
        <f>IF(B946="","",IFERROR(INDEX(Client_List!$K:$K,MATCH(B946,Client_List!$B:$B,0)),""))</f>
        <v>FRYERS CHOICE BLEND</v>
      </c>
      <c r="F946" s="5">
        <f>IF(B946="","",IFERROR(INDEX(Client_List!$J:$J,MATCH(B946,Client_List!$B:$B,0)),""))</f>
        <v>620</v>
      </c>
      <c r="G946" s="5">
        <v>461</v>
      </c>
      <c r="H946" s="4">
        <f>IF(B946="","",IFERROR(A946-LOOKUP(2,1/($B$4:$B945=B946),$A$4:$A945),""))</f>
        <v>13</v>
      </c>
      <c r="I946" s="72">
        <f t="shared" si="14"/>
        <v>35.46153846153846</v>
      </c>
      <c r="J946" s="4"/>
      <c r="K946" s="6">
        <f>IF(B946="","",IFERROR(AVERAGEIFS($I$4:$I946,$B$4:$B946,B946,$I$4:$I946,"&gt;"&amp;0),""))</f>
        <v>38.358974358974358</v>
      </c>
      <c r="L946" s="4" t="str">
        <f>IF(B946="","",IF(ISNA(MATCH(B946,Client_List!$B:$B,0)),"⚠ NOT FOUND","✓"))</f>
        <v>✓</v>
      </c>
    </row>
    <row r="947" spans="1:12" ht="14" customHeight="1" x14ac:dyDescent="0.2">
      <c r="A947" s="57">
        <v>46101</v>
      </c>
      <c r="B947" s="7" t="s">
        <v>180</v>
      </c>
      <c r="C947" s="3" t="str">
        <f>IF(B947="","",IFERROR(INDEX(Client_List!$C:$C,MATCH(B947,Client_List!$B:$B,0)),""))</f>
        <v>1</v>
      </c>
      <c r="D947" s="9" t="str">
        <f>IF(B947="","",IFERROR(INDEX(Client_List!$D:$D,MATCH(B947,Client_List!$B:$B,0)),""))</f>
        <v>1D</v>
      </c>
      <c r="E947" s="9" t="str">
        <f>IF(B947="","",IFERROR(INDEX(Client_List!$K:$K,MATCH(B947,Client_List!$B:$B,0)),""))</f>
        <v>CANOLA OIL</v>
      </c>
      <c r="F947" s="10">
        <f>IF(B947="","",IFERROR(INDEX(Client_List!$J:$J,MATCH(B947,Client_List!$B:$B,0)),""))</f>
        <v>950</v>
      </c>
      <c r="G947" s="10">
        <v>937</v>
      </c>
      <c r="H947" s="9">
        <f>IF(B947="","",IFERROR(A947-LOOKUP(2,1/($B$4:$B946=B947),$A$4:$A946),""))</f>
        <v>13</v>
      </c>
      <c r="I947" s="73">
        <f t="shared" si="14"/>
        <v>72.07692307692308</v>
      </c>
      <c r="J947" s="9"/>
      <c r="K947" s="6">
        <f>IF(B947="","",IFERROR(AVERAGEIFS($I$4:$I947,$B$4:$B947,B947,$I$4:$I947,"&gt;"&amp;0),""))</f>
        <v>74.098290598290603</v>
      </c>
      <c r="L947" s="9" t="str">
        <f>IF(B947="","",IF(ISNA(MATCH(B947,Client_List!$B:$B,0)),"⚠ NOT FOUND","✓"))</f>
        <v>✓</v>
      </c>
    </row>
    <row r="948" spans="1:12" ht="14" customHeight="1" x14ac:dyDescent="0.2">
      <c r="A948" s="56">
        <v>46101</v>
      </c>
      <c r="B948" s="2" t="s">
        <v>184</v>
      </c>
      <c r="C948" s="3" t="str">
        <f>IF(B948="","",IFERROR(INDEX(Client_List!$C:$C,MATCH(B948,Client_List!$B:$B,0)),""))</f>
        <v>3</v>
      </c>
      <c r="D948" s="4" t="str">
        <f>IF(B948="","",IFERROR(INDEX(Client_List!$D:$D,MATCH(B948,Client_List!$B:$B,0)),""))</f>
        <v>3C</v>
      </c>
      <c r="E948" s="4" t="str">
        <f>IF(B948="","",IFERROR(INDEX(Client_List!$K:$K,MATCH(B948,Client_List!$B:$B,0)),""))</f>
        <v>CANOLA OIL</v>
      </c>
      <c r="F948" s="5">
        <f>IF(B948="","",IFERROR(INDEX(Client_List!$J:$J,MATCH(B948,Client_List!$B:$B,0)),""))</f>
        <v>1050</v>
      </c>
      <c r="G948" s="5">
        <v>1021</v>
      </c>
      <c r="H948" s="4">
        <f>IF(B948="","",IFERROR(A948-LOOKUP(2,1/($B$4:$B947=B948),$A$4:$A947),""))</f>
        <v>10</v>
      </c>
      <c r="I948" s="72">
        <f t="shared" si="14"/>
        <v>102.1</v>
      </c>
      <c r="J948" s="4"/>
      <c r="K948" s="6">
        <f>IF(B948="","",IFERROR(AVERAGEIFS($I$4:$I948,$B$4:$B948,B948,$I$4:$I948,"&gt;"&amp;0),""))</f>
        <v>101.665306122449</v>
      </c>
      <c r="L948" s="4" t="str">
        <f>IF(B948="","",IF(ISNA(MATCH(B948,Client_List!$B:$B,0)),"⚠ NOT FOUND","✓"))</f>
        <v>✓</v>
      </c>
    </row>
    <row r="949" spans="1:12" ht="14" customHeight="1" x14ac:dyDescent="0.2">
      <c r="A949" s="57">
        <v>46101</v>
      </c>
      <c r="B949" s="7" t="s">
        <v>202</v>
      </c>
      <c r="C949" s="11" t="str">
        <f>IF(B949="","",IFERROR(INDEX(Client_List!$C:$C,MATCH(B949,Client_List!$B:$B,0)),""))</f>
        <v>4</v>
      </c>
      <c r="D949" s="9" t="str">
        <f>IF(B949="","",IFERROR(INDEX(Client_List!$D:$D,MATCH(B949,Client_List!$B:$B,0)),""))</f>
        <v>4D</v>
      </c>
      <c r="E949" s="9" t="str">
        <f>IF(B949="","",IFERROR(INDEX(Client_List!$K:$K,MATCH(B949,Client_List!$B:$B,0)),""))</f>
        <v>CANOLA OIL</v>
      </c>
      <c r="F949" s="10">
        <f>IF(B949="","",IFERROR(INDEX(Client_List!$J:$J,MATCH(B949,Client_List!$B:$B,0)),""))</f>
        <v>1050</v>
      </c>
      <c r="G949" s="10">
        <v>925</v>
      </c>
      <c r="H949" s="9">
        <f>IF(B949="","",IFERROR(A949-LOOKUP(2,1/($B$4:$B948=B949),$A$4:$A948),""))</f>
        <v>10</v>
      </c>
      <c r="I949" s="73">
        <f t="shared" si="14"/>
        <v>92.5</v>
      </c>
      <c r="J949" s="9">
        <v>10065</v>
      </c>
      <c r="K949" s="6">
        <f>IF(B949="","",IFERROR(AVERAGEIFS($I$4:$I949,$B$4:$B949,B949,$I$4:$I949,"&gt;"&amp;0),""))</f>
        <v>83.456493506493516</v>
      </c>
      <c r="L949" s="9" t="str">
        <f>IF(B949="","",IF(ISNA(MATCH(B949,Client_List!$B:$B,0)),"⚠ NOT FOUND","✓"))</f>
        <v>✓</v>
      </c>
    </row>
    <row r="950" spans="1:12" ht="14" customHeight="1" x14ac:dyDescent="0.2">
      <c r="A950" s="56">
        <v>46101</v>
      </c>
      <c r="B950" s="2" t="s">
        <v>220</v>
      </c>
      <c r="C950" s="3" t="str">
        <f>IF(B950="","",IFERROR(INDEX(Client_List!$C:$C,MATCH(B950,Client_List!$B:$B,0)),""))</f>
        <v>4</v>
      </c>
      <c r="D950" s="4" t="str">
        <f>IF(B950="","",IFERROR(INDEX(Client_List!$D:$D,MATCH(B950,Client_List!$B:$B,0)),""))</f>
        <v>4A</v>
      </c>
      <c r="E950" s="4" t="str">
        <f>IF(B950="","",IFERROR(INDEX(Client_List!$K:$K,MATCH(B950,Client_List!$B:$B,0)),""))</f>
        <v>CANOLA OIL</v>
      </c>
      <c r="F950" s="5">
        <f>IF(B950="","",IFERROR(INDEX(Client_List!$J:$J,MATCH(B950,Client_List!$B:$B,0)),""))</f>
        <v>480</v>
      </c>
      <c r="G950" s="5">
        <v>375</v>
      </c>
      <c r="H950" s="4">
        <f>IF(B950="","",IFERROR(A950-LOOKUP(2,1/($B$4:$B949=B950),$A$4:$A949),""))</f>
        <v>13</v>
      </c>
      <c r="I950" s="72">
        <f t="shared" si="14"/>
        <v>28.846153846153847</v>
      </c>
      <c r="J950" s="4"/>
      <c r="K950" s="6">
        <f>IF(B950="","",IFERROR(AVERAGEIFS($I$4:$I950,$B$4:$B950,B950,$I$4:$I950,"&gt;"&amp;0),""))</f>
        <v>26.071135531135532</v>
      </c>
      <c r="L950" s="4" t="str">
        <f>IF(B950="","",IF(ISNA(MATCH(B950,Client_List!$B:$B,0)),"⚠ NOT FOUND","✓"))</f>
        <v>✓</v>
      </c>
    </row>
    <row r="951" spans="1:12" ht="14" customHeight="1" x14ac:dyDescent="0.2">
      <c r="A951" s="57">
        <v>46101</v>
      </c>
      <c r="B951" s="7" t="s">
        <v>226</v>
      </c>
      <c r="C951" s="3" t="str">
        <f>IF(B951="","",IFERROR(INDEX(Client_List!$C:$C,MATCH(B951,Client_List!$B:$B,0)),""))</f>
        <v>4</v>
      </c>
      <c r="D951" s="9" t="str">
        <f>IF(B951="","",IFERROR(INDEX(Client_List!$D:$D,MATCH(B951,Client_List!$B:$B,0)),""))</f>
        <v>4F</v>
      </c>
      <c r="E951" s="9" t="str">
        <f>IF(B951="","",IFERROR(INDEX(Client_List!$K:$K,MATCH(B951,Client_List!$B:$B,0)),""))</f>
        <v>CANOLA OIL</v>
      </c>
      <c r="F951" s="10">
        <f>IF(B951="","",IFERROR(INDEX(Client_List!$J:$J,MATCH(B951,Client_List!$B:$B,0)),""))</f>
        <v>660</v>
      </c>
      <c r="G951" s="10">
        <v>532</v>
      </c>
      <c r="H951" s="9">
        <f>IF(B951="","",IFERROR(A951-LOOKUP(2,1/($B$4:$B950=B951),$A$4:$A950),""))</f>
        <v>21</v>
      </c>
      <c r="I951" s="73">
        <f t="shared" si="14"/>
        <v>25.333333333333332</v>
      </c>
      <c r="J951" s="9"/>
      <c r="K951" s="6">
        <f>IF(B951="","",IFERROR(AVERAGEIFS($I$4:$I951,$B$4:$B951,B951,$I$4:$I951,"&gt;"&amp;0),""))</f>
        <v>28.562626262626264</v>
      </c>
      <c r="L951" s="9" t="str">
        <f>IF(B951="","",IF(ISNA(MATCH(B951,Client_List!$B:$B,0)),"⚠ NOT FOUND","✓"))</f>
        <v>✓</v>
      </c>
    </row>
    <row r="952" spans="1:12" ht="14" customHeight="1" x14ac:dyDescent="0.2">
      <c r="A952" s="56">
        <v>46101</v>
      </c>
      <c r="B952" s="2" t="s">
        <v>242</v>
      </c>
      <c r="C952" s="12" t="str">
        <f>IF(B952="","",IFERROR(INDEX(Client_List!$C:$C,MATCH(B952,Client_List!$B:$B,0)),""))</f>
        <v>4</v>
      </c>
      <c r="D952" s="4" t="str">
        <f>IF(B952="","",IFERROR(INDEX(Client_List!$D:$D,MATCH(B952,Client_List!$B:$B,0)),""))</f>
        <v>4D</v>
      </c>
      <c r="E952" s="4" t="str">
        <f>IF(B952="","",IFERROR(INDEX(Client_List!$K:$K,MATCH(B952,Client_List!$B:$B,0)),""))</f>
        <v>FRYERS CHOICE BLEND</v>
      </c>
      <c r="F952" s="5">
        <f>IF(B952="","",IFERROR(INDEX(Client_List!$J:$J,MATCH(B952,Client_List!$B:$B,0)),""))</f>
        <v>950</v>
      </c>
      <c r="G952" s="5">
        <v>527</v>
      </c>
      <c r="H952" s="4">
        <f>IF(B952="","",IFERROR(A952-LOOKUP(2,1/($B$4:$B951=B952),$A$4:$A951),""))</f>
        <v>7</v>
      </c>
      <c r="I952" s="72">
        <f t="shared" si="14"/>
        <v>75.285714285714292</v>
      </c>
      <c r="J952" s="4"/>
      <c r="K952" s="6">
        <f>IF(B952="","",IFERROR(AVERAGEIFS($I$4:$I952,$B$4:$B952,B952,$I$4:$I952,"&gt;"&amp;0),""))</f>
        <v>76.077991452991455</v>
      </c>
      <c r="L952" s="4" t="str">
        <f>IF(B952="","",IF(ISNA(MATCH(B952,Client_List!$B:$B,0)),"⚠ NOT FOUND","✓"))</f>
        <v>✓</v>
      </c>
    </row>
    <row r="953" spans="1:12" ht="14" customHeight="1" x14ac:dyDescent="0.2">
      <c r="A953" s="57">
        <v>46101</v>
      </c>
      <c r="B953" s="7" t="s">
        <v>262</v>
      </c>
      <c r="C953" s="13" t="str">
        <f>IF(B953="","",IFERROR(INDEX(Client_List!$C:$C,MATCH(B953,Client_List!$B:$B,0)),""))</f>
        <v>2</v>
      </c>
      <c r="D953" s="9" t="str">
        <f>IF(B953="","",IFERROR(INDEX(Client_List!$D:$D,MATCH(B953,Client_List!$B:$B,0)),""))</f>
        <v>2C</v>
      </c>
      <c r="E953" s="9" t="str">
        <f>IF(B953="","",IFERROR(INDEX(Client_List!$K:$K,MATCH(B953,Client_List!$B:$B,0)),""))</f>
        <v>CANOLA OIL</v>
      </c>
      <c r="F953" s="10">
        <f>IF(B953="","",IFERROR(INDEX(Client_List!$J:$J,MATCH(B953,Client_List!$B:$B,0)),""))</f>
        <v>1950</v>
      </c>
      <c r="G953" s="10">
        <v>1656</v>
      </c>
      <c r="H953" s="9">
        <f>IF(B953="","",IFERROR(A953-LOOKUP(2,1/($B$4:$B952=B953),$A$4:$A952),""))</f>
        <v>10</v>
      </c>
      <c r="I953" s="73">
        <f t="shared" si="14"/>
        <v>165.6</v>
      </c>
      <c r="J953" s="9"/>
      <c r="K953" s="6">
        <f>IF(B953="","",IFERROR(AVERAGEIFS($I$4:$I953,$B$4:$B953,B953,$I$4:$I953,"&gt;"&amp;0),""))</f>
        <v>164.36805555555554</v>
      </c>
      <c r="L953" s="9" t="str">
        <f>IF(B953="","",IF(ISNA(MATCH(B953,Client_List!$B:$B,0)),"⚠ NOT FOUND","✓"))</f>
        <v>✓</v>
      </c>
    </row>
    <row r="954" spans="1:12" ht="14" customHeight="1" x14ac:dyDescent="0.2">
      <c r="A954" s="56">
        <v>46102</v>
      </c>
      <c r="B954" s="2" t="s">
        <v>75</v>
      </c>
      <c r="C954" s="3" t="str">
        <f>IF(B954="","",IFERROR(INDEX(Client_List!$C:$C,MATCH(B954,Client_List!$B:$B,0)),""))</f>
        <v>1</v>
      </c>
      <c r="D954" s="4" t="str">
        <f>IF(B954="","",IFERROR(INDEX(Client_List!$D:$D,MATCH(B954,Client_List!$B:$B,0)),""))</f>
        <v>1D</v>
      </c>
      <c r="E954" s="4" t="str">
        <f>IF(B954="","",IFERROR(INDEX(Client_List!$K:$K,MATCH(B954,Client_List!$B:$B,0)),""))</f>
        <v>CANOLA OIL</v>
      </c>
      <c r="F954" s="5">
        <f>IF(B954="","",IFERROR(INDEX(Client_List!$J:$J,MATCH(B954,Client_List!$B:$B,0)),""))</f>
        <v>620</v>
      </c>
      <c r="G954" s="5">
        <v>542</v>
      </c>
      <c r="H954" s="4">
        <f>IF(B954="","",IFERROR(A954-LOOKUP(2,1/($B$4:$B953=B954),$A$4:$A953),""))</f>
        <v>7</v>
      </c>
      <c r="I954" s="72">
        <f t="shared" si="14"/>
        <v>77.428571428571431</v>
      </c>
      <c r="J954" s="4"/>
      <c r="K954" s="6">
        <f>IF(B954="","",IFERROR(AVERAGEIFS($I$4:$I954,$B$4:$B954,B954,$I$4:$I954,"&gt;"&amp;0),""))</f>
        <v>103.22698412698412</v>
      </c>
      <c r="L954" s="4" t="str">
        <f>IF(B954="","",IF(ISNA(MATCH(B954,Client_List!$B:$B,0)),"⚠ NOT FOUND","✓"))</f>
        <v>✓</v>
      </c>
    </row>
    <row r="955" spans="1:12" ht="14" customHeight="1" x14ac:dyDescent="0.2">
      <c r="A955" s="57">
        <v>46102</v>
      </c>
      <c r="B955" s="7" t="s">
        <v>152</v>
      </c>
      <c r="C955" s="11" t="str">
        <f>IF(B955="","",IFERROR(INDEX(Client_List!$C:$C,MATCH(B955,Client_List!$B:$B,0)),""))</f>
        <v>4</v>
      </c>
      <c r="D955" s="9" t="str">
        <f>IF(B955="","",IFERROR(INDEX(Client_List!$D:$D,MATCH(B955,Client_List!$B:$B,0)),""))</f>
        <v>4B</v>
      </c>
      <c r="E955" s="9" t="str">
        <f>IF(B955="","",IFERROR(INDEX(Client_List!$K:$K,MATCH(B955,Client_List!$B:$B,0)),""))</f>
        <v>CANOLA OIL</v>
      </c>
      <c r="F955" s="10">
        <f>IF(B955="","",IFERROR(INDEX(Client_List!$J:$J,MATCH(B955,Client_List!$B:$B,0)),""))</f>
        <v>950</v>
      </c>
      <c r="G955" s="10">
        <v>681</v>
      </c>
      <c r="H955" s="9">
        <f>IF(B955="","",IFERROR(A955-LOOKUP(2,1/($B$4:$B954=B955),$A$4:$A954),""))</f>
        <v>14</v>
      </c>
      <c r="I955" s="73">
        <f t="shared" si="14"/>
        <v>48.642857142857146</v>
      </c>
      <c r="J955" s="9"/>
      <c r="K955" s="6">
        <f>IF(B955="","",IFERROR(AVERAGEIFS($I$4:$I955,$B$4:$B955,B955,$I$4:$I955,"&gt;"&amp;0),""))</f>
        <v>53.342857142857142</v>
      </c>
      <c r="L955" s="9" t="str">
        <f>IF(B955="","",IF(ISNA(MATCH(B955,Client_List!$B:$B,0)),"⚠ NOT FOUND","✓"))</f>
        <v>✓</v>
      </c>
    </row>
    <row r="956" spans="1:12" ht="14" customHeight="1" x14ac:dyDescent="0.2">
      <c r="A956" s="56">
        <v>46102</v>
      </c>
      <c r="B956" s="2" t="s">
        <v>172</v>
      </c>
      <c r="C956" s="3" t="str">
        <f>IF(B956="","",IFERROR(INDEX(Client_List!$C:$C,MATCH(B956,Client_List!$B:$B,0)),""))</f>
        <v>2</v>
      </c>
      <c r="D956" s="4" t="str">
        <f>IF(B956="","",IFERROR(INDEX(Client_List!$D:$D,MATCH(B956,Client_List!$B:$B,0)),""))</f>
        <v>2E</v>
      </c>
      <c r="E956" s="4" t="str">
        <f>IF(B956="","",IFERROR(INDEX(Client_List!$K:$K,MATCH(B956,Client_List!$B:$B,0)),""))</f>
        <v>CANOLA OIL</v>
      </c>
      <c r="F956" s="5">
        <f>IF(B956="","",IFERROR(INDEX(Client_List!$J:$J,MATCH(B956,Client_List!$B:$B,0)),""))</f>
        <v>1050</v>
      </c>
      <c r="G956" s="5">
        <v>976</v>
      </c>
      <c r="H956" s="4">
        <f>IF(B956="","",IFERROR(A956-LOOKUP(2,1/($B$4:$B955=B956),$A$4:$A955),""))</f>
        <v>18</v>
      </c>
      <c r="I956" s="72">
        <f t="shared" si="14"/>
        <v>54.222222222222221</v>
      </c>
      <c r="J956" s="4"/>
      <c r="K956" s="6">
        <f>IF(B956="","",IFERROR(AVERAGEIFS($I$4:$I956,$B$4:$B956,B956,$I$4:$I956,"&gt;"&amp;0),""))</f>
        <v>58.863888888888887</v>
      </c>
      <c r="L956" s="4" t="str">
        <f>IF(B956="","",IF(ISNA(MATCH(B956,Client_List!$B:$B,0)),"⚠ NOT FOUND","✓"))</f>
        <v>✓</v>
      </c>
    </row>
    <row r="957" spans="1:12" ht="14" customHeight="1" x14ac:dyDescent="0.2">
      <c r="A957" s="57">
        <v>46102</v>
      </c>
      <c r="B957" s="7" t="s">
        <v>372</v>
      </c>
      <c r="C957" s="13">
        <f>IF(B957="","",IFERROR(INDEX(Client_List!$C:$C,MATCH(B957,Client_List!$B:$B,0)),""))</f>
        <v>0</v>
      </c>
      <c r="D957" s="9" t="str">
        <f>IF(B957="","",IFERROR(INDEX(Client_List!$D:$D,MATCH(B957,Client_List!$B:$B,0)),""))</f>
        <v>F</v>
      </c>
      <c r="E957" s="9" t="str">
        <f>IF(B957="","",IFERROR(INDEX(Client_List!$K:$K,MATCH(B957,Client_List!$B:$B,0)),""))</f>
        <v>CANOLA OIL</v>
      </c>
      <c r="F957" s="10">
        <f>IF(B957="","",IFERROR(INDEX(Client_List!$J:$J,MATCH(B957,Client_List!$B:$B,0)),""))</f>
        <v>700</v>
      </c>
      <c r="G957" s="10">
        <v>361</v>
      </c>
      <c r="H957" s="9">
        <f>IF(B957="","",IFERROR(A957-LOOKUP(2,1/($B$4:$B956=B957),$A$4:$A956),""))</f>
        <v>14</v>
      </c>
      <c r="I957" s="73">
        <f t="shared" si="14"/>
        <v>25.785714285714285</v>
      </c>
      <c r="J957" s="9"/>
      <c r="K957" s="6">
        <f>IF(B957="","",IFERROR(AVERAGEIFS($I$4:$I957,$B$4:$B957,B957,$I$4:$I957,"&gt;"&amp;0),""))</f>
        <v>22.357142857142854</v>
      </c>
      <c r="L957" s="9" t="str">
        <f>IF(B957="","",IF(ISNA(MATCH(B957,Client_List!$B:$B,0)),"⚠ NOT FOUND","✓"))</f>
        <v>✓</v>
      </c>
    </row>
    <row r="958" spans="1:12" ht="14" customHeight="1" x14ac:dyDescent="0.2">
      <c r="A958" s="56">
        <v>46102</v>
      </c>
      <c r="B958" s="2" t="s">
        <v>204</v>
      </c>
      <c r="C958" s="11" t="str">
        <f>IF(B958="","",IFERROR(INDEX(Client_List!$C:$C,MATCH(B958,Client_List!$B:$B,0)),""))</f>
        <v>5</v>
      </c>
      <c r="D958" s="4" t="str">
        <f>IF(B958="","",IFERROR(INDEX(Client_List!$D:$D,MATCH(B958,Client_List!$B:$B,0)),""))</f>
        <v>5E</v>
      </c>
      <c r="E958" s="4" t="str">
        <f>IF(B958="","",IFERROR(INDEX(Client_List!$K:$K,MATCH(B958,Client_List!$B:$B,0)),""))</f>
        <v>CANOLA OIL</v>
      </c>
      <c r="F958" s="5">
        <f>IF(B958="","",IFERROR(INDEX(Client_List!$J:$J,MATCH(B958,Client_List!$B:$B,0)),""))</f>
        <v>1800</v>
      </c>
      <c r="G958" s="5">
        <v>1407</v>
      </c>
      <c r="H958" s="4">
        <f>IF(B958="","",IFERROR(A958-LOOKUP(2,1/($B$4:$B957=B958),$A$4:$A957),""))</f>
        <v>8</v>
      </c>
      <c r="I958" s="72">
        <f t="shared" si="14"/>
        <v>175.875</v>
      </c>
      <c r="J958" s="4"/>
      <c r="K958" s="6">
        <f>IF(B958="","",IFERROR(AVERAGEIFS($I$4:$I958,$B$4:$B958,B958,$I$4:$I958,"&gt;"&amp;0),""))</f>
        <v>159.46869488536154</v>
      </c>
      <c r="L958" s="4" t="str">
        <f>IF(B958="","",IF(ISNA(MATCH(B958,Client_List!$B:$B,0)),"⚠ NOT FOUND","✓"))</f>
        <v>✓</v>
      </c>
    </row>
    <row r="959" spans="1:12" ht="14" customHeight="1" x14ac:dyDescent="0.2">
      <c r="A959" s="57">
        <v>46102</v>
      </c>
      <c r="B959" s="7" t="s">
        <v>216</v>
      </c>
      <c r="C959" s="3" t="str">
        <f>IF(B959="","",IFERROR(INDEX(Client_List!$C:$C,MATCH(B959,Client_List!$B:$B,0)),""))</f>
        <v>3</v>
      </c>
      <c r="D959" s="9" t="str">
        <f>IF(B959="","",IFERROR(INDEX(Client_List!$D:$D,MATCH(B959,Client_List!$B:$B,0)),""))</f>
        <v>3D</v>
      </c>
      <c r="E959" s="9" t="str">
        <f>IF(B959="","",IFERROR(INDEX(Client_List!$K:$K,MATCH(B959,Client_List!$B:$B,0)),""))</f>
        <v>CANOLA OIL</v>
      </c>
      <c r="F959" s="10">
        <f>IF(B959="","",IFERROR(INDEX(Client_List!$J:$J,MATCH(B959,Client_List!$B:$B,0)),""))</f>
        <v>450</v>
      </c>
      <c r="G959" s="10">
        <v>432</v>
      </c>
      <c r="H959" s="9">
        <f>IF(B959="","",IFERROR(A959-LOOKUP(2,1/($B$4:$B958=B959),$A$4:$A958),""))</f>
        <v>15</v>
      </c>
      <c r="I959" s="73">
        <f t="shared" si="14"/>
        <v>28.8</v>
      </c>
      <c r="J959" s="9"/>
      <c r="K959" s="6">
        <f>IF(B959="","",IFERROR(AVERAGEIFS($I$4:$I959,$B$4:$B959,B959,$I$4:$I959,"&gt;"&amp;0),""))</f>
        <v>30.193838383838386</v>
      </c>
      <c r="L959" s="9" t="str">
        <f>IF(B959="","",IF(ISNA(MATCH(B959,Client_List!$B:$B,0)),"⚠ NOT FOUND","✓"))</f>
        <v>✓</v>
      </c>
    </row>
    <row r="960" spans="1:12" ht="14" customHeight="1" x14ac:dyDescent="0.2">
      <c r="A960" s="56">
        <v>46102</v>
      </c>
      <c r="B960" s="2" t="s">
        <v>238</v>
      </c>
      <c r="C960" s="8" t="str">
        <f>IF(B960="","",IFERROR(INDEX(Client_List!$C:$C,MATCH(B960,Client_List!$B:$B,0)),""))</f>
        <v>4</v>
      </c>
      <c r="D960" s="4" t="str">
        <f>IF(B960="","",IFERROR(INDEX(Client_List!$D:$D,MATCH(B960,Client_List!$B:$B,0)),""))</f>
        <v>4D</v>
      </c>
      <c r="E960" s="4" t="str">
        <f>IF(B960="","",IFERROR(INDEX(Client_List!$K:$K,MATCH(B960,Client_List!$B:$B,0)),""))</f>
        <v>CANOLA OIL</v>
      </c>
      <c r="F960" s="5">
        <f>IF(B960="","",IFERROR(INDEX(Client_List!$J:$J,MATCH(B960,Client_List!$B:$B,0)),""))</f>
        <v>660</v>
      </c>
      <c r="G960" s="5">
        <v>472</v>
      </c>
      <c r="H960" s="4">
        <f>IF(B960="","",IFERROR(A960-LOOKUP(2,1/($B$4:$B959=B960),$A$4:$A959),""))</f>
        <v>10</v>
      </c>
      <c r="I960" s="72">
        <f t="shared" si="14"/>
        <v>47.2</v>
      </c>
      <c r="J960" s="4"/>
      <c r="K960" s="6">
        <f>IF(B960="","",IFERROR(AVERAGEIFS($I$4:$I960,$B$4:$B960,B960,$I$4:$I960,"&gt;"&amp;0),""))</f>
        <v>36.890574425574428</v>
      </c>
      <c r="L960" s="4" t="str">
        <f>IF(B960="","",IF(ISNA(MATCH(B960,Client_List!$B:$B,0)),"⚠ NOT FOUND","✓"))</f>
        <v>✓</v>
      </c>
    </row>
    <row r="961" spans="1:12" ht="14" customHeight="1" x14ac:dyDescent="0.2">
      <c r="A961" s="57">
        <v>46102</v>
      </c>
      <c r="B961" s="7" t="s">
        <v>248</v>
      </c>
      <c r="C961" s="3" t="str">
        <f>IF(B961="","",IFERROR(INDEX(Client_List!$C:$C,MATCH(B961,Client_List!$B:$B,0)),""))</f>
        <v>3</v>
      </c>
      <c r="D961" s="9" t="str">
        <f>IF(B961="","",IFERROR(INDEX(Client_List!$D:$D,MATCH(B961,Client_List!$B:$B,0)),""))</f>
        <v>3E</v>
      </c>
      <c r="E961" s="9" t="str">
        <f>IF(B961="","",IFERROR(INDEX(Client_List!$K:$K,MATCH(B961,Client_List!$B:$B,0)),""))</f>
        <v>FRYERS CHOICE BLEND</v>
      </c>
      <c r="F961" s="10">
        <f>IF(B961="","",IFERROR(INDEX(Client_List!$J:$J,MATCH(B961,Client_List!$B:$B,0)),""))</f>
        <v>950</v>
      </c>
      <c r="G961" s="10">
        <v>771</v>
      </c>
      <c r="H961" s="9">
        <f>IF(B961="","",IFERROR(A961-LOOKUP(2,1/($B$4:$B960=B961),$A$4:$A960),""))</f>
        <v>11</v>
      </c>
      <c r="I961" s="73">
        <f t="shared" si="14"/>
        <v>70.090909090909093</v>
      </c>
      <c r="J961" s="9"/>
      <c r="K961" s="6">
        <f>IF(B961="","",IFERROR(AVERAGEIFS($I$4:$I961,$B$4:$B961,B961,$I$4:$I961,"&gt;"&amp;0),""))</f>
        <v>70.212121212121204</v>
      </c>
      <c r="L961" s="9" t="str">
        <f>IF(B961="","",IF(ISNA(MATCH(B961,Client_List!$B:$B,0)),"⚠ NOT FOUND","✓"))</f>
        <v>✓</v>
      </c>
    </row>
    <row r="962" spans="1:12" ht="14" customHeight="1" x14ac:dyDescent="0.2">
      <c r="A962" s="56">
        <v>46102</v>
      </c>
      <c r="B962" s="2" t="s">
        <v>250</v>
      </c>
      <c r="C962" s="8" t="str">
        <f>IF(B962="","",IFERROR(INDEX(Client_List!$C:$C,MATCH(B962,Client_List!$B:$B,0)),""))</f>
        <v>2</v>
      </c>
      <c r="D962" s="4" t="str">
        <f>IF(B962="","",IFERROR(INDEX(Client_List!$D:$D,MATCH(B962,Client_List!$B:$B,0)),""))</f>
        <v>2D</v>
      </c>
      <c r="E962" s="4" t="str">
        <f>IF(B962="","",IFERROR(INDEX(Client_List!$K:$K,MATCH(B962,Client_List!$B:$B,0)),""))</f>
        <v>FRYERS CHOICE BLEND</v>
      </c>
      <c r="F962" s="5">
        <f>IF(B962="","",IFERROR(INDEX(Client_List!$J:$J,MATCH(B962,Client_List!$B:$B,0)),""))</f>
        <v>950</v>
      </c>
      <c r="G962" s="5">
        <v>666</v>
      </c>
      <c r="H962" s="4">
        <f>IF(B962="","",IFERROR(A962-LOOKUP(2,1/($B$4:$B961=B962),$A$4:$A961),""))</f>
        <v>7</v>
      </c>
      <c r="I962" s="72">
        <f t="shared" si="14"/>
        <v>95.142857142857139</v>
      </c>
      <c r="J962" s="4">
        <v>10654</v>
      </c>
      <c r="K962" s="6">
        <f>IF(B962="","",IFERROR(AVERAGEIFS($I$4:$I962,$B$4:$B962,B962,$I$4:$I962,"&gt;"&amp;0),""))</f>
        <v>120.6948051948052</v>
      </c>
      <c r="L962" s="4" t="str">
        <f>IF(B962="","",IF(ISNA(MATCH(B962,Client_List!$B:$B,0)),"⚠ NOT FOUND","✓"))</f>
        <v>✓</v>
      </c>
    </row>
    <row r="963" spans="1:12" ht="14" customHeight="1" x14ac:dyDescent="0.2">
      <c r="A963" s="57">
        <v>46102</v>
      </c>
      <c r="B963" s="7" t="s">
        <v>254</v>
      </c>
      <c r="C963" s="8" t="str">
        <f>IF(B963="","",IFERROR(INDEX(Client_List!$C:$C,MATCH(B963,Client_List!$B:$B,0)),""))</f>
        <v>2</v>
      </c>
      <c r="D963" s="9" t="str">
        <f>IF(B963="","",IFERROR(INDEX(Client_List!$D:$D,MATCH(B963,Client_List!$B:$B,0)),""))</f>
        <v>2E</v>
      </c>
      <c r="E963" s="9" t="str">
        <f>IF(B963="","",IFERROR(INDEX(Client_List!$K:$K,MATCH(B963,Client_List!$B:$B,0)),""))</f>
        <v>FRYERS CHOICE BLEND</v>
      </c>
      <c r="F963" s="10">
        <f>IF(B963="","",IFERROR(INDEX(Client_List!$J:$J,MATCH(B963,Client_List!$B:$B,0)),""))</f>
        <v>1950</v>
      </c>
      <c r="G963" s="10">
        <v>1370</v>
      </c>
      <c r="H963" s="9">
        <f>IF(B963="","",IFERROR(A963-LOOKUP(2,1/($B$4:$B962=B963),$A$4:$A962),""))</f>
        <v>8</v>
      </c>
      <c r="I963" s="73">
        <f t="shared" si="14"/>
        <v>171.25</v>
      </c>
      <c r="J963" s="9"/>
      <c r="K963" s="6">
        <f>IF(B963="","",IFERROR(AVERAGEIFS($I$4:$I963,$B$4:$B963,B963,$I$4:$I963,"&gt;"&amp;0),""))</f>
        <v>152.55208333333331</v>
      </c>
      <c r="L963" s="9" t="str">
        <f>IF(B963="","",IF(ISNA(MATCH(B963,Client_List!$B:$B,0)),"⚠ NOT FOUND","✓"))</f>
        <v>✓</v>
      </c>
    </row>
    <row r="964" spans="1:12" ht="14" customHeight="1" x14ac:dyDescent="0.2">
      <c r="A964" s="56">
        <v>46102</v>
      </c>
      <c r="B964" s="2" t="s">
        <v>280</v>
      </c>
      <c r="C964" s="13" t="str">
        <f>IF(B964="","",IFERROR(INDEX(Client_List!$C:$C,MATCH(B964,Client_List!$B:$B,0)),""))</f>
        <v>5</v>
      </c>
      <c r="D964" s="4" t="str">
        <f>IF(B964="","",IFERROR(INDEX(Client_List!$D:$D,MATCH(B964,Client_List!$B:$B,0)),""))</f>
        <v>5E</v>
      </c>
      <c r="E964" s="4" t="str">
        <f>IF(B964="","",IFERROR(INDEX(Client_List!$K:$K,MATCH(B964,Client_List!$B:$B,0)),""))</f>
        <v>CANOLA OIL</v>
      </c>
      <c r="F964" s="5">
        <f>IF(B964="","",IFERROR(INDEX(Client_List!$J:$J,MATCH(B964,Client_List!$B:$B,0)),""))</f>
        <v>1050</v>
      </c>
      <c r="G964" s="5">
        <v>1044</v>
      </c>
      <c r="H964" s="4">
        <f>IF(B964="","",IFERROR(A964-LOOKUP(2,1/($B$4:$B963=B964),$A$4:$A963),""))</f>
        <v>11</v>
      </c>
      <c r="I964" s="72">
        <f t="shared" ref="I964:I1027" si="15">IF(B964="","",IFERROR(G964/H964,""))</f>
        <v>94.909090909090907</v>
      </c>
      <c r="J964" s="4"/>
      <c r="K964" s="6">
        <f>IF(B964="","",IFERROR(AVERAGEIFS($I$4:$I964,$B$4:$B964,B964,$I$4:$I964,"&gt;"&amp;0),""))</f>
        <v>70.01361827027462</v>
      </c>
      <c r="L964" s="4" t="str">
        <f>IF(B964="","",IF(ISNA(MATCH(B964,Client_List!$B:$B,0)),"⚠ NOT FOUND","✓"))</f>
        <v>✓</v>
      </c>
    </row>
    <row r="965" spans="1:12" ht="14" customHeight="1" x14ac:dyDescent="0.2">
      <c r="A965" s="57">
        <v>46102</v>
      </c>
      <c r="B965" s="7" t="s">
        <v>304</v>
      </c>
      <c r="C965" s="3" t="str">
        <f>IF(B965="","",IFERROR(INDEX(Client_List!$C:$C,MATCH(B965,Client_List!$B:$B,0)),""))</f>
        <v>3</v>
      </c>
      <c r="D965" s="9" t="str">
        <f>IF(B965="","",IFERROR(INDEX(Client_List!$D:$D,MATCH(B965,Client_List!$B:$B,0)),""))</f>
        <v>3B</v>
      </c>
      <c r="E965" s="9" t="str">
        <f>IF(B965="","",IFERROR(INDEX(Client_List!$K:$K,MATCH(B965,Client_List!$B:$B,0)),""))</f>
        <v>CANOLA OIL</v>
      </c>
      <c r="F965" s="10">
        <f>IF(B965="","",IFERROR(INDEX(Client_List!$J:$J,MATCH(B965,Client_List!$B:$B,0)),""))</f>
        <v>350</v>
      </c>
      <c r="G965" s="10">
        <v>191</v>
      </c>
      <c r="H965" s="9">
        <f>IF(B965="","",IFERROR(A965-LOOKUP(2,1/($B$4:$B964=B965),$A$4:$A964),""))</f>
        <v>2</v>
      </c>
      <c r="I965" s="73">
        <f t="shared" si="15"/>
        <v>95.5</v>
      </c>
      <c r="J965" s="9"/>
      <c r="K965" s="6">
        <f>IF(B965="","",IFERROR(AVERAGEIFS($I$4:$I965,$B$4:$B965,B965,$I$4:$I965,"&gt;"&amp;0),""))</f>
        <v>49.785239451906108</v>
      </c>
      <c r="L965" s="9" t="str">
        <f>IF(B965="","",IF(ISNA(MATCH(B965,Client_List!$B:$B,0)),"⚠ NOT FOUND","✓"))</f>
        <v>✓</v>
      </c>
    </row>
    <row r="966" spans="1:12" ht="14" customHeight="1" x14ac:dyDescent="0.2">
      <c r="A966" s="56">
        <v>46103</v>
      </c>
      <c r="B966" s="2" t="s">
        <v>56</v>
      </c>
      <c r="C966" s="13" t="str">
        <f>IF(B966="","",IFERROR(INDEX(Client_List!$C:$C,MATCH(B966,Client_List!$B:$B,0)),""))</f>
        <v>5</v>
      </c>
      <c r="D966" s="4" t="str">
        <f>IF(B966="","",IFERROR(INDEX(Client_List!$D:$D,MATCH(B966,Client_List!$B:$B,0)),""))</f>
        <v>5F</v>
      </c>
      <c r="E966" s="4" t="str">
        <f>IF(B966="","",IFERROR(INDEX(Client_List!$K:$K,MATCH(B966,Client_List!$B:$B,0)),""))</f>
        <v>CANOLA OIL</v>
      </c>
      <c r="F966" s="5">
        <f>IF(B966="","",IFERROR(INDEX(Client_List!$J:$J,MATCH(B966,Client_List!$B:$B,0)),""))</f>
        <v>900</v>
      </c>
      <c r="G966" s="5">
        <v>858</v>
      </c>
      <c r="H966" s="4">
        <f>IF(B966="","",IFERROR(A966-LOOKUP(2,1/($B$4:$B965=B966),$A$4:$A965),""))</f>
        <v>16</v>
      </c>
      <c r="I966" s="72">
        <f t="shared" si="15"/>
        <v>53.625</v>
      </c>
      <c r="J966" s="4"/>
      <c r="K966" s="6">
        <f>IF(B966="","",IFERROR(AVERAGEIFS($I$4:$I966,$B$4:$B966,B966,$I$4:$I966,"&gt;"&amp;0),""))</f>
        <v>57.021843434343431</v>
      </c>
      <c r="L966" s="4" t="str">
        <f>IF(B966="","",IF(ISNA(MATCH(B966,Client_List!$B:$B,0)),"⚠ NOT FOUND","✓"))</f>
        <v>✓</v>
      </c>
    </row>
    <row r="967" spans="1:12" ht="14" customHeight="1" x14ac:dyDescent="0.2">
      <c r="A967" s="57">
        <v>46103</v>
      </c>
      <c r="B967" s="7" t="s">
        <v>132</v>
      </c>
      <c r="C967" s="12" t="str">
        <f>IF(B967="","",IFERROR(INDEX(Client_List!$C:$C,MATCH(B967,Client_List!$B:$B,0)),""))</f>
        <v>3</v>
      </c>
      <c r="D967" s="9" t="str">
        <f>IF(B967="","",IFERROR(INDEX(Client_List!$D:$D,MATCH(B967,Client_List!$B:$B,0)),""))</f>
        <v>3C</v>
      </c>
      <c r="E967" s="9" t="str">
        <f>IF(B967="","",IFERROR(INDEX(Client_List!$K:$K,MATCH(B967,Client_List!$B:$B,0)),""))</f>
        <v>CANOLA OIL</v>
      </c>
      <c r="F967" s="10">
        <f>IF(B967="","",IFERROR(INDEX(Client_List!$J:$J,MATCH(B967,Client_List!$B:$B,0)),""))</f>
        <v>630</v>
      </c>
      <c r="G967" s="10">
        <v>560</v>
      </c>
      <c r="H967" s="9">
        <f>IF(B967="","",IFERROR(A967-LOOKUP(2,1/($B$4:$B966=B967),$A$4:$A966),""))</f>
        <v>12</v>
      </c>
      <c r="I967" s="73">
        <f t="shared" si="15"/>
        <v>46.666666666666664</v>
      </c>
      <c r="J967" s="9"/>
      <c r="K967" s="6">
        <f>IF(B967="","",IFERROR(AVERAGEIFS($I$4:$I967,$B$4:$B967,B967,$I$4:$I967,"&gt;"&amp;0),""))</f>
        <v>44.063434343434338</v>
      </c>
      <c r="L967" s="9" t="str">
        <f>IF(B967="","",IF(ISNA(MATCH(B967,Client_List!$B:$B,0)),"⚠ NOT FOUND","✓"))</f>
        <v>✓</v>
      </c>
    </row>
    <row r="968" spans="1:12" ht="14" customHeight="1" x14ac:dyDescent="0.2">
      <c r="A968" s="56">
        <v>46103</v>
      </c>
      <c r="B968" s="2" t="s">
        <v>142</v>
      </c>
      <c r="C968" s="3" t="str">
        <f>IF(B968="","",IFERROR(INDEX(Client_List!$C:$C,MATCH(B968,Client_List!$B:$B,0)),""))</f>
        <v>4</v>
      </c>
      <c r="D968" s="4" t="str">
        <f>IF(B968="","",IFERROR(INDEX(Client_List!$D:$D,MATCH(B968,Client_List!$B:$B,0)),""))</f>
        <v>4A</v>
      </c>
      <c r="E968" s="4" t="str">
        <f>IF(B968="","",IFERROR(INDEX(Client_List!$K:$K,MATCH(B968,Client_List!$B:$B,0)),""))</f>
        <v>FRYERS CHOICE BLEND</v>
      </c>
      <c r="F968" s="5">
        <f>IF(B968="","",IFERROR(INDEX(Client_List!$J:$J,MATCH(B968,Client_List!$B:$B,0)),""))</f>
        <v>1050</v>
      </c>
      <c r="G968" s="5">
        <v>972</v>
      </c>
      <c r="H968" s="4">
        <f>IF(B968="","",IFERROR(A968-LOOKUP(2,1/($B$4:$B967=B968),$A$4:$A967),""))</f>
        <v>4</v>
      </c>
      <c r="I968" s="72">
        <f t="shared" si="15"/>
        <v>243</v>
      </c>
      <c r="J968" s="4"/>
      <c r="K968" s="6">
        <f>IF(B968="","",IFERROR(AVERAGEIFS($I$4:$I968,$B$4:$B968,B968,$I$4:$I968,"&gt;"&amp;0),""))</f>
        <v>178.84039682539682</v>
      </c>
      <c r="L968" s="4" t="str">
        <f>IF(B968="","",IF(ISNA(MATCH(B968,Client_List!$B:$B,0)),"⚠ NOT FOUND","✓"))</f>
        <v>✓</v>
      </c>
    </row>
    <row r="969" spans="1:12" ht="14" customHeight="1" x14ac:dyDescent="0.2">
      <c r="A969" s="57">
        <v>46103</v>
      </c>
      <c r="B969" s="7" t="s">
        <v>164</v>
      </c>
      <c r="C969" s="13" t="str">
        <f>IF(B969="","",IFERROR(INDEX(Client_List!$C:$C,MATCH(B969,Client_List!$B:$B,0)),""))</f>
        <v>3</v>
      </c>
      <c r="D969" s="9" t="str">
        <f>IF(B969="","",IFERROR(INDEX(Client_List!$D:$D,MATCH(B969,Client_List!$B:$B,0)),""))</f>
        <v>3E</v>
      </c>
      <c r="E969" s="9" t="str">
        <f>IF(B969="","",IFERROR(INDEX(Client_List!$K:$K,MATCH(B969,Client_List!$B:$B,0)),""))</f>
        <v>CANOLA OIL</v>
      </c>
      <c r="F969" s="10">
        <f>IF(B969="","",IFERROR(INDEX(Client_List!$J:$J,MATCH(B969,Client_List!$B:$B,0)),""))</f>
        <v>1050</v>
      </c>
      <c r="G969" s="10">
        <v>896</v>
      </c>
      <c r="H969" s="9">
        <f>IF(B969="","",IFERROR(A969-LOOKUP(2,1/($B$4:$B968=B969),$A$4:$A968),""))</f>
        <v>11</v>
      </c>
      <c r="I969" s="73">
        <f t="shared" si="15"/>
        <v>81.454545454545453</v>
      </c>
      <c r="J969" s="9"/>
      <c r="K969" s="6">
        <f>IF(B969="","",IFERROR(AVERAGEIFS($I$4:$I969,$B$4:$B969,B969,$I$4:$I969,"&gt;"&amp;0),""))</f>
        <v>69.651002673796796</v>
      </c>
      <c r="L969" s="9" t="str">
        <f>IF(B969="","",IF(ISNA(MATCH(B969,Client_List!$B:$B,0)),"⚠ NOT FOUND","✓"))</f>
        <v>✓</v>
      </c>
    </row>
    <row r="970" spans="1:12" ht="14" customHeight="1" x14ac:dyDescent="0.2">
      <c r="A970" s="56">
        <v>46103</v>
      </c>
      <c r="B970" s="2" t="s">
        <v>196</v>
      </c>
      <c r="C970" s="13" t="str">
        <f>IF(B970="","",IFERROR(INDEX(Client_List!$C:$C,MATCH(B970,Client_List!$B:$B,0)),""))</f>
        <v>4</v>
      </c>
      <c r="D970" s="4" t="str">
        <f>IF(B970="","",IFERROR(INDEX(Client_List!$D:$D,MATCH(B970,Client_List!$B:$B,0)),""))</f>
        <v>4F</v>
      </c>
      <c r="E970" s="4" t="str">
        <f>IF(B970="","",IFERROR(INDEX(Client_List!$K:$K,MATCH(B970,Client_List!$B:$B,0)),""))</f>
        <v>FRYERS CHOICE BLEND</v>
      </c>
      <c r="F970" s="5">
        <f>IF(B970="","",IFERROR(INDEX(Client_List!$J:$J,MATCH(B970,Client_List!$B:$B,0)),""))</f>
        <v>620</v>
      </c>
      <c r="G970" s="5">
        <v>585</v>
      </c>
      <c r="H970" s="4">
        <f>IF(B970="","",IFERROR(A970-LOOKUP(2,1/($B$4:$B969=B970),$A$4:$A969),""))</f>
        <v>11</v>
      </c>
      <c r="I970" s="72">
        <f t="shared" si="15"/>
        <v>53.18181818181818</v>
      </c>
      <c r="J970" s="4"/>
      <c r="K970" s="6">
        <f>IF(B970="","",IFERROR(AVERAGEIFS($I$4:$I970,$B$4:$B970,B970,$I$4:$I970,"&gt;"&amp;0),""))</f>
        <v>35.480782375519219</v>
      </c>
      <c r="L970" s="4" t="str">
        <f>IF(B970="","",IF(ISNA(MATCH(B970,Client_List!$B:$B,0)),"⚠ NOT FOUND","✓"))</f>
        <v>✓</v>
      </c>
    </row>
    <row r="971" spans="1:12" ht="14" customHeight="1" x14ac:dyDescent="0.2">
      <c r="A971" s="57">
        <v>46103</v>
      </c>
      <c r="B971" s="7" t="s">
        <v>206</v>
      </c>
      <c r="C971" s="3" t="str">
        <f>IF(B971="","",IFERROR(INDEX(Client_List!$C:$C,MATCH(B971,Client_List!$B:$B,0)),""))</f>
        <v>4</v>
      </c>
      <c r="D971" s="9" t="str">
        <f>IF(B971="","",IFERROR(INDEX(Client_List!$D:$D,MATCH(B971,Client_List!$B:$B,0)),""))</f>
        <v>4C</v>
      </c>
      <c r="E971" s="9" t="str">
        <f>IF(B971="","",IFERROR(INDEX(Client_List!$K:$K,MATCH(B971,Client_List!$B:$B,0)),""))</f>
        <v>CANOLA OIL</v>
      </c>
      <c r="F971" s="10">
        <f>IF(B971="","",IFERROR(INDEX(Client_List!$J:$J,MATCH(B971,Client_List!$B:$B,0)),""))</f>
        <v>1050</v>
      </c>
      <c r="G971" s="10">
        <v>780</v>
      </c>
      <c r="H971" s="9">
        <f>IF(B971="","",IFERROR(A971-LOOKUP(2,1/($B$4:$B970=B971),$A$4:$A970),""))</f>
        <v>9</v>
      </c>
      <c r="I971" s="73">
        <f t="shared" si="15"/>
        <v>86.666666666666671</v>
      </c>
      <c r="J971" s="9"/>
      <c r="K971" s="6">
        <f>IF(B971="","",IFERROR(AVERAGEIFS($I$4:$I971,$B$4:$B971,B971,$I$4:$I971,"&gt;"&amp;0),""))</f>
        <v>84.184052059052064</v>
      </c>
      <c r="L971" s="9" t="str">
        <f>IF(B971="","",IF(ISNA(MATCH(B971,Client_List!$B:$B,0)),"⚠ NOT FOUND","✓"))</f>
        <v>✓</v>
      </c>
    </row>
    <row r="972" spans="1:12" ht="14" customHeight="1" x14ac:dyDescent="0.2">
      <c r="A972" s="56">
        <v>46103</v>
      </c>
      <c r="B972" s="2" t="s">
        <v>328</v>
      </c>
      <c r="C972" s="12" t="str">
        <f>IF(B972="","",IFERROR(INDEX(Client_List!$C:$C,MATCH(B972,Client_List!$B:$B,0)),""))</f>
        <v>4</v>
      </c>
      <c r="D972" s="4" t="str">
        <f>IF(B972="","",IFERROR(INDEX(Client_List!$D:$D,MATCH(B972,Client_List!$B:$B,0)),""))</f>
        <v>4C</v>
      </c>
      <c r="E972" s="4" t="str">
        <f>IF(B972="","",IFERROR(INDEX(Client_List!$K:$K,MATCH(B972,Client_List!$B:$B,0)),""))</f>
        <v>CANOLA OIL</v>
      </c>
      <c r="F972" s="5">
        <f>IF(B972="","",IFERROR(INDEX(Client_List!$J:$J,MATCH(B972,Client_List!$B:$B,0)),""))</f>
        <v>1050</v>
      </c>
      <c r="G972" s="5">
        <v>990</v>
      </c>
      <c r="H972" s="4">
        <f>IF(B972="","",IFERROR(A972-LOOKUP(2,1/($B$4:$B971=B972),$A$4:$A971),""))</f>
        <v>19</v>
      </c>
      <c r="I972" s="72">
        <f t="shared" si="15"/>
        <v>52.10526315789474</v>
      </c>
      <c r="J972" s="4"/>
      <c r="K972" s="6">
        <f>IF(B972="","",IFERROR(AVERAGEIFS($I$4:$I972,$B$4:$B972,B972,$I$4:$I972,"&gt;"&amp;0),""))</f>
        <v>43.201754385964911</v>
      </c>
      <c r="L972" s="4" t="str">
        <f>IF(B972="","",IF(ISNA(MATCH(B972,Client_List!$B:$B,0)),"⚠ NOT FOUND","✓"))</f>
        <v>✓</v>
      </c>
    </row>
    <row r="973" spans="1:12" ht="14" customHeight="1" x14ac:dyDescent="0.2">
      <c r="A973" s="57">
        <v>46103</v>
      </c>
      <c r="B973" s="7" t="s">
        <v>334</v>
      </c>
      <c r="C973" s="3" t="str">
        <f>IF(B973="","",IFERROR(INDEX(Client_List!$C:$C,MATCH(B973,Client_List!$B:$B,0)),""))</f>
        <v>5</v>
      </c>
      <c r="D973" s="9" t="str">
        <f>IF(B973="","",IFERROR(INDEX(Client_List!$D:$D,MATCH(B973,Client_List!$B:$B,0)),""))</f>
        <v>5E</v>
      </c>
      <c r="E973" s="9" t="str">
        <f>IF(B973="","",IFERROR(INDEX(Client_List!$K:$K,MATCH(B973,Client_List!$B:$B,0)),""))</f>
        <v>CANOLA OIL</v>
      </c>
      <c r="F973" s="10">
        <f>IF(B973="","",IFERROR(INDEX(Client_List!$J:$J,MATCH(B973,Client_List!$B:$B,0)),""))</f>
        <v>1050</v>
      </c>
      <c r="G973" s="10">
        <v>1013</v>
      </c>
      <c r="H973" s="9">
        <f>IF(B973="","",IFERROR(A973-LOOKUP(2,1/($B$4:$B972=B973),$A$4:$A972),""))</f>
        <v>16</v>
      </c>
      <c r="I973" s="73">
        <f t="shared" si="15"/>
        <v>63.3125</v>
      </c>
      <c r="J973" s="9"/>
      <c r="K973" s="6">
        <f>IF(B973="","",IFERROR(AVERAGEIFS($I$4:$I973,$B$4:$B973,B973,$I$4:$I973,"&gt;"&amp;0),""))</f>
        <v>49.631597222222226</v>
      </c>
      <c r="L973" s="9" t="str">
        <f>IF(B973="","",IF(ISNA(MATCH(B973,Client_List!$B:$B,0)),"⚠ NOT FOUND","✓"))</f>
        <v>✓</v>
      </c>
    </row>
    <row r="974" spans="1:12" ht="14" customHeight="1" x14ac:dyDescent="0.2">
      <c r="A974" s="56">
        <v>46104</v>
      </c>
      <c r="B974" s="2" t="s">
        <v>338</v>
      </c>
      <c r="C974" s="3" t="str">
        <f>IF(B974="","",IFERROR(INDEX(Client_List!$C:$C,MATCH(B974,Client_List!$B:$B,0)),""))</f>
        <v>4</v>
      </c>
      <c r="D974" s="4" t="str">
        <f>IF(B974="","",IFERROR(INDEX(Client_List!$D:$D,MATCH(B974,Client_List!$B:$B,0)),""))</f>
        <v>4D</v>
      </c>
      <c r="E974" s="4" t="str">
        <f>IF(B974="","",IFERROR(INDEX(Client_List!$K:$K,MATCH(B974,Client_List!$B:$B,0)),""))</f>
        <v>CANOLA OIL</v>
      </c>
      <c r="F974" s="5">
        <f>IF(B974="","",IFERROR(INDEX(Client_List!$J:$J,MATCH(B974,Client_List!$B:$B,0)),""))</f>
        <v>1050</v>
      </c>
      <c r="G974" s="5">
        <v>381</v>
      </c>
      <c r="H974" s="4">
        <f>IF(B974="","",IFERROR(A974-LOOKUP(2,1/($B$4:$B973=B974),$A$4:$A973),""))</f>
        <v>12</v>
      </c>
      <c r="I974" s="72">
        <f t="shared" si="15"/>
        <v>31.75</v>
      </c>
      <c r="J974" s="4"/>
      <c r="K974" s="6">
        <f>IF(B974="","",IFERROR(AVERAGEIFS($I$4:$I974,$B$4:$B974,B974,$I$4:$I974,"&gt;"&amp;0),""))</f>
        <v>39.365039281705947</v>
      </c>
      <c r="L974" s="4" t="str">
        <f>IF(B974="","",IF(ISNA(MATCH(B974,Client_List!$B:$B,0)),"⚠ NOT FOUND","✓"))</f>
        <v>✓</v>
      </c>
    </row>
    <row r="975" spans="1:12" ht="14" customHeight="1" x14ac:dyDescent="0.2">
      <c r="A975" s="57">
        <v>46105</v>
      </c>
      <c r="B975" s="7" t="s">
        <v>51</v>
      </c>
      <c r="C975" s="3" t="str">
        <f>IF(B975="","",IFERROR(INDEX(Client_List!$C:$C,MATCH(B975,Client_List!$B:$B,0)),""))</f>
        <v>3</v>
      </c>
      <c r="D975" s="9" t="str">
        <f>IF(B975="","",IFERROR(INDEX(Client_List!$D:$D,MATCH(B975,Client_List!$B:$B,0)),""))</f>
        <v>3D</v>
      </c>
      <c r="E975" s="9" t="str">
        <f>IF(B975="","",IFERROR(INDEX(Client_List!$K:$K,MATCH(B975,Client_List!$B:$B,0)),""))</f>
        <v>CANOLA OIL</v>
      </c>
      <c r="F975" s="10">
        <f>IF(B975="","",IFERROR(INDEX(Client_List!$J:$J,MATCH(B975,Client_List!$B:$B,0)),""))</f>
        <v>700</v>
      </c>
      <c r="G975" s="10">
        <v>849</v>
      </c>
      <c r="H975" s="9">
        <f>IF(B975="","",IFERROR(A975-LOOKUP(2,1/($B$4:$B974=B975),$A$4:$A974),""))</f>
        <v>14</v>
      </c>
      <c r="I975" s="73">
        <f t="shared" si="15"/>
        <v>60.642857142857146</v>
      </c>
      <c r="J975" s="9">
        <v>10709</v>
      </c>
      <c r="K975" s="6">
        <f>IF(B975="","",IFERROR(AVERAGEIFS($I$4:$I975,$B$4:$B975,B975,$I$4:$I975,"&gt;"&amp;0),""))</f>
        <v>62.008969601826756</v>
      </c>
      <c r="L975" s="9" t="str">
        <f>IF(B975="","",IF(ISNA(MATCH(B975,Client_List!$B:$B,0)),"⚠ NOT FOUND","✓"))</f>
        <v>✓</v>
      </c>
    </row>
    <row r="976" spans="1:12" ht="14" customHeight="1" x14ac:dyDescent="0.2">
      <c r="A976" s="56">
        <v>46105</v>
      </c>
      <c r="B976" s="2" t="s">
        <v>63</v>
      </c>
      <c r="C976" s="8" t="str">
        <f>IF(B976="","",IFERROR(INDEX(Client_List!$C:$C,MATCH(B976,Client_List!$B:$B,0)),""))</f>
        <v>5</v>
      </c>
      <c r="D976" s="4" t="str">
        <f>IF(B976="","",IFERROR(INDEX(Client_List!$D:$D,MATCH(B976,Client_List!$B:$B,0)),""))</f>
        <v>5D</v>
      </c>
      <c r="E976" s="4" t="str">
        <f>IF(B976="","",IFERROR(INDEX(Client_List!$K:$K,MATCH(B976,Client_List!$B:$B,0)),""))</f>
        <v>CANOLA OIL</v>
      </c>
      <c r="F976" s="5">
        <f>IF(B976="","",IFERROR(INDEX(Client_List!$J:$J,MATCH(B976,Client_List!$B:$B,0)),""))</f>
        <v>425</v>
      </c>
      <c r="G976" s="5">
        <v>168</v>
      </c>
      <c r="H976" s="4">
        <f>IF(B976="","",IFERROR(A976-LOOKUP(2,1/($B$4:$B975=B976),$A$4:$A975),""))</f>
        <v>5</v>
      </c>
      <c r="I976" s="72">
        <f t="shared" si="15"/>
        <v>33.6</v>
      </c>
      <c r="J976" s="4">
        <v>10721</v>
      </c>
      <c r="K976" s="6">
        <f>IF(B976="","",IFERROR(AVERAGEIFS($I$4:$I976,$B$4:$B976,B976,$I$4:$I976,"&gt;"&amp;0),""))</f>
        <v>35.462003968253967</v>
      </c>
      <c r="L976" s="4" t="str">
        <f>IF(B976="","",IF(ISNA(MATCH(B976,Client_List!$B:$B,0)),"⚠ NOT FOUND","✓"))</f>
        <v>✓</v>
      </c>
    </row>
    <row r="977" spans="1:12" ht="14" customHeight="1" x14ac:dyDescent="0.2">
      <c r="A977" s="57">
        <v>46105</v>
      </c>
      <c r="B977" s="7" t="s">
        <v>65</v>
      </c>
      <c r="C977" s="11" t="str">
        <f>IF(B977="","",IFERROR(INDEX(Client_List!$C:$C,MATCH(B977,Client_List!$B:$B,0)),""))</f>
        <v>5</v>
      </c>
      <c r="D977" s="9" t="str">
        <f>IF(B977="","",IFERROR(INDEX(Client_List!$D:$D,MATCH(B977,Client_List!$B:$B,0)),""))</f>
        <v>5F</v>
      </c>
      <c r="E977" s="9" t="str">
        <f>IF(B977="","",IFERROR(INDEX(Client_List!$K:$K,MATCH(B977,Client_List!$B:$B,0)),""))</f>
        <v>FRYERS CHOICE BLEND</v>
      </c>
      <c r="F977" s="10">
        <f>IF(B977="","",IFERROR(INDEX(Client_List!$J:$J,MATCH(B977,Client_List!$B:$B,0)),""))</f>
        <v>1050</v>
      </c>
      <c r="G977" s="10">
        <v>781</v>
      </c>
      <c r="H977" s="9">
        <f>IF(B977="","",IFERROR(A977-LOOKUP(2,1/($B$4:$B976=B977),$A$4:$A976),""))</f>
        <v>18</v>
      </c>
      <c r="I977" s="73">
        <f t="shared" si="15"/>
        <v>43.388888888888886</v>
      </c>
      <c r="J977" s="9">
        <v>10742</v>
      </c>
      <c r="K977" s="6">
        <f>IF(B977="","",IFERROR(AVERAGEIFS($I$4:$I977,$B$4:$B977,B977,$I$4:$I977,"&gt;"&amp;0),""))</f>
        <v>43.671965811965819</v>
      </c>
      <c r="L977" s="9" t="str">
        <f>IF(B977="","",IF(ISNA(MATCH(B977,Client_List!$B:$B,0)),"⚠ NOT FOUND","✓"))</f>
        <v>✓</v>
      </c>
    </row>
    <row r="978" spans="1:12" ht="14" customHeight="1" x14ac:dyDescent="0.2">
      <c r="A978" s="56">
        <v>46105</v>
      </c>
      <c r="B978" s="2" t="s">
        <v>67</v>
      </c>
      <c r="C978" s="3" t="str">
        <f>IF(B978="","",IFERROR(INDEX(Client_List!$C:$C,MATCH(B978,Client_List!$B:$B,0)),""))</f>
        <v>5</v>
      </c>
      <c r="D978" s="4" t="str">
        <f>IF(B978="","",IFERROR(INDEX(Client_List!$D:$D,MATCH(B978,Client_List!$B:$B,0)),""))</f>
        <v>5F</v>
      </c>
      <c r="E978" s="4" t="str">
        <f>IF(B978="","",IFERROR(INDEX(Client_List!$K:$K,MATCH(B978,Client_List!$B:$B,0)),""))</f>
        <v>CANOLA OIL</v>
      </c>
      <c r="F978" s="5">
        <f>IF(B978="","",IFERROR(INDEX(Client_List!$J:$J,MATCH(B978,Client_List!$B:$B,0)),""))</f>
        <v>950</v>
      </c>
      <c r="G978" s="5">
        <v>904</v>
      </c>
      <c r="H978" s="4">
        <f>IF(B978="","",IFERROR(A978-LOOKUP(2,1/($B$4:$B977=B978),$A$4:$A977),""))</f>
        <v>7</v>
      </c>
      <c r="I978" s="72">
        <f t="shared" si="15"/>
        <v>129.14285714285714</v>
      </c>
      <c r="J978" s="4">
        <v>10723</v>
      </c>
      <c r="K978" s="6">
        <f>IF(B978="","",IFERROR(AVERAGEIFS($I$4:$I978,$B$4:$B978,B978,$I$4:$I978,"&gt;"&amp;0),""))</f>
        <v>90.974201839826833</v>
      </c>
      <c r="L978" s="4" t="str">
        <f>IF(B978="","",IF(ISNA(MATCH(B978,Client_List!$B:$B,0)),"⚠ NOT FOUND","✓"))</f>
        <v>✓</v>
      </c>
    </row>
    <row r="979" spans="1:12" ht="14" customHeight="1" x14ac:dyDescent="0.2">
      <c r="A979" s="57">
        <v>46105</v>
      </c>
      <c r="B979" s="7" t="s">
        <v>366</v>
      </c>
      <c r="C979" s="13" t="str">
        <f>IF(B979="","",IFERROR(INDEX(Client_List!$C:$C,MATCH(B979,Client_List!$B:$B,0)),""))</f>
        <v>2</v>
      </c>
      <c r="D979" s="9" t="str">
        <f>IF(B979="","",IFERROR(INDEX(Client_List!$D:$D,MATCH(B979,Client_List!$B:$B,0)),""))</f>
        <v>2C</v>
      </c>
      <c r="E979" s="9" t="str">
        <f>IF(B979="","",IFERROR(INDEX(Client_List!$K:$K,MATCH(B979,Client_List!$B:$B,0)),""))</f>
        <v>CANOLA OIL</v>
      </c>
      <c r="F979" s="10">
        <f>IF(B979="","",IFERROR(INDEX(Client_List!$J:$J,MATCH(B979,Client_List!$B:$B,0)),""))</f>
        <v>350</v>
      </c>
      <c r="G979" s="10">
        <v>259</v>
      </c>
      <c r="H979" s="9">
        <f>IF(B979="","",IFERROR(A979-LOOKUP(2,1/($B$4:$B978=B979),$A$4:$A978),""))</f>
        <v>19</v>
      </c>
      <c r="I979" s="73">
        <f t="shared" si="15"/>
        <v>13.631578947368421</v>
      </c>
      <c r="J979" s="9">
        <v>10732</v>
      </c>
      <c r="K979" s="6">
        <f>IF(B979="","",IFERROR(AVERAGEIFS($I$4:$I979,$B$4:$B979,B979,$I$4:$I979,"&gt;"&amp;0),""))</f>
        <v>16.302953537690382</v>
      </c>
      <c r="L979" s="9" t="str">
        <f>IF(B979="","",IF(ISNA(MATCH(B979,Client_List!$B:$B,0)),"⚠ NOT FOUND","✓"))</f>
        <v>✓</v>
      </c>
    </row>
    <row r="980" spans="1:12" ht="14" customHeight="1" x14ac:dyDescent="0.2">
      <c r="A980" s="56">
        <v>46105</v>
      </c>
      <c r="B980" s="2" t="s">
        <v>94</v>
      </c>
      <c r="C980" s="12" t="str">
        <f>IF(B980="","",IFERROR(INDEX(Client_List!$C:$C,MATCH(B980,Client_List!$B:$B,0)),""))</f>
        <v>2</v>
      </c>
      <c r="D980" s="4" t="str">
        <f>IF(B980="","",IFERROR(INDEX(Client_List!$D:$D,MATCH(B980,Client_List!$B:$B,0)),""))</f>
        <v>2C</v>
      </c>
      <c r="E980" s="4" t="str">
        <f>IF(B980="","",IFERROR(INDEX(Client_List!$K:$K,MATCH(B980,Client_List!$B:$B,0)),""))</f>
        <v>CANOLA OIL</v>
      </c>
      <c r="F980" s="5">
        <f>IF(B980="","",IFERROR(INDEX(Client_List!$J:$J,MATCH(B980,Client_List!$B:$B,0)),""))</f>
        <v>450</v>
      </c>
      <c r="G980" s="5">
        <v>502</v>
      </c>
      <c r="H980" s="4">
        <f>IF(B980="","",IFERROR(A980-LOOKUP(2,1/($B$4:$B979=B980),$A$4:$A979),""))</f>
        <v>14</v>
      </c>
      <c r="I980" s="72">
        <f t="shared" si="15"/>
        <v>35.857142857142854</v>
      </c>
      <c r="J980" s="4">
        <v>10727</v>
      </c>
      <c r="K980" s="6">
        <f>IF(B980="","",IFERROR(AVERAGEIFS($I$4:$I980,$B$4:$B980,B980,$I$4:$I980,"&gt;"&amp;0),""))</f>
        <v>34.58988868274583</v>
      </c>
      <c r="L980" s="4" t="str">
        <f>IF(B980="","",IF(ISNA(MATCH(B980,Client_List!$B:$B,0)),"⚠ NOT FOUND","✓"))</f>
        <v>✓</v>
      </c>
    </row>
    <row r="981" spans="1:12" ht="14" customHeight="1" x14ac:dyDescent="0.2">
      <c r="A981" s="57">
        <v>46105</v>
      </c>
      <c r="B981" s="7" t="s">
        <v>108</v>
      </c>
      <c r="C981" s="8" t="str">
        <f>IF(B981="","",IFERROR(INDEX(Client_List!$C:$C,MATCH(B981,Client_List!$B:$B,0)),""))</f>
        <v>1</v>
      </c>
      <c r="D981" s="9" t="str">
        <f>IF(B981="","",IFERROR(INDEX(Client_List!$D:$D,MATCH(B981,Client_List!$B:$B,0)),""))</f>
        <v>1D</v>
      </c>
      <c r="E981" s="9" t="str">
        <f>IF(B981="","",IFERROR(INDEX(Client_List!$K:$K,MATCH(B981,Client_List!$B:$B,0)),""))</f>
        <v>FRYERS CHOICE BLEND</v>
      </c>
      <c r="F981" s="10">
        <f>IF(B981="","",IFERROR(INDEX(Client_List!$J:$J,MATCH(B981,Client_List!$B:$B,0)),""))</f>
        <v>1050</v>
      </c>
      <c r="G981" s="10">
        <v>939</v>
      </c>
      <c r="H981" s="9">
        <f>IF(B981="","",IFERROR(A981-LOOKUP(2,1/($B$4:$B980=B981),$A$4:$A980),""))</f>
        <v>19</v>
      </c>
      <c r="I981" s="73">
        <f t="shared" si="15"/>
        <v>49.421052631578945</v>
      </c>
      <c r="J981" s="9">
        <v>10746</v>
      </c>
      <c r="K981" s="6">
        <f>IF(B981="","",IFERROR(AVERAGEIFS($I$4:$I981,$B$4:$B981,B981,$I$4:$I981,"&gt;"&amp;0),""))</f>
        <v>48.602085984191248</v>
      </c>
      <c r="L981" s="9" t="str">
        <f>IF(B981="","",IF(ISNA(MATCH(B981,Client_List!$B:$B,0)),"⚠ NOT FOUND","✓"))</f>
        <v>✓</v>
      </c>
    </row>
    <row r="982" spans="1:12" ht="14" customHeight="1" x14ac:dyDescent="0.2">
      <c r="A982" s="56">
        <v>46105</v>
      </c>
      <c r="B982" s="2" t="s">
        <v>188</v>
      </c>
      <c r="C982" s="3" t="str">
        <f>IF(B982="","",IFERROR(INDEX(Client_List!$C:$C,MATCH(B982,Client_List!$B:$B,0)),""))</f>
        <v>4</v>
      </c>
      <c r="D982" s="4" t="str">
        <f>IF(B982="","",IFERROR(INDEX(Client_List!$D:$D,MATCH(B982,Client_List!$B:$B,0)),""))</f>
        <v>4C</v>
      </c>
      <c r="E982" s="4" t="str">
        <f>IF(B982="","",IFERROR(INDEX(Client_List!$K:$K,MATCH(B982,Client_List!$B:$B,0)),""))</f>
        <v>CANOLA OIL</v>
      </c>
      <c r="F982" s="5">
        <f>IF(B982="","",IFERROR(INDEX(Client_List!$J:$J,MATCH(B982,Client_List!$B:$B,0)),""))</f>
        <v>900</v>
      </c>
      <c r="G982" s="5">
        <v>880</v>
      </c>
      <c r="H982" s="4">
        <f>IF(B982="","",IFERROR(A982-LOOKUP(2,1/($B$4:$B981=B982),$A$4:$A981),""))</f>
        <v>18</v>
      </c>
      <c r="I982" s="72">
        <f t="shared" si="15"/>
        <v>48.888888888888886</v>
      </c>
      <c r="J982" s="4">
        <v>10728</v>
      </c>
      <c r="K982" s="6">
        <f>IF(B982="","",IFERROR(AVERAGEIFS($I$4:$I982,$B$4:$B982,B982,$I$4:$I982,"&gt;"&amp;0),""))</f>
        <v>47.945689865689864</v>
      </c>
      <c r="L982" s="4" t="str">
        <f>IF(B982="","",IF(ISNA(MATCH(B982,Client_List!$B:$B,0)),"⚠ NOT FOUND","✓"))</f>
        <v>✓</v>
      </c>
    </row>
    <row r="983" spans="1:12" ht="14" customHeight="1" x14ac:dyDescent="0.2">
      <c r="A983" s="57">
        <v>46105</v>
      </c>
      <c r="B983" s="7" t="s">
        <v>190</v>
      </c>
      <c r="C983" s="8" t="str">
        <f>IF(B983="","",IFERROR(INDEX(Client_List!$C:$C,MATCH(B983,Client_List!$B:$B,0)),""))</f>
        <v>2</v>
      </c>
      <c r="D983" s="9" t="str">
        <f>IF(B983="","",IFERROR(INDEX(Client_List!$D:$D,MATCH(B983,Client_List!$B:$B,0)),""))</f>
        <v>2C</v>
      </c>
      <c r="E983" s="9" t="str">
        <f>IF(B983="","",IFERROR(INDEX(Client_List!$K:$K,MATCH(B983,Client_List!$B:$B,0)),""))</f>
        <v>CANOLA OIL</v>
      </c>
      <c r="F983" s="10">
        <f>IF(B983="","",IFERROR(INDEX(Client_List!$J:$J,MATCH(B983,Client_List!$B:$B,0)),""))</f>
        <v>1050</v>
      </c>
      <c r="G983" s="10">
        <v>917</v>
      </c>
      <c r="H983" s="9">
        <f>IF(B983="","",IFERROR(A983-LOOKUP(2,1/($B$4:$B982=B983),$A$4:$A982),""))</f>
        <v>7</v>
      </c>
      <c r="I983" s="73">
        <f t="shared" si="15"/>
        <v>131</v>
      </c>
      <c r="J983" s="9">
        <v>10708</v>
      </c>
      <c r="K983" s="6">
        <f>IF(B983="","",IFERROR(AVERAGEIFS($I$4:$I983,$B$4:$B983,B983,$I$4:$I983,"&gt;"&amp;0),""))</f>
        <v>133.10335497835499</v>
      </c>
      <c r="L983" s="9" t="str">
        <f>IF(B983="","",IF(ISNA(MATCH(B983,Client_List!$B:$B,0)),"⚠ NOT FOUND","✓"))</f>
        <v>✓</v>
      </c>
    </row>
    <row r="984" spans="1:12" ht="14" customHeight="1" x14ac:dyDescent="0.2">
      <c r="A984" s="56">
        <v>46105</v>
      </c>
      <c r="B984" s="2" t="s">
        <v>198</v>
      </c>
      <c r="C984" s="13" t="str">
        <f>IF(B984="","",IFERROR(INDEX(Client_List!$C:$C,MATCH(B984,Client_List!$B:$B,0)),""))</f>
        <v>1</v>
      </c>
      <c r="D984" s="4" t="str">
        <f>IF(B984="","",IFERROR(INDEX(Client_List!$D:$D,MATCH(B984,Client_List!$B:$B,0)),""))</f>
        <v>1E</v>
      </c>
      <c r="E984" s="4" t="str">
        <f>IF(B984="","",IFERROR(INDEX(Client_List!$K:$K,MATCH(B984,Client_List!$B:$B,0)),""))</f>
        <v>CANOLA OIL</v>
      </c>
      <c r="F984" s="5">
        <f>IF(B984="","",IFERROR(INDEX(Client_List!$J:$J,MATCH(B984,Client_List!$B:$B,0)),""))</f>
        <v>1050</v>
      </c>
      <c r="G984" s="5">
        <v>939</v>
      </c>
      <c r="H984" s="4">
        <f>IF(B984="","",IFERROR(A984-LOOKUP(2,1/($B$4:$B983=B984),$A$4:$A983),""))</f>
        <v>28</v>
      </c>
      <c r="I984" s="72">
        <f t="shared" si="15"/>
        <v>33.535714285714285</v>
      </c>
      <c r="J984" s="4"/>
      <c r="K984" s="6">
        <f>IF(B984="","",IFERROR(AVERAGEIFS($I$4:$I984,$B$4:$B984,B984,$I$4:$I984,"&gt;"&amp;0),""))</f>
        <v>30.586038961038959</v>
      </c>
      <c r="L984" s="4" t="str">
        <f>IF(B984="","",IF(ISNA(MATCH(B984,Client_List!$B:$B,0)),"⚠ NOT FOUND","✓"))</f>
        <v>✓</v>
      </c>
    </row>
    <row r="985" spans="1:12" ht="14" customHeight="1" x14ac:dyDescent="0.2">
      <c r="A985" s="57">
        <v>46105</v>
      </c>
      <c r="B985" s="7" t="s">
        <v>208</v>
      </c>
      <c r="C985" s="13" t="str">
        <f>IF(B985="","",IFERROR(INDEX(Client_List!$C:$C,MATCH(B985,Client_List!$B:$B,0)),""))</f>
        <v>4</v>
      </c>
      <c r="D985" s="9" t="str">
        <f>IF(B985="","",IFERROR(INDEX(Client_List!$D:$D,MATCH(B985,Client_List!$B:$B,0)),""))</f>
        <v>4C</v>
      </c>
      <c r="E985" s="9" t="str">
        <f>IF(B985="","",IFERROR(INDEX(Client_List!$K:$K,MATCH(B985,Client_List!$B:$B,0)),""))</f>
        <v>UNKNOWN</v>
      </c>
      <c r="F985" s="10">
        <f>IF(B985="","",IFERROR(INDEX(Client_List!$J:$J,MATCH(B985,Client_List!$B:$B,0)),""))</f>
        <v>1050</v>
      </c>
      <c r="G985" s="10">
        <v>1032</v>
      </c>
      <c r="H985" s="9">
        <f>IF(B985="","",IFERROR(A985-LOOKUP(2,1/($B$4:$B984=B985),$A$4:$A984),""))</f>
        <v>11</v>
      </c>
      <c r="I985" s="73">
        <f t="shared" si="15"/>
        <v>93.818181818181813</v>
      </c>
      <c r="J985" s="9">
        <v>10716</v>
      </c>
      <c r="K985" s="6">
        <f>IF(B985="","",IFERROR(AVERAGEIFS($I$4:$I985,$B$4:$B985,B985,$I$4:$I985,"&gt;"&amp;0),""))</f>
        <v>79.456017316017309</v>
      </c>
      <c r="L985" s="9" t="str">
        <f>IF(B985="","",IF(ISNA(MATCH(B985,Client_List!$B:$B,0)),"⚠ NOT FOUND","✓"))</f>
        <v>✓</v>
      </c>
    </row>
    <row r="986" spans="1:12" ht="14" customHeight="1" x14ac:dyDescent="0.2">
      <c r="A986" s="56">
        <v>46105</v>
      </c>
      <c r="B986" s="2" t="s">
        <v>210</v>
      </c>
      <c r="C986" s="12" t="str">
        <f>IF(B986="","",IFERROR(INDEX(Client_List!$C:$C,MATCH(B986,Client_List!$B:$B,0)),""))</f>
        <v>4</v>
      </c>
      <c r="D986" s="4" t="str">
        <f>IF(B986="","",IFERROR(INDEX(Client_List!$D:$D,MATCH(B986,Client_List!$B:$B,0)),""))</f>
        <v>4C</v>
      </c>
      <c r="E986" s="4" t="str">
        <f>IF(B986="","",IFERROR(INDEX(Client_List!$K:$K,MATCH(B986,Client_List!$B:$B,0)),""))</f>
        <v>CANOLA OIL</v>
      </c>
      <c r="F986" s="5">
        <f>IF(B986="","",IFERROR(INDEX(Client_List!$J:$J,MATCH(B986,Client_List!$B:$B,0)),""))</f>
        <v>630</v>
      </c>
      <c r="G986" s="5">
        <v>397</v>
      </c>
      <c r="H986" s="4">
        <f>IF(B986="","",IFERROR(A986-LOOKUP(2,1/($B$4:$B985=B986),$A$4:$A985),""))</f>
        <v>20</v>
      </c>
      <c r="I986" s="72">
        <f t="shared" si="15"/>
        <v>19.850000000000001</v>
      </c>
      <c r="J986" s="4">
        <v>10724</v>
      </c>
      <c r="K986" s="6">
        <f>IF(B986="","",IFERROR(AVERAGEIFS($I$4:$I986,$B$4:$B986,B986,$I$4:$I986,"&gt;"&amp;0),""))</f>
        <v>21.724322169059008</v>
      </c>
      <c r="L986" s="4" t="str">
        <f>IF(B986="","",IF(ISNA(MATCH(B986,Client_List!$B:$B,0)),"⚠ NOT FOUND","✓"))</f>
        <v>✓</v>
      </c>
    </row>
    <row r="987" spans="1:12" ht="14" customHeight="1" x14ac:dyDescent="0.2">
      <c r="A987" s="57">
        <v>46105</v>
      </c>
      <c r="B987" s="7" t="s">
        <v>214</v>
      </c>
      <c r="C987" s="11" t="str">
        <f>IF(B987="","",IFERROR(INDEX(Client_List!$C:$C,MATCH(B987,Client_List!$B:$B,0)),""))</f>
        <v>1</v>
      </c>
      <c r="D987" s="9" t="str">
        <f>IF(B987="","",IFERROR(INDEX(Client_List!$D:$D,MATCH(B987,Client_List!$B:$B,0)),""))</f>
        <v>1C</v>
      </c>
      <c r="E987" s="9" t="str">
        <f>IF(B987="","",IFERROR(INDEX(Client_List!$K:$K,MATCH(B987,Client_List!$B:$B,0)),""))</f>
        <v>CANOLA OIL</v>
      </c>
      <c r="F987" s="10">
        <f>IF(B987="","",IFERROR(INDEX(Client_List!$J:$J,MATCH(B987,Client_List!$B:$B,0)),""))</f>
        <v>630</v>
      </c>
      <c r="G987" s="10">
        <v>380</v>
      </c>
      <c r="H987" s="9">
        <f>IF(B987="","",IFERROR(A987-LOOKUP(2,1/($B$4:$B986=B987),$A$4:$A986),""))</f>
        <v>8</v>
      </c>
      <c r="I987" s="73">
        <f t="shared" si="15"/>
        <v>47.5</v>
      </c>
      <c r="J987" s="9">
        <v>10745</v>
      </c>
      <c r="K987" s="6">
        <f>IF(B987="","",IFERROR(AVERAGEIFS($I$4:$I987,$B$4:$B987,B987,$I$4:$I987,"&gt;"&amp;0),""))</f>
        <v>27.992857142857144</v>
      </c>
      <c r="L987" s="9" t="str">
        <f>IF(B987="","",IF(ISNA(MATCH(B987,Client_List!$B:$B,0)),"⚠ NOT FOUND","✓"))</f>
        <v>✓</v>
      </c>
    </row>
    <row r="988" spans="1:12" ht="14" customHeight="1" x14ac:dyDescent="0.2">
      <c r="A988" s="56">
        <v>46105</v>
      </c>
      <c r="B988" s="2" t="s">
        <v>218</v>
      </c>
      <c r="C988" s="13" t="str">
        <f>IF(B988="","",IFERROR(INDEX(Client_List!$C:$C,MATCH(B988,Client_List!$B:$B,0)),""))</f>
        <v>4</v>
      </c>
      <c r="D988" s="4" t="str">
        <f>IF(B988="","",IFERROR(INDEX(Client_List!$D:$D,MATCH(B988,Client_List!$B:$B,0)),""))</f>
        <v>4C</v>
      </c>
      <c r="E988" s="4" t="str">
        <f>IF(B988="","",IFERROR(INDEX(Client_List!$K:$K,MATCH(B988,Client_List!$B:$B,0)),""))</f>
        <v>CANOLA OIL</v>
      </c>
      <c r="F988" s="5">
        <f>IF(B988="","",IFERROR(INDEX(Client_List!$J:$J,MATCH(B988,Client_List!$B:$B,0)),""))</f>
        <v>630</v>
      </c>
      <c r="G988" s="5">
        <v>380</v>
      </c>
      <c r="H988" s="4">
        <f>IF(B988="","",IFERROR(A988-LOOKUP(2,1/($B$4:$B987=B988),$A$4:$A987),""))</f>
        <v>20</v>
      </c>
      <c r="I988" s="72">
        <f t="shared" si="15"/>
        <v>19</v>
      </c>
      <c r="J988" s="4">
        <v>10719</v>
      </c>
      <c r="K988" s="6">
        <f>IF(B988="","",IFERROR(AVERAGEIFS($I$4:$I988,$B$4:$B988,B988,$I$4:$I988,"&gt;"&amp;0),""))</f>
        <v>18.846031746031745</v>
      </c>
      <c r="L988" s="4" t="str">
        <f>IF(B988="","",IF(ISNA(MATCH(B988,Client_List!$B:$B,0)),"⚠ NOT FOUND","✓"))</f>
        <v>✓</v>
      </c>
    </row>
    <row r="989" spans="1:12" ht="14" customHeight="1" x14ac:dyDescent="0.2">
      <c r="A989" s="57">
        <v>46105</v>
      </c>
      <c r="B989" s="7" t="s">
        <v>232</v>
      </c>
      <c r="C989" s="8" t="str">
        <f>IF(B989="","",IFERROR(INDEX(Client_List!$C:$C,MATCH(B989,Client_List!$B:$B,0)),""))</f>
        <v>5</v>
      </c>
      <c r="D989" s="9" t="str">
        <f>IF(B989="","",IFERROR(INDEX(Client_List!$D:$D,MATCH(B989,Client_List!$B:$B,0)),""))</f>
        <v>5F</v>
      </c>
      <c r="E989" s="9" t="str">
        <f>IF(B989="","",IFERROR(INDEX(Client_List!$K:$K,MATCH(B989,Client_List!$B:$B,0)),""))</f>
        <v>CANOLA OIL</v>
      </c>
      <c r="F989" s="10">
        <f>IF(B989="","",IFERROR(INDEX(Client_List!$J:$J,MATCH(B989,Client_List!$B:$B,0)),""))</f>
        <v>500</v>
      </c>
      <c r="G989" s="10">
        <v>417</v>
      </c>
      <c r="H989" s="9">
        <f>IF(B989="","",IFERROR(A989-LOOKUP(2,1/($B$4:$B988=B989),$A$4:$A988),""))</f>
        <v>10</v>
      </c>
      <c r="I989" s="73">
        <f t="shared" si="15"/>
        <v>41.7</v>
      </c>
      <c r="J989" s="9">
        <v>10741</v>
      </c>
      <c r="K989" s="6">
        <f>IF(B989="","",IFERROR(AVERAGEIFS($I$4:$I989,$B$4:$B989,B989,$I$4:$I989,"&gt;"&amp;0),""))</f>
        <v>42.571807359307357</v>
      </c>
      <c r="L989" s="9" t="str">
        <f>IF(B989="","",IF(ISNA(MATCH(B989,Client_List!$B:$B,0)),"⚠ NOT FOUND","✓"))</f>
        <v>✓</v>
      </c>
    </row>
    <row r="990" spans="1:12" ht="14" customHeight="1" x14ac:dyDescent="0.2">
      <c r="A990" s="56">
        <v>46105</v>
      </c>
      <c r="B990" s="2" t="s">
        <v>234</v>
      </c>
      <c r="C990" s="12" t="str">
        <f>IF(B990="","",IFERROR(INDEX(Client_List!$C:$C,MATCH(B990,Client_List!$B:$B,0)),""))</f>
        <v>4</v>
      </c>
      <c r="D990" s="4" t="str">
        <f>IF(B990="","",IFERROR(INDEX(Client_List!$D:$D,MATCH(B990,Client_List!$B:$B,0)),""))</f>
        <v>4E</v>
      </c>
      <c r="E990" s="4" t="str">
        <f>IF(B990="","",IFERROR(INDEX(Client_List!$K:$K,MATCH(B990,Client_List!$B:$B,0)),""))</f>
        <v>CANOLA OIL</v>
      </c>
      <c r="F990" s="5">
        <f>IF(B990="","",IFERROR(INDEX(Client_List!$J:$J,MATCH(B990,Client_List!$B:$B,0)),""))</f>
        <v>630</v>
      </c>
      <c r="G990" s="5">
        <v>332</v>
      </c>
      <c r="H990" s="4">
        <f>IF(B990="","",IFERROR(A990-LOOKUP(2,1/($B$4:$B989=B990),$A$4:$A989),""))</f>
        <v>12</v>
      </c>
      <c r="I990" s="72">
        <f t="shared" si="15"/>
        <v>27.666666666666668</v>
      </c>
      <c r="J990" s="4">
        <v>10166</v>
      </c>
      <c r="K990" s="6">
        <f>IF(B990="","",IFERROR(AVERAGEIFS($I$4:$I990,$B$4:$B990,B990,$I$4:$I990,"&gt;"&amp;0),""))</f>
        <v>23.574999999999999</v>
      </c>
      <c r="L990" s="4" t="str">
        <f>IF(B990="","",IF(ISNA(MATCH(B990,Client_List!$B:$B,0)),"⚠ NOT FOUND","✓"))</f>
        <v>✓</v>
      </c>
    </row>
    <row r="991" spans="1:12" ht="14" customHeight="1" x14ac:dyDescent="0.2">
      <c r="A991" s="57">
        <v>46105</v>
      </c>
      <c r="B991" s="7" t="s">
        <v>246</v>
      </c>
      <c r="C991" s="3" t="str">
        <f>IF(B991="","",IFERROR(INDEX(Client_List!$C:$C,MATCH(B991,Client_List!$B:$B,0)),""))</f>
        <v>3</v>
      </c>
      <c r="D991" s="9" t="str">
        <f>IF(B991="","",IFERROR(INDEX(Client_List!$D:$D,MATCH(B991,Client_List!$B:$B,0)),""))</f>
        <v>3E</v>
      </c>
      <c r="E991" s="9" t="str">
        <f>IF(B991="","",IFERROR(INDEX(Client_List!$K:$K,MATCH(B991,Client_List!$B:$B,0)),""))</f>
        <v>FRYERS CHOICE BLEND</v>
      </c>
      <c r="F991" s="10">
        <f>IF(B991="","",IFERROR(INDEX(Client_List!$J:$J,MATCH(B991,Client_List!$B:$B,0)),""))</f>
        <v>950</v>
      </c>
      <c r="G991" s="10">
        <v>772</v>
      </c>
      <c r="H991" s="9">
        <f>IF(B991="","",IFERROR(A991-LOOKUP(2,1/($B$4:$B990=B991),$A$4:$A990),""))</f>
        <v>11</v>
      </c>
      <c r="I991" s="73">
        <f t="shared" si="15"/>
        <v>70.181818181818187</v>
      </c>
      <c r="J991" s="9">
        <v>10712</v>
      </c>
      <c r="K991" s="6">
        <f>IF(B991="","",IFERROR(AVERAGEIFS($I$4:$I991,$B$4:$B991,B991,$I$4:$I991,"&gt;"&amp;0),""))</f>
        <v>72.634639665889665</v>
      </c>
      <c r="L991" s="9" t="str">
        <f>IF(B991="","",IF(ISNA(MATCH(B991,Client_List!$B:$B,0)),"⚠ NOT FOUND","✓"))</f>
        <v>✓</v>
      </c>
    </row>
    <row r="992" spans="1:12" ht="14" customHeight="1" x14ac:dyDescent="0.2">
      <c r="A992" s="56">
        <v>46105</v>
      </c>
      <c r="B992" s="2" t="s">
        <v>256</v>
      </c>
      <c r="C992" s="3" t="str">
        <f>IF(B992="","",IFERROR(INDEX(Client_List!$C:$C,MATCH(B992,Client_List!$B:$B,0)),""))</f>
        <v>3</v>
      </c>
      <c r="D992" s="4" t="str">
        <f>IF(B992="","",IFERROR(INDEX(Client_List!$D:$D,MATCH(B992,Client_List!$B:$B,0)),""))</f>
        <v>3E</v>
      </c>
      <c r="E992" s="4" t="str">
        <f>IF(B992="","",IFERROR(INDEX(Client_List!$K:$K,MATCH(B992,Client_List!$B:$B,0)),""))</f>
        <v>FRYERS CHOICE BLEND</v>
      </c>
      <c r="F992" s="5">
        <f>IF(B992="","",IFERROR(INDEX(Client_List!$J:$J,MATCH(B992,Client_List!$B:$B,0)),""))</f>
        <v>950</v>
      </c>
      <c r="G992" s="5">
        <v>682</v>
      </c>
      <c r="H992" s="4">
        <f>IF(B992="","",IFERROR(A992-LOOKUP(2,1/($B$4:$B991=B992),$A$4:$A991),""))</f>
        <v>7</v>
      </c>
      <c r="I992" s="72">
        <f t="shared" si="15"/>
        <v>97.428571428571431</v>
      </c>
      <c r="J992" s="4">
        <v>10717</v>
      </c>
      <c r="K992" s="6">
        <f>IF(B992="","",IFERROR(AVERAGEIFS($I$4:$I992,$B$4:$B992,B992,$I$4:$I992,"&gt;"&amp;0),""))</f>
        <v>98.634379509379499</v>
      </c>
      <c r="L992" s="4" t="str">
        <f>IF(B992="","",IF(ISNA(MATCH(B992,Client_List!$B:$B,0)),"⚠ NOT FOUND","✓"))</f>
        <v>✓</v>
      </c>
    </row>
    <row r="993" spans="1:12" ht="14" customHeight="1" x14ac:dyDescent="0.2">
      <c r="A993" s="57">
        <v>46105</v>
      </c>
      <c r="B993" s="7" t="s">
        <v>268</v>
      </c>
      <c r="C993" s="3" t="str">
        <f>IF(B993="","",IFERROR(INDEX(Client_List!$C:$C,MATCH(B993,Client_List!$B:$B,0)),""))</f>
        <v>5</v>
      </c>
      <c r="D993" s="9" t="str">
        <f>IF(B993="","",IFERROR(INDEX(Client_List!$D:$D,MATCH(B993,Client_List!$B:$B,0)),""))</f>
        <v>5D</v>
      </c>
      <c r="E993" s="9" t="str">
        <f>IF(B993="","",IFERROR(INDEX(Client_List!$K:$K,MATCH(B993,Client_List!$B:$B,0)),""))</f>
        <v>CANOLA OIL</v>
      </c>
      <c r="F993" s="10">
        <f>IF(B993="","",IFERROR(INDEX(Client_List!$J:$J,MATCH(B993,Client_List!$B:$B,0)),""))</f>
        <v>660</v>
      </c>
      <c r="G993" s="10">
        <v>610</v>
      </c>
      <c r="H993" s="9">
        <f>IF(B993="","",IFERROR(A993-LOOKUP(2,1/($B$4:$B992=B993),$A$4:$A992),""))</f>
        <v>10</v>
      </c>
      <c r="I993" s="73">
        <f t="shared" si="15"/>
        <v>61</v>
      </c>
      <c r="J993" s="9">
        <v>10733</v>
      </c>
      <c r="K993" s="6">
        <f>IF(B993="","",IFERROR(AVERAGEIFS($I$4:$I993,$B$4:$B993,B993,$I$4:$I993,"&gt;"&amp;0),""))</f>
        <v>62.149652777777774</v>
      </c>
      <c r="L993" s="9" t="str">
        <f>IF(B993="","",IF(ISNA(MATCH(B993,Client_List!$B:$B,0)),"⚠ NOT FOUND","✓"))</f>
        <v>✓</v>
      </c>
    </row>
    <row r="994" spans="1:12" ht="14" customHeight="1" x14ac:dyDescent="0.2">
      <c r="A994" s="56">
        <v>46105</v>
      </c>
      <c r="B994" s="2" t="s">
        <v>284</v>
      </c>
      <c r="C994" s="8" t="str">
        <f>IF(B994="","",IFERROR(INDEX(Client_List!$C:$C,MATCH(B994,Client_List!$B:$B,0)),""))</f>
        <v>2</v>
      </c>
      <c r="D994" s="4" t="str">
        <f>IF(B994="","",IFERROR(INDEX(Client_List!$D:$D,MATCH(B994,Client_List!$B:$B,0)),""))</f>
        <v>2C</v>
      </c>
      <c r="E994" s="4" t="str">
        <f>IF(B994="","",IFERROR(INDEX(Client_List!$K:$K,MATCH(B994,Client_List!$B:$B,0)),""))</f>
        <v>CANOLA OIL</v>
      </c>
      <c r="F994" s="5">
        <f>IF(B994="","",IFERROR(INDEX(Client_List!$J:$J,MATCH(B994,Client_List!$B:$B,0)),""))</f>
        <v>620</v>
      </c>
      <c r="G994" s="5">
        <v>699</v>
      </c>
      <c r="H994" s="4">
        <f>IF(B994="","",IFERROR(A994-LOOKUP(2,1/($B$4:$B993=B994),$A$4:$A993),""))</f>
        <v>19</v>
      </c>
      <c r="I994" s="72">
        <f t="shared" si="15"/>
        <v>36.789473684210527</v>
      </c>
      <c r="J994" s="4">
        <v>10736</v>
      </c>
      <c r="K994" s="6">
        <f>IF(B994="","",IFERROR(AVERAGEIFS($I$4:$I994,$B$4:$B994,B994,$I$4:$I994,"&gt;"&amp;0),""))</f>
        <v>29.628737227684599</v>
      </c>
      <c r="L994" s="4" t="str">
        <f>IF(B994="","",IF(ISNA(MATCH(B994,Client_List!$B:$B,0)),"⚠ NOT FOUND","✓"))</f>
        <v>✓</v>
      </c>
    </row>
    <row r="995" spans="1:12" ht="14" customHeight="1" x14ac:dyDescent="0.2">
      <c r="A995" s="57">
        <v>46105</v>
      </c>
      <c r="B995" s="7" t="s">
        <v>312</v>
      </c>
      <c r="C995" s="12" t="str">
        <f>IF(B995="","",IFERROR(INDEX(Client_List!$C:$C,MATCH(B995,Client_List!$B:$B,0)),""))</f>
        <v>2</v>
      </c>
      <c r="D995" s="9" t="str">
        <f>IF(B995="","",IFERROR(INDEX(Client_List!$D:$D,MATCH(B995,Client_List!$B:$B,0)),""))</f>
        <v>2C</v>
      </c>
      <c r="E995" s="9" t="str">
        <f>IF(B995="","",IFERROR(INDEX(Client_List!$K:$K,MATCH(B995,Client_List!$B:$B,0)),""))</f>
        <v>CANOLA OIL</v>
      </c>
      <c r="F995" s="10">
        <f>IF(B995="","",IFERROR(INDEX(Client_List!$J:$J,MATCH(B995,Client_List!$B:$B,0)),""))</f>
        <v>1050</v>
      </c>
      <c r="G995" s="10">
        <v>900</v>
      </c>
      <c r="H995" s="9">
        <f>IF(B995="","",IFERROR(A995-LOOKUP(2,1/($B$4:$B994=B995),$A$4:$A994),""))</f>
        <v>13</v>
      </c>
      <c r="I995" s="73">
        <f t="shared" si="15"/>
        <v>69.230769230769226</v>
      </c>
      <c r="J995" s="9">
        <v>10737</v>
      </c>
      <c r="K995" s="6">
        <f>IF(B995="","",IFERROR(AVERAGEIFS($I$4:$I995,$B$4:$B995,B995,$I$4:$I995,"&gt;"&amp;0),""))</f>
        <v>56.806668915879442</v>
      </c>
      <c r="L995" s="9" t="str">
        <f>IF(B995="","",IF(ISNA(MATCH(B995,Client_List!$B:$B,0)),"⚠ NOT FOUND","✓"))</f>
        <v>✓</v>
      </c>
    </row>
    <row r="996" spans="1:12" ht="14" customHeight="1" x14ac:dyDescent="0.2">
      <c r="A996" s="56">
        <v>46105</v>
      </c>
      <c r="B996" s="2" t="s">
        <v>346</v>
      </c>
      <c r="C996" s="3" t="str">
        <f>IF(B996="","",IFERROR(INDEX(Client_List!$C:$C,MATCH(B996,Client_List!$B:$B,0)),""))</f>
        <v>3</v>
      </c>
      <c r="D996" s="4" t="str">
        <f>IF(B996="","",IFERROR(INDEX(Client_List!$D:$D,MATCH(B996,Client_List!$B:$B,0)),""))</f>
        <v>3C</v>
      </c>
      <c r="E996" s="4" t="str">
        <f>IF(B996="","",IFERROR(INDEX(Client_List!$K:$K,MATCH(B996,Client_List!$B:$B,0)),""))</f>
        <v>FRYERS CHOICE BLEND</v>
      </c>
      <c r="F996" s="5">
        <f>IF(B996="","",IFERROR(INDEX(Client_List!$J:$J,MATCH(B996,Client_List!$B:$B,0)),""))</f>
        <v>1850</v>
      </c>
      <c r="G996" s="5">
        <v>833</v>
      </c>
      <c r="H996" s="4">
        <f>IF(B996="","",IFERROR(A996-LOOKUP(2,1/($B$4:$B995=B996),$A$4:$A995),""))</f>
        <v>20</v>
      </c>
      <c r="I996" s="72">
        <f t="shared" si="15"/>
        <v>41.65</v>
      </c>
      <c r="J996" s="4">
        <v>10711</v>
      </c>
      <c r="K996" s="6">
        <f>IF(B996="","",IFERROR(AVERAGEIFS($I$4:$I996,$B$4:$B996,B996,$I$4:$I996,"&gt;"&amp;0),""))</f>
        <v>36.700000000000003</v>
      </c>
      <c r="L996" s="4" t="str">
        <f>IF(B996="","",IF(ISNA(MATCH(B996,Client_List!$B:$B,0)),"⚠ NOT FOUND","✓"))</f>
        <v>✓</v>
      </c>
    </row>
    <row r="997" spans="1:12" ht="14" customHeight="1" x14ac:dyDescent="0.2">
      <c r="A997" s="57">
        <v>46106</v>
      </c>
      <c r="B997" s="7" t="s">
        <v>71</v>
      </c>
      <c r="C997" s="3" t="str">
        <f>IF(B997="","",IFERROR(INDEX(Client_List!$C:$C,MATCH(B997,Client_List!$B:$B,0)),""))</f>
        <v>5</v>
      </c>
      <c r="D997" s="9" t="str">
        <f>IF(B997="","",IFERROR(INDEX(Client_List!$D:$D,MATCH(B997,Client_List!$B:$B,0)),""))</f>
        <v>5F</v>
      </c>
      <c r="E997" s="9" t="str">
        <f>IF(B997="","",IFERROR(INDEX(Client_List!$K:$K,MATCH(B997,Client_List!$B:$B,0)),""))</f>
        <v>CANOLA OIL</v>
      </c>
      <c r="F997" s="10">
        <f>IF(B997="","",IFERROR(INDEX(Client_List!$J:$J,MATCH(B997,Client_List!$B:$B,0)),""))</f>
        <v>350</v>
      </c>
      <c r="G997" s="10">
        <v>214</v>
      </c>
      <c r="H997" s="9">
        <f>IF(B997="","",IFERROR(A997-LOOKUP(2,1/($B$4:$B996=B997),$A$4:$A996),""))</f>
        <v>11</v>
      </c>
      <c r="I997" s="73">
        <f t="shared" si="15"/>
        <v>19.454545454545453</v>
      </c>
      <c r="J997" s="9">
        <v>10780</v>
      </c>
      <c r="K997" s="6">
        <f>IF(B997="","",IFERROR(AVERAGEIFS($I$4:$I997,$B$4:$B997,B997,$I$4:$I997,"&gt;"&amp;0),""))</f>
        <v>32.48882074715408</v>
      </c>
      <c r="L997" s="9" t="str">
        <f>IF(B997="","",IF(ISNA(MATCH(B997,Client_List!$B:$B,0)),"⚠ NOT FOUND","✓"))</f>
        <v>✓</v>
      </c>
    </row>
    <row r="998" spans="1:12" ht="14" customHeight="1" x14ac:dyDescent="0.2">
      <c r="A998" s="56">
        <v>46106</v>
      </c>
      <c r="B998" s="2" t="s">
        <v>73</v>
      </c>
      <c r="C998" s="3" t="str">
        <f>IF(B998="","",IFERROR(INDEX(Client_List!$C:$C,MATCH(B998,Client_List!$B:$B,0)),""))</f>
        <v>4</v>
      </c>
      <c r="D998" s="4" t="str">
        <f>IF(B998="","",IFERROR(INDEX(Client_List!$D:$D,MATCH(B998,Client_List!$B:$B,0)),""))</f>
        <v>4D</v>
      </c>
      <c r="E998" s="4" t="str">
        <f>IF(B998="","",IFERROR(INDEX(Client_List!$K:$K,MATCH(B998,Client_List!$B:$B,0)),""))</f>
        <v>CANOLA OIL</v>
      </c>
      <c r="F998" s="5">
        <f>IF(B998="","",IFERROR(INDEX(Client_List!$J:$J,MATCH(B998,Client_List!$B:$B,0)),""))</f>
        <v>620</v>
      </c>
      <c r="G998" s="5">
        <v>595</v>
      </c>
      <c r="H998" s="4">
        <f>IF(B998="","",IFERROR(A998-LOOKUP(2,1/($B$4:$B997=B998),$A$4:$A997),""))</f>
        <v>12</v>
      </c>
      <c r="I998" s="72">
        <f t="shared" si="15"/>
        <v>49.583333333333336</v>
      </c>
      <c r="J998" s="4">
        <v>10776</v>
      </c>
      <c r="K998" s="6">
        <f>IF(B998="","",IFERROR(AVERAGEIFS($I$4:$I998,$B$4:$B998,B998,$I$4:$I998,"&gt;"&amp;0),""))</f>
        <v>53.567482864357864</v>
      </c>
      <c r="L998" s="4" t="str">
        <f>IF(B998="","",IF(ISNA(MATCH(B998,Client_List!$B:$B,0)),"⚠ NOT FOUND","✓"))</f>
        <v>✓</v>
      </c>
    </row>
    <row r="999" spans="1:12" ht="14" customHeight="1" x14ac:dyDescent="0.2">
      <c r="A999" s="57">
        <v>46106</v>
      </c>
      <c r="B999" s="7" t="s">
        <v>365</v>
      </c>
      <c r="C999" s="12">
        <f>IF(B999="","",IFERROR(INDEX(Client_List!$C:$C,MATCH(B999,Client_List!$B:$B,0)),""))</f>
        <v>0</v>
      </c>
      <c r="D999" s="9">
        <f>IF(B999="","",IFERROR(INDEX(Client_List!$D:$D,MATCH(B999,Client_List!$B:$B,0)),""))</f>
        <v>0</v>
      </c>
      <c r="E999" s="9" t="str">
        <f>IF(B999="","",IFERROR(INDEX(Client_List!$K:$K,MATCH(B999,Client_List!$B:$B,0)),""))</f>
        <v>CANOLA OIL</v>
      </c>
      <c r="F999" s="10">
        <f>IF(B999="","",IFERROR(INDEX(Client_List!$J:$J,MATCH(B999,Client_List!$B:$B,0)),""))</f>
        <v>700</v>
      </c>
      <c r="G999" s="10">
        <v>570</v>
      </c>
      <c r="H999" s="9">
        <f>IF(B999="","",IFERROR(A999-LOOKUP(2,1/($B$4:$B998=B999),$A$4:$A998),""))</f>
        <v>7</v>
      </c>
      <c r="I999" s="73">
        <f t="shared" si="15"/>
        <v>81.428571428571431</v>
      </c>
      <c r="J999" s="9"/>
      <c r="K999" s="6">
        <f>IF(B999="","",IFERROR(AVERAGEIFS($I$4:$I999,$B$4:$B999,B999,$I$4:$I999,"&gt;"&amp;0),""))</f>
        <v>66.800496031746036</v>
      </c>
      <c r="L999" s="9" t="str">
        <f>IF(B999="","",IF(ISNA(MATCH(B999,Client_List!$B:$B,0)),"⚠ NOT FOUND","✓"))</f>
        <v>✓</v>
      </c>
    </row>
    <row r="1000" spans="1:12" ht="14" customHeight="1" x14ac:dyDescent="0.2">
      <c r="A1000" s="56">
        <v>46106</v>
      </c>
      <c r="B1000" s="2" t="s">
        <v>77</v>
      </c>
      <c r="C1000" s="3" t="str">
        <f>IF(B1000="","",IFERROR(INDEX(Client_List!$C:$C,MATCH(B1000,Client_List!$B:$B,0)),""))</f>
        <v>1</v>
      </c>
      <c r="D1000" s="4" t="str">
        <f>IF(B1000="","",IFERROR(INDEX(Client_List!$D:$D,MATCH(B1000,Client_List!$B:$B,0)),""))</f>
        <v>1D</v>
      </c>
      <c r="E1000" s="4" t="str">
        <f>IF(B1000="","",IFERROR(INDEX(Client_List!$K:$K,MATCH(B1000,Client_List!$B:$B,0)),""))</f>
        <v>CANOLA OIL</v>
      </c>
      <c r="F1000" s="5">
        <f>IF(B1000="","",IFERROR(INDEX(Client_List!$J:$J,MATCH(B1000,Client_List!$B:$B,0)),""))</f>
        <v>620</v>
      </c>
      <c r="G1000" s="5">
        <v>603</v>
      </c>
      <c r="H1000" s="4">
        <f>IF(B1000="","",IFERROR(A1000-LOOKUP(2,1/($B$4:$B999=B1000),$A$4:$A999),""))</f>
        <v>8</v>
      </c>
      <c r="I1000" s="72">
        <f t="shared" si="15"/>
        <v>75.375</v>
      </c>
      <c r="J1000" s="4">
        <v>10768</v>
      </c>
      <c r="K1000" s="6">
        <f>IF(B1000="","",IFERROR(AVERAGEIFS($I$4:$I1000,$B$4:$B1000,B1000,$I$4:$I1000,"&gt;"&amp;0),""))</f>
        <v>68.2147619047619</v>
      </c>
      <c r="L1000" s="4" t="str">
        <f>IF(B1000="","",IF(ISNA(MATCH(B1000,Client_List!$B:$B,0)),"⚠ NOT FOUND","✓"))</f>
        <v>✓</v>
      </c>
    </row>
    <row r="1001" spans="1:12" ht="14" customHeight="1" x14ac:dyDescent="0.2">
      <c r="A1001" s="57">
        <v>46106</v>
      </c>
      <c r="B1001" s="7" t="s">
        <v>98</v>
      </c>
      <c r="C1001" s="12" t="str">
        <f>IF(B1001="","",IFERROR(INDEX(Client_List!$C:$C,MATCH(B1001,Client_List!$B:$B,0)),""))</f>
        <v>4</v>
      </c>
      <c r="D1001" s="9" t="str">
        <f>IF(B1001="","",IFERROR(INDEX(Client_List!$D:$D,MATCH(B1001,Client_List!$B:$B,0)),""))</f>
        <v>4D</v>
      </c>
      <c r="E1001" s="9" t="str">
        <f>IF(B1001="","",IFERROR(INDEX(Client_List!$K:$K,MATCH(B1001,Client_List!$B:$B,0)),""))</f>
        <v>CANOLA OIL</v>
      </c>
      <c r="F1001" s="10">
        <f>IF(B1001="","",IFERROR(INDEX(Client_List!$J:$J,MATCH(B1001,Client_List!$B:$B,0)),""))</f>
        <v>350</v>
      </c>
      <c r="G1001" s="10">
        <v>288</v>
      </c>
      <c r="H1001" s="9">
        <f>IF(B1001="","",IFERROR(A1001-LOOKUP(2,1/($B$4:$B1000=B1001),$A$4:$A1000),""))</f>
        <v>40</v>
      </c>
      <c r="I1001" s="73">
        <f t="shared" si="15"/>
        <v>7.2</v>
      </c>
      <c r="J1001" s="9">
        <v>10773</v>
      </c>
      <c r="K1001" s="6">
        <f>IF(B1001="","",IFERROR(AVERAGEIFS($I$4:$I1001,$B$4:$B1001,B1001,$I$4:$I1001,"&gt;"&amp;0),""))</f>
        <v>9.622727272727273</v>
      </c>
      <c r="L1001" s="9" t="str">
        <f>IF(B1001="","",IF(ISNA(MATCH(B1001,Client_List!$B:$B,0)),"⚠ NOT FOUND","✓"))</f>
        <v>✓</v>
      </c>
    </row>
    <row r="1002" spans="1:12" ht="14" customHeight="1" x14ac:dyDescent="0.2">
      <c r="A1002" s="56">
        <v>46106</v>
      </c>
      <c r="B1002" s="2" t="s">
        <v>128</v>
      </c>
      <c r="C1002" s="12" t="str">
        <f>IF(B1002="","",IFERROR(INDEX(Client_List!$C:$C,MATCH(B1002,Client_List!$B:$B,0)),""))</f>
        <v>4</v>
      </c>
      <c r="D1002" s="4" t="str">
        <f>IF(B1002="","",IFERROR(INDEX(Client_List!$D:$D,MATCH(B1002,Client_List!$B:$B,0)),""))</f>
        <v>4E</v>
      </c>
      <c r="E1002" s="4" t="str">
        <f>IF(B1002="","",IFERROR(INDEX(Client_List!$K:$K,MATCH(B1002,Client_List!$B:$B,0)),""))</f>
        <v>CANOLA OIL</v>
      </c>
      <c r="F1002" s="5">
        <f>IF(B1002="","",IFERROR(INDEX(Client_List!$J:$J,MATCH(B1002,Client_List!$B:$B,0)),""))</f>
        <v>700</v>
      </c>
      <c r="G1002" s="5">
        <v>503</v>
      </c>
      <c r="H1002" s="4">
        <f>IF(B1002="","",IFERROR(A1002-LOOKUP(2,1/($B$4:$B1001=B1002),$A$4:$A1001),""))</f>
        <v>5</v>
      </c>
      <c r="I1002" s="72">
        <f t="shared" si="15"/>
        <v>100.6</v>
      </c>
      <c r="J1002" s="4">
        <v>10824</v>
      </c>
      <c r="K1002" s="6">
        <f>IF(B1002="","",IFERROR(AVERAGEIFS($I$4:$I1002,$B$4:$B1002,B1002,$I$4:$I1002,"&gt;"&amp;0),""))</f>
        <v>72.664574314574324</v>
      </c>
      <c r="L1002" s="4" t="str">
        <f>IF(B1002="","",IF(ISNA(MATCH(B1002,Client_List!$B:$B,0)),"⚠ NOT FOUND","✓"))</f>
        <v>✓</v>
      </c>
    </row>
    <row r="1003" spans="1:12" ht="14" customHeight="1" x14ac:dyDescent="0.2">
      <c r="A1003" s="57">
        <v>46106</v>
      </c>
      <c r="B1003" s="7" t="s">
        <v>146</v>
      </c>
      <c r="C1003" s="3" t="str">
        <f>IF(B1003="","",IFERROR(INDEX(Client_List!$C:$C,MATCH(B1003,Client_List!$B:$B,0)),""))</f>
        <v>4</v>
      </c>
      <c r="D1003" s="9" t="str">
        <f>IF(B1003="","",IFERROR(INDEX(Client_List!$D:$D,MATCH(B1003,Client_List!$B:$B,0)),""))</f>
        <v>4F</v>
      </c>
      <c r="E1003" s="9" t="str">
        <f>IF(B1003="","",IFERROR(INDEX(Client_List!$K:$K,MATCH(B1003,Client_List!$B:$B,0)),""))</f>
        <v>CANOLA OIL</v>
      </c>
      <c r="F1003" s="10">
        <f>IF(B1003="","",IFERROR(INDEX(Client_List!$J:$J,MATCH(B1003,Client_List!$B:$B,0)),""))</f>
        <v>950</v>
      </c>
      <c r="G1003" s="10">
        <v>834</v>
      </c>
      <c r="H1003" s="9">
        <f>IF(B1003="","",IFERROR(A1003-LOOKUP(2,1/($B$4:$B1002=B1003),$A$4:$A1002),""))</f>
        <v>26</v>
      </c>
      <c r="I1003" s="73">
        <f t="shared" si="15"/>
        <v>32.07692307692308</v>
      </c>
      <c r="J1003" s="9">
        <v>10778</v>
      </c>
      <c r="K1003" s="6">
        <f>IF(B1003="","",IFERROR(AVERAGEIFS($I$4:$I1003,$B$4:$B1003,B1003,$I$4:$I1003,"&gt;"&amp;0),""))</f>
        <v>31.568247541931754</v>
      </c>
      <c r="L1003" s="9" t="str">
        <f>IF(B1003="","",IF(ISNA(MATCH(B1003,Client_List!$B:$B,0)),"⚠ NOT FOUND","✓"))</f>
        <v>✓</v>
      </c>
    </row>
    <row r="1004" spans="1:12" ht="14" customHeight="1" x14ac:dyDescent="0.2">
      <c r="A1004" s="56">
        <v>46106</v>
      </c>
      <c r="B1004" s="2" t="s">
        <v>170</v>
      </c>
      <c r="C1004" s="3" t="str">
        <f>IF(B1004="","",IFERROR(INDEX(Client_List!$C:$C,MATCH(B1004,Client_List!$B:$B,0)),""))</f>
        <v>3</v>
      </c>
      <c r="D1004" s="4" t="str">
        <f>IF(B1004="","",IFERROR(INDEX(Client_List!$D:$D,MATCH(B1004,Client_List!$B:$B,0)),""))</f>
        <v>3E</v>
      </c>
      <c r="E1004" s="4" t="str">
        <f>IF(B1004="","",IFERROR(INDEX(Client_List!$K:$K,MATCH(B1004,Client_List!$B:$B,0)),""))</f>
        <v>CANOLA OIL</v>
      </c>
      <c r="F1004" s="5">
        <f>IF(B1004="","",IFERROR(INDEX(Client_List!$J:$J,MATCH(B1004,Client_List!$B:$B,0)),""))</f>
        <v>1050</v>
      </c>
      <c r="G1004" s="5">
        <v>779</v>
      </c>
      <c r="H1004" s="4">
        <f>IF(B1004="","",IFERROR(A1004-LOOKUP(2,1/($B$4:$B1003=B1004),$A$4:$A1003),""))</f>
        <v>15</v>
      </c>
      <c r="I1004" s="72">
        <f t="shared" si="15"/>
        <v>51.93333333333333</v>
      </c>
      <c r="J1004" s="4"/>
      <c r="K1004" s="6">
        <f>IF(B1004="","",IFERROR(AVERAGEIFS($I$4:$I1004,$B$4:$B1004,B1004,$I$4:$I1004,"&gt;"&amp;0),""))</f>
        <v>53.052777777777777</v>
      </c>
      <c r="L1004" s="4" t="str">
        <f>IF(B1004="","",IF(ISNA(MATCH(B1004,Client_List!$B:$B,0)),"⚠ NOT FOUND","✓"))</f>
        <v>✓</v>
      </c>
    </row>
    <row r="1005" spans="1:12" ht="14" customHeight="1" x14ac:dyDescent="0.2">
      <c r="A1005" s="57">
        <v>46106</v>
      </c>
      <c r="B1005" s="7" t="s">
        <v>186</v>
      </c>
      <c r="C1005" s="3" t="str">
        <f>IF(B1005="","",IFERROR(INDEX(Client_List!$C:$C,MATCH(B1005,Client_List!$B:$B,0)),""))</f>
        <v>4</v>
      </c>
      <c r="D1005" s="9" t="str">
        <f>IF(B1005="","",IFERROR(INDEX(Client_List!$D:$D,MATCH(B1005,Client_List!$B:$B,0)),""))</f>
        <v>4E</v>
      </c>
      <c r="E1005" s="9" t="str">
        <f>IF(B1005="","",IFERROR(INDEX(Client_List!$K:$K,MATCH(B1005,Client_List!$B:$B,0)),""))</f>
        <v>CANOLA OIL</v>
      </c>
      <c r="F1005" s="10">
        <f>IF(B1005="","",IFERROR(INDEX(Client_List!$J:$J,MATCH(B1005,Client_List!$B:$B,0)),""))</f>
        <v>950</v>
      </c>
      <c r="G1005" s="10">
        <v>527</v>
      </c>
      <c r="H1005" s="9">
        <f>IF(B1005="","",IFERROR(A1005-LOOKUP(2,1/($B$4:$B1004=B1005),$A$4:$A1004),""))</f>
        <v>6</v>
      </c>
      <c r="I1005" s="73">
        <f t="shared" si="15"/>
        <v>87.833333333333329</v>
      </c>
      <c r="J1005" s="9">
        <v>10777</v>
      </c>
      <c r="K1005" s="6">
        <f>IF(B1005="","",IFERROR(AVERAGEIFS($I$4:$I1005,$B$4:$B1005,B1005,$I$4:$I1005,"&gt;"&amp;0),""))</f>
        <v>88.308201058201064</v>
      </c>
      <c r="L1005" s="9" t="str">
        <f>IF(B1005="","",IF(ISNA(MATCH(B1005,Client_List!$B:$B,0)),"⚠ NOT FOUND","✓"))</f>
        <v>✓</v>
      </c>
    </row>
    <row r="1006" spans="1:12" ht="14" customHeight="1" x14ac:dyDescent="0.2">
      <c r="A1006" s="56">
        <v>46106</v>
      </c>
      <c r="B1006" s="2" t="s">
        <v>224</v>
      </c>
      <c r="C1006" s="11" t="str">
        <f>IF(B1006="","",IFERROR(INDEX(Client_List!$C:$C,MATCH(B1006,Client_List!$B:$B,0)),""))</f>
        <v>5</v>
      </c>
      <c r="D1006" s="4" t="str">
        <f>IF(B1006="","",IFERROR(INDEX(Client_List!$D:$D,MATCH(B1006,Client_List!$B:$B,0)),""))</f>
        <v>5E</v>
      </c>
      <c r="E1006" s="4" t="str">
        <f>IF(B1006="","",IFERROR(INDEX(Client_List!$K:$K,MATCH(B1006,Client_List!$B:$B,0)),""))</f>
        <v>CANOLA OIL</v>
      </c>
      <c r="F1006" s="5">
        <f>IF(B1006="","",IFERROR(INDEX(Client_List!$J:$J,MATCH(B1006,Client_List!$B:$B,0)),""))</f>
        <v>450</v>
      </c>
      <c r="G1006" s="5">
        <v>521</v>
      </c>
      <c r="H1006" s="4">
        <f>IF(B1006="","",IFERROR(A1006-LOOKUP(2,1/($B$4:$B1005=B1006),$A$4:$A1005),""))</f>
        <v>19</v>
      </c>
      <c r="I1006" s="72">
        <f t="shared" si="15"/>
        <v>27.421052631578949</v>
      </c>
      <c r="J1006" s="4">
        <v>10759</v>
      </c>
      <c r="K1006" s="6">
        <f>IF(B1006="","",IFERROR(AVERAGEIFS($I$4:$I1006,$B$4:$B1006,B1006,$I$4:$I1006,"&gt;"&amp;0),""))</f>
        <v>28.743500909135584</v>
      </c>
      <c r="L1006" s="4" t="str">
        <f>IF(B1006="","",IF(ISNA(MATCH(B1006,Client_List!$B:$B,0)),"⚠ NOT FOUND","✓"))</f>
        <v>✓</v>
      </c>
    </row>
    <row r="1007" spans="1:12" ht="14" customHeight="1" x14ac:dyDescent="0.2">
      <c r="A1007" s="57">
        <v>46106</v>
      </c>
      <c r="B1007" s="7" t="s">
        <v>258</v>
      </c>
      <c r="C1007" s="3" t="str">
        <f>IF(B1007="","",IFERROR(INDEX(Client_List!$C:$C,MATCH(B1007,Client_List!$B:$B,0)),""))</f>
        <v>4</v>
      </c>
      <c r="D1007" s="9" t="str">
        <f>IF(B1007="","",IFERROR(INDEX(Client_List!$D:$D,MATCH(B1007,Client_List!$B:$B,0)),""))</f>
        <v>4F</v>
      </c>
      <c r="E1007" s="9" t="str">
        <f>IF(B1007="","",IFERROR(INDEX(Client_List!$K:$K,MATCH(B1007,Client_List!$B:$B,0)),""))</f>
        <v>FRYERS CHOICE BLEND</v>
      </c>
      <c r="F1007" s="10">
        <f>IF(B1007="","",IFERROR(INDEX(Client_List!$J:$J,MATCH(B1007,Client_List!$B:$B,0)),""))</f>
        <v>950</v>
      </c>
      <c r="G1007" s="10">
        <v>678</v>
      </c>
      <c r="H1007" s="9">
        <f>IF(B1007="","",IFERROR(A1007-LOOKUP(2,1/($B$4:$B1006=B1007),$A$4:$A1006),""))</f>
        <v>14</v>
      </c>
      <c r="I1007" s="73">
        <f t="shared" si="15"/>
        <v>48.428571428571431</v>
      </c>
      <c r="J1007" s="9">
        <v>10753</v>
      </c>
      <c r="K1007" s="6">
        <f>IF(B1007="","",IFERROR(AVERAGEIFS($I$4:$I1007,$B$4:$B1007,B1007,$I$4:$I1007,"&gt;"&amp;0),""))</f>
        <v>48.135912698412696</v>
      </c>
      <c r="L1007" s="9" t="str">
        <f>IF(B1007="","",IF(ISNA(MATCH(B1007,Client_List!$B:$B,0)),"⚠ NOT FOUND","✓"))</f>
        <v>✓</v>
      </c>
    </row>
    <row r="1008" spans="1:12" ht="14" customHeight="1" x14ac:dyDescent="0.2">
      <c r="A1008" s="56">
        <v>46106</v>
      </c>
      <c r="B1008" s="2" t="s">
        <v>300</v>
      </c>
      <c r="C1008" s="11" t="str">
        <f>IF(B1008="","",IFERROR(INDEX(Client_List!$C:$C,MATCH(B1008,Client_List!$B:$B,0)),""))</f>
        <v>4</v>
      </c>
      <c r="D1008" s="4" t="str">
        <f>IF(B1008="","",IFERROR(INDEX(Client_List!$D:$D,MATCH(B1008,Client_List!$B:$B,0)),""))</f>
        <v>4C</v>
      </c>
      <c r="E1008" s="4" t="str">
        <f>IF(B1008="","",IFERROR(INDEX(Client_List!$K:$K,MATCH(B1008,Client_List!$B:$B,0)),""))</f>
        <v>FRYERS CHOICE BLEND</v>
      </c>
      <c r="F1008" s="5">
        <f>IF(B1008="","",IFERROR(INDEX(Client_List!$J:$J,MATCH(B1008,Client_List!$B:$B,0)),""))</f>
        <v>350</v>
      </c>
      <c r="G1008" s="5">
        <v>180</v>
      </c>
      <c r="H1008" s="4">
        <f>IF(B1008="","",IFERROR(A1008-LOOKUP(2,1/($B$4:$B1007=B1008),$A$4:$A1007),""))</f>
        <v>12</v>
      </c>
      <c r="I1008" s="72">
        <f t="shared" si="15"/>
        <v>15</v>
      </c>
      <c r="J1008" s="4">
        <v>10766</v>
      </c>
      <c r="K1008" s="6">
        <f>IF(B1008="","",IFERROR(AVERAGEIFS($I$4:$I1008,$B$4:$B1008,B1008,$I$4:$I1008,"&gt;"&amp;0),""))</f>
        <v>27.883928571428573</v>
      </c>
      <c r="L1008" s="4" t="str">
        <f>IF(B1008="","",IF(ISNA(MATCH(B1008,Client_List!$B:$B,0)),"⚠ NOT FOUND","✓"))</f>
        <v>✓</v>
      </c>
    </row>
    <row r="1009" spans="1:12" ht="14" customHeight="1" x14ac:dyDescent="0.2">
      <c r="A1009" s="57">
        <v>46106</v>
      </c>
      <c r="B1009" s="7" t="s">
        <v>318</v>
      </c>
      <c r="C1009" s="11" t="str">
        <f>IF(B1009="","",IFERROR(INDEX(Client_List!$C:$C,MATCH(B1009,Client_List!$B:$B,0)),""))</f>
        <v>2</v>
      </c>
      <c r="D1009" s="9" t="str">
        <f>IF(B1009="","",IFERROR(INDEX(Client_List!$D:$D,MATCH(B1009,Client_List!$B:$B,0)),""))</f>
        <v>2D</v>
      </c>
      <c r="E1009" s="9" t="str">
        <f>IF(B1009="","",IFERROR(INDEX(Client_List!$K:$K,MATCH(B1009,Client_List!$B:$B,0)),""))</f>
        <v>FRYERS CHOICE BLEND</v>
      </c>
      <c r="F1009" s="10">
        <f>IF(B1009="","",IFERROR(INDEX(Client_List!$J:$J,MATCH(B1009,Client_List!$B:$B,0)),""))</f>
        <v>1050</v>
      </c>
      <c r="G1009" s="10">
        <v>976</v>
      </c>
      <c r="H1009" s="9">
        <f>IF(B1009="","",IFERROR(A1009-LOOKUP(2,1/($B$4:$B1008=B1009),$A$4:$A1008),""))</f>
        <v>15</v>
      </c>
      <c r="I1009" s="73">
        <f t="shared" si="15"/>
        <v>65.066666666666663</v>
      </c>
      <c r="J1009" s="9">
        <v>10767</v>
      </c>
      <c r="K1009" s="6">
        <f>IF(B1009="","",IFERROR(AVERAGEIFS($I$4:$I1009,$B$4:$B1009,B1009,$I$4:$I1009,"&gt;"&amp;0),""))</f>
        <v>62.401661998132589</v>
      </c>
      <c r="L1009" s="9" t="str">
        <f>IF(B1009="","",IF(ISNA(MATCH(B1009,Client_List!$B:$B,0)),"⚠ NOT FOUND","✓"))</f>
        <v>✓</v>
      </c>
    </row>
    <row r="1010" spans="1:12" ht="14" customHeight="1" x14ac:dyDescent="0.2">
      <c r="A1010" s="56">
        <v>46107</v>
      </c>
      <c r="B1010" s="2" t="s">
        <v>43</v>
      </c>
      <c r="C1010" s="3" t="str">
        <f>IF(B1010="","",IFERROR(INDEX(Client_List!$C:$C,MATCH(B1010,Client_List!$B:$B,0)),""))</f>
        <v>1</v>
      </c>
      <c r="D1010" s="4" t="str">
        <f>IF(B1010="","",IFERROR(INDEX(Client_List!$D:$D,MATCH(B1010,Client_List!$B:$B,0)),""))</f>
        <v>1C</v>
      </c>
      <c r="E1010" s="4" t="str">
        <f>IF(B1010="","",IFERROR(INDEX(Client_List!$K:$K,MATCH(B1010,Client_List!$B:$B,0)),""))</f>
        <v>FRYERS CHOICE BLEND</v>
      </c>
      <c r="F1010" s="5">
        <f>IF(B1010="","",IFERROR(INDEX(Client_List!$J:$J,MATCH(B1010,Client_List!$B:$B,0)),""))</f>
        <v>620</v>
      </c>
      <c r="G1010" s="5">
        <v>352</v>
      </c>
      <c r="H1010" s="4">
        <f>IF(B1010="","",IFERROR(A1010-LOOKUP(2,1/($B$4:$B1009=B1010),$A$4:$A1009),""))</f>
        <v>9</v>
      </c>
      <c r="I1010" s="72">
        <f t="shared" si="15"/>
        <v>39.111111111111114</v>
      </c>
      <c r="J1010" s="4"/>
      <c r="K1010" s="6">
        <f>IF(B1010="","",IFERROR(AVERAGEIFS($I$4:$I1010,$B$4:$B1010,B1010,$I$4:$I1010,"&gt;"&amp;0),""))</f>
        <v>44.770652958152951</v>
      </c>
      <c r="L1010" s="4" t="str">
        <f>IF(B1010="","",IF(ISNA(MATCH(B1010,Client_List!$B:$B,0)),"⚠ NOT FOUND","✓"))</f>
        <v>✓</v>
      </c>
    </row>
    <row r="1011" spans="1:12" ht="14" customHeight="1" x14ac:dyDescent="0.2">
      <c r="A1011" s="57">
        <v>46107</v>
      </c>
      <c r="B1011" s="7" t="s">
        <v>63</v>
      </c>
      <c r="C1011" s="11" t="str">
        <f>IF(B1011="","",IFERROR(INDEX(Client_List!$C:$C,MATCH(B1011,Client_List!$B:$B,0)),""))</f>
        <v>5</v>
      </c>
      <c r="D1011" s="9" t="str">
        <f>IF(B1011="","",IFERROR(INDEX(Client_List!$D:$D,MATCH(B1011,Client_List!$B:$B,0)),""))</f>
        <v>5D</v>
      </c>
      <c r="E1011" s="9" t="str">
        <f>IF(B1011="","",IFERROR(INDEX(Client_List!$K:$K,MATCH(B1011,Client_List!$B:$B,0)),""))</f>
        <v>CANOLA OIL</v>
      </c>
      <c r="F1011" s="10">
        <f>IF(B1011="","",IFERROR(INDEX(Client_List!$J:$J,MATCH(B1011,Client_List!$B:$B,0)),""))</f>
        <v>425</v>
      </c>
      <c r="G1011" s="10">
        <v>296</v>
      </c>
      <c r="H1011" s="9">
        <f>IF(B1011="","",IFERROR(A1011-LOOKUP(2,1/($B$4:$B1010=B1011),$A$4:$A1010),""))</f>
        <v>2</v>
      </c>
      <c r="I1011" s="73">
        <f t="shared" si="15"/>
        <v>148</v>
      </c>
      <c r="J1011" s="9"/>
      <c r="K1011" s="6">
        <f>IF(B1011="","",IFERROR(AVERAGEIFS($I$4:$I1011,$B$4:$B1011,B1011,$I$4:$I1011,"&gt;"&amp;0),""))</f>
        <v>44.118772893772899</v>
      </c>
      <c r="L1011" s="9" t="str">
        <f>IF(B1011="","",IF(ISNA(MATCH(B1011,Client_List!$B:$B,0)),"⚠ NOT FOUND","✓"))</f>
        <v>✓</v>
      </c>
    </row>
    <row r="1012" spans="1:12" ht="14" customHeight="1" x14ac:dyDescent="0.2">
      <c r="A1012" s="56">
        <v>46107</v>
      </c>
      <c r="B1012" s="2" t="s">
        <v>104</v>
      </c>
      <c r="C1012" s="3" t="str">
        <f>IF(B1012="","",IFERROR(INDEX(Client_List!$C:$C,MATCH(B1012,Client_List!$B:$B,0)),""))</f>
        <v>4</v>
      </c>
      <c r="D1012" s="4" t="str">
        <f>IF(B1012="","",IFERROR(INDEX(Client_List!$D:$D,MATCH(B1012,Client_List!$B:$B,0)),""))</f>
        <v>4E</v>
      </c>
      <c r="E1012" s="4" t="str">
        <f>IF(B1012="","",IFERROR(INDEX(Client_List!$K:$K,MATCH(B1012,Client_List!$B:$B,0)),""))</f>
        <v>CANOLA OIL</v>
      </c>
      <c r="F1012" s="5">
        <f>IF(B1012="","",IFERROR(INDEX(Client_List!$J:$J,MATCH(B1012,Client_List!$B:$B,0)),""))</f>
        <v>350</v>
      </c>
      <c r="G1012" s="5">
        <v>242</v>
      </c>
      <c r="H1012" s="4">
        <f>IF(B1012="","",IFERROR(A1012-LOOKUP(2,1/($B$4:$B1011=B1012),$A$4:$A1011),""))</f>
        <v>14</v>
      </c>
      <c r="I1012" s="72">
        <f t="shared" si="15"/>
        <v>17.285714285714285</v>
      </c>
      <c r="J1012" s="4"/>
      <c r="K1012" s="6">
        <f>IF(B1012="","",IFERROR(AVERAGEIFS($I$4:$I1012,$B$4:$B1012,B1012,$I$4:$I1012,"&gt;"&amp;0),""))</f>
        <v>16.436011904761905</v>
      </c>
      <c r="L1012" s="4" t="str">
        <f>IF(B1012="","",IF(ISNA(MATCH(B1012,Client_List!$B:$B,0)),"⚠ NOT FOUND","✓"))</f>
        <v>✓</v>
      </c>
    </row>
    <row r="1013" spans="1:12" ht="14" customHeight="1" x14ac:dyDescent="0.2">
      <c r="A1013" s="57">
        <v>46107</v>
      </c>
      <c r="B1013" s="7" t="s">
        <v>110</v>
      </c>
      <c r="C1013" s="3" t="str">
        <f>IF(B1013="","",IFERROR(INDEX(Client_List!$C:$C,MATCH(B1013,Client_List!$B:$B,0)),""))</f>
        <v>1</v>
      </c>
      <c r="D1013" s="9" t="str">
        <f>IF(B1013="","",IFERROR(INDEX(Client_List!$D:$D,MATCH(B1013,Client_List!$B:$B,0)),""))</f>
        <v>1B</v>
      </c>
      <c r="E1013" s="9" t="str">
        <f>IF(B1013="","",IFERROR(INDEX(Client_List!$K:$K,MATCH(B1013,Client_List!$B:$B,0)),""))</f>
        <v>FRYERS CHOICE BLEND</v>
      </c>
      <c r="F1013" s="10">
        <f>IF(B1013="","",IFERROR(INDEX(Client_List!$J:$J,MATCH(B1013,Client_List!$B:$B,0)),""))</f>
        <v>1050</v>
      </c>
      <c r="G1013" s="10">
        <v>761</v>
      </c>
      <c r="H1013" s="9">
        <f>IF(B1013="","",IFERROR(A1013-LOOKUP(2,1/($B$4:$B1012=B1013),$A$4:$A1012),""))</f>
        <v>21</v>
      </c>
      <c r="I1013" s="73">
        <f t="shared" si="15"/>
        <v>36.238095238095241</v>
      </c>
      <c r="J1013" s="9"/>
      <c r="K1013" s="6">
        <f>IF(B1013="","",IFERROR(AVERAGEIFS($I$4:$I1013,$B$4:$B1013,B1013,$I$4:$I1013,"&gt;"&amp;0),""))</f>
        <v>39.293750000000003</v>
      </c>
      <c r="L1013" s="9" t="str">
        <f>IF(B1013="","",IF(ISNA(MATCH(B1013,Client_List!$B:$B,0)),"⚠ NOT FOUND","✓"))</f>
        <v>✓</v>
      </c>
    </row>
    <row r="1014" spans="1:12" ht="14" customHeight="1" x14ac:dyDescent="0.2">
      <c r="A1014" s="56">
        <v>46107</v>
      </c>
      <c r="B1014" s="2" t="s">
        <v>116</v>
      </c>
      <c r="C1014" s="3" t="str">
        <f>IF(B1014="","",IFERROR(INDEX(Client_List!$C:$C,MATCH(B1014,Client_List!$B:$B,0)),""))</f>
        <v>5</v>
      </c>
      <c r="D1014" s="4" t="str">
        <f>IF(B1014="","",IFERROR(INDEX(Client_List!$D:$D,MATCH(B1014,Client_List!$B:$B,0)),""))</f>
        <v>5E</v>
      </c>
      <c r="E1014" s="4" t="str">
        <f>IF(B1014="","",IFERROR(INDEX(Client_List!$K:$K,MATCH(B1014,Client_List!$B:$B,0)),""))</f>
        <v>FRYERS CHOICE BLEND</v>
      </c>
      <c r="F1014" s="5">
        <f>IF(B1014="","",IFERROR(INDEX(Client_List!$J:$J,MATCH(B1014,Client_List!$B:$B,0)),""))</f>
        <v>900</v>
      </c>
      <c r="G1014" s="5">
        <v>790</v>
      </c>
      <c r="H1014" s="4">
        <f>IF(B1014="","",IFERROR(A1014-LOOKUP(2,1/($B$4:$B1013=B1014),$A$4:$A1013),""))</f>
        <v>22</v>
      </c>
      <c r="I1014" s="72">
        <f t="shared" si="15"/>
        <v>35.909090909090907</v>
      </c>
      <c r="J1014" s="4"/>
      <c r="K1014" s="6">
        <f>IF(B1014="","",IFERROR(AVERAGEIFS($I$4:$I1014,$B$4:$B1014,B1014,$I$4:$I1014,"&gt;"&amp;0),""))</f>
        <v>37.251748251748246</v>
      </c>
      <c r="L1014" s="4" t="str">
        <f>IF(B1014="","",IF(ISNA(MATCH(B1014,Client_List!$B:$B,0)),"⚠ NOT FOUND","✓"))</f>
        <v>✓</v>
      </c>
    </row>
    <row r="1015" spans="1:12" ht="14" customHeight="1" x14ac:dyDescent="0.2">
      <c r="A1015" s="57">
        <v>46107</v>
      </c>
      <c r="B1015" s="7" t="s">
        <v>126</v>
      </c>
      <c r="C1015" s="3" t="str">
        <f>IF(B1015="","",IFERROR(INDEX(Client_List!$C:$C,MATCH(B1015,Client_List!$B:$B,0)),""))</f>
        <v>4</v>
      </c>
      <c r="D1015" s="9" t="str">
        <f>IF(B1015="","",IFERROR(INDEX(Client_List!$D:$D,MATCH(B1015,Client_List!$B:$B,0)),""))</f>
        <v>4D</v>
      </c>
      <c r="E1015" s="9" t="str">
        <f>IF(B1015="","",IFERROR(INDEX(Client_List!$K:$K,MATCH(B1015,Client_List!$B:$B,0)),""))</f>
        <v>CANOLA OIL</v>
      </c>
      <c r="F1015" s="10">
        <f>IF(B1015="","",IFERROR(INDEX(Client_List!$J:$J,MATCH(B1015,Client_List!$B:$B,0)),""))</f>
        <v>700</v>
      </c>
      <c r="G1015" s="10">
        <v>590</v>
      </c>
      <c r="H1015" s="9">
        <f>IF(B1015="","",IFERROR(A1015-LOOKUP(2,1/($B$4:$B1014=B1015),$A$4:$A1014),""))</f>
        <v>13</v>
      </c>
      <c r="I1015" s="73">
        <f t="shared" si="15"/>
        <v>45.384615384615387</v>
      </c>
      <c r="J1015" s="9"/>
      <c r="K1015" s="6">
        <f>IF(B1015="","",IFERROR(AVERAGEIFS($I$4:$I1015,$B$4:$B1015,B1015,$I$4:$I1015,"&gt;"&amp;0),""))</f>
        <v>68.995009157509159</v>
      </c>
      <c r="L1015" s="9" t="str">
        <f>IF(B1015="","",IF(ISNA(MATCH(B1015,Client_List!$B:$B,0)),"⚠ NOT FOUND","✓"))</f>
        <v>✓</v>
      </c>
    </row>
    <row r="1016" spans="1:12" ht="14" customHeight="1" x14ac:dyDescent="0.2">
      <c r="A1016" s="56">
        <v>46107</v>
      </c>
      <c r="B1016" s="2" t="s">
        <v>154</v>
      </c>
      <c r="C1016" s="3" t="str">
        <f>IF(B1016="","",IFERROR(INDEX(Client_List!$C:$C,MATCH(B1016,Client_List!$B:$B,0)),""))</f>
        <v>4</v>
      </c>
      <c r="D1016" s="4" t="str">
        <f>IF(B1016="","",IFERROR(INDEX(Client_List!$D:$D,MATCH(B1016,Client_List!$B:$B,0)),""))</f>
        <v>4B</v>
      </c>
      <c r="E1016" s="4" t="str">
        <f>IF(B1016="","",IFERROR(INDEX(Client_List!$K:$K,MATCH(B1016,Client_List!$B:$B,0)),""))</f>
        <v>CANOLA OIL</v>
      </c>
      <c r="F1016" s="5">
        <f>IF(B1016="","",IFERROR(INDEX(Client_List!$J:$J,MATCH(B1016,Client_List!$B:$B,0)),""))</f>
        <v>350</v>
      </c>
      <c r="G1016" s="5">
        <v>300</v>
      </c>
      <c r="H1016" s="4">
        <f>IF(B1016="","",IFERROR(A1016-LOOKUP(2,1/($B$4:$B1015=B1016),$A$4:$A1015),""))</f>
        <v>29</v>
      </c>
      <c r="I1016" s="72">
        <f t="shared" si="15"/>
        <v>10.344827586206897</v>
      </c>
      <c r="J1016" s="4"/>
      <c r="K1016" s="6">
        <f>IF(B1016="","",IFERROR(AVERAGEIFS($I$4:$I1016,$B$4:$B1016,B1016,$I$4:$I1016,"&gt;"&amp;0),""))</f>
        <v>11.397413793103448</v>
      </c>
      <c r="L1016" s="4" t="str">
        <f>IF(B1016="","",IF(ISNA(MATCH(B1016,Client_List!$B:$B,0)),"⚠ NOT FOUND","✓"))</f>
        <v>✓</v>
      </c>
    </row>
    <row r="1017" spans="1:12" ht="14" customHeight="1" x14ac:dyDescent="0.2">
      <c r="A1017" s="57">
        <v>46107</v>
      </c>
      <c r="B1017" s="7" t="s">
        <v>156</v>
      </c>
      <c r="C1017" s="8" t="str">
        <f>IF(B1017="","",IFERROR(INDEX(Client_List!$C:$C,MATCH(B1017,Client_List!$B:$B,0)),""))</f>
        <v>4</v>
      </c>
      <c r="D1017" s="9" t="str">
        <f>IF(B1017="","",IFERROR(INDEX(Client_List!$D:$D,MATCH(B1017,Client_List!$B:$B,0)),""))</f>
        <v>4B</v>
      </c>
      <c r="E1017" s="9" t="str">
        <f>IF(B1017="","",IFERROR(INDEX(Client_List!$K:$K,MATCH(B1017,Client_List!$B:$B,0)),""))</f>
        <v>CANOLA OIL</v>
      </c>
      <c r="F1017" s="10">
        <f>IF(B1017="","",IFERROR(INDEX(Client_List!$J:$J,MATCH(B1017,Client_List!$B:$B,0)),""))</f>
        <v>1050</v>
      </c>
      <c r="G1017" s="10">
        <v>740</v>
      </c>
      <c r="H1017" s="9">
        <f>IF(B1017="","",IFERROR(A1017-LOOKUP(2,1/($B$4:$B1016=B1017),$A$4:$A1016),""))</f>
        <v>8</v>
      </c>
      <c r="I1017" s="73">
        <f t="shared" si="15"/>
        <v>92.5</v>
      </c>
      <c r="J1017" s="9"/>
      <c r="K1017" s="6">
        <f>IF(B1017="","",IFERROR(AVERAGEIFS($I$4:$I1017,$B$4:$B1017,B1017,$I$4:$I1017,"&gt;"&amp;0),""))</f>
        <v>74.514252414252411</v>
      </c>
      <c r="L1017" s="9" t="str">
        <f>IF(B1017="","",IF(ISNA(MATCH(B1017,Client_List!$B:$B,0)),"⚠ NOT FOUND","✓"))</f>
        <v>✓</v>
      </c>
    </row>
    <row r="1018" spans="1:12" ht="14" customHeight="1" x14ac:dyDescent="0.2">
      <c r="A1018" s="56">
        <v>46107</v>
      </c>
      <c r="B1018" s="2" t="s">
        <v>166</v>
      </c>
      <c r="C1018" s="3" t="str">
        <f>IF(B1018="","",IFERROR(INDEX(Client_List!$C:$C,MATCH(B1018,Client_List!$B:$B,0)),""))</f>
        <v>4</v>
      </c>
      <c r="D1018" s="4" t="str">
        <f>IF(B1018="","",IFERROR(INDEX(Client_List!$D:$D,MATCH(B1018,Client_List!$B:$B,0)),""))</f>
        <v>4B</v>
      </c>
      <c r="E1018" s="4" t="str">
        <f>IF(B1018="","",IFERROR(INDEX(Client_List!$K:$K,MATCH(B1018,Client_List!$B:$B,0)),""))</f>
        <v>CANOLA OIL</v>
      </c>
      <c r="F1018" s="5">
        <f>IF(B1018="","",IFERROR(INDEX(Client_List!$J:$J,MATCH(B1018,Client_List!$B:$B,0)),""))</f>
        <v>1050</v>
      </c>
      <c r="G1018" s="5">
        <v>1025</v>
      </c>
      <c r="H1018" s="4">
        <f>IF(B1018="","",IFERROR(A1018-LOOKUP(2,1/($B$4:$B1017=B1018),$A$4:$A1017),""))</f>
        <v>15</v>
      </c>
      <c r="I1018" s="72">
        <f t="shared" si="15"/>
        <v>68.333333333333329</v>
      </c>
      <c r="J1018" s="4"/>
      <c r="K1018" s="6">
        <f>IF(B1018="","",IFERROR(AVERAGEIFS($I$4:$I1018,$B$4:$B1018,B1018,$I$4:$I1018,"&gt;"&amp;0),""))</f>
        <v>72.88</v>
      </c>
      <c r="L1018" s="4" t="str">
        <f>IF(B1018="","",IF(ISNA(MATCH(B1018,Client_List!$B:$B,0)),"⚠ NOT FOUND","✓"))</f>
        <v>✓</v>
      </c>
    </row>
    <row r="1019" spans="1:12" ht="14" customHeight="1" x14ac:dyDescent="0.2">
      <c r="A1019" s="57">
        <v>46107</v>
      </c>
      <c r="B1019" s="7" t="s">
        <v>244</v>
      </c>
      <c r="C1019" s="8" t="str">
        <f>IF(B1019="","",IFERROR(INDEX(Client_List!$C:$C,MATCH(B1019,Client_List!$B:$B,0)),""))</f>
        <v>4</v>
      </c>
      <c r="D1019" s="9" t="str">
        <f>IF(B1019="","",IFERROR(INDEX(Client_List!$D:$D,MATCH(B1019,Client_List!$B:$B,0)),""))</f>
        <v>4E</v>
      </c>
      <c r="E1019" s="9" t="str">
        <f>IF(B1019="","",IFERROR(INDEX(Client_List!$K:$K,MATCH(B1019,Client_List!$B:$B,0)),""))</f>
        <v>FRYERS CHOICE BLEND</v>
      </c>
      <c r="F1019" s="10">
        <f>IF(B1019="","",IFERROR(INDEX(Client_List!$J:$J,MATCH(B1019,Client_List!$B:$B,0)),""))</f>
        <v>950</v>
      </c>
      <c r="G1019" s="10">
        <v>378</v>
      </c>
      <c r="H1019" s="9">
        <f>IF(B1019="","",IFERROR(A1019-LOOKUP(2,1/($B$4:$B1018=B1019),$A$4:$A1018),""))</f>
        <v>9</v>
      </c>
      <c r="I1019" s="73">
        <f t="shared" si="15"/>
        <v>42</v>
      </c>
      <c r="J1019" s="9"/>
      <c r="K1019" s="6">
        <f>IF(B1019="","",IFERROR(AVERAGEIFS($I$4:$I1019,$B$4:$B1019,B1019,$I$4:$I1019,"&gt;"&amp;0),""))</f>
        <v>50.333943833943827</v>
      </c>
      <c r="L1019" s="9" t="str">
        <f>IF(B1019="","",IF(ISNA(MATCH(B1019,Client_List!$B:$B,0)),"⚠ NOT FOUND","✓"))</f>
        <v>✓</v>
      </c>
    </row>
    <row r="1020" spans="1:12" ht="14" customHeight="1" x14ac:dyDescent="0.2">
      <c r="A1020" s="56">
        <v>46107</v>
      </c>
      <c r="B1020" s="2" t="s">
        <v>274</v>
      </c>
      <c r="C1020" s="3" t="str">
        <f>IF(B1020="","",IFERROR(INDEX(Client_List!$C:$C,MATCH(B1020,Client_List!$B:$B,0)),""))</f>
        <v>3</v>
      </c>
      <c r="D1020" s="4" t="str">
        <f>IF(B1020="","",IFERROR(INDEX(Client_List!$D:$D,MATCH(B1020,Client_List!$B:$B,0)),""))</f>
        <v>3C</v>
      </c>
      <c r="E1020" s="4" t="str">
        <f>IF(B1020="","",IFERROR(INDEX(Client_List!$K:$K,MATCH(B1020,Client_List!$B:$B,0)),""))</f>
        <v>FRYERS CHOICE BLEND</v>
      </c>
      <c r="F1020" s="5">
        <f>IF(B1020="","",IFERROR(INDEX(Client_List!$J:$J,MATCH(B1020,Client_List!$B:$B,0)),""))</f>
        <v>450</v>
      </c>
      <c r="G1020" s="5">
        <v>299</v>
      </c>
      <c r="H1020" s="4">
        <f>IF(B1020="","",IFERROR(A1020-LOOKUP(2,1/($B$4:$B1019=B1020),$A$4:$A1019),""))</f>
        <v>7</v>
      </c>
      <c r="I1020" s="72">
        <f t="shared" si="15"/>
        <v>42.714285714285715</v>
      </c>
      <c r="J1020" s="4"/>
      <c r="K1020" s="6">
        <f>IF(B1020="","",IFERROR(AVERAGEIFS($I$4:$I1020,$B$4:$B1020,B1020,$I$4:$I1020,"&gt;"&amp;0),""))</f>
        <v>43.127857142857145</v>
      </c>
      <c r="L1020" s="4" t="str">
        <f>IF(B1020="","",IF(ISNA(MATCH(B1020,Client_List!$B:$B,0)),"⚠ NOT FOUND","✓"))</f>
        <v>✓</v>
      </c>
    </row>
    <row r="1021" spans="1:12" ht="14" customHeight="1" x14ac:dyDescent="0.2">
      <c r="A1021" s="57">
        <v>46107</v>
      </c>
      <c r="B1021" s="7" t="s">
        <v>276</v>
      </c>
      <c r="C1021" s="12" t="str">
        <f>IF(B1021="","",IFERROR(INDEX(Client_List!$C:$C,MATCH(B1021,Client_List!$B:$B,0)),""))</f>
        <v>3</v>
      </c>
      <c r="D1021" s="9" t="str">
        <f>IF(B1021="","",IFERROR(INDEX(Client_List!$D:$D,MATCH(B1021,Client_List!$B:$B,0)),""))</f>
        <v>3D</v>
      </c>
      <c r="E1021" s="9" t="str">
        <f>IF(B1021="","",IFERROR(INDEX(Client_List!$K:$K,MATCH(B1021,Client_List!$B:$B,0)),""))</f>
        <v>FRYERS CHOICE BLEND</v>
      </c>
      <c r="F1021" s="10">
        <f>IF(B1021="","",IFERROR(INDEX(Client_List!$J:$J,MATCH(B1021,Client_List!$B:$B,0)),""))</f>
        <v>950</v>
      </c>
      <c r="G1021" s="10">
        <v>602</v>
      </c>
      <c r="H1021" s="9">
        <f>IF(B1021="","",IFERROR(A1021-LOOKUP(2,1/($B$4:$B1020=B1021),$A$4:$A1020),""))</f>
        <v>7</v>
      </c>
      <c r="I1021" s="73">
        <f t="shared" si="15"/>
        <v>86</v>
      </c>
      <c r="J1021" s="9"/>
      <c r="K1021" s="6">
        <f>IF(B1021="","",IFERROR(AVERAGEIFS($I$4:$I1021,$B$4:$B1021,B1021,$I$4:$I1021,"&gt;"&amp;0),""))</f>
        <v>86.611825396825395</v>
      </c>
      <c r="L1021" s="9" t="str">
        <f>IF(B1021="","",IF(ISNA(MATCH(B1021,Client_List!$B:$B,0)),"⚠ NOT FOUND","✓"))</f>
        <v>✓</v>
      </c>
    </row>
    <row r="1022" spans="1:12" ht="14" customHeight="1" x14ac:dyDescent="0.2">
      <c r="A1022" s="56">
        <v>46107</v>
      </c>
      <c r="B1022" s="2" t="s">
        <v>282</v>
      </c>
      <c r="C1022" s="12" t="str">
        <f>IF(B1022="","",IFERROR(INDEX(Client_List!$C:$C,MATCH(B1022,Client_List!$B:$B,0)),""))</f>
        <v>1</v>
      </c>
      <c r="D1022" s="4" t="str">
        <f>IF(B1022="","",IFERROR(INDEX(Client_List!$D:$D,MATCH(B1022,Client_List!$B:$B,0)),""))</f>
        <v>1E</v>
      </c>
      <c r="E1022" s="4" t="str">
        <f>IF(B1022="","",IFERROR(INDEX(Client_List!$K:$K,MATCH(B1022,Client_List!$B:$B,0)),""))</f>
        <v>FRYERS CHOICE BLEND</v>
      </c>
      <c r="F1022" s="5">
        <f>IF(B1022="","",IFERROR(INDEX(Client_List!$J:$J,MATCH(B1022,Client_List!$B:$B,0)),""))</f>
        <v>1100</v>
      </c>
      <c r="G1022" s="5">
        <v>877</v>
      </c>
      <c r="H1022" s="4">
        <f>IF(B1022="","",IFERROR(A1022-LOOKUP(2,1/($B$4:$B1021=B1022),$A$4:$A1021),""))</f>
        <v>16</v>
      </c>
      <c r="I1022" s="72">
        <f t="shared" si="15"/>
        <v>54.8125</v>
      </c>
      <c r="J1022" s="4"/>
      <c r="K1022" s="6">
        <f>IF(B1022="","",IFERROR(AVERAGEIFS($I$4:$I1022,$B$4:$B1022,B1022,$I$4:$I1022,"&gt;"&amp;0),""))</f>
        <v>57.569696969696977</v>
      </c>
      <c r="L1022" s="4" t="str">
        <f>IF(B1022="","",IF(ISNA(MATCH(B1022,Client_List!$B:$B,0)),"⚠ NOT FOUND","✓"))</f>
        <v>✓</v>
      </c>
    </row>
    <row r="1023" spans="1:12" ht="14" customHeight="1" x14ac:dyDescent="0.2">
      <c r="A1023" s="57">
        <v>46107</v>
      </c>
      <c r="B1023" s="7" t="s">
        <v>306</v>
      </c>
      <c r="C1023" s="12" t="str">
        <f>IF(B1023="","",IFERROR(INDEX(Client_List!$C:$C,MATCH(B1023,Client_List!$B:$B,0)),""))</f>
        <v>4</v>
      </c>
      <c r="D1023" s="9" t="str">
        <f>IF(B1023="","",IFERROR(INDEX(Client_List!$D:$D,MATCH(B1023,Client_List!$B:$B,0)),""))</f>
        <v>4C</v>
      </c>
      <c r="E1023" s="9" t="str">
        <f>IF(B1023="","",IFERROR(INDEX(Client_List!$K:$K,MATCH(B1023,Client_List!$B:$B,0)),""))</f>
        <v>FRYERS CHOICE BLEND</v>
      </c>
      <c r="F1023" s="10">
        <f>IF(B1023="","",IFERROR(INDEX(Client_List!$J:$J,MATCH(B1023,Client_List!$B:$B,0)),""))</f>
        <v>1050</v>
      </c>
      <c r="G1023" s="10">
        <v>726</v>
      </c>
      <c r="H1023" s="9">
        <f>IF(B1023="","",IFERROR(A1023-LOOKUP(2,1/($B$4:$B1022=B1023),$A$4:$A1022),""))</f>
        <v>9</v>
      </c>
      <c r="I1023" s="73">
        <f t="shared" si="15"/>
        <v>80.666666666666671</v>
      </c>
      <c r="J1023" s="9"/>
      <c r="K1023" s="6">
        <f>IF(B1023="","",IFERROR(AVERAGEIFS($I$4:$I1023,$B$4:$B1023,B1023,$I$4:$I1023,"&gt;"&amp;0),""))</f>
        <v>102.48115530303031</v>
      </c>
      <c r="L1023" s="9" t="str">
        <f>IF(B1023="","",IF(ISNA(MATCH(B1023,Client_List!$B:$B,0)),"⚠ NOT FOUND","✓"))</f>
        <v>✓</v>
      </c>
    </row>
    <row r="1024" spans="1:12" ht="14" customHeight="1" x14ac:dyDescent="0.2">
      <c r="A1024" s="56">
        <v>46107</v>
      </c>
      <c r="B1024" s="2" t="s">
        <v>316</v>
      </c>
      <c r="C1024" s="8" t="str">
        <f>IF(B1024="","",IFERROR(INDEX(Client_List!$C:$C,MATCH(B1024,Client_List!$B:$B,0)),""))</f>
        <v>1</v>
      </c>
      <c r="D1024" s="4" t="str">
        <f>IF(B1024="","",IFERROR(INDEX(Client_List!$D:$D,MATCH(B1024,Client_List!$B:$B,0)),""))</f>
        <v>1E</v>
      </c>
      <c r="E1024" s="4" t="str">
        <f>IF(B1024="","",IFERROR(INDEX(Client_List!$K:$K,MATCH(B1024,Client_List!$B:$B,0)),""))</f>
        <v>CANOLA OIL</v>
      </c>
      <c r="F1024" s="5">
        <f>IF(B1024="","",IFERROR(INDEX(Client_List!$J:$J,MATCH(B1024,Client_List!$B:$B,0)),""))</f>
        <v>1050</v>
      </c>
      <c r="G1024" s="5">
        <v>915</v>
      </c>
      <c r="H1024" s="4">
        <f>IF(B1024="","",IFERROR(A1024-LOOKUP(2,1/($B$4:$B1023=B1024),$A$4:$A1023),""))</f>
        <v>12</v>
      </c>
      <c r="I1024" s="72">
        <f t="shared" si="15"/>
        <v>76.25</v>
      </c>
      <c r="J1024" s="4" t="s">
        <v>375</v>
      </c>
      <c r="K1024" s="6">
        <f>IF(B1024="","",IFERROR(AVERAGEIFS($I$4:$I1024,$B$4:$B1024,B1024,$I$4:$I1024,"&gt;"&amp;0),""))</f>
        <v>65.172853535353539</v>
      </c>
      <c r="L1024" s="4" t="str">
        <f>IF(B1024="","",IF(ISNA(MATCH(B1024,Client_List!$B:$B,0)),"⚠ NOT FOUND","✓"))</f>
        <v>✓</v>
      </c>
    </row>
    <row r="1025" spans="1:12" ht="14" customHeight="1" x14ac:dyDescent="0.2">
      <c r="A1025" s="57">
        <v>46107</v>
      </c>
      <c r="B1025" s="7" t="s">
        <v>344</v>
      </c>
      <c r="C1025" s="3" t="str">
        <f>IF(B1025="","",IFERROR(INDEX(Client_List!$C:$C,MATCH(B1025,Client_List!$B:$B,0)),""))</f>
        <v>2</v>
      </c>
      <c r="D1025" s="9" t="str">
        <f>IF(B1025="","",IFERROR(INDEX(Client_List!$D:$D,MATCH(B1025,Client_List!$B:$B,0)),""))</f>
        <v>2C</v>
      </c>
      <c r="E1025" s="9" t="str">
        <f>IF(B1025="","",IFERROR(INDEX(Client_List!$K:$K,MATCH(B1025,Client_List!$B:$B,0)),""))</f>
        <v>FRYERS CHOICE BLEND</v>
      </c>
      <c r="F1025" s="10">
        <f>IF(B1025="","",IFERROR(INDEX(Client_List!$J:$J,MATCH(B1025,Client_List!$B:$B,0)),""))</f>
        <v>1200</v>
      </c>
      <c r="G1025" s="10">
        <v>422</v>
      </c>
      <c r="H1025" s="9">
        <f>IF(B1025="","",IFERROR(A1025-LOOKUP(2,1/($B$4:$B1024=B1025),$A$4:$A1024),""))</f>
        <v>7</v>
      </c>
      <c r="I1025" s="73">
        <f t="shared" si="15"/>
        <v>60.285714285714285</v>
      </c>
      <c r="J1025" s="9"/>
      <c r="K1025" s="6">
        <f>IF(B1025="","",IFERROR(AVERAGEIFS($I$4:$I1025,$B$4:$B1025,B1025,$I$4:$I1025,"&gt;"&amp;0),""))</f>
        <v>56.321245421245422</v>
      </c>
      <c r="L1025" s="9" t="str">
        <f>IF(B1025="","",IF(ISNA(MATCH(B1025,Client_List!$B:$B,0)),"⚠ NOT FOUND","✓"))</f>
        <v>✓</v>
      </c>
    </row>
    <row r="1026" spans="1:12" ht="14" customHeight="1" x14ac:dyDescent="0.2">
      <c r="A1026" s="56">
        <v>46108</v>
      </c>
      <c r="B1026" s="2" t="s">
        <v>59</v>
      </c>
      <c r="C1026" s="13" t="str">
        <f>IF(B1026="","",IFERROR(INDEX(Client_List!$C:$C,MATCH(B1026,Client_List!$B:$B,0)),""))</f>
        <v>1</v>
      </c>
      <c r="D1026" s="4" t="str">
        <f>IF(B1026="","",IFERROR(INDEX(Client_List!$D:$D,MATCH(B1026,Client_List!$B:$B,0)),""))</f>
        <v>1D</v>
      </c>
      <c r="E1026" s="4" t="str">
        <f>IF(B1026="","",IFERROR(INDEX(Client_List!$K:$K,MATCH(B1026,Client_List!$B:$B,0)),""))</f>
        <v>CANOLA OIL</v>
      </c>
      <c r="F1026" s="5">
        <f>IF(B1026="","",IFERROR(INDEX(Client_List!$J:$J,MATCH(B1026,Client_List!$B:$B,0)),""))</f>
        <v>900</v>
      </c>
      <c r="G1026" s="5">
        <v>994</v>
      </c>
      <c r="H1026" s="4">
        <f>IF(B1026="","",IFERROR(A1026-LOOKUP(2,1/($B$4:$B1025=B1026),$A$4:$A1025),""))</f>
        <v>10</v>
      </c>
      <c r="I1026" s="72">
        <f t="shared" si="15"/>
        <v>99.4</v>
      </c>
      <c r="J1026" s="4"/>
      <c r="K1026" s="6">
        <f>IF(B1026="","",IFERROR(AVERAGEIFS($I$4:$I1026,$B$4:$B1026,B1026,$I$4:$I1026,"&gt;"&amp;0),""))</f>
        <v>78.114299242424238</v>
      </c>
      <c r="L1026" s="4" t="str">
        <f>IF(B1026="","",IF(ISNA(MATCH(B1026,Client_List!$B:$B,0)),"⚠ NOT FOUND","✓"))</f>
        <v>✓</v>
      </c>
    </row>
    <row r="1027" spans="1:12" ht="14" customHeight="1" x14ac:dyDescent="0.2">
      <c r="A1027" s="57">
        <v>46108</v>
      </c>
      <c r="B1027" s="7" t="s">
        <v>83</v>
      </c>
      <c r="C1027" s="8" t="str">
        <f>IF(B1027="","",IFERROR(INDEX(Client_List!$C:$C,MATCH(B1027,Client_List!$B:$B,0)),""))</f>
        <v>4</v>
      </c>
      <c r="D1027" s="9" t="str">
        <f>IF(B1027="","",IFERROR(INDEX(Client_List!$D:$D,MATCH(B1027,Client_List!$B:$B,0)),""))</f>
        <v>4D</v>
      </c>
      <c r="E1027" s="9" t="str">
        <f>IF(B1027="","",IFERROR(INDEX(Client_List!$K:$K,MATCH(B1027,Client_List!$B:$B,0)),""))</f>
        <v>FRYERS CHOICE BLEND</v>
      </c>
      <c r="F1027" s="10">
        <f>IF(B1027="","",IFERROR(INDEX(Client_List!$J:$J,MATCH(B1027,Client_List!$B:$B,0)),""))</f>
        <v>350</v>
      </c>
      <c r="G1027" s="10">
        <v>294</v>
      </c>
      <c r="H1027" s="9">
        <f>IF(B1027="","",IFERROR(A1027-LOOKUP(2,1/($B$4:$B1026=B1027),$A$4:$A1026),""))</f>
        <v>7</v>
      </c>
      <c r="I1027" s="73">
        <f t="shared" si="15"/>
        <v>42</v>
      </c>
      <c r="J1027" s="9"/>
      <c r="K1027" s="6">
        <f>IF(B1027="","",IFERROR(AVERAGEIFS($I$4:$I1027,$B$4:$B1027,B1027,$I$4:$I1027,"&gt;"&amp;0),""))</f>
        <v>37.266269841269839</v>
      </c>
      <c r="L1027" s="9" t="str">
        <f>IF(B1027="","",IF(ISNA(MATCH(B1027,Client_List!$B:$B,0)),"⚠ NOT FOUND","✓"))</f>
        <v>✓</v>
      </c>
    </row>
    <row r="1028" spans="1:12" ht="14" customHeight="1" x14ac:dyDescent="0.2">
      <c r="A1028" s="56">
        <v>46108</v>
      </c>
      <c r="B1028" s="2" t="s">
        <v>112</v>
      </c>
      <c r="C1028" s="13" t="str">
        <f>IF(B1028="","",IFERROR(INDEX(Client_List!$C:$C,MATCH(B1028,Client_List!$B:$B,0)),""))</f>
        <v>2</v>
      </c>
      <c r="D1028" s="4" t="str">
        <f>IF(B1028="","",IFERROR(INDEX(Client_List!$D:$D,MATCH(B1028,Client_List!$B:$B,0)),""))</f>
        <v>2A</v>
      </c>
      <c r="E1028" s="4" t="str">
        <f>IF(B1028="","",IFERROR(INDEX(Client_List!$K:$K,MATCH(B1028,Client_List!$B:$B,0)),""))</f>
        <v>FRYERS CHOICE BLEND</v>
      </c>
      <c r="F1028" s="5">
        <f>IF(B1028="","",IFERROR(INDEX(Client_List!$J:$J,MATCH(B1028,Client_List!$B:$B,0)),""))</f>
        <v>450</v>
      </c>
      <c r="G1028" s="5">
        <v>539</v>
      </c>
      <c r="H1028" s="4">
        <f>IF(B1028="","",IFERROR(A1028-LOOKUP(2,1/($B$4:$B1027=B1028),$A$4:$A1027),""))</f>
        <v>14</v>
      </c>
      <c r="I1028" s="72">
        <f t="shared" ref="I1028:I1091" si="16">IF(B1028="","",IFERROR(G1028/H1028,""))</f>
        <v>38.5</v>
      </c>
      <c r="J1028" s="4">
        <v>10743</v>
      </c>
      <c r="K1028" s="6">
        <f>IF(B1028="","",IFERROR(AVERAGEIFS($I$4:$I1028,$B$4:$B1028,B1028,$I$4:$I1028,"&gt;"&amp;0),""))</f>
        <v>35.753846153846155</v>
      </c>
      <c r="L1028" s="4" t="str">
        <f>IF(B1028="","",IF(ISNA(MATCH(B1028,Client_List!$B:$B,0)),"⚠ NOT FOUND","✓"))</f>
        <v>✓</v>
      </c>
    </row>
    <row r="1029" spans="1:12" ht="14" customHeight="1" x14ac:dyDescent="0.2">
      <c r="A1029" s="57">
        <v>46108</v>
      </c>
      <c r="B1029" s="7" t="s">
        <v>114</v>
      </c>
      <c r="C1029" s="8" t="str">
        <f>IF(B1029="","",IFERROR(INDEX(Client_List!$C:$C,MATCH(B1029,Client_List!$B:$B,0)),""))</f>
        <v>2</v>
      </c>
      <c r="D1029" s="9" t="str">
        <f>IF(B1029="","",IFERROR(INDEX(Client_List!$D:$D,MATCH(B1029,Client_List!$B:$B,0)),""))</f>
        <v>2A</v>
      </c>
      <c r="E1029" s="9" t="str">
        <f>IF(B1029="","",IFERROR(INDEX(Client_List!$K:$K,MATCH(B1029,Client_List!$B:$B,0)),""))</f>
        <v>FRYERS CHOICE BLEND</v>
      </c>
      <c r="F1029" s="10">
        <f>IF(B1029="","",IFERROR(INDEX(Client_List!$J:$J,MATCH(B1029,Client_List!$B:$B,0)),""))</f>
        <v>500</v>
      </c>
      <c r="G1029" s="10">
        <v>494</v>
      </c>
      <c r="H1029" s="9">
        <f>IF(B1029="","",IFERROR(A1029-LOOKUP(2,1/($B$4:$B1028=B1029),$A$4:$A1028),""))</f>
        <v>15</v>
      </c>
      <c r="I1029" s="73">
        <f t="shared" si="16"/>
        <v>32.93333333333333</v>
      </c>
      <c r="J1029" s="9"/>
      <c r="K1029" s="6">
        <f>IF(B1029="","",IFERROR(AVERAGEIFS($I$4:$I1029,$B$4:$B1029,B1029,$I$4:$I1029,"&gt;"&amp;0),""))</f>
        <v>33.947680097680099</v>
      </c>
      <c r="L1029" s="9" t="str">
        <f>IF(B1029="","",IF(ISNA(MATCH(B1029,Client_List!$B:$B,0)),"⚠ NOT FOUND","✓"))</f>
        <v>✓</v>
      </c>
    </row>
    <row r="1030" spans="1:12" ht="14" customHeight="1" x14ac:dyDescent="0.2">
      <c r="A1030" s="56">
        <v>46108</v>
      </c>
      <c r="B1030" s="2" t="s">
        <v>118</v>
      </c>
      <c r="C1030" s="13" t="str">
        <f>IF(B1030="","",IFERROR(INDEX(Client_List!$C:$C,MATCH(B1030,Client_List!$B:$B,0)),""))</f>
        <v>4</v>
      </c>
      <c r="D1030" s="4" t="str">
        <f>IF(B1030="","",IFERROR(INDEX(Client_List!$D:$D,MATCH(B1030,Client_List!$B:$B,0)),""))</f>
        <v>4E</v>
      </c>
      <c r="E1030" s="4" t="str">
        <f>IF(B1030="","",IFERROR(INDEX(Client_List!$K:$K,MATCH(B1030,Client_List!$B:$B,0)),""))</f>
        <v>CANOLA OIL</v>
      </c>
      <c r="F1030" s="5">
        <f>IF(B1030="","",IFERROR(INDEX(Client_List!$J:$J,MATCH(B1030,Client_List!$B:$B,0)),""))</f>
        <v>2500</v>
      </c>
      <c r="G1030" s="5">
        <v>2077</v>
      </c>
      <c r="H1030" s="4">
        <f>IF(B1030="","",IFERROR(A1030-LOOKUP(2,1/($B$4:$B1029=B1030),$A$4:$A1029),""))</f>
        <v>9</v>
      </c>
      <c r="I1030" s="72">
        <f t="shared" si="16"/>
        <v>230.77777777777777</v>
      </c>
      <c r="J1030" s="4"/>
      <c r="K1030" s="6">
        <f>IF(B1030="","",IFERROR(AVERAGEIFS($I$4:$I1030,$B$4:$B1030,B1030,$I$4:$I1030,"&gt;"&amp;0),""))</f>
        <v>233.53756952923621</v>
      </c>
      <c r="L1030" s="4" t="str">
        <f>IF(B1030="","",IF(ISNA(MATCH(B1030,Client_List!$B:$B,0)),"⚠ NOT FOUND","✓"))</f>
        <v>✓</v>
      </c>
    </row>
    <row r="1031" spans="1:12" ht="14" customHeight="1" x14ac:dyDescent="0.2">
      <c r="A1031" s="57">
        <v>46108</v>
      </c>
      <c r="B1031" s="7" t="s">
        <v>130</v>
      </c>
      <c r="C1031" s="8" t="str">
        <f>IF(B1031="","",IFERROR(INDEX(Client_List!$C:$C,MATCH(B1031,Client_List!$B:$B,0)),""))</f>
        <v>4</v>
      </c>
      <c r="D1031" s="9" t="str">
        <f>IF(B1031="","",IFERROR(INDEX(Client_List!$D:$D,MATCH(B1031,Client_List!$B:$B,0)),""))</f>
        <v>4E</v>
      </c>
      <c r="E1031" s="9" t="str">
        <f>IF(B1031="","",IFERROR(INDEX(Client_List!$K:$K,MATCH(B1031,Client_List!$B:$B,0)),""))</f>
        <v>FRYERS CHOICE BLEND</v>
      </c>
      <c r="F1031" s="10">
        <f>IF(B1031="","",IFERROR(INDEX(Client_List!$J:$J,MATCH(B1031,Client_List!$B:$B,0)),""))</f>
        <v>2500</v>
      </c>
      <c r="G1031" s="10">
        <v>1888</v>
      </c>
      <c r="H1031" s="9">
        <f>IF(B1031="","",IFERROR(A1031-LOOKUP(2,1/($B$4:$B1030=B1031),$A$4:$A1030),""))</f>
        <v>14</v>
      </c>
      <c r="I1031" s="73">
        <f t="shared" si="16"/>
        <v>134.85714285714286</v>
      </c>
      <c r="J1031" s="9"/>
      <c r="K1031" s="6">
        <f>IF(B1031="","",IFERROR(AVERAGEIFS($I$4:$I1031,$B$4:$B1031,B1031,$I$4:$I1031,"&gt;"&amp;0),""))</f>
        <v>114.44905844155844</v>
      </c>
      <c r="L1031" s="9" t="str">
        <f>IF(B1031="","",IF(ISNA(MATCH(B1031,Client_List!$B:$B,0)),"⚠ NOT FOUND","✓"))</f>
        <v>✓</v>
      </c>
    </row>
    <row r="1032" spans="1:12" ht="14" customHeight="1" x14ac:dyDescent="0.2">
      <c r="A1032" s="56">
        <v>46108</v>
      </c>
      <c r="B1032" s="2" t="s">
        <v>138</v>
      </c>
      <c r="C1032" s="3" t="str">
        <f>IF(B1032="","",IFERROR(INDEX(Client_List!$C:$C,MATCH(B1032,Client_List!$B:$B,0)),""))</f>
        <v>4</v>
      </c>
      <c r="D1032" s="4" t="str">
        <f>IF(B1032="","",IFERROR(INDEX(Client_List!$D:$D,MATCH(B1032,Client_List!$B:$B,0)),""))</f>
        <v>4E</v>
      </c>
      <c r="E1032" s="4" t="str">
        <f>IF(B1032="","",IFERROR(INDEX(Client_List!$K:$K,MATCH(B1032,Client_List!$B:$B,0)),""))</f>
        <v>CANOLA OIL</v>
      </c>
      <c r="F1032" s="5">
        <f>IF(B1032="","",IFERROR(INDEX(Client_List!$J:$J,MATCH(B1032,Client_List!$B:$B,0)),""))</f>
        <v>350</v>
      </c>
      <c r="G1032" s="5">
        <v>317</v>
      </c>
      <c r="H1032" s="4">
        <f>IF(B1032="","",IFERROR(A1032-LOOKUP(2,1/($B$4:$B1031=B1032),$A$4:$A1031),""))</f>
        <v>7</v>
      </c>
      <c r="I1032" s="72">
        <f t="shared" si="16"/>
        <v>45.285714285714285</v>
      </c>
      <c r="J1032" s="4"/>
      <c r="K1032" s="6">
        <f>IF(B1032="","",IFERROR(AVERAGEIFS($I$4:$I1032,$B$4:$B1032,B1032,$I$4:$I1032,"&gt;"&amp;0),""))</f>
        <v>37.271164021164019</v>
      </c>
      <c r="L1032" s="4" t="str">
        <f>IF(B1032="","",IF(ISNA(MATCH(B1032,Client_List!$B:$B,0)),"⚠ NOT FOUND","✓"))</f>
        <v>✓</v>
      </c>
    </row>
    <row r="1033" spans="1:12" ht="14" customHeight="1" x14ac:dyDescent="0.2">
      <c r="A1033" s="57">
        <v>46108</v>
      </c>
      <c r="B1033" s="7" t="s">
        <v>198</v>
      </c>
      <c r="C1033" s="12" t="str">
        <f>IF(B1033="","",IFERROR(INDEX(Client_List!$C:$C,MATCH(B1033,Client_List!$B:$B,0)),""))</f>
        <v>1</v>
      </c>
      <c r="D1033" s="9" t="str">
        <f>IF(B1033="","",IFERROR(INDEX(Client_List!$D:$D,MATCH(B1033,Client_List!$B:$B,0)),""))</f>
        <v>1E</v>
      </c>
      <c r="E1033" s="9" t="str">
        <f>IF(B1033="","",IFERROR(INDEX(Client_List!$K:$K,MATCH(B1033,Client_List!$B:$B,0)),""))</f>
        <v>CANOLA OIL</v>
      </c>
      <c r="F1033" s="10">
        <f>IF(B1033="","",IFERROR(INDEX(Client_List!$J:$J,MATCH(B1033,Client_List!$B:$B,0)),""))</f>
        <v>1050</v>
      </c>
      <c r="G1033" s="10">
        <v>780</v>
      </c>
      <c r="H1033" s="9">
        <f>IF(B1033="","",IFERROR(A1033-LOOKUP(2,1/($B$4:$B1032=B1033),$A$4:$A1032),""))</f>
        <v>3</v>
      </c>
      <c r="I1033" s="73">
        <f t="shared" si="16"/>
        <v>260</v>
      </c>
      <c r="J1033" s="9"/>
      <c r="K1033" s="6">
        <f>IF(B1033="","",IFERROR(AVERAGEIFS($I$4:$I1033,$B$4:$B1033,B1033,$I$4:$I1033,"&gt;"&amp;0),""))</f>
        <v>107.05735930735931</v>
      </c>
      <c r="L1033" s="9" t="str">
        <f>IF(B1033="","",IF(ISNA(MATCH(B1033,Client_List!$B:$B,0)),"⚠ NOT FOUND","✓"))</f>
        <v>✓</v>
      </c>
    </row>
    <row r="1034" spans="1:12" ht="14" customHeight="1" x14ac:dyDescent="0.2">
      <c r="A1034" s="56">
        <v>46108</v>
      </c>
      <c r="B1034" s="2" t="s">
        <v>204</v>
      </c>
      <c r="C1034" s="8" t="str">
        <f>IF(B1034="","",IFERROR(INDEX(Client_List!$C:$C,MATCH(B1034,Client_List!$B:$B,0)),""))</f>
        <v>5</v>
      </c>
      <c r="D1034" s="4" t="str">
        <f>IF(B1034="","",IFERROR(INDEX(Client_List!$D:$D,MATCH(B1034,Client_List!$B:$B,0)),""))</f>
        <v>5E</v>
      </c>
      <c r="E1034" s="4" t="str">
        <f>IF(B1034="","",IFERROR(INDEX(Client_List!$K:$K,MATCH(B1034,Client_List!$B:$B,0)),""))</f>
        <v>CANOLA OIL</v>
      </c>
      <c r="F1034" s="5">
        <f>IF(B1034="","",IFERROR(INDEX(Client_List!$J:$J,MATCH(B1034,Client_List!$B:$B,0)),""))</f>
        <v>1800</v>
      </c>
      <c r="G1034" s="5">
        <v>1017</v>
      </c>
      <c r="H1034" s="4">
        <f>IF(B1034="","",IFERROR(A1034-LOOKUP(2,1/($B$4:$B1033=B1034),$A$4:$A1033),""))</f>
        <v>6</v>
      </c>
      <c r="I1034" s="72">
        <f t="shared" si="16"/>
        <v>169.5</v>
      </c>
      <c r="J1034" s="4"/>
      <c r="K1034" s="6">
        <f>IF(B1034="","",IFERROR(AVERAGEIFS($I$4:$I1034,$B$4:$B1034,B1034,$I$4:$I1034,"&gt;"&amp;0),""))</f>
        <v>160.47182539682541</v>
      </c>
      <c r="L1034" s="4" t="str">
        <f>IF(B1034="","",IF(ISNA(MATCH(B1034,Client_List!$B:$B,0)),"⚠ NOT FOUND","✓"))</f>
        <v>✓</v>
      </c>
    </row>
    <row r="1035" spans="1:12" ht="14" customHeight="1" x14ac:dyDescent="0.2">
      <c r="A1035" s="57">
        <v>46108</v>
      </c>
      <c r="B1035" s="7" t="s">
        <v>222</v>
      </c>
      <c r="C1035" s="11" t="str">
        <f>IF(B1035="","",IFERROR(INDEX(Client_List!$C:$C,MATCH(B1035,Client_List!$B:$B,0)),""))</f>
        <v>4</v>
      </c>
      <c r="D1035" s="9" t="str">
        <f>IF(B1035="","",IFERROR(INDEX(Client_List!$D:$D,MATCH(B1035,Client_List!$B:$B,0)),""))</f>
        <v>4E</v>
      </c>
      <c r="E1035" s="9" t="str">
        <f>IF(B1035="","",IFERROR(INDEX(Client_List!$K:$K,MATCH(B1035,Client_List!$B:$B,0)),""))</f>
        <v>CANOLA OIL</v>
      </c>
      <c r="F1035" s="10">
        <f>IF(B1035="","",IFERROR(INDEX(Client_List!$J:$J,MATCH(B1035,Client_List!$B:$B,0)),""))</f>
        <v>630</v>
      </c>
      <c r="G1035" s="10">
        <v>279</v>
      </c>
      <c r="H1035" s="9">
        <f>IF(B1035="","",IFERROR(A1035-LOOKUP(2,1/($B$4:$B1034=B1035),$A$4:$A1034),""))</f>
        <v>10</v>
      </c>
      <c r="I1035" s="73">
        <f t="shared" si="16"/>
        <v>27.9</v>
      </c>
      <c r="J1035" s="9"/>
      <c r="K1035" s="6">
        <f>IF(B1035="","",IFERROR(AVERAGEIFS($I$4:$I1035,$B$4:$B1035,B1035,$I$4:$I1035,"&gt;"&amp;0),""))</f>
        <v>32.760200501253138</v>
      </c>
      <c r="L1035" s="9" t="str">
        <f>IF(B1035="","",IF(ISNA(MATCH(B1035,Client_List!$B:$B,0)),"⚠ NOT FOUND","✓"))</f>
        <v>✓</v>
      </c>
    </row>
    <row r="1036" spans="1:12" ht="14" customHeight="1" x14ac:dyDescent="0.2">
      <c r="A1036" s="56">
        <v>46108</v>
      </c>
      <c r="B1036" s="2" t="s">
        <v>230</v>
      </c>
      <c r="C1036" s="11" t="str">
        <f>IF(B1036="","",IFERROR(INDEX(Client_List!$C:$C,MATCH(B1036,Client_List!$B:$B,0)),""))</f>
        <v>1</v>
      </c>
      <c r="D1036" s="4" t="str">
        <f>IF(B1036="","",IFERROR(INDEX(Client_List!$D:$D,MATCH(B1036,Client_List!$B:$B,0)),""))</f>
        <v>1D</v>
      </c>
      <c r="E1036" s="4" t="str">
        <f>IF(B1036="","",IFERROR(INDEX(Client_List!$K:$K,MATCH(B1036,Client_List!$B:$B,0)),""))</f>
        <v>CANOLA OIL</v>
      </c>
      <c r="F1036" s="5">
        <f>IF(B1036="","",IFERROR(INDEX(Client_List!$J:$J,MATCH(B1036,Client_List!$B:$B,0)),""))</f>
        <v>660</v>
      </c>
      <c r="G1036" s="5">
        <v>637</v>
      </c>
      <c r="H1036" s="4">
        <f>IF(B1036="","",IFERROR(A1036-LOOKUP(2,1/($B$4:$B1035=B1036),$A$4:$A1035),""))</f>
        <v>11</v>
      </c>
      <c r="I1036" s="72">
        <f t="shared" si="16"/>
        <v>57.909090909090907</v>
      </c>
      <c r="J1036" s="4"/>
      <c r="K1036" s="6">
        <f>IF(B1036="","",IFERROR(AVERAGEIFS($I$4:$I1036,$B$4:$B1036,B1036,$I$4:$I1036,"&gt;"&amp;0),""))</f>
        <v>49.234304584304574</v>
      </c>
      <c r="L1036" s="4" t="str">
        <f>IF(B1036="","",IF(ISNA(MATCH(B1036,Client_List!$B:$B,0)),"⚠ NOT FOUND","✓"))</f>
        <v>✓</v>
      </c>
    </row>
    <row r="1037" spans="1:12" ht="14" customHeight="1" x14ac:dyDescent="0.2">
      <c r="A1037" s="57">
        <v>46108</v>
      </c>
      <c r="B1037" s="7" t="s">
        <v>250</v>
      </c>
      <c r="C1037" s="8" t="str">
        <f>IF(B1037="","",IFERROR(INDEX(Client_List!$C:$C,MATCH(B1037,Client_List!$B:$B,0)),""))</f>
        <v>2</v>
      </c>
      <c r="D1037" s="9" t="str">
        <f>IF(B1037="","",IFERROR(INDEX(Client_List!$D:$D,MATCH(B1037,Client_List!$B:$B,0)),""))</f>
        <v>2D</v>
      </c>
      <c r="E1037" s="9" t="str">
        <f>IF(B1037="","",IFERROR(INDEX(Client_List!$K:$K,MATCH(B1037,Client_List!$B:$B,0)),""))</f>
        <v>FRYERS CHOICE BLEND</v>
      </c>
      <c r="F1037" s="10">
        <f>IF(B1037="","",IFERROR(INDEX(Client_List!$J:$J,MATCH(B1037,Client_List!$B:$B,0)),""))</f>
        <v>950</v>
      </c>
      <c r="G1037" s="10">
        <v>815</v>
      </c>
      <c r="H1037" s="9">
        <f>IF(B1037="","",IFERROR(A1037-LOOKUP(2,1/($B$4:$B1036=B1037),$A$4:$A1036),""))</f>
        <v>6</v>
      </c>
      <c r="I1037" s="73">
        <f t="shared" si="16"/>
        <v>135.83333333333334</v>
      </c>
      <c r="J1037" s="9"/>
      <c r="K1037" s="6">
        <f>IF(B1037="","",IFERROR(AVERAGEIFS($I$4:$I1037,$B$4:$B1037,B1037,$I$4:$I1037,"&gt;"&amp;0),""))</f>
        <v>121.9563492063492</v>
      </c>
      <c r="L1037" s="9" t="str">
        <f>IF(B1037="","",IF(ISNA(MATCH(B1037,Client_List!$B:$B,0)),"⚠ NOT FOUND","✓"))</f>
        <v>✓</v>
      </c>
    </row>
    <row r="1038" spans="1:12" ht="14" customHeight="1" x14ac:dyDescent="0.2">
      <c r="A1038" s="56">
        <v>46108</v>
      </c>
      <c r="B1038" s="2" t="s">
        <v>270</v>
      </c>
      <c r="C1038" s="12" t="str">
        <f>IF(B1038="","",IFERROR(INDEX(Client_List!$C:$C,MATCH(B1038,Client_List!$B:$B,0)),""))</f>
        <v>3</v>
      </c>
      <c r="D1038" s="4" t="str">
        <f>IF(B1038="","",IFERROR(INDEX(Client_List!$D:$D,MATCH(B1038,Client_List!$B:$B,0)),""))</f>
        <v>3D</v>
      </c>
      <c r="E1038" s="4" t="str">
        <f>IF(B1038="","",IFERROR(INDEX(Client_List!$K:$K,MATCH(B1038,Client_List!$B:$B,0)),""))</f>
        <v>FRYERS CHOICE BLEND</v>
      </c>
      <c r="F1038" s="5">
        <f>IF(B1038="","",IFERROR(INDEX(Client_List!$J:$J,MATCH(B1038,Client_List!$B:$B,0)),""))</f>
        <v>660</v>
      </c>
      <c r="G1038" s="5">
        <v>492</v>
      </c>
      <c r="H1038" s="4">
        <f>IF(B1038="","",IFERROR(A1038-LOOKUP(2,1/($B$4:$B1037=B1038),$A$4:$A1037),""))</f>
        <v>21</v>
      </c>
      <c r="I1038" s="72">
        <f t="shared" si="16"/>
        <v>23.428571428571427</v>
      </c>
      <c r="J1038" s="4"/>
      <c r="K1038" s="6">
        <f>IF(B1038="","",IFERROR(AVERAGEIFS($I$4:$I1038,$B$4:$B1038,B1038,$I$4:$I1038,"&gt;"&amp;0),""))</f>
        <v>23.421184301333046</v>
      </c>
      <c r="L1038" s="4" t="str">
        <f>IF(B1038="","",IF(ISNA(MATCH(B1038,Client_List!$B:$B,0)),"⚠ NOT FOUND","✓"))</f>
        <v>✓</v>
      </c>
    </row>
    <row r="1039" spans="1:12" ht="14" customHeight="1" x14ac:dyDescent="0.2">
      <c r="A1039" s="57">
        <v>46108</v>
      </c>
      <c r="B1039" s="7" t="s">
        <v>296</v>
      </c>
      <c r="C1039" s="13" t="str">
        <f>IF(B1039="","",IFERROR(INDEX(Client_List!$C:$C,MATCH(B1039,Client_List!$B:$B,0)),""))</f>
        <v>4</v>
      </c>
      <c r="D1039" s="9" t="str">
        <f>IF(B1039="","",IFERROR(INDEX(Client_List!$D:$D,MATCH(B1039,Client_List!$B:$B,0)),""))</f>
        <v>4C</v>
      </c>
      <c r="E1039" s="9" t="str">
        <f>IF(B1039="","",IFERROR(INDEX(Client_List!$K:$K,MATCH(B1039,Client_List!$B:$B,0)),""))</f>
        <v>FRYERS CHOICE BLEND</v>
      </c>
      <c r="F1039" s="10">
        <f>IF(B1039="","",IFERROR(INDEX(Client_List!$J:$J,MATCH(B1039,Client_List!$B:$B,0)),""))</f>
        <v>480</v>
      </c>
      <c r="G1039" s="10">
        <v>935</v>
      </c>
      <c r="H1039" s="9">
        <f>IF(B1039="","",IFERROR(A1039-LOOKUP(2,1/($B$4:$B1038=B1039),$A$4:$A1038),""))</f>
        <v>10</v>
      </c>
      <c r="I1039" s="73">
        <f t="shared" si="16"/>
        <v>93.5</v>
      </c>
      <c r="J1039" s="9"/>
      <c r="K1039" s="6">
        <f>IF(B1039="","",IFERROR(AVERAGEIFS($I$4:$I1039,$B$4:$B1039,B1039,$I$4:$I1039,"&gt;"&amp;0),""))</f>
        <v>44.097062579821198</v>
      </c>
      <c r="L1039" s="9" t="str">
        <f>IF(B1039="","",IF(ISNA(MATCH(B1039,Client_List!$B:$B,0)),"⚠ NOT FOUND","✓"))</f>
        <v>✓</v>
      </c>
    </row>
    <row r="1040" spans="1:12" ht="14" customHeight="1" x14ac:dyDescent="0.2">
      <c r="A1040" s="56">
        <v>46108</v>
      </c>
      <c r="B1040" s="2" t="s">
        <v>298</v>
      </c>
      <c r="C1040" s="11" t="str">
        <f>IF(B1040="","",IFERROR(INDEX(Client_List!$C:$C,MATCH(B1040,Client_List!$B:$B,0)),""))</f>
        <v>1</v>
      </c>
      <c r="D1040" s="4" t="str">
        <f>IF(B1040="","",IFERROR(INDEX(Client_List!$D:$D,MATCH(B1040,Client_List!$B:$B,0)),""))</f>
        <v>1C</v>
      </c>
      <c r="E1040" s="4" t="str">
        <f>IF(B1040="","",IFERROR(INDEX(Client_List!$K:$K,MATCH(B1040,Client_List!$B:$B,0)),""))</f>
        <v>CANOLA OIL</v>
      </c>
      <c r="F1040" s="5">
        <f>IF(B1040="","",IFERROR(INDEX(Client_List!$J:$J,MATCH(B1040,Client_List!$B:$B,0)),""))</f>
        <v>950</v>
      </c>
      <c r="G1040" s="5">
        <v>935</v>
      </c>
      <c r="H1040" s="4">
        <f>IF(B1040="","",IFERROR(A1040-LOOKUP(2,1/($B$4:$B1039=B1040),$A$4:$A1039),""))</f>
        <v>12</v>
      </c>
      <c r="I1040" s="72">
        <f t="shared" si="16"/>
        <v>77.916666666666671</v>
      </c>
      <c r="J1040" s="4" t="s">
        <v>381</v>
      </c>
      <c r="K1040" s="6">
        <f>IF(B1040="","",IFERROR(AVERAGEIFS($I$4:$I1040,$B$4:$B1040,B1040,$I$4:$I1040,"&gt;"&amp;0),""))</f>
        <v>54.400730805142565</v>
      </c>
      <c r="L1040" s="4" t="str">
        <f>IF(B1040="","",IF(ISNA(MATCH(B1040,Client_List!$B:$B,0)),"⚠ NOT FOUND","✓"))</f>
        <v>✓</v>
      </c>
    </row>
    <row r="1041" spans="1:12" ht="14" customHeight="1" x14ac:dyDescent="0.2">
      <c r="A1041" s="57">
        <v>46108</v>
      </c>
      <c r="B1041" s="7" t="s">
        <v>310</v>
      </c>
      <c r="C1041" s="8" t="str">
        <f>IF(B1041="","",IFERROR(INDEX(Client_List!$C:$C,MATCH(B1041,Client_List!$B:$B,0)),""))</f>
        <v>3</v>
      </c>
      <c r="D1041" s="9" t="str">
        <f>IF(B1041="","",IFERROR(INDEX(Client_List!$D:$D,MATCH(B1041,Client_List!$B:$B,0)),""))</f>
        <v>3D</v>
      </c>
      <c r="E1041" s="9" t="str">
        <f>IF(B1041="","",IFERROR(INDEX(Client_List!$K:$K,MATCH(B1041,Client_List!$B:$B,0)),""))</f>
        <v>CANOLA OIL</v>
      </c>
      <c r="F1041" s="10">
        <f>IF(B1041="","",IFERROR(INDEX(Client_List!$J:$J,MATCH(B1041,Client_List!$B:$B,0)),""))</f>
        <v>1050</v>
      </c>
      <c r="G1041" s="10">
        <v>911</v>
      </c>
      <c r="H1041" s="9">
        <f>IF(B1041="","",IFERROR(A1041-LOOKUP(2,1/($B$4:$B1040=B1041),$A$4:$A1040),""))</f>
        <v>11</v>
      </c>
      <c r="I1041" s="73">
        <f t="shared" si="16"/>
        <v>82.818181818181813</v>
      </c>
      <c r="J1041" s="9"/>
      <c r="K1041" s="6">
        <f>IF(B1041="","",IFERROR(AVERAGEIFS($I$4:$I1041,$B$4:$B1041,B1041,$I$4:$I1041,"&gt;"&amp;0),""))</f>
        <v>73.770486180486188</v>
      </c>
      <c r="L1041" s="9" t="str">
        <f>IF(B1041="","",IF(ISNA(MATCH(B1041,Client_List!$B:$B,0)),"⚠ NOT FOUND","✓"))</f>
        <v>✓</v>
      </c>
    </row>
    <row r="1042" spans="1:12" ht="14" customHeight="1" x14ac:dyDescent="0.2">
      <c r="A1042" s="56">
        <v>46108</v>
      </c>
      <c r="B1042" s="2" t="s">
        <v>314</v>
      </c>
      <c r="C1042" s="3" t="str">
        <f>IF(B1042="","",IFERROR(INDEX(Client_List!$C:$C,MATCH(B1042,Client_List!$B:$B,0)),""))</f>
        <v>1</v>
      </c>
      <c r="D1042" s="4" t="str">
        <f>IF(B1042="","",IFERROR(INDEX(Client_List!$D:$D,MATCH(B1042,Client_List!$B:$B,0)),""))</f>
        <v>1C</v>
      </c>
      <c r="E1042" s="4" t="str">
        <f>IF(B1042="","",IFERROR(INDEX(Client_List!$K:$K,MATCH(B1042,Client_List!$B:$B,0)),""))</f>
        <v>CANOLA OIL</v>
      </c>
      <c r="F1042" s="5">
        <f>IF(B1042="","",IFERROR(INDEX(Client_List!$J:$J,MATCH(B1042,Client_List!$B:$B,0)),""))</f>
        <v>1050</v>
      </c>
      <c r="G1042" s="5">
        <v>745</v>
      </c>
      <c r="H1042" s="4">
        <f>IF(B1042="","",IFERROR(A1042-LOOKUP(2,1/($B$4:$B1041=B1042),$A$4:$A1041),""))</f>
        <v>12</v>
      </c>
      <c r="I1042" s="72">
        <f t="shared" si="16"/>
        <v>62.083333333333336</v>
      </c>
      <c r="J1042" s="4"/>
      <c r="K1042" s="6">
        <f>IF(B1042="","",IFERROR(AVERAGEIFS($I$4:$I1042,$B$4:$B1042,B1042,$I$4:$I1042,"&gt;"&amp;0),""))</f>
        <v>80.25429847929847</v>
      </c>
      <c r="L1042" s="4" t="str">
        <f>IF(B1042="","",IF(ISNA(MATCH(B1042,Client_List!$B:$B,0)),"⚠ NOT FOUND","✓"))</f>
        <v>✓</v>
      </c>
    </row>
    <row r="1043" spans="1:12" ht="14" customHeight="1" x14ac:dyDescent="0.2">
      <c r="A1043" s="57">
        <v>46108</v>
      </c>
      <c r="B1043" s="7" t="s">
        <v>320</v>
      </c>
      <c r="C1043" s="12" t="str">
        <f>IF(B1043="","",IFERROR(INDEX(Client_List!$C:$C,MATCH(B1043,Client_List!$B:$B,0)),""))</f>
        <v>1</v>
      </c>
      <c r="D1043" s="9" t="str">
        <f>IF(B1043="","",IFERROR(INDEX(Client_List!$D:$D,MATCH(B1043,Client_List!$B:$B,0)),""))</f>
        <v>1E</v>
      </c>
      <c r="E1043" s="9" t="str">
        <f>IF(B1043="","",IFERROR(INDEX(Client_List!$K:$K,MATCH(B1043,Client_List!$B:$B,0)),""))</f>
        <v>CANOLA OIL</v>
      </c>
      <c r="F1043" s="10">
        <f>IF(B1043="","",IFERROR(INDEX(Client_List!$J:$J,MATCH(B1043,Client_List!$B:$B,0)),""))</f>
        <v>1050</v>
      </c>
      <c r="G1043" s="10">
        <v>641</v>
      </c>
      <c r="H1043" s="9">
        <f>IF(B1043="","",IFERROR(A1043-LOOKUP(2,1/($B$4:$B1042=B1043),$A$4:$A1042),""))</f>
        <v>10</v>
      </c>
      <c r="I1043" s="73">
        <f t="shared" si="16"/>
        <v>64.099999999999994</v>
      </c>
      <c r="J1043" s="9"/>
      <c r="K1043" s="6">
        <f>IF(B1043="","",IFERROR(AVERAGEIFS($I$4:$I1043,$B$4:$B1043,B1043,$I$4:$I1043,"&gt;"&amp;0),""))</f>
        <v>68.280380730380728</v>
      </c>
      <c r="L1043" s="9" t="str">
        <f>IF(B1043="","",IF(ISNA(MATCH(B1043,Client_List!$B:$B,0)),"⚠ NOT FOUND","✓"))</f>
        <v>✓</v>
      </c>
    </row>
    <row r="1044" spans="1:12" ht="14" customHeight="1" x14ac:dyDescent="0.2">
      <c r="A1044" s="56">
        <v>46108</v>
      </c>
      <c r="B1044" s="2" t="s">
        <v>350</v>
      </c>
      <c r="C1044" s="8" t="str">
        <f>IF(B1044="","",IFERROR(INDEX(Client_List!$C:$C,MATCH(B1044,Client_List!$B:$B,0)),""))</f>
        <v>2</v>
      </c>
      <c r="D1044" s="4" t="str">
        <f>IF(B1044="","",IFERROR(INDEX(Client_List!$D:$D,MATCH(B1044,Client_List!$B:$B,0)),""))</f>
        <v>2D</v>
      </c>
      <c r="E1044" s="4" t="str">
        <f>IF(B1044="","",IFERROR(INDEX(Client_List!$K:$K,MATCH(B1044,Client_List!$B:$B,0)),""))</f>
        <v>CANOLA OIL</v>
      </c>
      <c r="F1044" s="5">
        <f>IF(B1044="","",IFERROR(INDEX(Client_List!$J:$J,MATCH(B1044,Client_List!$B:$B,0)),""))</f>
        <v>1050</v>
      </c>
      <c r="G1044" s="5">
        <v>627</v>
      </c>
      <c r="H1044" s="4">
        <f>IF(B1044="","",IFERROR(A1044-LOOKUP(2,1/($B$4:$B1043=B1044),$A$4:$A1043),""))</f>
        <v>11</v>
      </c>
      <c r="I1044" s="72">
        <f t="shared" si="16"/>
        <v>57</v>
      </c>
      <c r="J1044" s="4"/>
      <c r="K1044" s="6">
        <f>IF(B1044="","",IFERROR(AVERAGEIFS($I$4:$I1044,$B$4:$B1044,B1044,$I$4:$I1044,"&gt;"&amp;0),""))</f>
        <v>61.944642857142853</v>
      </c>
      <c r="L1044" s="4" t="str">
        <f>IF(B1044="","",IF(ISNA(MATCH(B1044,Client_List!$B:$B,0)),"⚠ NOT FOUND","✓"))</f>
        <v>✓</v>
      </c>
    </row>
    <row r="1045" spans="1:12" ht="14" customHeight="1" x14ac:dyDescent="0.2">
      <c r="A1045" s="57">
        <v>46109</v>
      </c>
      <c r="B1045" s="7" t="s">
        <v>364</v>
      </c>
      <c r="C1045" s="3">
        <f>IF(B1045="","",IFERROR(INDEX(Client_List!$C:$C,MATCH(B1045,Client_List!$B:$B,0)),""))</f>
        <v>0</v>
      </c>
      <c r="D1045" s="9" t="str">
        <f>IF(B1045="","",IFERROR(INDEX(Client_List!$D:$D,MATCH(B1045,Client_List!$B:$B,0)),""))</f>
        <v>TU</v>
      </c>
      <c r="E1045" s="9" t="str">
        <f>IF(B1045="","",IFERROR(INDEX(Client_List!$K:$K,MATCH(B1045,Client_List!$B:$B,0)),""))</f>
        <v>FRYERS CHOICE BLEND</v>
      </c>
      <c r="F1045" s="10">
        <f>IF(B1045="","",IFERROR(INDEX(Client_List!$J:$J,MATCH(B1045,Client_List!$B:$B,0)),""))</f>
        <v>1000</v>
      </c>
      <c r="G1045" s="10">
        <v>720</v>
      </c>
      <c r="H1045" s="9">
        <f>IF(B1045="","",IFERROR(A1045-LOOKUP(2,1/($B$4:$B1044=B1045),$A$4:$A1044),""))</f>
        <v>14</v>
      </c>
      <c r="I1045" s="73">
        <f t="shared" si="16"/>
        <v>51.428571428571431</v>
      </c>
      <c r="J1045" s="9"/>
      <c r="K1045" s="6">
        <f>IF(B1045="","",IFERROR(AVERAGEIFS($I$4:$I1045,$B$4:$B1045,B1045,$I$4:$I1045,"&gt;"&amp;0),""))</f>
        <v>52.011904761904759</v>
      </c>
      <c r="L1045" s="9" t="str">
        <f>IF(B1045="","",IF(ISNA(MATCH(B1045,Client_List!$B:$B,0)),"⚠ NOT FOUND","✓"))</f>
        <v>✓</v>
      </c>
    </row>
    <row r="1046" spans="1:12" ht="14" customHeight="1" x14ac:dyDescent="0.2">
      <c r="A1046" s="56">
        <v>46109</v>
      </c>
      <c r="B1046" s="2" t="s">
        <v>67</v>
      </c>
      <c r="C1046" s="8" t="str">
        <f>IF(B1046="","",IFERROR(INDEX(Client_List!$C:$C,MATCH(B1046,Client_List!$B:$B,0)),""))</f>
        <v>5</v>
      </c>
      <c r="D1046" s="4" t="str">
        <f>IF(B1046="","",IFERROR(INDEX(Client_List!$D:$D,MATCH(B1046,Client_List!$B:$B,0)),""))</f>
        <v>5F</v>
      </c>
      <c r="E1046" s="4" t="str">
        <f>IF(B1046="","",IFERROR(INDEX(Client_List!$K:$K,MATCH(B1046,Client_List!$B:$B,0)),""))</f>
        <v>CANOLA OIL</v>
      </c>
      <c r="F1046" s="5">
        <f>IF(B1046="","",IFERROR(INDEX(Client_List!$J:$J,MATCH(B1046,Client_List!$B:$B,0)),""))</f>
        <v>950</v>
      </c>
      <c r="G1046" s="5">
        <v>274</v>
      </c>
      <c r="H1046" s="4">
        <f>IF(B1046="","",IFERROR(A1046-LOOKUP(2,1/($B$4:$B1045=B1046),$A$4:$A1045),""))</f>
        <v>4</v>
      </c>
      <c r="I1046" s="72">
        <f t="shared" si="16"/>
        <v>68.5</v>
      </c>
      <c r="J1046" s="4"/>
      <c r="K1046" s="6">
        <f>IF(B1046="","",IFERROR(AVERAGEIFS($I$4:$I1046,$B$4:$B1046,B1046,$I$4:$I1046,"&gt;"&amp;0),""))</f>
        <v>88.47706830206829</v>
      </c>
      <c r="L1046" s="4" t="str">
        <f>IF(B1046="","",IF(ISNA(MATCH(B1046,Client_List!$B:$B,0)),"⚠ NOT FOUND","✓"))</f>
        <v>✓</v>
      </c>
    </row>
    <row r="1047" spans="1:12" ht="14" customHeight="1" x14ac:dyDescent="0.2">
      <c r="A1047" s="57">
        <v>46109</v>
      </c>
      <c r="B1047" s="7" t="s">
        <v>75</v>
      </c>
      <c r="C1047" s="12" t="str">
        <f>IF(B1047="","",IFERROR(INDEX(Client_List!$C:$C,MATCH(B1047,Client_List!$B:$B,0)),""))</f>
        <v>1</v>
      </c>
      <c r="D1047" s="9" t="str">
        <f>IF(B1047="","",IFERROR(INDEX(Client_List!$D:$D,MATCH(B1047,Client_List!$B:$B,0)),""))</f>
        <v>1D</v>
      </c>
      <c r="E1047" s="9" t="str">
        <f>IF(B1047="","",IFERROR(INDEX(Client_List!$K:$K,MATCH(B1047,Client_List!$B:$B,0)),""))</f>
        <v>CANOLA OIL</v>
      </c>
      <c r="F1047" s="10">
        <f>IF(B1047="","",IFERROR(INDEX(Client_List!$J:$J,MATCH(B1047,Client_List!$B:$B,0)),""))</f>
        <v>620</v>
      </c>
      <c r="G1047" s="10">
        <v>684</v>
      </c>
      <c r="H1047" s="9">
        <f>IF(B1047="","",IFERROR(A1047-LOOKUP(2,1/($B$4:$B1046=B1047),$A$4:$A1046),""))</f>
        <v>7</v>
      </c>
      <c r="I1047" s="73">
        <f t="shared" si="16"/>
        <v>97.714285714285708</v>
      </c>
      <c r="J1047" s="9"/>
      <c r="K1047" s="6">
        <f>IF(B1047="","",IFERROR(AVERAGEIFS($I$4:$I1047,$B$4:$B1047,B1047,$I$4:$I1047,"&gt;"&amp;0),""))</f>
        <v>102.8029304029304</v>
      </c>
      <c r="L1047" s="9" t="str">
        <f>IF(B1047="","",IF(ISNA(MATCH(B1047,Client_List!$B:$B,0)),"⚠ NOT FOUND","✓"))</f>
        <v>✓</v>
      </c>
    </row>
    <row r="1048" spans="1:12" ht="14" customHeight="1" x14ac:dyDescent="0.2">
      <c r="A1048" s="56">
        <v>46109</v>
      </c>
      <c r="B1048" s="2" t="s">
        <v>134</v>
      </c>
      <c r="C1048" s="3" t="str">
        <f>IF(B1048="","",IFERROR(INDEX(Client_List!$C:$C,MATCH(B1048,Client_List!$B:$B,0)),""))</f>
        <v>3</v>
      </c>
      <c r="D1048" s="4" t="str">
        <f>IF(B1048="","",IFERROR(INDEX(Client_List!$D:$D,MATCH(B1048,Client_List!$B:$B,0)),""))</f>
        <v>3D</v>
      </c>
      <c r="E1048" s="4" t="str">
        <f>IF(B1048="","",IFERROR(INDEX(Client_List!$K:$K,MATCH(B1048,Client_List!$B:$B,0)),""))</f>
        <v>CANOLA OIL</v>
      </c>
      <c r="F1048" s="5">
        <f>IF(B1048="","",IFERROR(INDEX(Client_List!$J:$J,MATCH(B1048,Client_List!$B:$B,0)),""))</f>
        <v>1850</v>
      </c>
      <c r="G1048" s="5">
        <v>1568</v>
      </c>
      <c r="H1048" s="4">
        <f>IF(B1048="","",IFERROR(A1048-LOOKUP(2,1/($B$4:$B1047=B1048),$A$4:$A1047),""))</f>
        <v>23</v>
      </c>
      <c r="I1048" s="72">
        <f t="shared" si="16"/>
        <v>68.173913043478265</v>
      </c>
      <c r="J1048" s="4"/>
      <c r="K1048" s="6">
        <f>IF(B1048="","",IFERROR(AVERAGEIFS($I$4:$I1048,$B$4:$B1048,B1048,$I$4:$I1048,"&gt;"&amp;0),""))</f>
        <v>68.279067233300637</v>
      </c>
      <c r="L1048" s="4" t="str">
        <f>IF(B1048="","",IF(ISNA(MATCH(B1048,Client_List!$B:$B,0)),"⚠ NOT FOUND","✓"))</f>
        <v>✓</v>
      </c>
    </row>
    <row r="1049" spans="1:12" ht="14" customHeight="1" x14ac:dyDescent="0.2">
      <c r="A1049" s="57">
        <v>46109</v>
      </c>
      <c r="B1049" s="7" t="s">
        <v>367</v>
      </c>
      <c r="C1049" s="11">
        <f>IF(B1049="","",IFERROR(INDEX(Client_List!$C:$C,MATCH(B1049,Client_List!$B:$B,0)),""))</f>
        <v>0</v>
      </c>
      <c r="D1049" s="9" t="str">
        <f>IF(B1049="","",IFERROR(INDEX(Client_List!$D:$D,MATCH(B1049,Client_List!$B:$B,0)),""))</f>
        <v>T</v>
      </c>
      <c r="E1049" s="9" t="str">
        <f>IF(B1049="","",IFERROR(INDEX(Client_List!$K:$K,MATCH(B1049,Client_List!$B:$B,0)),""))</f>
        <v>CANOLA OIL</v>
      </c>
      <c r="F1049" s="10">
        <f>IF(B1049="","",IFERROR(INDEX(Client_List!$J:$J,MATCH(B1049,Client_List!$B:$B,0)),""))</f>
        <v>500</v>
      </c>
      <c r="G1049" s="10">
        <v>389</v>
      </c>
      <c r="H1049" s="9">
        <f>IF(B1049="","",IFERROR(A1049-LOOKUP(2,1/($B$4:$B1048=B1049),$A$4:$A1048),""))</f>
        <v>14</v>
      </c>
      <c r="I1049" s="73">
        <f t="shared" si="16"/>
        <v>27.785714285714285</v>
      </c>
      <c r="J1049" s="9"/>
      <c r="K1049" s="6">
        <f>IF(B1049="","",IFERROR(AVERAGEIFS($I$4:$I1049,$B$4:$B1049,B1049,$I$4:$I1049,"&gt;"&amp;0),""))</f>
        <v>27.916666666666668</v>
      </c>
      <c r="L1049" s="9" t="str">
        <f>IF(B1049="","",IF(ISNA(MATCH(B1049,Client_List!$B:$B,0)),"⚠ NOT FOUND","✓"))</f>
        <v>✓</v>
      </c>
    </row>
    <row r="1050" spans="1:12" ht="14" customHeight="1" x14ac:dyDescent="0.2">
      <c r="A1050" s="56">
        <v>46109</v>
      </c>
      <c r="B1050" s="2" t="s">
        <v>379</v>
      </c>
      <c r="C1050" s="12">
        <f>IF(B1050="","",IFERROR(INDEX(Client_List!$C:$C,MATCH(B1050,Client_List!$B:$B,0)),""))</f>
        <v>0</v>
      </c>
      <c r="D1050" s="4" t="str">
        <f>IF(B1050="","",IFERROR(INDEX(Client_List!$D:$D,MATCH(B1050,Client_List!$B:$B,0)),""))</f>
        <v>C</v>
      </c>
      <c r="E1050" s="4" t="str">
        <f>IF(B1050="","",IFERROR(INDEX(Client_List!$K:$K,MATCH(B1050,Client_List!$B:$B,0)),""))</f>
        <v>FRYERS CHOICE BLEND</v>
      </c>
      <c r="F1050" s="5">
        <f>IF(B1050="","",IFERROR(INDEX(Client_List!$J:$J,MATCH(B1050,Client_List!$B:$B,0)),""))</f>
        <v>700</v>
      </c>
      <c r="G1050" s="5">
        <v>520</v>
      </c>
      <c r="H1050" s="4">
        <f>IF(B1050="","",IFERROR(A1050-LOOKUP(2,1/($B$4:$B1049=B1050),$A$4:$A1049),""))</f>
        <v>14</v>
      </c>
      <c r="I1050" s="72">
        <f t="shared" si="16"/>
        <v>37.142857142857146</v>
      </c>
      <c r="J1050" s="4"/>
      <c r="K1050" s="6">
        <f>IF(B1050="","",IFERROR(AVERAGEIFS($I$4:$I1050,$B$4:$B1050,B1050,$I$4:$I1050,"&gt;"&amp;0),""))</f>
        <v>39.1</v>
      </c>
      <c r="L1050" s="4" t="str">
        <f>IF(B1050="","",IF(ISNA(MATCH(B1050,Client_List!$B:$B,0)),"⚠ NOT FOUND","✓"))</f>
        <v>✓</v>
      </c>
    </row>
    <row r="1051" spans="1:12" ht="14" customHeight="1" x14ac:dyDescent="0.2">
      <c r="A1051" s="57">
        <v>46109</v>
      </c>
      <c r="B1051" s="7" t="s">
        <v>264</v>
      </c>
      <c r="C1051" s="8" t="str">
        <f>IF(B1051="","",IFERROR(INDEX(Client_List!$C:$C,MATCH(B1051,Client_List!$B:$B,0)),""))</f>
        <v>2</v>
      </c>
      <c r="D1051" s="9" t="str">
        <f>IF(B1051="","",IFERROR(INDEX(Client_List!$D:$D,MATCH(B1051,Client_List!$B:$B,0)),""))</f>
        <v>2D</v>
      </c>
      <c r="E1051" s="9" t="str">
        <f>IF(B1051="","",IFERROR(INDEX(Client_List!$K:$K,MATCH(B1051,Client_List!$B:$B,0)),""))</f>
        <v>FRYERS CHOICE BLEND</v>
      </c>
      <c r="F1051" s="10">
        <f>IF(B1051="","",IFERROR(INDEX(Client_List!$J:$J,MATCH(B1051,Client_List!$B:$B,0)),""))</f>
        <v>1950</v>
      </c>
      <c r="G1051" s="10">
        <v>1430</v>
      </c>
      <c r="H1051" s="9">
        <f>IF(B1051="","",IFERROR(A1051-LOOKUP(2,1/($B$4:$B1050=B1051),$A$4:$A1050),""))</f>
        <v>11</v>
      </c>
      <c r="I1051" s="73">
        <f t="shared" si="16"/>
        <v>130</v>
      </c>
      <c r="J1051" s="9"/>
      <c r="K1051" s="6">
        <f>IF(B1051="","",IFERROR(AVERAGEIFS($I$4:$I1051,$B$4:$B1051,B1051,$I$4:$I1051,"&gt;"&amp;0),""))</f>
        <v>103.73609723609725</v>
      </c>
      <c r="L1051" s="9" t="str">
        <f>IF(B1051="","",IF(ISNA(MATCH(B1051,Client_List!$B:$B,0)),"⚠ NOT FOUND","✓"))</f>
        <v>✓</v>
      </c>
    </row>
    <row r="1052" spans="1:12" ht="14" customHeight="1" x14ac:dyDescent="0.2">
      <c r="A1052" s="56">
        <v>46110</v>
      </c>
      <c r="B1052" s="2" t="s">
        <v>142</v>
      </c>
      <c r="C1052" s="12" t="str">
        <f>IF(B1052="","",IFERROR(INDEX(Client_List!$C:$C,MATCH(B1052,Client_List!$B:$B,0)),""))</f>
        <v>4</v>
      </c>
      <c r="D1052" s="4" t="str">
        <f>IF(B1052="","",IFERROR(INDEX(Client_List!$D:$D,MATCH(B1052,Client_List!$B:$B,0)),""))</f>
        <v>4A</v>
      </c>
      <c r="E1052" s="4" t="str">
        <f>IF(B1052="","",IFERROR(INDEX(Client_List!$K:$K,MATCH(B1052,Client_List!$B:$B,0)),""))</f>
        <v>FRYERS CHOICE BLEND</v>
      </c>
      <c r="F1052" s="5">
        <f>IF(B1052="","",IFERROR(INDEX(Client_List!$J:$J,MATCH(B1052,Client_List!$B:$B,0)),""))</f>
        <v>1050</v>
      </c>
      <c r="G1052" s="5">
        <v>1065</v>
      </c>
      <c r="H1052" s="4">
        <f>IF(B1052="","",IFERROR(A1052-LOOKUP(2,1/($B$4:$B1051=B1052),$A$4:$A1051),""))</f>
        <v>7</v>
      </c>
      <c r="I1052" s="72">
        <f t="shared" si="16"/>
        <v>152.14285714285714</v>
      </c>
      <c r="J1052" s="4"/>
      <c r="K1052" s="6">
        <f>IF(B1052="","",IFERROR(AVERAGEIFS($I$4:$I1052,$B$4:$B1052,B1052,$I$4:$I1052,"&gt;"&amp;0),""))</f>
        <v>177.1718005952381</v>
      </c>
      <c r="L1052" s="4" t="str">
        <f>IF(B1052="","",IF(ISNA(MATCH(B1052,Client_List!$B:$B,0)),"⚠ NOT FOUND","✓"))</f>
        <v>✓</v>
      </c>
    </row>
    <row r="1053" spans="1:12" ht="14" customHeight="1" x14ac:dyDescent="0.2">
      <c r="A1053" s="57">
        <v>46110</v>
      </c>
      <c r="B1053" s="7" t="s">
        <v>142</v>
      </c>
      <c r="C1053" s="12" t="str">
        <f>IF(B1053="","",IFERROR(INDEX(Client_List!$C:$C,MATCH(B1053,Client_List!$B:$B,0)),""))</f>
        <v>4</v>
      </c>
      <c r="D1053" s="9" t="str">
        <f>IF(B1053="","",IFERROR(INDEX(Client_List!$D:$D,MATCH(B1053,Client_List!$B:$B,0)),""))</f>
        <v>4A</v>
      </c>
      <c r="E1053" s="9" t="str">
        <f>IF(B1053="","",IFERROR(INDEX(Client_List!$K:$K,MATCH(B1053,Client_List!$B:$B,0)),""))</f>
        <v>FRYERS CHOICE BLEND</v>
      </c>
      <c r="F1053" s="10">
        <f>IF(B1053="","",IFERROR(INDEX(Client_List!$J:$J,MATCH(B1053,Client_List!$B:$B,0)),""))</f>
        <v>1050</v>
      </c>
      <c r="G1053" s="10">
        <v>1065</v>
      </c>
      <c r="H1053" s="9">
        <f>IF(B1053="","",IFERROR(A1053-LOOKUP(2,1/($B$4:$B1052=B1053),$A$4:$A1052),""))</f>
        <v>0</v>
      </c>
      <c r="I1053" s="73" t="str">
        <f t="shared" si="16"/>
        <v/>
      </c>
      <c r="J1053" s="9"/>
      <c r="K1053" s="6">
        <f>IF(B1053="","",IFERROR(AVERAGEIFS($I$4:$I1053,$B$4:$B1053,B1053,$I$4:$I1053,"&gt;"&amp;0),""))</f>
        <v>177.1718005952381</v>
      </c>
      <c r="L1053" s="9" t="str">
        <f>IF(B1053="","",IF(ISNA(MATCH(B1053,Client_List!$B:$B,0)),"⚠ NOT FOUND","✓"))</f>
        <v>✓</v>
      </c>
    </row>
    <row r="1054" spans="1:12" ht="14" customHeight="1" x14ac:dyDescent="0.2">
      <c r="A1054" s="56">
        <v>46110</v>
      </c>
      <c r="B1054" s="2" t="s">
        <v>144</v>
      </c>
      <c r="C1054" s="3" t="str">
        <f>IF(B1054="","",IFERROR(INDEX(Client_List!$C:$C,MATCH(B1054,Client_List!$B:$B,0)),""))</f>
        <v>4</v>
      </c>
      <c r="D1054" s="4" t="str">
        <f>IF(B1054="","",IFERROR(INDEX(Client_List!$D:$D,MATCH(B1054,Client_List!$B:$B,0)),""))</f>
        <v>4A</v>
      </c>
      <c r="E1054" s="4" t="str">
        <f>IF(B1054="","",IFERROR(INDEX(Client_List!$K:$K,MATCH(B1054,Client_List!$B:$B,0)),""))</f>
        <v>FRYERS CHOICE BLEND</v>
      </c>
      <c r="F1054" s="5">
        <f>IF(B1054="","",IFERROR(INDEX(Client_List!$J:$J,MATCH(B1054,Client_List!$B:$B,0)),""))</f>
        <v>900</v>
      </c>
      <c r="G1054" s="5">
        <v>663</v>
      </c>
      <c r="H1054" s="4">
        <f>IF(B1054="","",IFERROR(A1054-LOOKUP(2,1/($B$4:$B1053=B1054),$A$4:$A1053),""))</f>
        <v>11</v>
      </c>
      <c r="I1054" s="72">
        <f t="shared" si="16"/>
        <v>60.272727272727273</v>
      </c>
      <c r="J1054" s="4"/>
      <c r="K1054" s="6">
        <f>IF(B1054="","",IFERROR(AVERAGEIFS($I$4:$I1054,$B$4:$B1054,B1054,$I$4:$I1054,"&gt;"&amp;0),""))</f>
        <v>70.830144300144283</v>
      </c>
      <c r="L1054" s="4" t="str">
        <f>IF(B1054="","",IF(ISNA(MATCH(B1054,Client_List!$B:$B,0)),"⚠ NOT FOUND","✓"))</f>
        <v>✓</v>
      </c>
    </row>
    <row r="1055" spans="1:12" ht="14" customHeight="1" x14ac:dyDescent="0.2">
      <c r="A1055" s="57">
        <v>46110</v>
      </c>
      <c r="B1055" s="7" t="s">
        <v>158</v>
      </c>
      <c r="C1055" s="3" t="str">
        <f>IF(B1055="","",IFERROR(INDEX(Client_List!$C:$C,MATCH(B1055,Client_List!$B:$B,0)),""))</f>
        <v>4</v>
      </c>
      <c r="D1055" s="9" t="str">
        <f>IF(B1055="","",IFERROR(INDEX(Client_List!$D:$D,MATCH(B1055,Client_List!$B:$B,0)),""))</f>
        <v>4C</v>
      </c>
      <c r="E1055" s="9" t="str">
        <f>IF(B1055="","",IFERROR(INDEX(Client_List!$K:$K,MATCH(B1055,Client_List!$B:$B,0)),""))</f>
        <v>CANOLA OIL</v>
      </c>
      <c r="F1055" s="10">
        <f>IF(B1055="","",IFERROR(INDEX(Client_List!$J:$J,MATCH(B1055,Client_List!$B:$B,0)),""))</f>
        <v>350</v>
      </c>
      <c r="G1055" s="10">
        <v>388</v>
      </c>
      <c r="H1055" s="9">
        <f>IF(B1055="","",IFERROR(A1055-LOOKUP(2,1/($B$4:$B1054=B1055),$A$4:$A1054),""))</f>
        <v>40</v>
      </c>
      <c r="I1055" s="73">
        <f t="shared" si="16"/>
        <v>9.6999999999999993</v>
      </c>
      <c r="J1055" s="9"/>
      <c r="K1055" s="6">
        <f>IF(B1055="","",IFERROR(AVERAGEIFS($I$4:$I1055,$B$4:$B1055,B1055,$I$4:$I1055,"&gt;"&amp;0),""))</f>
        <v>9.6999999999999993</v>
      </c>
      <c r="L1055" s="9" t="str">
        <f>IF(B1055="","",IF(ISNA(MATCH(B1055,Client_List!$B:$B,0)),"⚠ NOT FOUND","✓"))</f>
        <v>✓</v>
      </c>
    </row>
    <row r="1056" spans="1:12" ht="14" customHeight="1" x14ac:dyDescent="0.2">
      <c r="A1056" s="56">
        <v>46110</v>
      </c>
      <c r="B1056" s="2" t="s">
        <v>184</v>
      </c>
      <c r="C1056" s="3" t="str">
        <f>IF(B1056="","",IFERROR(INDEX(Client_List!$C:$C,MATCH(B1056,Client_List!$B:$B,0)),""))</f>
        <v>3</v>
      </c>
      <c r="D1056" s="4" t="str">
        <f>IF(B1056="","",IFERROR(INDEX(Client_List!$D:$D,MATCH(B1056,Client_List!$B:$B,0)),""))</f>
        <v>3C</v>
      </c>
      <c r="E1056" s="4" t="str">
        <f>IF(B1056="","",IFERROR(INDEX(Client_List!$K:$K,MATCH(B1056,Client_List!$B:$B,0)),""))</f>
        <v>CANOLA OIL</v>
      </c>
      <c r="F1056" s="5">
        <f>IF(B1056="","",IFERROR(INDEX(Client_List!$J:$J,MATCH(B1056,Client_List!$B:$B,0)),""))</f>
        <v>1050</v>
      </c>
      <c r="G1056" s="5">
        <v>932</v>
      </c>
      <c r="H1056" s="4">
        <f>IF(B1056="","",IFERROR(A1056-LOOKUP(2,1/($B$4:$B1055=B1056),$A$4:$A1055),""))</f>
        <v>9</v>
      </c>
      <c r="I1056" s="72">
        <f t="shared" si="16"/>
        <v>103.55555555555556</v>
      </c>
      <c r="J1056" s="4"/>
      <c r="K1056" s="6">
        <f>IF(B1056="","",IFERROR(AVERAGEIFS($I$4:$I1056,$B$4:$B1056,B1056,$I$4:$I1056,"&gt;"&amp;0),""))</f>
        <v>101.90158730158731</v>
      </c>
      <c r="L1056" s="4" t="str">
        <f>IF(B1056="","",IF(ISNA(MATCH(B1056,Client_List!$B:$B,0)),"⚠ NOT FOUND","✓"))</f>
        <v>✓</v>
      </c>
    </row>
    <row r="1057" spans="1:12" ht="14" customHeight="1" x14ac:dyDescent="0.2">
      <c r="A1057" s="57">
        <v>46110</v>
      </c>
      <c r="B1057" s="7" t="s">
        <v>190</v>
      </c>
      <c r="C1057" s="12" t="str">
        <f>IF(B1057="","",IFERROR(INDEX(Client_List!$C:$C,MATCH(B1057,Client_List!$B:$B,0)),""))</f>
        <v>2</v>
      </c>
      <c r="D1057" s="9" t="str">
        <f>IF(B1057="","",IFERROR(INDEX(Client_List!$D:$D,MATCH(B1057,Client_List!$B:$B,0)),""))</f>
        <v>2C</v>
      </c>
      <c r="E1057" s="9" t="str">
        <f>IF(B1057="","",IFERROR(INDEX(Client_List!$K:$K,MATCH(B1057,Client_List!$B:$B,0)),""))</f>
        <v>CANOLA OIL</v>
      </c>
      <c r="F1057" s="10">
        <f>IF(B1057="","",IFERROR(INDEX(Client_List!$J:$J,MATCH(B1057,Client_List!$B:$B,0)),""))</f>
        <v>1050</v>
      </c>
      <c r="G1057" s="10">
        <v>820</v>
      </c>
      <c r="H1057" s="9">
        <f>IF(B1057="","",IFERROR(A1057-LOOKUP(2,1/($B$4:$B1056=B1057),$A$4:$A1056),""))</f>
        <v>5</v>
      </c>
      <c r="I1057" s="73">
        <f t="shared" si="16"/>
        <v>164</v>
      </c>
      <c r="J1057" s="9"/>
      <c r="K1057" s="6">
        <f>IF(B1057="","",IFERROR(AVERAGEIFS($I$4:$I1057,$B$4:$B1057,B1057,$I$4:$I1057,"&gt;"&amp;0),""))</f>
        <v>135.67807539682539</v>
      </c>
      <c r="L1057" s="9" t="str">
        <f>IF(B1057="","",IF(ISNA(MATCH(B1057,Client_List!$B:$B,0)),"⚠ NOT FOUND","✓"))</f>
        <v>✓</v>
      </c>
    </row>
    <row r="1058" spans="1:12" ht="14" customHeight="1" x14ac:dyDescent="0.2">
      <c r="A1058" s="56">
        <v>46110</v>
      </c>
      <c r="B1058" s="2" t="s">
        <v>200</v>
      </c>
      <c r="C1058" s="8" t="str">
        <f>IF(B1058="","",IFERROR(INDEX(Client_List!$C:$C,MATCH(B1058,Client_List!$B:$B,0)),""))</f>
        <v>4</v>
      </c>
      <c r="D1058" s="4" t="str">
        <f>IF(B1058="","",IFERROR(INDEX(Client_List!$D:$D,MATCH(B1058,Client_List!$B:$B,0)),""))</f>
        <v>4E</v>
      </c>
      <c r="E1058" s="4" t="str">
        <f>IF(B1058="","",IFERROR(INDEX(Client_List!$K:$K,MATCH(B1058,Client_List!$B:$B,0)),""))</f>
        <v>CANOLA OIL</v>
      </c>
      <c r="F1058" s="5">
        <f>IF(B1058="","",IFERROR(INDEX(Client_List!$J:$J,MATCH(B1058,Client_List!$B:$B,0)),""))</f>
        <v>2000</v>
      </c>
      <c r="G1058" s="5">
        <v>1352</v>
      </c>
      <c r="H1058" s="4">
        <f>IF(B1058="","",IFERROR(A1058-LOOKUP(2,1/($B$4:$B1057=B1058),$A$4:$A1057),""))</f>
        <v>16</v>
      </c>
      <c r="I1058" s="72">
        <f t="shared" si="16"/>
        <v>84.5</v>
      </c>
      <c r="J1058" s="4"/>
      <c r="K1058" s="6">
        <f>IF(B1058="","",IFERROR(AVERAGEIFS($I$4:$I1058,$B$4:$B1058,B1058,$I$4:$I1058,"&gt;"&amp;0),""))</f>
        <v>99.284722222222214</v>
      </c>
      <c r="L1058" s="4" t="str">
        <f>IF(B1058="","",IF(ISNA(MATCH(B1058,Client_List!$B:$B,0)),"⚠ NOT FOUND","✓"))</f>
        <v>✓</v>
      </c>
    </row>
    <row r="1059" spans="1:12" ht="14" customHeight="1" x14ac:dyDescent="0.2">
      <c r="A1059" s="57">
        <v>46110</v>
      </c>
      <c r="B1059" s="7" t="s">
        <v>202</v>
      </c>
      <c r="C1059" s="3" t="str">
        <f>IF(B1059="","",IFERROR(INDEX(Client_List!$C:$C,MATCH(B1059,Client_List!$B:$B,0)),""))</f>
        <v>4</v>
      </c>
      <c r="D1059" s="9" t="str">
        <f>IF(B1059="","",IFERROR(INDEX(Client_List!$D:$D,MATCH(B1059,Client_List!$B:$B,0)),""))</f>
        <v>4D</v>
      </c>
      <c r="E1059" s="9" t="str">
        <f>IF(B1059="","",IFERROR(INDEX(Client_List!$K:$K,MATCH(B1059,Client_List!$B:$B,0)),""))</f>
        <v>CANOLA OIL</v>
      </c>
      <c r="F1059" s="10">
        <f>IF(B1059="","",IFERROR(INDEX(Client_List!$J:$J,MATCH(B1059,Client_List!$B:$B,0)),""))</f>
        <v>1050</v>
      </c>
      <c r="G1059" s="10">
        <v>1066</v>
      </c>
      <c r="H1059" s="9">
        <f>IF(B1059="","",IFERROR(A1059-LOOKUP(2,1/($B$4:$B1058=B1059),$A$4:$A1058),""))</f>
        <v>9</v>
      </c>
      <c r="I1059" s="73">
        <f t="shared" si="16"/>
        <v>118.44444444444444</v>
      </c>
      <c r="J1059" s="9"/>
      <c r="K1059" s="6">
        <f>IF(B1059="","",IFERROR(AVERAGEIFS($I$4:$I1059,$B$4:$B1059,B1059,$I$4:$I1059,"&gt;"&amp;0),""))</f>
        <v>88.454772211915071</v>
      </c>
      <c r="L1059" s="9" t="str">
        <f>IF(B1059="","",IF(ISNA(MATCH(B1059,Client_List!$B:$B,0)),"⚠ NOT FOUND","✓"))</f>
        <v>✓</v>
      </c>
    </row>
    <row r="1060" spans="1:12" ht="14" customHeight="1" x14ac:dyDescent="0.2">
      <c r="A1060" s="56">
        <v>46110</v>
      </c>
      <c r="B1060" s="2" t="s">
        <v>220</v>
      </c>
      <c r="C1060" s="3" t="str">
        <f>IF(B1060="","",IFERROR(INDEX(Client_List!$C:$C,MATCH(B1060,Client_List!$B:$B,0)),""))</f>
        <v>4</v>
      </c>
      <c r="D1060" s="4" t="str">
        <f>IF(B1060="","",IFERROR(INDEX(Client_List!$D:$D,MATCH(B1060,Client_List!$B:$B,0)),""))</f>
        <v>4A</v>
      </c>
      <c r="E1060" s="4" t="str">
        <f>IF(B1060="","",IFERROR(INDEX(Client_List!$K:$K,MATCH(B1060,Client_List!$B:$B,0)),""))</f>
        <v>CANOLA OIL</v>
      </c>
      <c r="F1060" s="5">
        <f>IF(B1060="","",IFERROR(INDEX(Client_List!$J:$J,MATCH(B1060,Client_List!$B:$B,0)),""))</f>
        <v>480</v>
      </c>
      <c r="G1060" s="5">
        <v>214</v>
      </c>
      <c r="H1060" s="4">
        <f>IF(B1060="","",IFERROR(A1060-LOOKUP(2,1/($B$4:$B1059=B1060),$A$4:$A1059),""))</f>
        <v>9</v>
      </c>
      <c r="I1060" s="72">
        <f t="shared" si="16"/>
        <v>23.777777777777779</v>
      </c>
      <c r="J1060" s="4"/>
      <c r="K1060" s="6">
        <f>IF(B1060="","",IFERROR(AVERAGEIFS($I$4:$I1060,$B$4:$B1060,B1060,$I$4:$I1060,"&gt;"&amp;0),""))</f>
        <v>25.688909238909236</v>
      </c>
      <c r="L1060" s="4" t="str">
        <f>IF(B1060="","",IF(ISNA(MATCH(B1060,Client_List!$B:$B,0)),"⚠ NOT FOUND","✓"))</f>
        <v>✓</v>
      </c>
    </row>
    <row r="1061" spans="1:12" ht="14" customHeight="1" x14ac:dyDescent="0.2">
      <c r="A1061" s="57">
        <v>46110</v>
      </c>
      <c r="B1061" s="7" t="s">
        <v>240</v>
      </c>
      <c r="C1061" s="12" t="str">
        <f>IF(B1061="","",IFERROR(INDEX(Client_List!$C:$C,MATCH(B1061,Client_List!$B:$B,0)),""))</f>
        <v>5</v>
      </c>
      <c r="D1061" s="9" t="str">
        <f>IF(B1061="","",IFERROR(INDEX(Client_List!$D:$D,MATCH(B1061,Client_List!$B:$B,0)),""))</f>
        <v>5F</v>
      </c>
      <c r="E1061" s="9" t="str">
        <f>IF(B1061="","",IFERROR(INDEX(Client_List!$K:$K,MATCH(B1061,Client_List!$B:$B,0)),""))</f>
        <v>CANOLA OIL</v>
      </c>
      <c r="F1061" s="10">
        <f>IF(B1061="","",IFERROR(INDEX(Client_List!$J:$J,MATCH(B1061,Client_List!$B:$B,0)),""))</f>
        <v>350</v>
      </c>
      <c r="G1061" s="10">
        <v>172</v>
      </c>
      <c r="H1061" s="9">
        <f>IF(B1061="","",IFERROR(A1061-LOOKUP(2,1/($B$4:$B1060=B1061),$A$4:$A1060),""))</f>
        <v>10</v>
      </c>
      <c r="I1061" s="73">
        <f t="shared" si="16"/>
        <v>17.2</v>
      </c>
      <c r="J1061" s="9"/>
      <c r="K1061" s="6">
        <f>IF(B1061="","",IFERROR(AVERAGEIFS($I$4:$I1061,$B$4:$B1061,B1061,$I$4:$I1061,"&gt;"&amp;0),""))</f>
        <v>29.156486568986569</v>
      </c>
      <c r="L1061" s="9" t="str">
        <f>IF(B1061="","",IF(ISNA(MATCH(B1061,Client_List!$B:$B,0)),"⚠ NOT FOUND","✓"))</f>
        <v>✓</v>
      </c>
    </row>
    <row r="1062" spans="1:12" ht="14" customHeight="1" x14ac:dyDescent="0.2">
      <c r="A1062" s="56">
        <v>46110</v>
      </c>
      <c r="B1062" s="2" t="s">
        <v>262</v>
      </c>
      <c r="C1062" s="8" t="str">
        <f>IF(B1062="","",IFERROR(INDEX(Client_List!$C:$C,MATCH(B1062,Client_List!$B:$B,0)),""))</f>
        <v>2</v>
      </c>
      <c r="D1062" s="4" t="str">
        <f>IF(B1062="","",IFERROR(INDEX(Client_List!$D:$D,MATCH(B1062,Client_List!$B:$B,0)),""))</f>
        <v>2C</v>
      </c>
      <c r="E1062" s="4" t="str">
        <f>IF(B1062="","",IFERROR(INDEX(Client_List!$K:$K,MATCH(B1062,Client_List!$B:$B,0)),""))</f>
        <v>CANOLA OIL</v>
      </c>
      <c r="F1062" s="5">
        <f>IF(B1062="","",IFERROR(INDEX(Client_List!$J:$J,MATCH(B1062,Client_List!$B:$B,0)),""))</f>
        <v>1950</v>
      </c>
      <c r="G1062" s="5">
        <v>1555</v>
      </c>
      <c r="H1062" s="4">
        <f>IF(B1062="","",IFERROR(A1062-LOOKUP(2,1/($B$4:$B1061=B1062),$A$4:$A1061),""))</f>
        <v>9</v>
      </c>
      <c r="I1062" s="72">
        <f t="shared" si="16"/>
        <v>172.77777777777777</v>
      </c>
      <c r="J1062" s="4"/>
      <c r="K1062" s="6">
        <f>IF(B1062="","",IFERROR(AVERAGEIFS($I$4:$I1062,$B$4:$B1062,B1062,$I$4:$I1062,"&gt;"&amp;0),""))</f>
        <v>165.30246913580245</v>
      </c>
      <c r="L1062" s="4" t="str">
        <f>IF(B1062="","",IF(ISNA(MATCH(B1062,Client_List!$B:$B,0)),"⚠ NOT FOUND","✓"))</f>
        <v>✓</v>
      </c>
    </row>
    <row r="1063" spans="1:12" ht="14" customHeight="1" x14ac:dyDescent="0.2">
      <c r="A1063" s="57">
        <v>46110</v>
      </c>
      <c r="B1063" s="7" t="s">
        <v>324</v>
      </c>
      <c r="C1063" s="3" t="str">
        <f>IF(B1063="","",IFERROR(INDEX(Client_List!$C:$C,MATCH(B1063,Client_List!$B:$B,0)),""))</f>
        <v>4</v>
      </c>
      <c r="D1063" s="9" t="str">
        <f>IF(B1063="","",IFERROR(INDEX(Client_List!$D:$D,MATCH(B1063,Client_List!$B:$B,0)),""))</f>
        <v>4B</v>
      </c>
      <c r="E1063" s="9" t="str">
        <f>IF(B1063="","",IFERROR(INDEX(Client_List!$K:$K,MATCH(B1063,Client_List!$B:$B,0)),""))</f>
        <v>CANOLA OIL</v>
      </c>
      <c r="F1063" s="10">
        <f>IF(B1063="","",IFERROR(INDEX(Client_List!$J:$J,MATCH(B1063,Client_List!$B:$B,0)),""))</f>
        <v>1050</v>
      </c>
      <c r="G1063" s="10">
        <v>915</v>
      </c>
      <c r="H1063" s="9">
        <f>IF(B1063="","",IFERROR(A1063-LOOKUP(2,1/($B$4:$B1062=B1063),$A$4:$A1062),""))</f>
        <v>17</v>
      </c>
      <c r="I1063" s="73">
        <f t="shared" si="16"/>
        <v>53.823529411764703</v>
      </c>
      <c r="J1063" s="9"/>
      <c r="K1063" s="6">
        <f>IF(B1063="","",IFERROR(AVERAGEIFS($I$4:$I1063,$B$4:$B1063,B1063,$I$4:$I1063,"&gt;"&amp;0),""))</f>
        <v>136.16916539343012</v>
      </c>
      <c r="L1063" s="9" t="str">
        <f>IF(B1063="","",IF(ISNA(MATCH(B1063,Client_List!$B:$B,0)),"⚠ NOT FOUND","✓"))</f>
        <v>✓</v>
      </c>
    </row>
    <row r="1064" spans="1:12" ht="14" customHeight="1" x14ac:dyDescent="0.2">
      <c r="A1064" s="56">
        <v>46110</v>
      </c>
      <c r="B1064" s="2" t="s">
        <v>332</v>
      </c>
      <c r="C1064" s="3" t="str">
        <f>IF(B1064="","",IFERROR(INDEX(Client_List!$C:$C,MATCH(B1064,Client_List!$B:$B,0)),""))</f>
        <v>2</v>
      </c>
      <c r="D1064" s="4" t="str">
        <f>IF(B1064="","",IFERROR(INDEX(Client_List!$D:$D,MATCH(B1064,Client_List!$B:$B,0)),""))</f>
        <v>2C</v>
      </c>
      <c r="E1064" s="4" t="str">
        <f>IF(B1064="","",IFERROR(INDEX(Client_List!$K:$K,MATCH(B1064,Client_List!$B:$B,0)),""))</f>
        <v>CANOLA OIL</v>
      </c>
      <c r="F1064" s="5">
        <f>IF(B1064="","",IFERROR(INDEX(Client_List!$J:$J,MATCH(B1064,Client_List!$B:$B,0)),""))</f>
        <v>1050</v>
      </c>
      <c r="G1064" s="5">
        <v>819</v>
      </c>
      <c r="H1064" s="4">
        <f>IF(B1064="","",IFERROR(A1064-LOOKUP(2,1/($B$4:$B1063=B1064),$A$4:$A1063),""))</f>
        <v>15</v>
      </c>
      <c r="I1064" s="72">
        <f t="shared" si="16"/>
        <v>54.6</v>
      </c>
      <c r="J1064" s="4"/>
      <c r="K1064" s="6">
        <f>IF(B1064="","",IFERROR(AVERAGEIFS($I$4:$I1064,$B$4:$B1064,B1064,$I$4:$I1064,"&gt;"&amp;0),""))</f>
        <v>45.591666666666669</v>
      </c>
      <c r="L1064" s="4" t="str">
        <f>IF(B1064="","",IF(ISNA(MATCH(B1064,Client_List!$B:$B,0)),"⚠ NOT FOUND","✓"))</f>
        <v>✓</v>
      </c>
    </row>
    <row r="1065" spans="1:12" ht="14" customHeight="1" x14ac:dyDescent="0.2">
      <c r="A1065" s="57">
        <v>46110</v>
      </c>
      <c r="B1065" s="7" t="s">
        <v>340</v>
      </c>
      <c r="C1065" s="12" t="str">
        <f>IF(B1065="","",IFERROR(INDEX(Client_List!$C:$C,MATCH(B1065,Client_List!$B:$B,0)),""))</f>
        <v>2</v>
      </c>
      <c r="D1065" s="9" t="str">
        <f>IF(B1065="","",IFERROR(INDEX(Client_List!$D:$D,MATCH(B1065,Client_List!$B:$B,0)),""))</f>
        <v>2C</v>
      </c>
      <c r="E1065" s="9" t="str">
        <f>IF(B1065="","",IFERROR(INDEX(Client_List!$K:$K,MATCH(B1065,Client_List!$B:$B,0)),""))</f>
        <v>FRYERS CHOICE BLEND</v>
      </c>
      <c r="F1065" s="10">
        <f>IF(B1065="","",IFERROR(INDEX(Client_List!$J:$J,MATCH(B1065,Client_List!$B:$B,0)),""))</f>
        <v>300</v>
      </c>
      <c r="G1065" s="10">
        <v>371</v>
      </c>
      <c r="H1065" s="9">
        <f>IF(B1065="","",IFERROR(A1065-LOOKUP(2,1/($B$4:$B1064=B1065),$A$4:$A1064),""))</f>
        <v>10</v>
      </c>
      <c r="I1065" s="73">
        <f t="shared" si="16"/>
        <v>37.1</v>
      </c>
      <c r="J1065" s="9"/>
      <c r="K1065" s="6">
        <f>IF(B1065="","",IFERROR(AVERAGEIFS($I$4:$I1065,$B$4:$B1065,B1065,$I$4:$I1065,"&gt;"&amp;0),""))</f>
        <v>31.899935249935247</v>
      </c>
      <c r="L1065" s="9" t="str">
        <f>IF(B1065="","",IF(ISNA(MATCH(B1065,Client_List!$B:$B,0)),"⚠ NOT FOUND","✓"))</f>
        <v>✓</v>
      </c>
    </row>
    <row r="1066" spans="1:12" ht="14" customHeight="1" x14ac:dyDescent="0.2">
      <c r="A1066" s="56">
        <v>46110</v>
      </c>
      <c r="B1066" s="2" t="s">
        <v>342</v>
      </c>
      <c r="C1066" s="3" t="str">
        <f>IF(B1066="","",IFERROR(INDEX(Client_List!$C:$C,MATCH(B1066,Client_List!$B:$B,0)),""))</f>
        <v>4</v>
      </c>
      <c r="D1066" s="4" t="str">
        <f>IF(B1066="","",IFERROR(INDEX(Client_List!$D:$D,MATCH(B1066,Client_List!$B:$B,0)),""))</f>
        <v>4A</v>
      </c>
      <c r="E1066" s="4" t="str">
        <f>IF(B1066="","",IFERROR(INDEX(Client_List!$K:$K,MATCH(B1066,Client_List!$B:$B,0)),""))</f>
        <v>FRYERS CHOICE BLEND</v>
      </c>
      <c r="F1066" s="5">
        <f>IF(B1066="","",IFERROR(INDEX(Client_List!$J:$J,MATCH(B1066,Client_List!$B:$B,0)),""))</f>
        <v>630</v>
      </c>
      <c r="G1066" s="5">
        <v>548</v>
      </c>
      <c r="H1066" s="4">
        <f>IF(B1066="","",IFERROR(A1066-LOOKUP(2,1/($B$4:$B1065=B1066),$A$4:$A1065),""))</f>
        <v>14</v>
      </c>
      <c r="I1066" s="72">
        <f t="shared" si="16"/>
        <v>39.142857142857146</v>
      </c>
      <c r="J1066" s="4"/>
      <c r="K1066" s="6">
        <f>IF(B1066="","",IFERROR(AVERAGEIFS($I$4:$I1066,$B$4:$B1066,B1066,$I$4:$I1066,"&gt;"&amp;0),""))</f>
        <v>39.108220945720952</v>
      </c>
      <c r="L1066" s="4" t="str">
        <f>IF(B1066="","",IF(ISNA(MATCH(B1066,Client_List!$B:$B,0)),"⚠ NOT FOUND","✓"))</f>
        <v>✓</v>
      </c>
    </row>
    <row r="1067" spans="1:12" ht="14" customHeight="1" x14ac:dyDescent="0.2">
      <c r="A1067" s="57">
        <v>46112</v>
      </c>
      <c r="B1067" s="7" t="s">
        <v>38</v>
      </c>
      <c r="C1067" s="12" t="str">
        <f>IF(B1067="","",IFERROR(INDEX(Client_List!$C:$C,MATCH(B1067,Client_List!$B:$B,0)),""))</f>
        <v>4</v>
      </c>
      <c r="D1067" s="9" t="str">
        <f>IF(B1067="","",IFERROR(INDEX(Client_List!$D:$D,MATCH(B1067,Client_List!$B:$B,0)),""))</f>
        <v>4C</v>
      </c>
      <c r="E1067" s="9" t="str">
        <f>IF(B1067="","",IFERROR(INDEX(Client_List!$K:$K,MATCH(B1067,Client_List!$B:$B,0)),""))</f>
        <v>CANOLA OIL</v>
      </c>
      <c r="F1067" s="10">
        <f>IF(B1067="","",IFERROR(INDEX(Client_List!$J:$J,MATCH(B1067,Client_List!$B:$B,0)),""))</f>
        <v>900</v>
      </c>
      <c r="G1067" s="10">
        <v>684</v>
      </c>
      <c r="H1067" s="9">
        <f>IF(B1067="","",IFERROR(A1067-LOOKUP(2,1/($B$4:$B1066=B1067),$A$4:$A1066),""))</f>
        <v>14</v>
      </c>
      <c r="I1067" s="73">
        <f t="shared" si="16"/>
        <v>48.857142857142854</v>
      </c>
      <c r="J1067" s="9"/>
      <c r="K1067" s="6">
        <f>IF(B1067="","",IFERROR(AVERAGEIFS($I$4:$I1067,$B$4:$B1067,B1067,$I$4:$I1067,"&gt;"&amp;0),""))</f>
        <v>50.074834656084654</v>
      </c>
      <c r="L1067" s="9" t="str">
        <f>IF(B1067="","",IF(ISNA(MATCH(B1067,Client_List!$B:$B,0)),"⚠ NOT FOUND","✓"))</f>
        <v>✓</v>
      </c>
    </row>
    <row r="1068" spans="1:12" ht="14" customHeight="1" x14ac:dyDescent="0.2">
      <c r="A1068" s="56">
        <v>46112</v>
      </c>
      <c r="B1068" s="2" t="s">
        <v>54</v>
      </c>
      <c r="C1068" s="12" t="str">
        <f>IF(B1068="","",IFERROR(INDEX(Client_List!$C:$C,MATCH(B1068,Client_List!$B:$B,0)),""))</f>
        <v>4</v>
      </c>
      <c r="D1068" s="4" t="str">
        <f>IF(B1068="","",IFERROR(INDEX(Client_List!$D:$D,MATCH(B1068,Client_List!$B:$B,0)),""))</f>
        <v>4F</v>
      </c>
      <c r="E1068" s="4" t="str">
        <f>IF(B1068="","",IFERROR(INDEX(Client_List!$K:$K,MATCH(B1068,Client_List!$B:$B,0)),""))</f>
        <v>CANOLA OIL</v>
      </c>
      <c r="F1068" s="5">
        <f>IF(B1068="","",IFERROR(INDEX(Client_List!$J:$J,MATCH(B1068,Client_List!$B:$B,0)),""))</f>
        <v>1000</v>
      </c>
      <c r="G1068" s="5">
        <v>948</v>
      </c>
      <c r="H1068" s="4">
        <f>IF(B1068="","",IFERROR(A1068-LOOKUP(2,1/($B$4:$B1067=B1068),$A$4:$A1067),""))</f>
        <v>14</v>
      </c>
      <c r="I1068" s="72">
        <f t="shared" si="16"/>
        <v>67.714285714285708</v>
      </c>
      <c r="J1068" s="4"/>
      <c r="K1068" s="6">
        <f>IF(B1068="","",IFERROR(AVERAGEIFS($I$4:$I1068,$B$4:$B1068,B1068,$I$4:$I1068,"&gt;"&amp;0),""))</f>
        <v>67.879365079365087</v>
      </c>
      <c r="L1068" s="4" t="str">
        <f>IF(B1068="","",IF(ISNA(MATCH(B1068,Client_List!$B:$B,0)),"⚠ NOT FOUND","✓"))</f>
        <v>✓</v>
      </c>
    </row>
    <row r="1069" spans="1:12" ht="14" customHeight="1" x14ac:dyDescent="0.2">
      <c r="A1069" s="57">
        <v>46112</v>
      </c>
      <c r="B1069" s="7" t="s">
        <v>67</v>
      </c>
      <c r="C1069" s="3" t="str">
        <f>IF(B1069="","",IFERROR(INDEX(Client_List!$C:$C,MATCH(B1069,Client_List!$B:$B,0)),""))</f>
        <v>5</v>
      </c>
      <c r="D1069" s="9" t="str">
        <f>IF(B1069="","",IFERROR(INDEX(Client_List!$D:$D,MATCH(B1069,Client_List!$B:$B,0)),""))</f>
        <v>5F</v>
      </c>
      <c r="E1069" s="9" t="str">
        <f>IF(B1069="","",IFERROR(INDEX(Client_List!$K:$K,MATCH(B1069,Client_List!$B:$B,0)),""))</f>
        <v>CANOLA OIL</v>
      </c>
      <c r="F1069" s="10">
        <f>IF(B1069="","",IFERROR(INDEX(Client_List!$J:$J,MATCH(B1069,Client_List!$B:$B,0)),""))</f>
        <v>950</v>
      </c>
      <c r="G1069" s="10">
        <v>760</v>
      </c>
      <c r="H1069" s="9">
        <f>IF(B1069="","",IFERROR(A1069-LOOKUP(2,1/($B$4:$B1068=B1069),$A$4:$A1068),""))</f>
        <v>3</v>
      </c>
      <c r="I1069" s="73">
        <f t="shared" si="16"/>
        <v>253.33333333333334</v>
      </c>
      <c r="J1069" s="9"/>
      <c r="K1069" s="6">
        <f>IF(B1069="","",IFERROR(AVERAGEIFS($I$4:$I1069,$B$4:$B1069,B1069,$I$4:$I1069,"&gt;"&amp;0),""))</f>
        <v>104.96269480519479</v>
      </c>
      <c r="L1069" s="9" t="str">
        <f>IF(B1069="","",IF(ISNA(MATCH(B1069,Client_List!$B:$B,0)),"⚠ NOT FOUND","✓"))</f>
        <v>✓</v>
      </c>
    </row>
    <row r="1070" spans="1:12" ht="14" customHeight="1" x14ac:dyDescent="0.2">
      <c r="A1070" s="56">
        <v>46112</v>
      </c>
      <c r="B1070" s="2" t="s">
        <v>120</v>
      </c>
      <c r="C1070" s="13" t="str">
        <f>IF(B1070="","",IFERROR(INDEX(Client_List!$C:$C,MATCH(B1070,Client_List!$B:$B,0)),""))</f>
        <v>5</v>
      </c>
      <c r="D1070" s="4" t="str">
        <f>IF(B1070="","",IFERROR(INDEX(Client_List!$D:$D,MATCH(B1070,Client_List!$B:$B,0)),""))</f>
        <v>5D</v>
      </c>
      <c r="E1070" s="4" t="str">
        <f>IF(B1070="","",IFERROR(INDEX(Client_List!$K:$K,MATCH(B1070,Client_List!$B:$B,0)),""))</f>
        <v>FRYERS CHOICE BLEND</v>
      </c>
      <c r="F1070" s="5">
        <f>IF(B1070="","",IFERROR(INDEX(Client_List!$J:$J,MATCH(B1070,Client_List!$B:$B,0)),""))</f>
        <v>450</v>
      </c>
      <c r="G1070" s="5">
        <v>449</v>
      </c>
      <c r="H1070" s="4">
        <f>IF(B1070="","",IFERROR(A1070-LOOKUP(2,1/($B$4:$B1069=B1070),$A$4:$A1069),""))</f>
        <v>11</v>
      </c>
      <c r="I1070" s="72">
        <f t="shared" si="16"/>
        <v>40.81818181818182</v>
      </c>
      <c r="J1070" s="4"/>
      <c r="K1070" s="6">
        <f>IF(B1070="","",IFERROR(AVERAGEIFS($I$4:$I1070,$B$4:$B1070,B1070,$I$4:$I1070,"&gt;"&amp;0),""))</f>
        <v>40.970683020683026</v>
      </c>
      <c r="L1070" s="4" t="str">
        <f>IF(B1070="","",IF(ISNA(MATCH(B1070,Client_List!$B:$B,0)),"⚠ NOT FOUND","✓"))</f>
        <v>✓</v>
      </c>
    </row>
    <row r="1071" spans="1:12" ht="14" customHeight="1" x14ac:dyDescent="0.2">
      <c r="A1071" s="57">
        <v>46112</v>
      </c>
      <c r="B1071" s="7" t="s">
        <v>128</v>
      </c>
      <c r="C1071" s="3" t="str">
        <f>IF(B1071="","",IFERROR(INDEX(Client_List!$C:$C,MATCH(B1071,Client_List!$B:$B,0)),""))</f>
        <v>4</v>
      </c>
      <c r="D1071" s="9" t="str">
        <f>IF(B1071="","",IFERROR(INDEX(Client_List!$D:$D,MATCH(B1071,Client_List!$B:$B,0)),""))</f>
        <v>4E</v>
      </c>
      <c r="E1071" s="9" t="str">
        <f>IF(B1071="","",IFERROR(INDEX(Client_List!$K:$K,MATCH(B1071,Client_List!$B:$B,0)),""))</f>
        <v>CANOLA OIL</v>
      </c>
      <c r="F1071" s="10">
        <f>IF(B1071="","",IFERROR(INDEX(Client_List!$J:$J,MATCH(B1071,Client_List!$B:$B,0)),""))</f>
        <v>700</v>
      </c>
      <c r="G1071" s="10">
        <v>474</v>
      </c>
      <c r="H1071" s="9">
        <f>IF(B1071="","",IFERROR(A1071-LOOKUP(2,1/($B$4:$B1070=B1071),$A$4:$A1070),""))</f>
        <v>6</v>
      </c>
      <c r="I1071" s="73">
        <f t="shared" si="16"/>
        <v>79</v>
      </c>
      <c r="J1071" s="9"/>
      <c r="K1071" s="6">
        <f>IF(B1071="","",IFERROR(AVERAGEIFS($I$4:$I1071,$B$4:$B1071,B1071,$I$4:$I1071,"&gt;"&amp;0),""))</f>
        <v>73.192526455026467</v>
      </c>
      <c r="L1071" s="9" t="str">
        <f>IF(B1071="","",IF(ISNA(MATCH(B1071,Client_List!$B:$B,0)),"⚠ NOT FOUND","✓"))</f>
        <v>✓</v>
      </c>
    </row>
    <row r="1072" spans="1:12" ht="14" customHeight="1" x14ac:dyDescent="0.2">
      <c r="A1072" s="56">
        <v>46112</v>
      </c>
      <c r="B1072" s="2" t="s">
        <v>136</v>
      </c>
      <c r="C1072" s="3" t="str">
        <f>IF(B1072="","",IFERROR(INDEX(Client_List!$C:$C,MATCH(B1072,Client_List!$B:$B,0)),""))</f>
        <v>5</v>
      </c>
      <c r="D1072" s="4" t="str">
        <f>IF(B1072="","",IFERROR(INDEX(Client_List!$D:$D,MATCH(B1072,Client_List!$B:$B,0)),""))</f>
        <v>5F</v>
      </c>
      <c r="E1072" s="4" t="str">
        <f>IF(B1072="","",IFERROR(INDEX(Client_List!$K:$K,MATCH(B1072,Client_List!$B:$B,0)),""))</f>
        <v>FRYERS CHOICE BLEND</v>
      </c>
      <c r="F1072" s="5">
        <f>IF(B1072="","",IFERROR(INDEX(Client_List!$J:$J,MATCH(B1072,Client_List!$B:$B,0)),""))</f>
        <v>480</v>
      </c>
      <c r="G1072" s="5">
        <v>408</v>
      </c>
      <c r="H1072" s="4">
        <f>IF(B1072="","",IFERROR(A1072-LOOKUP(2,1/($B$4:$B1071=B1072),$A$4:$A1071),""))</f>
        <v>11</v>
      </c>
      <c r="I1072" s="72">
        <f t="shared" si="16"/>
        <v>37.090909090909093</v>
      </c>
      <c r="J1072" s="4"/>
      <c r="K1072" s="6">
        <f>IF(B1072="","",IFERROR(AVERAGEIFS($I$4:$I1072,$B$4:$B1072,B1072,$I$4:$I1072,"&gt;"&amp;0),""))</f>
        <v>42.542370129870136</v>
      </c>
      <c r="L1072" s="4" t="str">
        <f>IF(B1072="","",IF(ISNA(MATCH(B1072,Client_List!$B:$B,0)),"⚠ NOT FOUND","✓"))</f>
        <v>✓</v>
      </c>
    </row>
    <row r="1073" spans="1:12" ht="14" customHeight="1" x14ac:dyDescent="0.2">
      <c r="A1073" s="57">
        <v>46112</v>
      </c>
      <c r="B1073" s="7" t="s">
        <v>148</v>
      </c>
      <c r="C1073" s="8" t="str">
        <f>IF(B1073="","",IFERROR(INDEX(Client_List!$C:$C,MATCH(B1073,Client_List!$B:$B,0)),""))</f>
        <v>4</v>
      </c>
      <c r="D1073" s="9" t="str">
        <f>IF(B1073="","",IFERROR(INDEX(Client_List!$D:$D,MATCH(B1073,Client_List!$B:$B,0)),""))</f>
        <v>4B</v>
      </c>
      <c r="E1073" s="9" t="str">
        <f>IF(B1073="","",IFERROR(INDEX(Client_List!$K:$K,MATCH(B1073,Client_List!$B:$B,0)),""))</f>
        <v>FRYERS CHOICE BLEND</v>
      </c>
      <c r="F1073" s="10">
        <f>IF(B1073="","",IFERROR(INDEX(Client_List!$J:$J,MATCH(B1073,Client_List!$B:$B,0)),""))</f>
        <v>950</v>
      </c>
      <c r="G1073" s="10">
        <v>950</v>
      </c>
      <c r="H1073" s="9">
        <f>IF(B1073="","",IFERROR(A1073-LOOKUP(2,1/($B$4:$B1072=B1073),$A$4:$A1072),""))</f>
        <v>11</v>
      </c>
      <c r="I1073" s="73">
        <f t="shared" si="16"/>
        <v>86.36363636363636</v>
      </c>
      <c r="J1073" s="9"/>
      <c r="K1073" s="6">
        <f>IF(B1073="","",IFERROR(AVERAGEIFS($I$4:$I1073,$B$4:$B1073,B1073,$I$4:$I1073,"&gt;"&amp;0),""))</f>
        <v>84.006637806637798</v>
      </c>
      <c r="L1073" s="9" t="str">
        <f>IF(B1073="","",IF(ISNA(MATCH(B1073,Client_List!$B:$B,0)),"⚠ NOT FOUND","✓"))</f>
        <v>✓</v>
      </c>
    </row>
    <row r="1074" spans="1:12" ht="14" customHeight="1" x14ac:dyDescent="0.2">
      <c r="A1074" s="56">
        <v>46112</v>
      </c>
      <c r="B1074" s="2" t="s">
        <v>176</v>
      </c>
      <c r="C1074" s="3" t="str">
        <f>IF(B1074="","",IFERROR(INDEX(Client_List!$C:$C,MATCH(B1074,Client_List!$B:$B,0)),""))</f>
        <v>4</v>
      </c>
      <c r="D1074" s="4" t="str">
        <f>IF(B1074="","",IFERROR(INDEX(Client_List!$D:$D,MATCH(B1074,Client_List!$B:$B,0)),""))</f>
        <v>4F</v>
      </c>
      <c r="E1074" s="4" t="str">
        <f>IF(B1074="","",IFERROR(INDEX(Client_List!$K:$K,MATCH(B1074,Client_List!$B:$B,0)),""))</f>
        <v>CANOLA OIL</v>
      </c>
      <c r="F1074" s="5">
        <f>IF(B1074="","",IFERROR(INDEX(Client_List!$J:$J,MATCH(B1074,Client_List!$B:$B,0)),""))</f>
        <v>950</v>
      </c>
      <c r="G1074" s="5">
        <v>692</v>
      </c>
      <c r="H1074" s="4">
        <f>IF(B1074="","",IFERROR(A1074-LOOKUP(2,1/($B$4:$B1073=B1074),$A$4:$A1073),""))</f>
        <v>14</v>
      </c>
      <c r="I1074" s="72">
        <f t="shared" si="16"/>
        <v>49.428571428571431</v>
      </c>
      <c r="J1074" s="4"/>
      <c r="K1074" s="6">
        <f>IF(B1074="","",IFERROR(AVERAGEIFS($I$4:$I1074,$B$4:$B1074,B1074,$I$4:$I1074,"&gt;"&amp;0),""))</f>
        <v>47.86585359085359</v>
      </c>
      <c r="L1074" s="4" t="str">
        <f>IF(B1074="","",IF(ISNA(MATCH(B1074,Client_List!$B:$B,0)),"⚠ NOT FOUND","✓"))</f>
        <v>✓</v>
      </c>
    </row>
    <row r="1075" spans="1:12" ht="14" customHeight="1" x14ac:dyDescent="0.2">
      <c r="A1075" s="57">
        <v>46112</v>
      </c>
      <c r="B1075" s="7" t="s">
        <v>192</v>
      </c>
      <c r="C1075" s="8" t="str">
        <f>IF(B1075="","",IFERROR(INDEX(Client_List!$C:$C,MATCH(B1075,Client_List!$B:$B,0)),""))</f>
        <v>4</v>
      </c>
      <c r="D1075" s="9" t="str">
        <f>IF(B1075="","",IFERROR(INDEX(Client_List!$D:$D,MATCH(B1075,Client_List!$B:$B,0)),""))</f>
        <v>4C</v>
      </c>
      <c r="E1075" s="9" t="str">
        <f>IF(B1075="","",IFERROR(INDEX(Client_List!$K:$K,MATCH(B1075,Client_List!$B:$B,0)),""))</f>
        <v>CANOLA OIL</v>
      </c>
      <c r="F1075" s="10">
        <f>IF(B1075="","",IFERROR(INDEX(Client_List!$J:$J,MATCH(B1075,Client_List!$B:$B,0)),""))</f>
        <v>350</v>
      </c>
      <c r="G1075" s="10">
        <v>346</v>
      </c>
      <c r="H1075" s="9">
        <f>IF(B1075="","",IFERROR(A1075-LOOKUP(2,1/($B$4:$B1074=B1075),$A$4:$A1074),""))</f>
        <v>32</v>
      </c>
      <c r="I1075" s="73">
        <f t="shared" si="16"/>
        <v>10.8125</v>
      </c>
      <c r="J1075" s="9"/>
      <c r="K1075" s="6">
        <f>IF(B1075="","",IFERROR(AVERAGEIFS($I$4:$I1075,$B$4:$B1075,B1075,$I$4:$I1075,"&gt;"&amp;0),""))</f>
        <v>9.790865384615385</v>
      </c>
      <c r="L1075" s="9" t="str">
        <f>IF(B1075="","",IF(ISNA(MATCH(B1075,Client_List!$B:$B,0)),"⚠ NOT FOUND","✓"))</f>
        <v>✓</v>
      </c>
    </row>
    <row r="1076" spans="1:12" ht="14" customHeight="1" x14ac:dyDescent="0.2">
      <c r="A1076" s="56">
        <v>46112</v>
      </c>
      <c r="B1076" s="2" t="s">
        <v>206</v>
      </c>
      <c r="C1076" s="11" t="str">
        <f>IF(B1076="","",IFERROR(INDEX(Client_List!$C:$C,MATCH(B1076,Client_List!$B:$B,0)),""))</f>
        <v>4</v>
      </c>
      <c r="D1076" s="4" t="str">
        <f>IF(B1076="","",IFERROR(INDEX(Client_List!$D:$D,MATCH(B1076,Client_List!$B:$B,0)),""))</f>
        <v>4C</v>
      </c>
      <c r="E1076" s="4" t="str">
        <f>IF(B1076="","",IFERROR(INDEX(Client_List!$K:$K,MATCH(B1076,Client_List!$B:$B,0)),""))</f>
        <v>CANOLA OIL</v>
      </c>
      <c r="F1076" s="5">
        <f>IF(B1076="","",IFERROR(INDEX(Client_List!$J:$J,MATCH(B1076,Client_List!$B:$B,0)),""))</f>
        <v>1050</v>
      </c>
      <c r="G1076" s="5">
        <v>944</v>
      </c>
      <c r="H1076" s="4">
        <f>IF(B1076="","",IFERROR(A1076-LOOKUP(2,1/($B$4:$B1075=B1076),$A$4:$A1075),""))</f>
        <v>9</v>
      </c>
      <c r="I1076" s="72">
        <f t="shared" si="16"/>
        <v>104.88888888888889</v>
      </c>
      <c r="J1076" s="4"/>
      <c r="K1076" s="6">
        <f>IF(B1076="","",IFERROR(AVERAGEIFS($I$4:$I1076,$B$4:$B1076,B1076,$I$4:$I1076,"&gt;"&amp;0),""))</f>
        <v>87.141885891885892</v>
      </c>
      <c r="L1076" s="4" t="str">
        <f>IF(B1076="","",IF(ISNA(MATCH(B1076,Client_List!$B:$B,0)),"⚠ NOT FOUND","✓"))</f>
        <v>✓</v>
      </c>
    </row>
    <row r="1077" spans="1:12" ht="14" customHeight="1" x14ac:dyDescent="0.2">
      <c r="A1077" s="57">
        <v>46112</v>
      </c>
      <c r="B1077" s="7" t="s">
        <v>242</v>
      </c>
      <c r="C1077" s="8" t="str">
        <f>IF(B1077="","",IFERROR(INDEX(Client_List!$C:$C,MATCH(B1077,Client_List!$B:$B,0)),""))</f>
        <v>4</v>
      </c>
      <c r="D1077" s="9" t="str">
        <f>IF(B1077="","",IFERROR(INDEX(Client_List!$D:$D,MATCH(B1077,Client_List!$B:$B,0)),""))</f>
        <v>4D</v>
      </c>
      <c r="E1077" s="9" t="str">
        <f>IF(B1077="","",IFERROR(INDEX(Client_List!$K:$K,MATCH(B1077,Client_List!$B:$B,0)),""))</f>
        <v>FRYERS CHOICE BLEND</v>
      </c>
      <c r="F1077" s="10">
        <f>IF(B1077="","",IFERROR(INDEX(Client_List!$J:$J,MATCH(B1077,Client_List!$B:$B,0)),""))</f>
        <v>950</v>
      </c>
      <c r="G1077" s="10">
        <v>721</v>
      </c>
      <c r="H1077" s="9">
        <f>IF(B1077="","",IFERROR(A1077-LOOKUP(2,1/($B$4:$B1076=B1077),$A$4:$A1076),""))</f>
        <v>11</v>
      </c>
      <c r="I1077" s="73">
        <f t="shared" si="16"/>
        <v>65.545454545454547</v>
      </c>
      <c r="J1077" s="9"/>
      <c r="K1077" s="6">
        <f>IF(B1077="","",IFERROR(AVERAGEIFS($I$4:$I1077,$B$4:$B1077,B1077,$I$4:$I1077,"&gt;"&amp;0),""))</f>
        <v>74.907709574376241</v>
      </c>
      <c r="L1077" s="9" t="str">
        <f>IF(B1077="","",IF(ISNA(MATCH(B1077,Client_List!$B:$B,0)),"⚠ NOT FOUND","✓"))</f>
        <v>✓</v>
      </c>
    </row>
    <row r="1078" spans="1:12" ht="14" customHeight="1" x14ac:dyDescent="0.2">
      <c r="A1078" s="56">
        <v>46112</v>
      </c>
      <c r="B1078" s="2" t="s">
        <v>248</v>
      </c>
      <c r="C1078" s="8" t="str">
        <f>IF(B1078="","",IFERROR(INDEX(Client_List!$C:$C,MATCH(B1078,Client_List!$B:$B,0)),""))</f>
        <v>3</v>
      </c>
      <c r="D1078" s="4" t="str">
        <f>IF(B1078="","",IFERROR(INDEX(Client_List!$D:$D,MATCH(B1078,Client_List!$B:$B,0)),""))</f>
        <v>3E</v>
      </c>
      <c r="E1078" s="4" t="str">
        <f>IF(B1078="","",IFERROR(INDEX(Client_List!$K:$K,MATCH(B1078,Client_List!$B:$B,0)),""))</f>
        <v>FRYERS CHOICE BLEND</v>
      </c>
      <c r="F1078" s="5">
        <f>IF(B1078="","",IFERROR(INDEX(Client_List!$J:$J,MATCH(B1078,Client_List!$B:$B,0)),""))</f>
        <v>950</v>
      </c>
      <c r="G1078" s="5">
        <v>635</v>
      </c>
      <c r="H1078" s="4">
        <f>IF(B1078="","",IFERROR(A1078-LOOKUP(2,1/($B$4:$B1077=B1078),$A$4:$A1077),""))</f>
        <v>10</v>
      </c>
      <c r="I1078" s="72">
        <f t="shared" si="16"/>
        <v>63.5</v>
      </c>
      <c r="J1078" s="4"/>
      <c r="K1078" s="6">
        <f>IF(B1078="","",IFERROR(AVERAGEIFS($I$4:$I1078,$B$4:$B1078,B1078,$I$4:$I1078,"&gt;"&amp;0),""))</f>
        <v>69.253246753246756</v>
      </c>
      <c r="L1078" s="4" t="str">
        <f>IF(B1078="","",IF(ISNA(MATCH(B1078,Client_List!$B:$B,0)),"⚠ NOT FOUND","✓"))</f>
        <v>✓</v>
      </c>
    </row>
    <row r="1079" spans="1:12" ht="14" customHeight="1" x14ac:dyDescent="0.2">
      <c r="A1079" s="57">
        <v>46112</v>
      </c>
      <c r="B1079" s="7" t="s">
        <v>252</v>
      </c>
      <c r="C1079" s="11" t="str">
        <f>IF(B1079="","",IFERROR(INDEX(Client_List!$C:$C,MATCH(B1079,Client_List!$B:$B,0)),""))</f>
        <v>4</v>
      </c>
      <c r="D1079" s="9" t="str">
        <f>IF(B1079="","",IFERROR(INDEX(Client_List!$D:$D,MATCH(B1079,Client_List!$B:$B,0)),""))</f>
        <v>4E</v>
      </c>
      <c r="E1079" s="9" t="str">
        <f>IF(B1079="","",IFERROR(INDEX(Client_List!$K:$K,MATCH(B1079,Client_List!$B:$B,0)),""))</f>
        <v>FRYERS CHOICE BLEND</v>
      </c>
      <c r="F1079" s="10">
        <f>IF(B1079="","",IFERROR(INDEX(Client_List!$J:$J,MATCH(B1079,Client_List!$B:$B,0)),""))</f>
        <v>1950</v>
      </c>
      <c r="G1079" s="10">
        <v>1881</v>
      </c>
      <c r="H1079" s="9">
        <f>IF(B1079="","",IFERROR(A1079-LOOKUP(2,1/($B$4:$B1078=B1079),$A$4:$A1078),""))</f>
        <v>14</v>
      </c>
      <c r="I1079" s="73">
        <f t="shared" si="16"/>
        <v>134.35714285714286</v>
      </c>
      <c r="J1079" s="9"/>
      <c r="K1079" s="6">
        <f>IF(B1079="","",IFERROR(AVERAGEIFS($I$4:$I1079,$B$4:$B1079,B1079,$I$4:$I1079,"&gt;"&amp;0),""))</f>
        <v>138.71854256854255</v>
      </c>
      <c r="L1079" s="9" t="str">
        <f>IF(B1079="","",IF(ISNA(MATCH(B1079,Client_List!$B:$B,0)),"⚠ NOT FOUND","✓"))</f>
        <v>✓</v>
      </c>
    </row>
    <row r="1080" spans="1:12" ht="14" customHeight="1" x14ac:dyDescent="0.2">
      <c r="A1080" s="56">
        <v>46112</v>
      </c>
      <c r="B1080" s="2" t="s">
        <v>256</v>
      </c>
      <c r="C1080" s="3" t="str">
        <f>IF(B1080="","",IFERROR(INDEX(Client_List!$C:$C,MATCH(B1080,Client_List!$B:$B,0)),""))</f>
        <v>3</v>
      </c>
      <c r="D1080" s="4" t="str">
        <f>IF(B1080="","",IFERROR(INDEX(Client_List!$D:$D,MATCH(B1080,Client_List!$B:$B,0)),""))</f>
        <v>3E</v>
      </c>
      <c r="E1080" s="4" t="str">
        <f>IF(B1080="","",IFERROR(INDEX(Client_List!$K:$K,MATCH(B1080,Client_List!$B:$B,0)),""))</f>
        <v>FRYERS CHOICE BLEND</v>
      </c>
      <c r="F1080" s="5">
        <f>IF(B1080="","",IFERROR(INDEX(Client_List!$J:$J,MATCH(B1080,Client_List!$B:$B,0)),""))</f>
        <v>950</v>
      </c>
      <c r="G1080" s="5">
        <v>912</v>
      </c>
      <c r="H1080" s="4">
        <f>IF(B1080="","",IFERROR(A1080-LOOKUP(2,1/($B$4:$B1079=B1080),$A$4:$A1079),""))</f>
        <v>7</v>
      </c>
      <c r="I1080" s="72">
        <f t="shared" si="16"/>
        <v>130.28571428571428</v>
      </c>
      <c r="J1080" s="4"/>
      <c r="K1080" s="6">
        <f>IF(B1080="","",IFERROR(AVERAGEIFS($I$4:$I1080,$B$4:$B1080,B1080,$I$4:$I1080,"&gt;"&amp;0),""))</f>
        <v>101.27199074074072</v>
      </c>
      <c r="L1080" s="4" t="str">
        <f>IF(B1080="","",IF(ISNA(MATCH(B1080,Client_List!$B:$B,0)),"⚠ NOT FOUND","✓"))</f>
        <v>✓</v>
      </c>
    </row>
    <row r="1081" spans="1:12" ht="14" customHeight="1" x14ac:dyDescent="0.2">
      <c r="A1081" s="58">
        <v>46112</v>
      </c>
      <c r="B1081" s="7" t="s">
        <v>304</v>
      </c>
      <c r="C1081" s="16" t="str">
        <f>IF(B1081="","",IFERROR(INDEX(Client_List!$C:$C,MATCH(B1081,Client_List!$B:$B,0)),""))</f>
        <v>3</v>
      </c>
      <c r="D1081" s="16" t="str">
        <f>IF(B1081="","",IFERROR(INDEX(Client_List!$D:$D,MATCH(B1081,Client_List!$B:$B,0)),""))</f>
        <v>3B</v>
      </c>
      <c r="E1081" s="4" t="str">
        <f>IF(B1081="","",IFERROR(INDEX(Client_List!$K:$K,MATCH(B1081,Client_List!$B:$B,0)),""))</f>
        <v>CANOLA OIL</v>
      </c>
      <c r="F1081" s="55">
        <f>IF(B1081="","",IFERROR(INDEX(Client_List!$J:$J,MATCH(B1081,Client_List!$B:$B,0)),""))</f>
        <v>350</v>
      </c>
      <c r="G1081" s="16">
        <v>444</v>
      </c>
      <c r="H1081" s="16">
        <f>IF(B1081="","",IFERROR(A1081-LOOKUP(2,1/($B$4:$B1080=B1081),$A$4:$A1080),""))</f>
        <v>10</v>
      </c>
      <c r="I1081" s="74">
        <f t="shared" si="16"/>
        <v>44.4</v>
      </c>
      <c r="J1081" s="16"/>
      <c r="K1081" s="6">
        <f>IF(B1081="","",IFERROR(AVERAGEIFS($I$4:$I1081,$B$4:$B1081,B1081,$I$4:$I1081,"&gt;"&amp;0),""))</f>
        <v>49.246715506715496</v>
      </c>
      <c r="L1081" s="16" t="str">
        <f>IF(B1081="","",IF(ISNA(MATCH(B1081,Client_List!$B:$B,0)),"⚠ NOT FOUND","✓"))</f>
        <v>✓</v>
      </c>
    </row>
    <row r="1082" spans="1:12" ht="14" customHeight="1" x14ac:dyDescent="0.2">
      <c r="A1082" s="59">
        <v>46112</v>
      </c>
      <c r="B1082" s="18" t="s">
        <v>336</v>
      </c>
      <c r="C1082" s="19" t="str">
        <f>IF(B1082="","",IFERROR(INDEX(Client_List!$C:$C,MATCH(B1082,Client_List!$B:$B,0)),""))</f>
        <v>4</v>
      </c>
      <c r="D1082" s="19" t="str">
        <f>IF(B1082="","",IFERROR(INDEX(Client_List!$D:$D,MATCH(B1082,Client_List!$B:$B,0)),""))</f>
        <v>4D</v>
      </c>
      <c r="E1082" s="19" t="str">
        <f>IF(B1082="","",IFERROR(INDEX(Client_List!$K:$K,MATCH(B1082,Client_List!$B:$B,0)),""))</f>
        <v>CANOLA OIL</v>
      </c>
      <c r="F1082" s="19">
        <f>IF(B1082="","",IFERROR(INDEX(Client_List!$J:$J,MATCH(B1082,Client_List!$B:$B,0)),""))</f>
        <v>1050</v>
      </c>
      <c r="G1082" s="19">
        <v>1025</v>
      </c>
      <c r="H1082" s="19">
        <f>IF(B1082="","",IFERROR(A1082-LOOKUP(2,1/($B$4:$B1081=B1082),$A$4:$A1081),""))</f>
        <v>15</v>
      </c>
      <c r="I1082" s="75">
        <f t="shared" si="16"/>
        <v>68.333333333333329</v>
      </c>
      <c r="J1082" s="19"/>
      <c r="K1082" s="6">
        <f>IF(B1082="","",IFERROR(AVERAGEIFS($I$4:$I1082,$B$4:$B1082,B1082,$I$4:$I1082,"&gt;"&amp;0),""))</f>
        <v>87.56959706959708</v>
      </c>
      <c r="L1082" s="19" t="str">
        <f>IF(B1082="","",IF(ISNA(MATCH(B1082,Client_List!$B:$B,0)),"⚠ NOT FOUND","✓"))</f>
        <v>✓</v>
      </c>
    </row>
    <row r="1083" spans="1:12" ht="14" customHeight="1" x14ac:dyDescent="0.2">
      <c r="A1083" s="58">
        <v>46113</v>
      </c>
      <c r="B1083" s="15" t="s">
        <v>35</v>
      </c>
      <c r="C1083" s="16" t="str">
        <f>IF(B1083="","",IFERROR(INDEX(Client_List!$C:$C,MATCH(B1083,Client_List!$B:$B,0)),""))</f>
        <v>2</v>
      </c>
      <c r="D1083" s="16" t="str">
        <f>IF(B1083="","",IFERROR(INDEX(Client_List!$D:$D,MATCH(B1083,Client_List!$B:$B,0)),""))</f>
        <v>2C</v>
      </c>
      <c r="E1083" s="16" t="str">
        <f>IF(B1083="","",IFERROR(INDEX(Client_List!$K:$K,MATCH(B1083,Client_List!$B:$B,0)),""))</f>
        <v>CANOLA OIL</v>
      </c>
      <c r="F1083" s="16">
        <f>IF(B1083="","",IFERROR(INDEX(Client_List!$J:$J,MATCH(B1083,Client_List!$B:$B,0)),""))</f>
        <v>950</v>
      </c>
      <c r="G1083" s="16">
        <v>975</v>
      </c>
      <c r="H1083" s="16">
        <f>IF(B1083="","",IFERROR(A1083-LOOKUP(2,1/($B$4:$B1082=B1083),$A$4:$A1082),""))</f>
        <v>12</v>
      </c>
      <c r="I1083" s="74">
        <f t="shared" si="16"/>
        <v>81.25</v>
      </c>
      <c r="J1083" s="16"/>
      <c r="K1083" s="6">
        <f>IF(B1083="","",IFERROR(AVERAGEIFS($I$4:$I1083,$B$4:$B1083,B1083,$I$4:$I1083,"&gt;"&amp;0),""))</f>
        <v>80.302229020979027</v>
      </c>
      <c r="L1083" s="16" t="str">
        <f>IF(B1083="","",IF(ISNA(MATCH(B1083,Client_List!$B:$B,0)),"⚠ NOT FOUND","✓"))</f>
        <v>✓</v>
      </c>
    </row>
    <row r="1084" spans="1:12" ht="14" customHeight="1" x14ac:dyDescent="0.2">
      <c r="A1084" s="59">
        <v>46113</v>
      </c>
      <c r="B1084" s="18" t="s">
        <v>49</v>
      </c>
      <c r="C1084" s="19" t="str">
        <f>IF(B1084="","",IFERROR(INDEX(Client_List!$C:$C,MATCH(B1084,Client_List!$B:$B,0)),""))</f>
        <v>2</v>
      </c>
      <c r="D1084" s="19" t="str">
        <f>IF(B1084="","",IFERROR(INDEX(Client_List!$D:$D,MATCH(B1084,Client_List!$B:$B,0)),""))</f>
        <v>2C</v>
      </c>
      <c r="E1084" s="19" t="str">
        <f>IF(B1084="","",IFERROR(INDEX(Client_List!$K:$K,MATCH(B1084,Client_List!$B:$B,0)),""))</f>
        <v>CANOLA OIL</v>
      </c>
      <c r="F1084" s="19">
        <f>IF(B1084="","",IFERROR(INDEX(Client_List!$J:$J,MATCH(B1084,Client_List!$B:$B,0)),""))</f>
        <v>950</v>
      </c>
      <c r="G1084" s="19">
        <v>916</v>
      </c>
      <c r="H1084" s="19">
        <f>IF(B1084="","",IFERROR(A1084-LOOKUP(2,1/($B$4:$B1083=B1084),$A$4:$A1083),""))</f>
        <v>12</v>
      </c>
      <c r="I1084" s="75">
        <f t="shared" si="16"/>
        <v>76.333333333333329</v>
      </c>
      <c r="J1084" s="19"/>
      <c r="K1084" s="6">
        <f>IF(B1084="","",IFERROR(AVERAGEIFS($I$4:$I1084,$B$4:$B1084,B1084,$I$4:$I1084,"&gt;"&amp;0),""))</f>
        <v>74.422222222222217</v>
      </c>
      <c r="L1084" s="19" t="str">
        <f>IF(B1084="","",IF(ISNA(MATCH(B1084,Client_List!$B:$B,0)),"⚠ NOT FOUND","✓"))</f>
        <v>✓</v>
      </c>
    </row>
    <row r="1085" spans="1:12" ht="14" customHeight="1" x14ac:dyDescent="0.2">
      <c r="A1085" s="58">
        <v>46113</v>
      </c>
      <c r="B1085" s="15" t="s">
        <v>63</v>
      </c>
      <c r="C1085" s="16" t="str">
        <f>IF(B1085="","",IFERROR(INDEX(Client_List!$C:$C,MATCH(B1085,Client_List!$B:$B,0)),""))</f>
        <v>5</v>
      </c>
      <c r="D1085" s="16" t="str">
        <f>IF(B1085="","",IFERROR(INDEX(Client_List!$D:$D,MATCH(B1085,Client_List!$B:$B,0)),""))</f>
        <v>5D</v>
      </c>
      <c r="E1085" s="16" t="str">
        <f>IF(B1085="","",IFERROR(INDEX(Client_List!$K:$K,MATCH(B1085,Client_List!$B:$B,0)),""))</f>
        <v>CANOLA OIL</v>
      </c>
      <c r="F1085" s="16">
        <f>IF(B1085="","",IFERROR(INDEX(Client_List!$J:$J,MATCH(B1085,Client_List!$B:$B,0)),""))</f>
        <v>425</v>
      </c>
      <c r="G1085" s="16">
        <v>340</v>
      </c>
      <c r="H1085" s="16">
        <f>IF(B1085="","",IFERROR(A1085-LOOKUP(2,1/($B$4:$B1084=B1085),$A$4:$A1084),""))</f>
        <v>6</v>
      </c>
      <c r="I1085" s="74">
        <f t="shared" si="16"/>
        <v>56.666666666666664</v>
      </c>
      <c r="J1085" s="16"/>
      <c r="K1085" s="6">
        <f>IF(B1085="","",IFERROR(AVERAGEIFS($I$4:$I1085,$B$4:$B1085,B1085,$I$4:$I1085,"&gt;"&amp;0),""))</f>
        <v>45.015051020408166</v>
      </c>
      <c r="L1085" s="16" t="str">
        <f>IF(B1085="","",IF(ISNA(MATCH(B1085,Client_List!$B:$B,0)),"⚠ NOT FOUND","✓"))</f>
        <v>✓</v>
      </c>
    </row>
    <row r="1086" spans="1:12" ht="14" customHeight="1" x14ac:dyDescent="0.2">
      <c r="A1086" s="59">
        <v>46113</v>
      </c>
      <c r="B1086" s="18" t="s">
        <v>67</v>
      </c>
      <c r="C1086" s="19" t="str">
        <f>IF(B1086="","",IFERROR(INDEX(Client_List!$C:$C,MATCH(B1086,Client_List!$B:$B,0)),""))</f>
        <v>5</v>
      </c>
      <c r="D1086" s="19" t="str">
        <f>IF(B1086="","",IFERROR(INDEX(Client_List!$D:$D,MATCH(B1086,Client_List!$B:$B,0)),""))</f>
        <v>5F</v>
      </c>
      <c r="E1086" s="19" t="str">
        <f>IF(B1086="","",IFERROR(INDEX(Client_List!$K:$K,MATCH(B1086,Client_List!$B:$B,0)),""))</f>
        <v>CANOLA OIL</v>
      </c>
      <c r="F1086" s="19">
        <f>IF(B1086="","",IFERROR(INDEX(Client_List!$J:$J,MATCH(B1086,Client_List!$B:$B,0)),""))</f>
        <v>950</v>
      </c>
      <c r="G1086" s="19">
        <v>644</v>
      </c>
      <c r="H1086" s="19">
        <f>IF(B1086="","",IFERROR(A1086-LOOKUP(2,1/($B$4:$B1085=B1086),$A$4:$A1085),""))</f>
        <v>1</v>
      </c>
      <c r="I1086" s="75">
        <f t="shared" si="16"/>
        <v>644</v>
      </c>
      <c r="J1086" s="19"/>
      <c r="K1086" s="6">
        <f>IF(B1086="","",IFERROR(AVERAGEIFS($I$4:$I1086,$B$4:$B1086,B1086,$I$4:$I1086,"&gt;"&amp;0),""))</f>
        <v>153.96608618654071</v>
      </c>
      <c r="L1086" s="19" t="str">
        <f>IF(B1086="","",IF(ISNA(MATCH(B1086,Client_List!$B:$B,0)),"⚠ NOT FOUND","✓"))</f>
        <v>✓</v>
      </c>
    </row>
    <row r="1087" spans="1:12" ht="14" customHeight="1" x14ac:dyDescent="0.2">
      <c r="A1087" s="58">
        <v>46113</v>
      </c>
      <c r="B1087" s="15" t="s">
        <v>77</v>
      </c>
      <c r="C1087" s="16" t="str">
        <f>IF(B1087="","",IFERROR(INDEX(Client_List!$C:$C,MATCH(B1087,Client_List!$B:$B,0)),""))</f>
        <v>1</v>
      </c>
      <c r="D1087" s="16" t="str">
        <f>IF(B1087="","",IFERROR(INDEX(Client_List!$D:$D,MATCH(B1087,Client_List!$B:$B,0)),""))</f>
        <v>1D</v>
      </c>
      <c r="E1087" s="16" t="str">
        <f>IF(B1087="","",IFERROR(INDEX(Client_List!$K:$K,MATCH(B1087,Client_List!$B:$B,0)),""))</f>
        <v>CANOLA OIL</v>
      </c>
      <c r="F1087" s="16">
        <f>IF(B1087="","",IFERROR(INDEX(Client_List!$J:$J,MATCH(B1087,Client_List!$B:$B,0)),""))</f>
        <v>620</v>
      </c>
      <c r="G1087" s="16">
        <v>470</v>
      </c>
      <c r="H1087" s="16">
        <f>IF(B1087="","",IFERROR(A1087-LOOKUP(2,1/($B$4:$B1086=B1087),$A$4:$A1086),""))</f>
        <v>7</v>
      </c>
      <c r="I1087" s="74">
        <f t="shared" si="16"/>
        <v>67.142857142857139</v>
      </c>
      <c r="J1087" s="16"/>
      <c r="K1087" s="6">
        <f>IF(B1087="","",IFERROR(AVERAGEIFS($I$4:$I1087,$B$4:$B1087,B1087,$I$4:$I1087,"&gt;"&amp;0),""))</f>
        <v>68.117316017316014</v>
      </c>
      <c r="L1087" s="16" t="str">
        <f>IF(B1087="","",IF(ISNA(MATCH(B1087,Client_List!$B:$B,0)),"⚠ NOT FOUND","✓"))</f>
        <v>✓</v>
      </c>
    </row>
    <row r="1088" spans="1:12" ht="14" customHeight="1" x14ac:dyDescent="0.2">
      <c r="A1088" s="59">
        <v>46113</v>
      </c>
      <c r="B1088" s="18" t="s">
        <v>102</v>
      </c>
      <c r="C1088" s="19" t="str">
        <f>IF(B1088="","",IFERROR(INDEX(Client_List!$C:$C,MATCH(B1088,Client_List!$B:$B,0)),""))</f>
        <v>3</v>
      </c>
      <c r="D1088" s="19" t="str">
        <f>IF(B1088="","",IFERROR(INDEX(Client_List!$D:$D,MATCH(B1088,Client_List!$B:$B,0)),""))</f>
        <v>3C</v>
      </c>
      <c r="E1088" s="19" t="str">
        <f>IF(B1088="","",IFERROR(INDEX(Client_List!$K:$K,MATCH(B1088,Client_List!$B:$B,0)),""))</f>
        <v>CANOLA OIL</v>
      </c>
      <c r="F1088" s="19">
        <f>IF(B1088="","",IFERROR(INDEX(Client_List!$J:$J,MATCH(B1088,Client_List!$B:$B,0)),""))</f>
        <v>500</v>
      </c>
      <c r="G1088" s="19">
        <v>399</v>
      </c>
      <c r="H1088" s="19">
        <f>IF(B1088="","",IFERROR(A1088-LOOKUP(2,1/($B$4:$B1087=B1088),$A$4:$A1087),""))</f>
        <v>13</v>
      </c>
      <c r="I1088" s="75">
        <f t="shared" si="16"/>
        <v>30.692307692307693</v>
      </c>
      <c r="J1088" s="19"/>
      <c r="K1088" s="6">
        <f>IF(B1088="","",IFERROR(AVERAGEIFS($I$4:$I1088,$B$4:$B1088,B1088,$I$4:$I1088,"&gt;"&amp;0),""))</f>
        <v>32.950427350427354</v>
      </c>
      <c r="L1088" s="19" t="str">
        <f>IF(B1088="","",IF(ISNA(MATCH(B1088,Client_List!$B:$B,0)),"⚠ NOT FOUND","✓"))</f>
        <v>✓</v>
      </c>
    </row>
    <row r="1089" spans="1:12" ht="14" customHeight="1" x14ac:dyDescent="0.2">
      <c r="A1089" s="58">
        <v>46113</v>
      </c>
      <c r="B1089" s="15" t="s">
        <v>124</v>
      </c>
      <c r="C1089" s="16" t="str">
        <f>IF(B1089="","",IFERROR(INDEX(Client_List!$C:$C,MATCH(B1089,Client_List!$B:$B,0)),""))</f>
        <v>1</v>
      </c>
      <c r="D1089" s="16" t="str">
        <f>IF(B1089="","",IFERROR(INDEX(Client_List!$D:$D,MATCH(B1089,Client_List!$B:$B,0)),""))</f>
        <v>1D</v>
      </c>
      <c r="E1089" s="16" t="str">
        <f>IF(B1089="","",IFERROR(INDEX(Client_List!$K:$K,MATCH(B1089,Client_List!$B:$B,0)),""))</f>
        <v>CANOLA OIL</v>
      </c>
      <c r="F1089" s="16">
        <f>IF(B1089="","",IFERROR(INDEX(Client_List!$J:$J,MATCH(B1089,Client_List!$B:$B,0)),""))</f>
        <v>350</v>
      </c>
      <c r="G1089" s="16">
        <v>262</v>
      </c>
      <c r="H1089" s="16">
        <f>IF(B1089="","",IFERROR(A1089-LOOKUP(2,1/($B$4:$B1088=B1089),$A$4:$A1088),""))</f>
        <v>36</v>
      </c>
      <c r="I1089" s="74">
        <f t="shared" si="16"/>
        <v>7.2777777777777777</v>
      </c>
      <c r="J1089" s="16"/>
      <c r="K1089" s="6">
        <f>IF(B1089="","",IFERROR(AVERAGEIFS($I$4:$I1089,$B$4:$B1089,B1089,$I$4:$I1089,"&gt;"&amp;0),""))</f>
        <v>7.4666171187910315</v>
      </c>
      <c r="L1089" s="16" t="str">
        <f>IF(B1089="","",IF(ISNA(MATCH(B1089,Client_List!$B:$B,0)),"⚠ NOT FOUND","✓"))</f>
        <v>✓</v>
      </c>
    </row>
    <row r="1090" spans="1:12" ht="14" customHeight="1" x14ac:dyDescent="0.2">
      <c r="A1090" s="59">
        <v>46113</v>
      </c>
      <c r="B1090" s="18" t="s">
        <v>178</v>
      </c>
      <c r="C1090" s="19" t="str">
        <f>IF(B1090="","",IFERROR(INDEX(Client_List!$C:$C,MATCH(B1090,Client_List!$B:$B,0)),""))</f>
        <v>3</v>
      </c>
      <c r="D1090" s="19" t="str">
        <f>IF(B1090="","",IFERROR(INDEX(Client_List!$D:$D,MATCH(B1090,Client_List!$B:$B,0)),""))</f>
        <v>3C</v>
      </c>
      <c r="E1090" s="19" t="str">
        <f>IF(B1090="","",IFERROR(INDEX(Client_List!$K:$K,MATCH(B1090,Client_List!$B:$B,0)),""))</f>
        <v>CANOLA OIL</v>
      </c>
      <c r="F1090" s="19">
        <f>IF(B1090="","",IFERROR(INDEX(Client_List!$J:$J,MATCH(B1090,Client_List!$B:$B,0)),""))</f>
        <v>900</v>
      </c>
      <c r="G1090" s="19">
        <v>905</v>
      </c>
      <c r="H1090" s="19">
        <f>IF(B1090="","",IFERROR(A1090-LOOKUP(2,1/($B$4:$B1089=B1090),$A$4:$A1089),""))</f>
        <v>22</v>
      </c>
      <c r="I1090" s="75">
        <f t="shared" si="16"/>
        <v>41.136363636363633</v>
      </c>
      <c r="J1090" s="19"/>
      <c r="K1090" s="6">
        <f>IF(B1090="","",IFERROR(AVERAGEIFS($I$4:$I1090,$B$4:$B1090,B1090,$I$4:$I1090,"&gt;"&amp;0),""))</f>
        <v>40.531351981351975</v>
      </c>
      <c r="L1090" s="19" t="str">
        <f>IF(B1090="","",IF(ISNA(MATCH(B1090,Client_List!$B:$B,0)),"⚠ NOT FOUND","✓"))</f>
        <v>✓</v>
      </c>
    </row>
    <row r="1091" spans="1:12" ht="14" customHeight="1" x14ac:dyDescent="0.2">
      <c r="A1091" s="58">
        <v>46113</v>
      </c>
      <c r="B1091" s="15" t="s">
        <v>180</v>
      </c>
      <c r="C1091" s="16" t="str">
        <f>IF(B1091="","",IFERROR(INDEX(Client_List!$C:$C,MATCH(B1091,Client_List!$B:$B,0)),""))</f>
        <v>1</v>
      </c>
      <c r="D1091" s="16" t="str">
        <f>IF(B1091="","",IFERROR(INDEX(Client_List!$D:$D,MATCH(B1091,Client_List!$B:$B,0)),""))</f>
        <v>1D</v>
      </c>
      <c r="E1091" s="16" t="str">
        <f>IF(B1091="","",IFERROR(INDEX(Client_List!$K:$K,MATCH(B1091,Client_List!$B:$B,0)),""))</f>
        <v>CANOLA OIL</v>
      </c>
      <c r="F1091" s="16">
        <f>IF(B1091="","",IFERROR(INDEX(Client_List!$J:$J,MATCH(B1091,Client_List!$B:$B,0)),""))</f>
        <v>950</v>
      </c>
      <c r="G1091" s="16">
        <v>972</v>
      </c>
      <c r="H1091" s="16">
        <f>IF(B1091="","",IFERROR(A1091-LOOKUP(2,1/($B$4:$B1090=B1091),$A$4:$A1090),""))</f>
        <v>12</v>
      </c>
      <c r="I1091" s="74">
        <f t="shared" si="16"/>
        <v>81</v>
      </c>
      <c r="J1091" s="16"/>
      <c r="K1091" s="6">
        <f>IF(B1091="","",IFERROR(AVERAGEIFS($I$4:$I1091,$B$4:$B1091,B1091,$I$4:$I1091,"&gt;"&amp;0),""))</f>
        <v>74.961004273504273</v>
      </c>
      <c r="L1091" s="16" t="str">
        <f>IF(B1091="","",IF(ISNA(MATCH(B1091,Client_List!$B:$B,0)),"⚠ NOT FOUND","✓"))</f>
        <v>✓</v>
      </c>
    </row>
    <row r="1092" spans="1:12" ht="14" customHeight="1" x14ac:dyDescent="0.2">
      <c r="A1092" s="59">
        <v>46113</v>
      </c>
      <c r="B1092" s="18" t="s">
        <v>196</v>
      </c>
      <c r="C1092" s="19" t="str">
        <f>IF(B1092="","",IFERROR(INDEX(Client_List!$C:$C,MATCH(B1092,Client_List!$B:$B,0)),""))</f>
        <v>4</v>
      </c>
      <c r="D1092" s="19" t="str">
        <f>IF(B1092="","",IFERROR(INDEX(Client_List!$D:$D,MATCH(B1092,Client_List!$B:$B,0)),""))</f>
        <v>4F</v>
      </c>
      <c r="E1092" s="19" t="str">
        <f>IF(B1092="","",IFERROR(INDEX(Client_List!$K:$K,MATCH(B1092,Client_List!$B:$B,0)),""))</f>
        <v>FRYERS CHOICE BLEND</v>
      </c>
      <c r="F1092" s="19">
        <f>IF(B1092="","",IFERROR(INDEX(Client_List!$J:$J,MATCH(B1092,Client_List!$B:$B,0)),""))</f>
        <v>620</v>
      </c>
      <c r="G1092" s="19">
        <v>346</v>
      </c>
      <c r="H1092" s="19">
        <f>IF(B1092="","",IFERROR(A1092-LOOKUP(2,1/($B$4:$B1091=B1092),$A$4:$A1091),""))</f>
        <v>10</v>
      </c>
      <c r="I1092" s="75">
        <f t="shared" ref="I1092:I1155" si="17">IF(B1092="","",IFERROR(G1092/H1092,""))</f>
        <v>34.6</v>
      </c>
      <c r="J1092" s="19"/>
      <c r="K1092" s="6">
        <f>IF(B1092="","",IFERROR(AVERAGEIFS($I$4:$I1092,$B$4:$B1092,B1092,$I$4:$I1092,"&gt;"&amp;0),""))</f>
        <v>35.354956321873615</v>
      </c>
      <c r="L1092" s="19" t="str">
        <f>IF(B1092="","",IF(ISNA(MATCH(B1092,Client_List!$B:$B,0)),"⚠ NOT FOUND","✓"))</f>
        <v>✓</v>
      </c>
    </row>
    <row r="1093" spans="1:12" ht="14" customHeight="1" x14ac:dyDescent="0.2">
      <c r="A1093" s="58">
        <v>46113</v>
      </c>
      <c r="B1093" s="15" t="s">
        <v>246</v>
      </c>
      <c r="C1093" s="16" t="str">
        <f>IF(B1093="","",IFERROR(INDEX(Client_List!$C:$C,MATCH(B1093,Client_List!$B:$B,0)),""))</f>
        <v>3</v>
      </c>
      <c r="D1093" s="16" t="str">
        <f>IF(B1093="","",IFERROR(INDEX(Client_List!$D:$D,MATCH(B1093,Client_List!$B:$B,0)),""))</f>
        <v>3E</v>
      </c>
      <c r="E1093" s="16" t="str">
        <f>IF(B1093="","",IFERROR(INDEX(Client_List!$K:$K,MATCH(B1093,Client_List!$B:$B,0)),""))</f>
        <v>FRYERS CHOICE BLEND</v>
      </c>
      <c r="F1093" s="16">
        <f>IF(B1093="","",IFERROR(INDEX(Client_List!$J:$J,MATCH(B1093,Client_List!$B:$B,0)),""))</f>
        <v>950</v>
      </c>
      <c r="G1093" s="16">
        <v>636</v>
      </c>
      <c r="H1093" s="16">
        <f>IF(B1093="","",IFERROR(A1093-LOOKUP(2,1/($B$4:$B1092=B1093),$A$4:$A1092),""))</f>
        <v>8</v>
      </c>
      <c r="I1093" s="74">
        <f t="shared" si="17"/>
        <v>79.5</v>
      </c>
      <c r="J1093" s="16"/>
      <c r="K1093" s="6">
        <f>IF(B1093="","",IFERROR(AVERAGEIFS($I$4:$I1093,$B$4:$B1093,B1093,$I$4:$I1093,"&gt;"&amp;0),""))</f>
        <v>73.39745748079082</v>
      </c>
      <c r="L1093" s="16" t="str">
        <f>IF(B1093="","",IF(ISNA(MATCH(B1093,Client_List!$B:$B,0)),"⚠ NOT FOUND","✓"))</f>
        <v>✓</v>
      </c>
    </row>
    <row r="1094" spans="1:12" ht="14" customHeight="1" x14ac:dyDescent="0.2">
      <c r="A1094" s="59">
        <v>46113</v>
      </c>
      <c r="B1094" s="18" t="s">
        <v>252</v>
      </c>
      <c r="C1094" s="19" t="str">
        <f>IF(B1094="","",IFERROR(INDEX(Client_List!$C:$C,MATCH(B1094,Client_List!$B:$B,0)),""))</f>
        <v>4</v>
      </c>
      <c r="D1094" s="19" t="str">
        <f>IF(B1094="","",IFERROR(INDEX(Client_List!$D:$D,MATCH(B1094,Client_List!$B:$B,0)),""))</f>
        <v>4E</v>
      </c>
      <c r="E1094" s="19" t="str">
        <f>IF(B1094="","",IFERROR(INDEX(Client_List!$K:$K,MATCH(B1094,Client_List!$B:$B,0)),""))</f>
        <v>FRYERS CHOICE BLEND</v>
      </c>
      <c r="F1094" s="19">
        <f>IF(B1094="","",IFERROR(INDEX(Client_List!$J:$J,MATCH(B1094,Client_List!$B:$B,0)),""))</f>
        <v>1950</v>
      </c>
      <c r="G1094" s="19">
        <v>778</v>
      </c>
      <c r="H1094" s="19">
        <f>IF(B1094="","",IFERROR(A1094-LOOKUP(2,1/($B$4:$B1093=B1094),$A$4:$A1093),""))</f>
        <v>1</v>
      </c>
      <c r="I1094" s="75">
        <f t="shared" si="17"/>
        <v>778</v>
      </c>
      <c r="J1094" s="19"/>
      <c r="K1094" s="6">
        <f>IF(B1094="","",IFERROR(AVERAGEIFS($I$4:$I1094,$B$4:$B1094,B1094,$I$4:$I1094,"&gt;"&amp;0),""))</f>
        <v>218.62872474747473</v>
      </c>
      <c r="L1094" s="19" t="str">
        <f>IF(B1094="","",IF(ISNA(MATCH(B1094,Client_List!$B:$B,0)),"⚠ NOT FOUND","✓"))</f>
        <v>✓</v>
      </c>
    </row>
    <row r="1095" spans="1:12" ht="14" customHeight="1" x14ac:dyDescent="0.2">
      <c r="A1095" s="58">
        <v>46113</v>
      </c>
      <c r="B1095" s="15" t="s">
        <v>254</v>
      </c>
      <c r="C1095" s="16" t="str">
        <f>IF(B1095="","",IFERROR(INDEX(Client_List!$C:$C,MATCH(B1095,Client_List!$B:$B,0)),""))</f>
        <v>2</v>
      </c>
      <c r="D1095" s="16" t="str">
        <f>IF(B1095="","",IFERROR(INDEX(Client_List!$D:$D,MATCH(B1095,Client_List!$B:$B,0)),""))</f>
        <v>2E</v>
      </c>
      <c r="E1095" s="16" t="str">
        <f>IF(B1095="","",IFERROR(INDEX(Client_List!$K:$K,MATCH(B1095,Client_List!$B:$B,0)),""))</f>
        <v>FRYERS CHOICE BLEND</v>
      </c>
      <c r="F1095" s="16">
        <f>IF(B1095="","",IFERROR(INDEX(Client_List!$J:$J,MATCH(B1095,Client_List!$B:$B,0)),""))</f>
        <v>1950</v>
      </c>
      <c r="G1095" s="16">
        <v>1482</v>
      </c>
      <c r="H1095" s="16">
        <f>IF(B1095="","",IFERROR(A1095-LOOKUP(2,1/($B$4:$B1094=B1095),$A$4:$A1094),""))</f>
        <v>11</v>
      </c>
      <c r="I1095" s="74">
        <f t="shared" si="17"/>
        <v>134.72727272727272</v>
      </c>
      <c r="J1095" s="16"/>
      <c r="K1095" s="6">
        <f>IF(B1095="","",IFERROR(AVERAGEIFS($I$4:$I1095,$B$4:$B1095,B1095,$I$4:$I1095,"&gt;"&amp;0),""))</f>
        <v>150.57154882154882</v>
      </c>
      <c r="L1095" s="16" t="str">
        <f>IF(B1095="","",IF(ISNA(MATCH(B1095,Client_List!$B:$B,0)),"⚠ NOT FOUND","✓"))</f>
        <v>✓</v>
      </c>
    </row>
    <row r="1096" spans="1:12" ht="14" customHeight="1" x14ac:dyDescent="0.2">
      <c r="A1096" s="59">
        <v>46113</v>
      </c>
      <c r="B1096" s="18" t="s">
        <v>260</v>
      </c>
      <c r="C1096" s="19" t="str">
        <f>IF(B1096="","",IFERROR(INDEX(Client_List!$C:$C,MATCH(B1096,Client_List!$B:$B,0)),""))</f>
        <v>5</v>
      </c>
      <c r="D1096" s="19" t="str">
        <f>IF(B1096="","",IFERROR(INDEX(Client_List!$D:$D,MATCH(B1096,Client_List!$B:$B,0)),""))</f>
        <v>5E</v>
      </c>
      <c r="E1096" s="19" t="str">
        <f>IF(B1096="","",IFERROR(INDEX(Client_List!$K:$K,MATCH(B1096,Client_List!$B:$B,0)),""))</f>
        <v>FRYERS CHOICE BLEND</v>
      </c>
      <c r="F1096" s="19">
        <f>IF(B1096="","",IFERROR(INDEX(Client_List!$J:$J,MATCH(B1096,Client_List!$B:$B,0)),""))</f>
        <v>950</v>
      </c>
      <c r="G1096" s="19">
        <v>778</v>
      </c>
      <c r="H1096" s="19">
        <f>IF(B1096="","",IFERROR(A1096-LOOKUP(2,1/($B$4:$B1095=B1096),$A$4:$A1095),""))</f>
        <v>20</v>
      </c>
      <c r="I1096" s="75">
        <f t="shared" si="17"/>
        <v>38.9</v>
      </c>
      <c r="J1096" s="19"/>
      <c r="K1096" s="6">
        <f>IF(B1096="","",IFERROR(AVERAGEIFS($I$4:$I1096,$B$4:$B1096,B1096,$I$4:$I1096,"&gt;"&amp;0),""))</f>
        <v>36.202657004830918</v>
      </c>
      <c r="L1096" s="19" t="str">
        <f>IF(B1096="","",IF(ISNA(MATCH(B1096,Client_List!$B:$B,0)),"⚠ NOT FOUND","✓"))</f>
        <v>✓</v>
      </c>
    </row>
    <row r="1097" spans="1:12" ht="14" customHeight="1" x14ac:dyDescent="0.2">
      <c r="A1097" s="58">
        <v>46113</v>
      </c>
      <c r="B1097" s="15" t="s">
        <v>268</v>
      </c>
      <c r="C1097" s="16" t="str">
        <f>IF(B1097="","",IFERROR(INDEX(Client_List!$C:$C,MATCH(B1097,Client_List!$B:$B,0)),""))</f>
        <v>5</v>
      </c>
      <c r="D1097" s="16" t="str">
        <f>IF(B1097="","",IFERROR(INDEX(Client_List!$D:$D,MATCH(B1097,Client_List!$B:$B,0)),""))</f>
        <v>5D</v>
      </c>
      <c r="E1097" s="16" t="str">
        <f>IF(B1097="","",IFERROR(INDEX(Client_List!$K:$K,MATCH(B1097,Client_List!$B:$B,0)),""))</f>
        <v>CANOLA OIL</v>
      </c>
      <c r="F1097" s="16">
        <f>IF(B1097="","",IFERROR(INDEX(Client_List!$J:$J,MATCH(B1097,Client_List!$B:$B,0)),""))</f>
        <v>660</v>
      </c>
      <c r="G1097" s="16">
        <v>479</v>
      </c>
      <c r="H1097" s="16">
        <f>IF(B1097="","",IFERROR(A1097-LOOKUP(2,1/($B$4:$B1096=B1097),$A$4:$A1096),""))</f>
        <v>8</v>
      </c>
      <c r="I1097" s="74">
        <f t="shared" si="17"/>
        <v>59.875</v>
      </c>
      <c r="J1097" s="16"/>
      <c r="K1097" s="6">
        <f>IF(B1097="","",IFERROR(AVERAGEIFS($I$4:$I1097,$B$4:$B1097,B1097,$I$4:$I1097,"&gt;"&amp;0),""))</f>
        <v>61.89691358024691</v>
      </c>
      <c r="L1097" s="16" t="str">
        <f>IF(B1097="","",IF(ISNA(MATCH(B1097,Client_List!$B:$B,0)),"⚠ NOT FOUND","✓"))</f>
        <v>✓</v>
      </c>
    </row>
    <row r="1098" spans="1:12" ht="14" customHeight="1" x14ac:dyDescent="0.2">
      <c r="A1098" s="59">
        <v>46113</v>
      </c>
      <c r="B1098" s="18" t="s">
        <v>286</v>
      </c>
      <c r="C1098" s="19" t="str">
        <f>IF(B1098="","",IFERROR(INDEX(Client_List!$C:$C,MATCH(B1098,Client_List!$B:$B,0)),""))</f>
        <v>3</v>
      </c>
      <c r="D1098" s="19" t="str">
        <f>IF(B1098="","",IFERROR(INDEX(Client_List!$D:$D,MATCH(B1098,Client_List!$B:$B,0)),""))</f>
        <v>3C</v>
      </c>
      <c r="E1098" s="19" t="str">
        <f>IF(B1098="","",IFERROR(INDEX(Client_List!$K:$K,MATCH(B1098,Client_List!$B:$B,0)),""))</f>
        <v>CANOLA OIL</v>
      </c>
      <c r="F1098" s="19">
        <f>IF(B1098="","",IFERROR(INDEX(Client_List!$J:$J,MATCH(B1098,Client_List!$B:$B,0)),""))</f>
        <v>620</v>
      </c>
      <c r="G1098" s="19">
        <v>244</v>
      </c>
      <c r="H1098" s="19">
        <f>IF(B1098="","",IFERROR(A1098-LOOKUP(2,1/($B$4:$B1097=B1098),$A$4:$A1097),""))</f>
        <v>14</v>
      </c>
      <c r="I1098" s="75">
        <f t="shared" si="17"/>
        <v>17.428571428571427</v>
      </c>
      <c r="J1098" s="19"/>
      <c r="K1098" s="6">
        <f>IF(B1098="","",IFERROR(AVERAGEIFS($I$4:$I1098,$B$4:$B1098,B1098,$I$4:$I1098,"&gt;"&amp;0),""))</f>
        <v>32.543259055759052</v>
      </c>
      <c r="L1098" s="19" t="str">
        <f>IF(B1098="","",IF(ISNA(MATCH(B1098,Client_List!$B:$B,0)),"⚠ NOT FOUND","✓"))</f>
        <v>✓</v>
      </c>
    </row>
    <row r="1099" spans="1:12" ht="14" customHeight="1" x14ac:dyDescent="0.2">
      <c r="A1099" s="58">
        <v>46113</v>
      </c>
      <c r="B1099" s="15" t="s">
        <v>302</v>
      </c>
      <c r="C1099" s="16" t="str">
        <f>IF(B1099="","",IFERROR(INDEX(Client_List!$C:$C,MATCH(B1099,Client_List!$B:$B,0)),""))</f>
        <v>2</v>
      </c>
      <c r="D1099" s="16" t="str">
        <f>IF(B1099="","",IFERROR(INDEX(Client_List!$D:$D,MATCH(B1099,Client_List!$B:$B,0)),""))</f>
        <v>2D</v>
      </c>
      <c r="E1099" s="16" t="str">
        <f>IF(B1099="","",IFERROR(INDEX(Client_List!$K:$K,MATCH(B1099,Client_List!$B:$B,0)),""))</f>
        <v>CANOLA OIL</v>
      </c>
      <c r="F1099" s="16">
        <f>IF(B1099="","",IFERROR(INDEX(Client_List!$J:$J,MATCH(B1099,Client_List!$B:$B,0)),""))</f>
        <v>350</v>
      </c>
      <c r="G1099" s="16">
        <v>374</v>
      </c>
      <c r="H1099" s="16">
        <f>IF(B1099="","",IFERROR(A1099-LOOKUP(2,1/($B$4:$B1098=B1099),$A$4:$A1098),""))</f>
        <v>14</v>
      </c>
      <c r="I1099" s="74">
        <f t="shared" si="17"/>
        <v>26.714285714285715</v>
      </c>
      <c r="J1099" s="16"/>
      <c r="K1099" s="6">
        <f>IF(B1099="","",IFERROR(AVERAGEIFS($I$4:$I1099,$B$4:$B1099,B1099,$I$4:$I1099,"&gt;"&amp;0),""))</f>
        <v>34.476630036630034</v>
      </c>
      <c r="L1099" s="16" t="str">
        <f>IF(B1099="","",IF(ISNA(MATCH(B1099,Client_List!$B:$B,0)),"⚠ NOT FOUND","✓"))</f>
        <v>✓</v>
      </c>
    </row>
    <row r="1100" spans="1:12" ht="14" customHeight="1" x14ac:dyDescent="0.2">
      <c r="A1100" s="59">
        <v>46113</v>
      </c>
      <c r="B1100" s="18" t="s">
        <v>322</v>
      </c>
      <c r="C1100" s="19" t="str">
        <f>IF(B1100="","",IFERROR(INDEX(Client_List!$C:$C,MATCH(B1100,Client_List!$B:$B,0)),""))</f>
        <v>4</v>
      </c>
      <c r="D1100" s="19" t="str">
        <f>IF(B1100="","",IFERROR(INDEX(Client_List!$D:$D,MATCH(B1100,Client_List!$B:$B,0)),""))</f>
        <v>4B</v>
      </c>
      <c r="E1100" s="19" t="str">
        <f>IF(B1100="","",IFERROR(INDEX(Client_List!$K:$K,MATCH(B1100,Client_List!$B:$B,0)),""))</f>
        <v>CANOLA OIL</v>
      </c>
      <c r="F1100" s="19">
        <f>IF(B1100="","",IFERROR(INDEX(Client_List!$J:$J,MATCH(B1100,Client_List!$B:$B,0)),""))</f>
        <v>1050</v>
      </c>
      <c r="G1100" s="19">
        <v>864</v>
      </c>
      <c r="H1100" s="19">
        <f>IF(B1100="","",IFERROR(A1100-LOOKUP(2,1/($B$4:$B1099=B1100),$A$4:$A1099),""))</f>
        <v>21</v>
      </c>
      <c r="I1100" s="75">
        <f t="shared" si="17"/>
        <v>41.142857142857146</v>
      </c>
      <c r="J1100" s="19"/>
      <c r="K1100" s="6">
        <f>IF(B1100="","",IFERROR(AVERAGEIFS($I$4:$I1100,$B$4:$B1100,B1100,$I$4:$I1100,"&gt;"&amp;0),""))</f>
        <v>39.329523809523806</v>
      </c>
      <c r="L1100" s="19" t="str">
        <f>IF(B1100="","",IF(ISNA(MATCH(B1100,Client_List!$B:$B,0)),"⚠ NOT FOUND","✓"))</f>
        <v>✓</v>
      </c>
    </row>
    <row r="1101" spans="1:12" ht="14" customHeight="1" x14ac:dyDescent="0.2">
      <c r="A1101" s="58">
        <v>46114</v>
      </c>
      <c r="B1101" s="15" t="s">
        <v>63</v>
      </c>
      <c r="C1101" s="16" t="str">
        <f>IF(B1101="","",IFERROR(INDEX(Client_List!$C:$C,MATCH(B1101,Client_List!$B:$B,0)),""))</f>
        <v>5</v>
      </c>
      <c r="D1101" s="16" t="str">
        <f>IF(B1101="","",IFERROR(INDEX(Client_List!$D:$D,MATCH(B1101,Client_List!$B:$B,0)),""))</f>
        <v>5D</v>
      </c>
      <c r="E1101" s="16" t="str">
        <f>IF(B1101="","",IFERROR(INDEX(Client_List!$K:$K,MATCH(B1101,Client_List!$B:$B,0)),""))</f>
        <v>CANOLA OIL</v>
      </c>
      <c r="F1101" s="16">
        <f>IF(B1101="","",IFERROR(INDEX(Client_List!$J:$J,MATCH(B1101,Client_List!$B:$B,0)),""))</f>
        <v>425</v>
      </c>
      <c r="G1101" s="16">
        <v>271</v>
      </c>
      <c r="H1101" s="16">
        <f>IF(B1101="","",IFERROR(A1101-LOOKUP(2,1/($B$4:$B1100=B1101),$A$4:$A1100),""))</f>
        <v>1</v>
      </c>
      <c r="I1101" s="74">
        <f t="shared" si="17"/>
        <v>271</v>
      </c>
      <c r="J1101" s="16"/>
      <c r="K1101" s="6">
        <f>IF(B1101="","",IFERROR(AVERAGEIFS($I$4:$I1101,$B$4:$B1101,B1101,$I$4:$I1101,"&gt;"&amp;0),""))</f>
        <v>60.080714285714286</v>
      </c>
      <c r="L1101" s="16" t="str">
        <f>IF(B1101="","",IF(ISNA(MATCH(B1101,Client_List!$B:$B,0)),"⚠ NOT FOUND","✓"))</f>
        <v>✓</v>
      </c>
    </row>
    <row r="1102" spans="1:12" ht="14" customHeight="1" x14ac:dyDescent="0.2">
      <c r="A1102" s="59">
        <v>46114</v>
      </c>
      <c r="B1102" s="18" t="s">
        <v>365</v>
      </c>
      <c r="C1102" s="19">
        <f>IF(B1102="","",IFERROR(INDEX(Client_List!$C:$C,MATCH(B1102,Client_List!$B:$B,0)),""))</f>
        <v>0</v>
      </c>
      <c r="D1102" s="19">
        <f>IF(B1102="","",IFERROR(INDEX(Client_List!$D:$D,MATCH(B1102,Client_List!$B:$B,0)),""))</f>
        <v>0</v>
      </c>
      <c r="E1102" s="19" t="str">
        <f>IF(B1102="","",IFERROR(INDEX(Client_List!$K:$K,MATCH(B1102,Client_List!$B:$B,0)),""))</f>
        <v>CANOLA OIL</v>
      </c>
      <c r="F1102" s="19">
        <f>IF(B1102="","",IFERROR(INDEX(Client_List!$J:$J,MATCH(B1102,Client_List!$B:$B,0)),""))</f>
        <v>700</v>
      </c>
      <c r="G1102" s="19">
        <v>313</v>
      </c>
      <c r="H1102" s="19">
        <f>IF(B1102="","",IFERROR(A1102-LOOKUP(2,1/($B$4:$B1101=B1102),$A$4:$A1101),""))</f>
        <v>8</v>
      </c>
      <c r="I1102" s="75">
        <f t="shared" si="17"/>
        <v>39.125</v>
      </c>
      <c r="J1102" s="19"/>
      <c r="K1102" s="6">
        <f>IF(B1102="","",IFERROR(AVERAGEIFS($I$4:$I1102,$B$4:$B1102,B1102,$I$4:$I1102,"&gt;"&amp;0),""))</f>
        <v>64.671611721611725</v>
      </c>
      <c r="L1102" s="19" t="str">
        <f>IF(B1102="","",IF(ISNA(MATCH(B1102,Client_List!$B:$B,0)),"⚠ NOT FOUND","✓"))</f>
        <v>✓</v>
      </c>
    </row>
    <row r="1103" spans="1:12" ht="14" customHeight="1" x14ac:dyDescent="0.2">
      <c r="A1103" s="58">
        <v>46114</v>
      </c>
      <c r="B1103" s="15" t="s">
        <v>81</v>
      </c>
      <c r="C1103" s="16" t="str">
        <f>IF(B1103="","",IFERROR(INDEX(Client_List!$C:$C,MATCH(B1103,Client_List!$B:$B,0)),""))</f>
        <v>3</v>
      </c>
      <c r="D1103" s="16" t="str">
        <f>IF(B1103="","",IFERROR(INDEX(Client_List!$D:$D,MATCH(B1103,Client_List!$B:$B,0)),""))</f>
        <v>3E</v>
      </c>
      <c r="E1103" s="16" t="str">
        <f>IF(B1103="","",IFERROR(INDEX(Client_List!$K:$K,MATCH(B1103,Client_List!$B:$B,0)),""))</f>
        <v>CANOLA OIL</v>
      </c>
      <c r="F1103" s="16">
        <f>IF(B1103="","",IFERROR(INDEX(Client_List!$J:$J,MATCH(B1103,Client_List!$B:$B,0)),""))</f>
        <v>350</v>
      </c>
      <c r="G1103" s="16">
        <v>326</v>
      </c>
      <c r="H1103" s="16">
        <f>IF(B1103="","",IFERROR(A1103-LOOKUP(2,1/($B$4:$B1102=B1103),$A$4:$A1102),""))</f>
        <v>14</v>
      </c>
      <c r="I1103" s="74">
        <f t="shared" si="17"/>
        <v>23.285714285714285</v>
      </c>
      <c r="J1103" s="16"/>
      <c r="K1103" s="6">
        <f>IF(B1103="","",IFERROR(AVERAGEIFS($I$4:$I1103,$B$4:$B1103,B1103,$I$4:$I1103,"&gt;"&amp;0),""))</f>
        <v>18.877248677248677</v>
      </c>
      <c r="L1103" s="16" t="str">
        <f>IF(B1103="","",IF(ISNA(MATCH(B1103,Client_List!$B:$B,0)),"⚠ NOT FOUND","✓"))</f>
        <v>✓</v>
      </c>
    </row>
    <row r="1104" spans="1:12" ht="14" customHeight="1" x14ac:dyDescent="0.2">
      <c r="A1104" s="59">
        <v>46114</v>
      </c>
      <c r="B1104" s="18" t="s">
        <v>83</v>
      </c>
      <c r="C1104" s="19" t="str">
        <f>IF(B1104="","",IFERROR(INDEX(Client_List!$C:$C,MATCH(B1104,Client_List!$B:$B,0)),""))</f>
        <v>4</v>
      </c>
      <c r="D1104" s="19" t="str">
        <f>IF(B1104="","",IFERROR(INDEX(Client_List!$D:$D,MATCH(B1104,Client_List!$B:$B,0)),""))</f>
        <v>4D</v>
      </c>
      <c r="E1104" s="19" t="str">
        <f>IF(B1104="","",IFERROR(INDEX(Client_List!$K:$K,MATCH(B1104,Client_List!$B:$B,0)),""))</f>
        <v>FRYERS CHOICE BLEND</v>
      </c>
      <c r="F1104" s="19">
        <f>IF(B1104="","",IFERROR(INDEX(Client_List!$J:$J,MATCH(B1104,Client_List!$B:$B,0)),""))</f>
        <v>350</v>
      </c>
      <c r="G1104" s="19">
        <v>104</v>
      </c>
      <c r="H1104" s="19">
        <f>IF(B1104="","",IFERROR(A1104-LOOKUP(2,1/($B$4:$B1103=B1104),$A$4:$A1103),""))</f>
        <v>6</v>
      </c>
      <c r="I1104" s="75">
        <f t="shared" si="17"/>
        <v>17.333333333333332</v>
      </c>
      <c r="J1104" s="19"/>
      <c r="K1104" s="6">
        <f>IF(B1104="","",IFERROR(AVERAGEIFS($I$4:$I1104,$B$4:$B1104,B1104,$I$4:$I1104,"&gt;"&amp;0),""))</f>
        <v>35.454184704184698</v>
      </c>
      <c r="L1104" s="19" t="str">
        <f>IF(B1104="","",IF(ISNA(MATCH(B1104,Client_List!$B:$B,0)),"⚠ NOT FOUND","✓"))</f>
        <v>✓</v>
      </c>
    </row>
    <row r="1105" spans="1:12" ht="14" customHeight="1" x14ac:dyDescent="0.2">
      <c r="A1105" s="58">
        <v>46114</v>
      </c>
      <c r="B1105" s="15" t="s">
        <v>94</v>
      </c>
      <c r="C1105" s="16" t="str">
        <f>IF(B1105="","",IFERROR(INDEX(Client_List!$C:$C,MATCH(B1105,Client_List!$B:$B,0)),""))</f>
        <v>2</v>
      </c>
      <c r="D1105" s="16" t="str">
        <f>IF(B1105="","",IFERROR(INDEX(Client_List!$D:$D,MATCH(B1105,Client_List!$B:$B,0)),""))</f>
        <v>2C</v>
      </c>
      <c r="E1105" s="16" t="str">
        <f>IF(B1105="","",IFERROR(INDEX(Client_List!$K:$K,MATCH(B1105,Client_List!$B:$B,0)),""))</f>
        <v>CANOLA OIL</v>
      </c>
      <c r="F1105" s="16">
        <f>IF(B1105="","",IFERROR(INDEX(Client_List!$J:$J,MATCH(B1105,Client_List!$B:$B,0)),""))</f>
        <v>450</v>
      </c>
      <c r="G1105" s="16">
        <v>262</v>
      </c>
      <c r="H1105" s="16">
        <f>IF(B1105="","",IFERROR(A1105-LOOKUP(2,1/($B$4:$B1104=B1105),$A$4:$A1104),""))</f>
        <v>9</v>
      </c>
      <c r="I1105" s="74">
        <f t="shared" si="17"/>
        <v>29.111111111111111</v>
      </c>
      <c r="J1105" s="16"/>
      <c r="K1105" s="6">
        <f>IF(B1105="","",IFERROR(AVERAGEIFS($I$4:$I1105,$B$4:$B1105,B1105,$I$4:$I1105,"&gt;"&amp;0),""))</f>
        <v>33.905041486291488</v>
      </c>
      <c r="L1105" s="16" t="str">
        <f>IF(B1105="","",IF(ISNA(MATCH(B1105,Client_List!$B:$B,0)),"⚠ NOT FOUND","✓"))</f>
        <v>✓</v>
      </c>
    </row>
    <row r="1106" spans="1:12" ht="14" customHeight="1" x14ac:dyDescent="0.2">
      <c r="A1106" s="59">
        <v>46114</v>
      </c>
      <c r="B1106" s="18" t="s">
        <v>382</v>
      </c>
      <c r="C1106" s="19">
        <f>IF(B1106="","",IFERROR(INDEX(Client_List!$C:$C,MATCH(B1106,Client_List!$B:$B,0)),""))</f>
        <v>0</v>
      </c>
      <c r="D1106" s="19">
        <f>IF(B1106="","",IFERROR(INDEX(Client_List!$D:$D,MATCH(B1106,Client_List!$B:$B,0)),""))</f>
        <v>0</v>
      </c>
      <c r="E1106" s="19" t="str">
        <f>IF(B1106="","",IFERROR(INDEX(Client_List!$K:$K,MATCH(B1106,Client_List!$B:$B,0)),""))</f>
        <v>CANOLA OIL</v>
      </c>
      <c r="F1106" s="19">
        <f>IF(B1106="","",IFERROR(INDEX(Client_List!$J:$J,MATCH(B1106,Client_List!$B:$B,0)),""))</f>
        <v>350</v>
      </c>
      <c r="G1106" s="19">
        <v>359</v>
      </c>
      <c r="H1106" s="19" t="str">
        <f>IF(B1106="","",IFERROR(A1106-LOOKUP(2,1/($B$4:$B1105=B1106),$A$4:$A1105),""))</f>
        <v/>
      </c>
      <c r="I1106" s="75" t="str">
        <f t="shared" si="17"/>
        <v/>
      </c>
      <c r="J1106" s="19"/>
      <c r="K1106" s="6" t="str">
        <f>IF(B1106="","",IFERROR(AVERAGEIFS($I$4:$I1106,$B$4:$B1106,B1106,$I$4:$I1106,"&gt;"&amp;0),""))</f>
        <v/>
      </c>
      <c r="L1106" s="19" t="str">
        <f>IF(B1106="","",IF(ISNA(MATCH(B1106,Client_List!$B:$B,0)),"⚠ NOT FOUND","✓"))</f>
        <v>✓</v>
      </c>
    </row>
    <row r="1107" spans="1:12" ht="14" customHeight="1" x14ac:dyDescent="0.2">
      <c r="A1107" s="58">
        <v>46114</v>
      </c>
      <c r="B1107" s="15" t="s">
        <v>122</v>
      </c>
      <c r="C1107" s="16" t="str">
        <f>IF(B1107="","",IFERROR(INDEX(Client_List!$C:$C,MATCH(B1107,Client_List!$B:$B,0)),""))</f>
        <v>3</v>
      </c>
      <c r="D1107" s="16" t="str">
        <f>IF(B1107="","",IFERROR(INDEX(Client_List!$D:$D,MATCH(B1107,Client_List!$B:$B,0)),""))</f>
        <v>3D</v>
      </c>
      <c r="E1107" s="16" t="str">
        <f>IF(B1107="","",IFERROR(INDEX(Client_List!$K:$K,MATCH(B1107,Client_List!$B:$B,0)),""))</f>
        <v>CANOLA OIL</v>
      </c>
      <c r="F1107" s="16">
        <f>IF(B1107="","",IFERROR(INDEX(Client_List!$J:$J,MATCH(B1107,Client_List!$B:$B,0)),""))</f>
        <v>500</v>
      </c>
      <c r="G1107" s="16">
        <v>394</v>
      </c>
      <c r="H1107" s="16">
        <f>IF(B1107="","",IFERROR(A1107-LOOKUP(2,1/($B$4:$B1106=B1107),$A$4:$A1106),""))</f>
        <v>19</v>
      </c>
      <c r="I1107" s="74">
        <f t="shared" si="17"/>
        <v>20.736842105263158</v>
      </c>
      <c r="J1107" s="16"/>
      <c r="K1107" s="6">
        <f>IF(B1107="","",IFERROR(AVERAGEIFS($I$4:$I1107,$B$4:$B1107,B1107,$I$4:$I1107,"&gt;"&amp;0),""))</f>
        <v>19.264802631578945</v>
      </c>
      <c r="L1107" s="16" t="str">
        <f>IF(B1107="","",IF(ISNA(MATCH(B1107,Client_List!$B:$B,0)),"⚠ NOT FOUND","✓"))</f>
        <v>✓</v>
      </c>
    </row>
    <row r="1108" spans="1:12" ht="14" customHeight="1" x14ac:dyDescent="0.2">
      <c r="A1108" s="59">
        <v>46114</v>
      </c>
      <c r="B1108" s="18" t="s">
        <v>140</v>
      </c>
      <c r="C1108" s="19" t="str">
        <f>IF(B1108="","",IFERROR(INDEX(Client_List!$C:$C,MATCH(B1108,Client_List!$B:$B,0)),""))</f>
        <v>5</v>
      </c>
      <c r="D1108" s="19" t="str">
        <f>IF(B1108="","",IFERROR(INDEX(Client_List!$D:$D,MATCH(B1108,Client_List!$B:$B,0)),""))</f>
        <v>5E</v>
      </c>
      <c r="E1108" s="19" t="str">
        <f>IF(B1108="","",IFERROR(INDEX(Client_List!$K:$K,MATCH(B1108,Client_List!$B:$B,0)),""))</f>
        <v>CANOLA OIL</v>
      </c>
      <c r="F1108" s="19">
        <f>IF(B1108="","",IFERROR(INDEX(Client_List!$J:$J,MATCH(B1108,Client_List!$B:$B,0)),""))</f>
        <v>350</v>
      </c>
      <c r="G1108" s="19">
        <v>291</v>
      </c>
      <c r="H1108" s="19">
        <f>IF(B1108="","",IFERROR(A1108-LOOKUP(2,1/($B$4:$B1107=B1108),$A$4:$A1107),""))</f>
        <v>13</v>
      </c>
      <c r="I1108" s="75">
        <f t="shared" si="17"/>
        <v>22.384615384615383</v>
      </c>
      <c r="J1108" s="19"/>
      <c r="K1108" s="6">
        <f>IF(B1108="","",IFERROR(AVERAGEIFS($I$4:$I1108,$B$4:$B1108,B1108,$I$4:$I1108,"&gt;"&amp;0),""))</f>
        <v>31.584535256410255</v>
      </c>
      <c r="L1108" s="19" t="str">
        <f>IF(B1108="","",IF(ISNA(MATCH(B1108,Client_List!$B:$B,0)),"⚠ NOT FOUND","✓"))</f>
        <v>✓</v>
      </c>
    </row>
    <row r="1109" spans="1:12" ht="14" customHeight="1" x14ac:dyDescent="0.2">
      <c r="A1109" s="58">
        <v>46114</v>
      </c>
      <c r="B1109" s="15" t="s">
        <v>164</v>
      </c>
      <c r="C1109" s="16" t="str">
        <f>IF(B1109="","",IFERROR(INDEX(Client_List!$C:$C,MATCH(B1109,Client_List!$B:$B,0)),""))</f>
        <v>3</v>
      </c>
      <c r="D1109" s="16" t="str">
        <f>IF(B1109="","",IFERROR(INDEX(Client_List!$D:$D,MATCH(B1109,Client_List!$B:$B,0)),""))</f>
        <v>3E</v>
      </c>
      <c r="E1109" s="16" t="str">
        <f>IF(B1109="","",IFERROR(INDEX(Client_List!$K:$K,MATCH(B1109,Client_List!$B:$B,0)),""))</f>
        <v>CANOLA OIL</v>
      </c>
      <c r="F1109" s="16">
        <f>IF(B1109="","",IFERROR(INDEX(Client_List!$J:$J,MATCH(B1109,Client_List!$B:$B,0)),""))</f>
        <v>1050</v>
      </c>
      <c r="G1109" s="16">
        <v>761</v>
      </c>
      <c r="H1109" s="16">
        <f>IF(B1109="","",IFERROR(A1109-LOOKUP(2,1/($B$4:$B1108=B1109),$A$4:$A1108),""))</f>
        <v>11</v>
      </c>
      <c r="I1109" s="74">
        <f t="shared" si="17"/>
        <v>69.181818181818187</v>
      </c>
      <c r="J1109" s="16"/>
      <c r="K1109" s="6">
        <f>IF(B1109="","",IFERROR(AVERAGEIFS($I$4:$I1109,$B$4:$B1109,B1109,$I$4:$I1109,"&gt;"&amp;0),""))</f>
        <v>69.572805258467028</v>
      </c>
      <c r="L1109" s="16" t="str">
        <f>IF(B1109="","",IF(ISNA(MATCH(B1109,Client_List!$B:$B,0)),"⚠ NOT FOUND","✓"))</f>
        <v>✓</v>
      </c>
    </row>
    <row r="1110" spans="1:12" ht="14" customHeight="1" x14ac:dyDescent="0.2">
      <c r="A1110" s="59">
        <v>46114</v>
      </c>
      <c r="B1110" s="18" t="s">
        <v>383</v>
      </c>
      <c r="C1110" s="19">
        <f>IF(B1110="","",IFERROR(INDEX(Client_List!$C:$C,MATCH(B1110,Client_List!$B:$B,0)),""))</f>
        <v>0</v>
      </c>
      <c r="D1110" s="19">
        <f>IF(B1110="","",IFERROR(INDEX(Client_List!$D:$D,MATCH(B1110,Client_List!$B:$B,0)),""))</f>
        <v>0</v>
      </c>
      <c r="E1110" s="19" t="str">
        <f>IF(B1110="","",IFERROR(INDEX(Client_List!$K:$K,MATCH(B1110,Client_List!$B:$B,0)),""))</f>
        <v>CANOLA OIL</v>
      </c>
      <c r="F1110" s="19">
        <f>IF(B1110="","",IFERROR(INDEX(Client_List!$J:$J,MATCH(B1110,Client_List!$B:$B,0)),""))</f>
        <v>350</v>
      </c>
      <c r="G1110" s="19">
        <v>368</v>
      </c>
      <c r="H1110" s="19" t="str">
        <f>IF(B1110="","",IFERROR(A1110-LOOKUP(2,1/($B$4:$B1109=B1110),$A$4:$A1109),""))</f>
        <v/>
      </c>
      <c r="I1110" s="75" t="str">
        <f t="shared" si="17"/>
        <v/>
      </c>
      <c r="J1110" s="19"/>
      <c r="K1110" s="6" t="str">
        <f>IF(B1110="","",IFERROR(AVERAGEIFS($I$4:$I1110,$B$4:$B1110,B1110,$I$4:$I1110,"&gt;"&amp;0),""))</f>
        <v/>
      </c>
      <c r="L1110" s="19" t="str">
        <f>IF(B1110="","",IF(ISNA(MATCH(B1110,Client_List!$B:$B,0)),"⚠ NOT FOUND","✓"))</f>
        <v>✓</v>
      </c>
    </row>
    <row r="1111" spans="1:12" ht="14" customHeight="1" x14ac:dyDescent="0.2">
      <c r="A1111" s="58">
        <v>46114</v>
      </c>
      <c r="B1111" s="15" t="s">
        <v>190</v>
      </c>
      <c r="C1111" s="16" t="str">
        <f>IF(B1111="","",IFERROR(INDEX(Client_List!$C:$C,MATCH(B1111,Client_List!$B:$B,0)),""))</f>
        <v>2</v>
      </c>
      <c r="D1111" s="16" t="str">
        <f>IF(B1111="","",IFERROR(INDEX(Client_List!$D:$D,MATCH(B1111,Client_List!$B:$B,0)),""))</f>
        <v>2C</v>
      </c>
      <c r="E1111" s="16" t="str">
        <f>IF(B1111="","",IFERROR(INDEX(Client_List!$K:$K,MATCH(B1111,Client_List!$B:$B,0)),""))</f>
        <v>CANOLA OIL</v>
      </c>
      <c r="F1111" s="16">
        <f>IF(B1111="","",IFERROR(INDEX(Client_List!$J:$J,MATCH(B1111,Client_List!$B:$B,0)),""))</f>
        <v>1050</v>
      </c>
      <c r="G1111" s="16">
        <v>464</v>
      </c>
      <c r="H1111" s="16">
        <f>IF(B1111="","",IFERROR(A1111-LOOKUP(2,1/($B$4:$B1110=B1111),$A$4:$A1110),""))</f>
        <v>4</v>
      </c>
      <c r="I1111" s="74">
        <f t="shared" si="17"/>
        <v>116</v>
      </c>
      <c r="J1111" s="16"/>
      <c r="K1111" s="6">
        <f>IF(B1111="","",IFERROR(AVERAGEIFS($I$4:$I1111,$B$4:$B1111,B1111,$I$4:$I1111,"&gt;"&amp;0),""))</f>
        <v>134.16437728937728</v>
      </c>
      <c r="L1111" s="16" t="str">
        <f>IF(B1111="","",IF(ISNA(MATCH(B1111,Client_List!$B:$B,0)),"⚠ NOT FOUND","✓"))</f>
        <v>✓</v>
      </c>
    </row>
    <row r="1112" spans="1:12" ht="14" customHeight="1" x14ac:dyDescent="0.2">
      <c r="A1112" s="59">
        <v>46114</v>
      </c>
      <c r="B1112" s="18" t="s">
        <v>232</v>
      </c>
      <c r="C1112" s="19" t="str">
        <f>IF(B1112="","",IFERROR(INDEX(Client_List!$C:$C,MATCH(B1112,Client_List!$B:$B,0)),""))</f>
        <v>5</v>
      </c>
      <c r="D1112" s="19" t="str">
        <f>IF(B1112="","",IFERROR(INDEX(Client_List!$D:$D,MATCH(B1112,Client_List!$B:$B,0)),""))</f>
        <v>5F</v>
      </c>
      <c r="E1112" s="19" t="str">
        <f>IF(B1112="","",IFERROR(INDEX(Client_List!$K:$K,MATCH(B1112,Client_List!$B:$B,0)),""))</f>
        <v>CANOLA OIL</v>
      </c>
      <c r="F1112" s="19">
        <f>IF(B1112="","",IFERROR(INDEX(Client_List!$J:$J,MATCH(B1112,Client_List!$B:$B,0)),""))</f>
        <v>500</v>
      </c>
      <c r="G1112" s="19">
        <v>231</v>
      </c>
      <c r="H1112" s="19">
        <f>IF(B1112="","",IFERROR(A1112-LOOKUP(2,1/($B$4:$B1111=B1112),$A$4:$A1111),""))</f>
        <v>9</v>
      </c>
      <c r="I1112" s="75">
        <f t="shared" si="17"/>
        <v>25.666666666666668</v>
      </c>
      <c r="J1112" s="19"/>
      <c r="K1112" s="6">
        <f>IF(B1112="","",IFERROR(AVERAGEIFS($I$4:$I1112,$B$4:$B1112,B1112,$I$4:$I1112,"&gt;"&amp;0),""))</f>
        <v>40.693458393458393</v>
      </c>
      <c r="L1112" s="19" t="str">
        <f>IF(B1112="","",IF(ISNA(MATCH(B1112,Client_List!$B:$B,0)),"⚠ NOT FOUND","✓"))</f>
        <v>✓</v>
      </c>
    </row>
    <row r="1113" spans="1:12" ht="14" customHeight="1" x14ac:dyDescent="0.2">
      <c r="A1113" s="58">
        <v>46114</v>
      </c>
      <c r="B1113" s="15" t="s">
        <v>250</v>
      </c>
      <c r="C1113" s="16" t="str">
        <f>IF(B1113="","",IFERROR(INDEX(Client_List!$C:$C,MATCH(B1113,Client_List!$B:$B,0)),""))</f>
        <v>2</v>
      </c>
      <c r="D1113" s="16" t="str">
        <f>IF(B1113="","",IFERROR(INDEX(Client_List!$D:$D,MATCH(B1113,Client_List!$B:$B,0)),""))</f>
        <v>2D</v>
      </c>
      <c r="E1113" s="16" t="str">
        <f>IF(B1113="","",IFERROR(INDEX(Client_List!$K:$K,MATCH(B1113,Client_List!$B:$B,0)),""))</f>
        <v>FRYERS CHOICE BLEND</v>
      </c>
      <c r="F1113" s="16">
        <f>IF(B1113="","",IFERROR(INDEX(Client_List!$J:$J,MATCH(B1113,Client_List!$B:$B,0)),""))</f>
        <v>950</v>
      </c>
      <c r="G1113" s="16">
        <v>490</v>
      </c>
      <c r="H1113" s="16">
        <f>IF(B1113="","",IFERROR(A1113-LOOKUP(2,1/($B$4:$B1112=B1113),$A$4:$A1112),""))</f>
        <v>6</v>
      </c>
      <c r="I1113" s="74">
        <f t="shared" si="17"/>
        <v>81.666666666666671</v>
      </c>
      <c r="J1113" s="16"/>
      <c r="K1113" s="6">
        <f>IF(B1113="","",IFERROR(AVERAGEIFS($I$4:$I1113,$B$4:$B1113,B1113,$I$4:$I1113,"&gt;"&amp;0),""))</f>
        <v>118.85714285714286</v>
      </c>
      <c r="L1113" s="16" t="str">
        <f>IF(B1113="","",IF(ISNA(MATCH(B1113,Client_List!$B:$B,0)),"⚠ NOT FOUND","✓"))</f>
        <v>✓</v>
      </c>
    </row>
    <row r="1114" spans="1:12" ht="14" customHeight="1" x14ac:dyDescent="0.2">
      <c r="A1114" s="59">
        <v>46114</v>
      </c>
      <c r="B1114" s="18" t="s">
        <v>276</v>
      </c>
      <c r="C1114" s="19" t="str">
        <f>IF(B1114="","",IFERROR(INDEX(Client_List!$C:$C,MATCH(B1114,Client_List!$B:$B,0)),""))</f>
        <v>3</v>
      </c>
      <c r="D1114" s="19" t="str">
        <f>IF(B1114="","",IFERROR(INDEX(Client_List!$D:$D,MATCH(B1114,Client_List!$B:$B,0)),""))</f>
        <v>3D</v>
      </c>
      <c r="E1114" s="19" t="str">
        <f>IF(B1114="","",IFERROR(INDEX(Client_List!$K:$K,MATCH(B1114,Client_List!$B:$B,0)),""))</f>
        <v>FRYERS CHOICE BLEND</v>
      </c>
      <c r="F1114" s="19">
        <f>IF(B1114="","",IFERROR(INDEX(Client_List!$J:$J,MATCH(B1114,Client_List!$B:$B,0)),""))</f>
        <v>950</v>
      </c>
      <c r="G1114" s="19">
        <v>585</v>
      </c>
      <c r="H1114" s="19">
        <f>IF(B1114="","",IFERROR(A1114-LOOKUP(2,1/($B$4:$B1113=B1114),$A$4:$A1113),""))</f>
        <v>7</v>
      </c>
      <c r="I1114" s="75">
        <f t="shared" si="17"/>
        <v>83.571428571428569</v>
      </c>
      <c r="J1114" s="19"/>
      <c r="K1114" s="6">
        <f>IF(B1114="","",IFERROR(AVERAGEIFS($I$4:$I1114,$B$4:$B1114,B1114,$I$4:$I1114,"&gt;"&amp;0),""))</f>
        <v>86.335425685425676</v>
      </c>
      <c r="L1114" s="19" t="str">
        <f>IF(B1114="","",IF(ISNA(MATCH(B1114,Client_List!$B:$B,0)),"⚠ NOT FOUND","✓"))</f>
        <v>✓</v>
      </c>
    </row>
    <row r="1115" spans="1:12" ht="14" customHeight="1" x14ac:dyDescent="0.2">
      <c r="A1115" s="58">
        <v>46115</v>
      </c>
      <c r="B1115" s="15" t="s">
        <v>96</v>
      </c>
      <c r="C1115" s="16" t="str">
        <f>IF(B1115="","",IFERROR(INDEX(Client_List!$C:$C,MATCH(B1115,Client_List!$B:$B,0)),""))</f>
        <v>2</v>
      </c>
      <c r="D1115" s="16" t="str">
        <f>IF(B1115="","",IFERROR(INDEX(Client_List!$D:$D,MATCH(B1115,Client_List!$B:$B,0)),""))</f>
        <v>2C</v>
      </c>
      <c r="E1115" s="16" t="str">
        <f>IF(B1115="","",IFERROR(INDEX(Client_List!$K:$K,MATCH(B1115,Client_List!$B:$B,0)),""))</f>
        <v>CANOLA OIL</v>
      </c>
      <c r="F1115" s="16">
        <f>IF(B1115="","",IFERROR(INDEX(Client_List!$J:$J,MATCH(B1115,Client_List!$B:$B,0)),""))</f>
        <v>1000</v>
      </c>
      <c r="G1115" s="16">
        <v>851</v>
      </c>
      <c r="H1115" s="16">
        <f>IF(B1115="","",IFERROR(A1115-LOOKUP(2,1/($B$4:$B1114=B1115),$A$4:$A1114),""))</f>
        <v>22</v>
      </c>
      <c r="I1115" s="74">
        <f t="shared" si="17"/>
        <v>38.68181818181818</v>
      </c>
      <c r="J1115" s="16"/>
      <c r="K1115" s="6">
        <f>IF(B1115="","",IFERROR(AVERAGEIFS($I$4:$I1115,$B$4:$B1115,B1115,$I$4:$I1115,"&gt;"&amp;0),""))</f>
        <v>35.916486291486294</v>
      </c>
      <c r="L1115" s="16" t="str">
        <f>IF(B1115="","",IF(ISNA(MATCH(B1115,Client_List!$B:$B,0)),"⚠ NOT FOUND","✓"))</f>
        <v>✓</v>
      </c>
    </row>
    <row r="1116" spans="1:12" ht="14" customHeight="1" x14ac:dyDescent="0.2">
      <c r="A1116" s="59">
        <v>46115</v>
      </c>
      <c r="B1116" s="18" t="s">
        <v>112</v>
      </c>
      <c r="C1116" s="19" t="str">
        <f>IF(B1116="","",IFERROR(INDEX(Client_List!$C:$C,MATCH(B1116,Client_List!$B:$B,0)),""))</f>
        <v>2</v>
      </c>
      <c r="D1116" s="19" t="str">
        <f>IF(B1116="","",IFERROR(INDEX(Client_List!$D:$D,MATCH(B1116,Client_List!$B:$B,0)),""))</f>
        <v>2A</v>
      </c>
      <c r="E1116" s="19" t="str">
        <f>IF(B1116="","",IFERROR(INDEX(Client_List!$K:$K,MATCH(B1116,Client_List!$B:$B,0)),""))</f>
        <v>FRYERS CHOICE BLEND</v>
      </c>
      <c r="F1116" s="19">
        <f>IF(B1116="","",IFERROR(INDEX(Client_List!$J:$J,MATCH(B1116,Client_List!$B:$B,0)),""))</f>
        <v>450</v>
      </c>
      <c r="G1116" s="19">
        <v>369</v>
      </c>
      <c r="H1116" s="19">
        <f>IF(B1116="","",IFERROR(A1116-LOOKUP(2,1/($B$4:$B1115=B1116),$A$4:$A1115),""))</f>
        <v>7</v>
      </c>
      <c r="I1116" s="75">
        <f t="shared" si="17"/>
        <v>52.714285714285715</v>
      </c>
      <c r="J1116" s="19"/>
      <c r="K1116" s="6">
        <f>IF(B1116="","",IFERROR(AVERAGEIFS($I$4:$I1116,$B$4:$B1116,B1116,$I$4:$I1116,"&gt;"&amp;0),""))</f>
        <v>38.58058608058608</v>
      </c>
      <c r="L1116" s="19" t="str">
        <f>IF(B1116="","",IF(ISNA(MATCH(B1116,Client_List!$B:$B,0)),"⚠ NOT FOUND","✓"))</f>
        <v>✓</v>
      </c>
    </row>
    <row r="1117" spans="1:12" ht="14" customHeight="1" x14ac:dyDescent="0.2">
      <c r="A1117" s="58">
        <v>46115</v>
      </c>
      <c r="B1117" s="15" t="s">
        <v>138</v>
      </c>
      <c r="C1117" s="16" t="str">
        <f>IF(B1117="","",IFERROR(INDEX(Client_List!$C:$C,MATCH(B1117,Client_List!$B:$B,0)),""))</f>
        <v>4</v>
      </c>
      <c r="D1117" s="16" t="str">
        <f>IF(B1117="","",IFERROR(INDEX(Client_List!$D:$D,MATCH(B1117,Client_List!$B:$B,0)),""))</f>
        <v>4E</v>
      </c>
      <c r="E1117" s="16" t="str">
        <f>IF(B1117="","",IFERROR(INDEX(Client_List!$K:$K,MATCH(B1117,Client_List!$B:$B,0)),""))</f>
        <v>CANOLA OIL</v>
      </c>
      <c r="F1117" s="16">
        <f>IF(B1117="","",IFERROR(INDEX(Client_List!$J:$J,MATCH(B1117,Client_List!$B:$B,0)),""))</f>
        <v>350</v>
      </c>
      <c r="G1117" s="16">
        <v>254</v>
      </c>
      <c r="H1117" s="16">
        <f>IF(B1117="","",IFERROR(A1117-LOOKUP(2,1/($B$4:$B1116=B1117),$A$4:$A1116),""))</f>
        <v>7</v>
      </c>
      <c r="I1117" s="74">
        <f t="shared" si="17"/>
        <v>36.285714285714285</v>
      </c>
      <c r="J1117" s="16"/>
      <c r="K1117" s="6">
        <f>IF(B1117="","",IFERROR(AVERAGEIFS($I$4:$I1117,$B$4:$B1117,B1117,$I$4:$I1117,"&gt;"&amp;0),""))</f>
        <v>37.172619047619044</v>
      </c>
      <c r="L1117" s="16" t="str">
        <f>IF(B1117="","",IF(ISNA(MATCH(B1117,Client_List!$B:$B,0)),"⚠ NOT FOUND","✓"))</f>
        <v>✓</v>
      </c>
    </row>
    <row r="1118" spans="1:12" ht="14" customHeight="1" x14ac:dyDescent="0.2">
      <c r="A1118" s="59">
        <v>46115</v>
      </c>
      <c r="B1118" s="18" t="s">
        <v>142</v>
      </c>
      <c r="C1118" s="19" t="str">
        <f>IF(B1118="","",IFERROR(INDEX(Client_List!$C:$C,MATCH(B1118,Client_List!$B:$B,0)),""))</f>
        <v>4</v>
      </c>
      <c r="D1118" s="19" t="str">
        <f>IF(B1118="","",IFERROR(INDEX(Client_List!$D:$D,MATCH(B1118,Client_List!$B:$B,0)),""))</f>
        <v>4A</v>
      </c>
      <c r="E1118" s="19" t="str">
        <f>IF(B1118="","",IFERROR(INDEX(Client_List!$K:$K,MATCH(B1118,Client_List!$B:$B,0)),""))</f>
        <v>FRYERS CHOICE BLEND</v>
      </c>
      <c r="F1118" s="19">
        <f>IF(B1118="","",IFERROR(INDEX(Client_List!$J:$J,MATCH(B1118,Client_List!$B:$B,0)),""))</f>
        <v>1050</v>
      </c>
      <c r="G1118" s="19">
        <v>822</v>
      </c>
      <c r="H1118" s="19">
        <f>IF(B1118="","",IFERROR(A1118-LOOKUP(2,1/($B$4:$B1117=B1118),$A$4:$A1117),""))</f>
        <v>5</v>
      </c>
      <c r="I1118" s="75">
        <f t="shared" si="17"/>
        <v>164.4</v>
      </c>
      <c r="J1118" s="19"/>
      <c r="K1118" s="6">
        <f>IF(B1118="","",IFERROR(AVERAGEIFS($I$4:$I1118,$B$4:$B1118,B1118,$I$4:$I1118,"&gt;"&amp;0),""))</f>
        <v>176.42051820728292</v>
      </c>
      <c r="L1118" s="19" t="str">
        <f>IF(B1118="","",IF(ISNA(MATCH(B1118,Client_List!$B:$B,0)),"⚠ NOT FOUND","✓"))</f>
        <v>✓</v>
      </c>
    </row>
    <row r="1119" spans="1:12" ht="14" customHeight="1" x14ac:dyDescent="0.2">
      <c r="A1119" s="58">
        <v>46115</v>
      </c>
      <c r="B1119" s="15" t="s">
        <v>168</v>
      </c>
      <c r="C1119" s="16" t="str">
        <f>IF(B1119="","",IFERROR(INDEX(Client_List!$C:$C,MATCH(B1119,Client_List!$B:$B,0)),""))</f>
        <v>4</v>
      </c>
      <c r="D1119" s="16" t="str">
        <f>IF(B1119="","",IFERROR(INDEX(Client_List!$D:$D,MATCH(B1119,Client_List!$B:$B,0)),""))</f>
        <v>4B</v>
      </c>
      <c r="E1119" s="16" t="str">
        <f>IF(B1119="","",IFERROR(INDEX(Client_List!$K:$K,MATCH(B1119,Client_List!$B:$B,0)),""))</f>
        <v>FRYERS CHOICE BLEND</v>
      </c>
      <c r="F1119" s="16">
        <f>IF(B1119="","",IFERROR(INDEX(Client_List!$J:$J,MATCH(B1119,Client_List!$B:$B,0)),""))</f>
        <v>620</v>
      </c>
      <c r="G1119" s="16">
        <v>554</v>
      </c>
      <c r="H1119" s="16">
        <f>IF(B1119="","",IFERROR(A1119-LOOKUP(2,1/($B$4:$B1118=B1119),$A$4:$A1118),""))</f>
        <v>14</v>
      </c>
      <c r="I1119" s="74">
        <f t="shared" si="17"/>
        <v>39.571428571428569</v>
      </c>
      <c r="J1119" s="16"/>
      <c r="K1119" s="6">
        <f>IF(B1119="","",IFERROR(AVERAGEIFS($I$4:$I1119,$B$4:$B1119,B1119,$I$4:$I1119,"&gt;"&amp;0),""))</f>
        <v>38.561050061050061</v>
      </c>
      <c r="L1119" s="16" t="str">
        <f>IF(B1119="","",IF(ISNA(MATCH(B1119,Client_List!$B:$B,0)),"⚠ NOT FOUND","✓"))</f>
        <v>✓</v>
      </c>
    </row>
    <row r="1120" spans="1:12" ht="14" customHeight="1" x14ac:dyDescent="0.2">
      <c r="A1120" s="59">
        <v>46115</v>
      </c>
      <c r="B1120" s="18" t="s">
        <v>174</v>
      </c>
      <c r="C1120" s="19" t="str">
        <f>IF(B1120="","",IFERROR(INDEX(Client_List!$C:$C,MATCH(B1120,Client_List!$B:$B,0)),""))</f>
        <v>2</v>
      </c>
      <c r="D1120" s="19" t="str">
        <f>IF(B1120="","",IFERROR(INDEX(Client_List!$D:$D,MATCH(B1120,Client_List!$B:$B,0)),""))</f>
        <v>2D</v>
      </c>
      <c r="E1120" s="19" t="str">
        <f>IF(B1120="","",IFERROR(INDEX(Client_List!$K:$K,MATCH(B1120,Client_List!$B:$B,0)),""))</f>
        <v>CANOLA OIL</v>
      </c>
      <c r="F1120" s="19">
        <f>IF(B1120="","",IFERROR(INDEX(Client_List!$J:$J,MATCH(B1120,Client_List!$B:$B,0)),""))</f>
        <v>700</v>
      </c>
      <c r="G1120" s="19">
        <v>365</v>
      </c>
      <c r="H1120" s="19">
        <f>IF(B1120="","",IFERROR(A1120-LOOKUP(2,1/($B$4:$B1119=B1120),$A$4:$A1119),""))</f>
        <v>24</v>
      </c>
      <c r="I1120" s="75">
        <f t="shared" si="17"/>
        <v>15.208333333333334</v>
      </c>
      <c r="J1120" s="19"/>
      <c r="K1120" s="6">
        <f>IF(B1120="","",IFERROR(AVERAGEIFS($I$4:$I1120,$B$4:$B1120,B1120,$I$4:$I1120,"&gt;"&amp;0),""))</f>
        <v>16.066077441077443</v>
      </c>
      <c r="L1120" s="19" t="str">
        <f>IF(B1120="","",IF(ISNA(MATCH(B1120,Client_List!$B:$B,0)),"⚠ NOT FOUND","✓"))</f>
        <v>✓</v>
      </c>
    </row>
    <row r="1121" spans="1:12" ht="14" customHeight="1" x14ac:dyDescent="0.2">
      <c r="A1121" s="58">
        <v>46115</v>
      </c>
      <c r="B1121" s="15" t="s">
        <v>184</v>
      </c>
      <c r="C1121" s="16" t="str">
        <f>IF(B1121="","",IFERROR(INDEX(Client_List!$C:$C,MATCH(B1121,Client_List!$B:$B,0)),""))</f>
        <v>3</v>
      </c>
      <c r="D1121" s="16" t="str">
        <f>IF(B1121="","",IFERROR(INDEX(Client_List!$D:$D,MATCH(B1121,Client_List!$B:$B,0)),""))</f>
        <v>3C</v>
      </c>
      <c r="E1121" s="16" t="str">
        <f>IF(B1121="","",IFERROR(INDEX(Client_List!$K:$K,MATCH(B1121,Client_List!$B:$B,0)),""))</f>
        <v>CANOLA OIL</v>
      </c>
      <c r="F1121" s="16">
        <f>IF(B1121="","",IFERROR(INDEX(Client_List!$J:$J,MATCH(B1121,Client_List!$B:$B,0)),""))</f>
        <v>1050</v>
      </c>
      <c r="G1121" s="16">
        <v>396</v>
      </c>
      <c r="H1121" s="16">
        <f>IF(B1121="","",IFERROR(A1121-LOOKUP(2,1/($B$4:$B1120=B1121),$A$4:$A1120),""))</f>
        <v>5</v>
      </c>
      <c r="I1121" s="74">
        <f t="shared" si="17"/>
        <v>79.2</v>
      </c>
      <c r="J1121" s="16"/>
      <c r="K1121" s="6">
        <f>IF(B1121="","",IFERROR(AVERAGEIFS($I$4:$I1121,$B$4:$B1121,B1121,$I$4:$I1121,"&gt;"&amp;0),""))</f>
        <v>99.379188712522065</v>
      </c>
      <c r="L1121" s="16" t="str">
        <f>IF(B1121="","",IF(ISNA(MATCH(B1121,Client_List!$B:$B,0)),"⚠ NOT FOUND","✓"))</f>
        <v>✓</v>
      </c>
    </row>
    <row r="1122" spans="1:12" ht="14" customHeight="1" x14ac:dyDescent="0.2">
      <c r="A1122" s="59">
        <v>46115</v>
      </c>
      <c r="B1122" s="18" t="s">
        <v>186</v>
      </c>
      <c r="C1122" s="19" t="str">
        <f>IF(B1122="","",IFERROR(INDEX(Client_List!$C:$C,MATCH(B1122,Client_List!$B:$B,0)),""))</f>
        <v>4</v>
      </c>
      <c r="D1122" s="19" t="str">
        <f>IF(B1122="","",IFERROR(INDEX(Client_List!$D:$D,MATCH(B1122,Client_List!$B:$B,0)),""))</f>
        <v>4E</v>
      </c>
      <c r="E1122" s="19" t="str">
        <f>IF(B1122="","",IFERROR(INDEX(Client_List!$K:$K,MATCH(B1122,Client_List!$B:$B,0)),""))</f>
        <v>CANOLA OIL</v>
      </c>
      <c r="F1122" s="19">
        <f>IF(B1122="","",IFERROR(INDEX(Client_List!$J:$J,MATCH(B1122,Client_List!$B:$B,0)),""))</f>
        <v>950</v>
      </c>
      <c r="G1122" s="19">
        <v>822</v>
      </c>
      <c r="H1122" s="19">
        <f>IF(B1122="","",IFERROR(A1122-LOOKUP(2,1/($B$4:$B1121=B1122),$A$4:$A1121),""))</f>
        <v>9</v>
      </c>
      <c r="I1122" s="75">
        <f t="shared" si="17"/>
        <v>91.333333333333329</v>
      </c>
      <c r="J1122" s="19"/>
      <c r="K1122" s="6">
        <f>IF(B1122="","",IFERROR(AVERAGEIFS($I$4:$I1122,$B$4:$B1122,B1122,$I$4:$I1122,"&gt;"&amp;0),""))</f>
        <v>88.610714285714295</v>
      </c>
      <c r="L1122" s="19" t="str">
        <f>IF(B1122="","",IF(ISNA(MATCH(B1122,Client_List!$B:$B,0)),"⚠ NOT FOUND","✓"))</f>
        <v>✓</v>
      </c>
    </row>
    <row r="1123" spans="1:12" ht="14" customHeight="1" x14ac:dyDescent="0.2">
      <c r="A1123" s="58">
        <v>46115</v>
      </c>
      <c r="B1123" s="15" t="s">
        <v>238</v>
      </c>
      <c r="C1123" s="16" t="str">
        <f>IF(B1123="","",IFERROR(INDEX(Client_List!$C:$C,MATCH(B1123,Client_List!$B:$B,0)),""))</f>
        <v>4</v>
      </c>
      <c r="D1123" s="16" t="str">
        <f>IF(B1123="","",IFERROR(INDEX(Client_List!$D:$D,MATCH(B1123,Client_List!$B:$B,0)),""))</f>
        <v>4D</v>
      </c>
      <c r="E1123" s="16" t="str">
        <f>IF(B1123="","",IFERROR(INDEX(Client_List!$K:$K,MATCH(B1123,Client_List!$B:$B,0)),""))</f>
        <v>CANOLA OIL</v>
      </c>
      <c r="F1123" s="16">
        <f>IF(B1123="","",IFERROR(INDEX(Client_List!$J:$J,MATCH(B1123,Client_List!$B:$B,0)),""))</f>
        <v>660</v>
      </c>
      <c r="G1123" s="16">
        <v>475</v>
      </c>
      <c r="H1123" s="16">
        <f>IF(B1123="","",IFERROR(A1123-LOOKUP(2,1/($B$4:$B1122=B1123),$A$4:$A1122),""))</f>
        <v>13</v>
      </c>
      <c r="I1123" s="74">
        <f t="shared" si="17"/>
        <v>36.53846153846154</v>
      </c>
      <c r="J1123" s="16"/>
      <c r="K1123" s="6">
        <f>IF(B1123="","",IFERROR(AVERAGEIFS($I$4:$I1123,$B$4:$B1123,B1123,$I$4:$I1123,"&gt;"&amp;0),""))</f>
        <v>36.831888944388943</v>
      </c>
      <c r="L1123" s="16" t="str">
        <f>IF(B1123="","",IF(ISNA(MATCH(B1123,Client_List!$B:$B,0)),"⚠ NOT FOUND","✓"))</f>
        <v>✓</v>
      </c>
    </row>
    <row r="1124" spans="1:12" ht="14" customHeight="1" x14ac:dyDescent="0.2">
      <c r="A1124" s="59">
        <v>46115</v>
      </c>
      <c r="B1124" s="18" t="s">
        <v>272</v>
      </c>
      <c r="C1124" s="19" t="str">
        <f>IF(B1124="","",IFERROR(INDEX(Client_List!$C:$C,MATCH(B1124,Client_List!$B:$B,0)),""))</f>
        <v>2</v>
      </c>
      <c r="D1124" s="19" t="str">
        <f>IF(B1124="","",IFERROR(INDEX(Client_List!$D:$D,MATCH(B1124,Client_List!$B:$B,0)),""))</f>
        <v>2C</v>
      </c>
      <c r="E1124" s="19" t="str">
        <f>IF(B1124="","",IFERROR(INDEX(Client_List!$K:$K,MATCH(B1124,Client_List!$B:$B,0)),""))</f>
        <v>CANOLA OIL</v>
      </c>
      <c r="F1124" s="19">
        <f>IF(B1124="","",IFERROR(INDEX(Client_List!$J:$J,MATCH(B1124,Client_List!$B:$B,0)),""))</f>
        <v>1050</v>
      </c>
      <c r="G1124" s="19">
        <v>891</v>
      </c>
      <c r="H1124" s="19">
        <f>IF(B1124="","",IFERROR(A1124-LOOKUP(2,1/($B$4:$B1123=B1124),$A$4:$A1123),""))</f>
        <v>38</v>
      </c>
      <c r="I1124" s="75">
        <f t="shared" si="17"/>
        <v>23.44736842105263</v>
      </c>
      <c r="J1124" s="19"/>
      <c r="K1124" s="6">
        <f>IF(B1124="","",IFERROR(AVERAGEIFS($I$4:$I1124,$B$4:$B1124,B1124,$I$4:$I1124,"&gt;"&amp;0),""))</f>
        <v>26.143039049235995</v>
      </c>
      <c r="L1124" s="19" t="str">
        <f>IF(B1124="","",IF(ISNA(MATCH(B1124,Client_List!$B:$B,0)),"⚠ NOT FOUND","✓"))</f>
        <v>✓</v>
      </c>
    </row>
    <row r="1125" spans="1:12" ht="14" customHeight="1" x14ac:dyDescent="0.2">
      <c r="A1125" s="58">
        <v>46115</v>
      </c>
      <c r="B1125" s="15" t="s">
        <v>300</v>
      </c>
      <c r="C1125" s="16" t="str">
        <f>IF(B1125="","",IFERROR(INDEX(Client_List!$C:$C,MATCH(B1125,Client_List!$B:$B,0)),""))</f>
        <v>4</v>
      </c>
      <c r="D1125" s="16" t="str">
        <f>IF(B1125="","",IFERROR(INDEX(Client_List!$D:$D,MATCH(B1125,Client_List!$B:$B,0)),""))</f>
        <v>4C</v>
      </c>
      <c r="E1125" s="16" t="str">
        <f>IF(B1125="","",IFERROR(INDEX(Client_List!$K:$K,MATCH(B1125,Client_List!$B:$B,0)),""))</f>
        <v>FRYERS CHOICE BLEND</v>
      </c>
      <c r="F1125" s="16">
        <f>IF(B1125="","",IFERROR(INDEX(Client_List!$J:$J,MATCH(B1125,Client_List!$B:$B,0)),""))</f>
        <v>350</v>
      </c>
      <c r="G1125" s="16">
        <v>330</v>
      </c>
      <c r="H1125" s="16">
        <f>IF(B1125="","",IFERROR(A1125-LOOKUP(2,1/($B$4:$B1124=B1125),$A$4:$A1124),""))</f>
        <v>9</v>
      </c>
      <c r="I1125" s="74">
        <f t="shared" si="17"/>
        <v>36.666666666666664</v>
      </c>
      <c r="J1125" s="16"/>
      <c r="K1125" s="6">
        <f>IF(B1125="","",IFERROR(AVERAGEIFS($I$4:$I1125,$B$4:$B1125,B1125,$I$4:$I1125,"&gt;"&amp;0),""))</f>
        <v>28.859788359788361</v>
      </c>
      <c r="L1125" s="16" t="str">
        <f>IF(B1125="","",IF(ISNA(MATCH(B1125,Client_List!$B:$B,0)),"⚠ NOT FOUND","✓"))</f>
        <v>✓</v>
      </c>
    </row>
    <row r="1126" spans="1:12" ht="14" customHeight="1" x14ac:dyDescent="0.2">
      <c r="A1126" s="59">
        <v>46115</v>
      </c>
      <c r="B1126" s="18" t="s">
        <v>306</v>
      </c>
      <c r="C1126" s="19" t="str">
        <f>IF(B1126="","",IFERROR(INDEX(Client_List!$C:$C,MATCH(B1126,Client_List!$B:$B,0)),""))</f>
        <v>4</v>
      </c>
      <c r="D1126" s="19" t="str">
        <f>IF(B1126="","",IFERROR(INDEX(Client_List!$D:$D,MATCH(B1126,Client_List!$B:$B,0)),""))</f>
        <v>4C</v>
      </c>
      <c r="E1126" s="19" t="str">
        <f>IF(B1126="","",IFERROR(INDEX(Client_List!$K:$K,MATCH(B1126,Client_List!$B:$B,0)),""))</f>
        <v>FRYERS CHOICE BLEND</v>
      </c>
      <c r="F1126" s="19">
        <f>IF(B1126="","",IFERROR(INDEX(Client_List!$J:$J,MATCH(B1126,Client_List!$B:$B,0)),""))</f>
        <v>1050</v>
      </c>
      <c r="G1126" s="19">
        <v>856</v>
      </c>
      <c r="H1126" s="19">
        <f>IF(B1126="","",IFERROR(A1126-LOOKUP(2,1/($B$4:$B1125=B1126),$A$4:$A1125),""))</f>
        <v>8</v>
      </c>
      <c r="I1126" s="75">
        <f t="shared" si="17"/>
        <v>107</v>
      </c>
      <c r="J1126" s="19"/>
      <c r="K1126" s="6">
        <f>IF(B1126="","",IFERROR(AVERAGEIFS($I$4:$I1126,$B$4:$B1126,B1126,$I$4:$I1126,"&gt;"&amp;0),""))</f>
        <v>102.98324915824917</v>
      </c>
      <c r="L1126" s="19" t="str">
        <f>IF(B1126="","",IF(ISNA(MATCH(B1126,Client_List!$B:$B,0)),"⚠ NOT FOUND","✓"))</f>
        <v>✓</v>
      </c>
    </row>
    <row r="1127" spans="1:12" ht="14" customHeight="1" x14ac:dyDescent="0.2">
      <c r="A1127" s="58">
        <v>46115</v>
      </c>
      <c r="B1127" s="15" t="s">
        <v>312</v>
      </c>
      <c r="C1127" s="16" t="str">
        <f>IF(B1127="","",IFERROR(INDEX(Client_List!$C:$C,MATCH(B1127,Client_List!$B:$B,0)),""))</f>
        <v>2</v>
      </c>
      <c r="D1127" s="16" t="str">
        <f>IF(B1127="","",IFERROR(INDEX(Client_List!$D:$D,MATCH(B1127,Client_List!$B:$B,0)),""))</f>
        <v>2C</v>
      </c>
      <c r="E1127" s="16" t="str">
        <f>IF(B1127="","",IFERROR(INDEX(Client_List!$K:$K,MATCH(B1127,Client_List!$B:$B,0)),""))</f>
        <v>CANOLA OIL</v>
      </c>
      <c r="F1127" s="16">
        <f>IF(B1127="","",IFERROR(INDEX(Client_List!$J:$J,MATCH(B1127,Client_List!$B:$B,0)),""))</f>
        <v>1050</v>
      </c>
      <c r="G1127" s="16">
        <v>781</v>
      </c>
      <c r="H1127" s="16">
        <f>IF(B1127="","",IFERROR(A1127-LOOKUP(2,1/($B$4:$B1126=B1127),$A$4:$A1126),""))</f>
        <v>10</v>
      </c>
      <c r="I1127" s="74">
        <f t="shared" si="17"/>
        <v>78.099999999999994</v>
      </c>
      <c r="J1127" s="16"/>
      <c r="K1127" s="6">
        <f>IF(B1127="","",IFERROR(AVERAGEIFS($I$4:$I1127,$B$4:$B1127,B1127,$I$4:$I1127,"&gt;"&amp;0),""))</f>
        <v>61.065335132703559</v>
      </c>
      <c r="L1127" s="16" t="str">
        <f>IF(B1127="","",IF(ISNA(MATCH(B1127,Client_List!$B:$B,0)),"⚠ NOT FOUND","✓"))</f>
        <v>✓</v>
      </c>
    </row>
    <row r="1128" spans="1:12" ht="14" customHeight="1" x14ac:dyDescent="0.2">
      <c r="A1128" s="59">
        <v>46115</v>
      </c>
      <c r="B1128" s="18" t="s">
        <v>332</v>
      </c>
      <c r="C1128" s="19" t="str">
        <f>IF(B1128="","",IFERROR(INDEX(Client_List!$C:$C,MATCH(B1128,Client_List!$B:$B,0)),""))</f>
        <v>2</v>
      </c>
      <c r="D1128" s="19" t="str">
        <f>IF(B1128="","",IFERROR(INDEX(Client_List!$D:$D,MATCH(B1128,Client_List!$B:$B,0)),""))</f>
        <v>2C</v>
      </c>
      <c r="E1128" s="19" t="str">
        <f>IF(B1128="","",IFERROR(INDEX(Client_List!$K:$K,MATCH(B1128,Client_List!$B:$B,0)),""))</f>
        <v>CANOLA OIL</v>
      </c>
      <c r="F1128" s="19">
        <f>IF(B1128="","",IFERROR(INDEX(Client_List!$J:$J,MATCH(B1128,Client_List!$B:$B,0)),""))</f>
        <v>1050</v>
      </c>
      <c r="G1128" s="19">
        <v>709</v>
      </c>
      <c r="H1128" s="19">
        <f>IF(B1128="","",IFERROR(A1128-LOOKUP(2,1/($B$4:$B1127=B1128),$A$4:$A1127),""))</f>
        <v>5</v>
      </c>
      <c r="I1128" s="75">
        <f t="shared" si="17"/>
        <v>141.80000000000001</v>
      </c>
      <c r="J1128" s="19"/>
      <c r="K1128" s="6">
        <f>IF(B1128="","",IFERROR(AVERAGEIFS($I$4:$I1128,$B$4:$B1128,B1128,$I$4:$I1128,"&gt;"&amp;0),""))</f>
        <v>64.833333333333343</v>
      </c>
      <c r="L1128" s="19" t="str">
        <f>IF(B1128="","",IF(ISNA(MATCH(B1128,Client_List!$B:$B,0)),"⚠ NOT FOUND","✓"))</f>
        <v>✓</v>
      </c>
    </row>
    <row r="1129" spans="1:12" ht="14" customHeight="1" x14ac:dyDescent="0.2">
      <c r="A1129" s="58">
        <v>46115</v>
      </c>
      <c r="B1129" s="15" t="s">
        <v>350</v>
      </c>
      <c r="C1129" s="16" t="str">
        <f>IF(B1129="","",IFERROR(INDEX(Client_List!$C:$C,MATCH(B1129,Client_List!$B:$B,0)),""))</f>
        <v>2</v>
      </c>
      <c r="D1129" s="16" t="str">
        <f>IF(B1129="","",IFERROR(INDEX(Client_List!$D:$D,MATCH(B1129,Client_List!$B:$B,0)),""))</f>
        <v>2D</v>
      </c>
      <c r="E1129" s="16" t="str">
        <f>IF(B1129="","",IFERROR(INDEX(Client_List!$K:$K,MATCH(B1129,Client_List!$B:$B,0)),""))</f>
        <v>CANOLA OIL</v>
      </c>
      <c r="F1129" s="16">
        <f>IF(B1129="","",IFERROR(INDEX(Client_List!$J:$J,MATCH(B1129,Client_List!$B:$B,0)),""))</f>
        <v>1050</v>
      </c>
      <c r="G1129" s="16">
        <v>627</v>
      </c>
      <c r="H1129" s="16">
        <f>IF(B1129="","",IFERROR(A1129-LOOKUP(2,1/($B$4:$B1128=B1129),$A$4:$A1128),""))</f>
        <v>7</v>
      </c>
      <c r="I1129" s="74">
        <f t="shared" si="17"/>
        <v>89.571428571428569</v>
      </c>
      <c r="J1129" s="16"/>
      <c r="K1129" s="6">
        <f>IF(B1129="","",IFERROR(AVERAGEIFS($I$4:$I1129,$B$4:$B1129,B1129,$I$4:$I1129,"&gt;"&amp;0),""))</f>
        <v>66.549107142857139</v>
      </c>
      <c r="L1129" s="16" t="str">
        <f>IF(B1129="","",IF(ISNA(MATCH(B1129,Client_List!$B:$B,0)),"⚠ NOT FOUND","✓"))</f>
        <v>✓</v>
      </c>
    </row>
    <row r="1130" spans="1:12" ht="14" customHeight="1" x14ac:dyDescent="0.2">
      <c r="A1130" s="59">
        <v>46116</v>
      </c>
      <c r="B1130" s="18" t="s">
        <v>67</v>
      </c>
      <c r="C1130" s="19" t="str">
        <f>IF(B1130="","",IFERROR(INDEX(Client_List!$C:$C,MATCH(B1130,Client_List!$B:$B,0)),""))</f>
        <v>5</v>
      </c>
      <c r="D1130" s="19" t="str">
        <f>IF(B1130="","",IFERROR(INDEX(Client_List!$D:$D,MATCH(B1130,Client_List!$B:$B,0)),""))</f>
        <v>5F</v>
      </c>
      <c r="E1130" s="19" t="str">
        <f>IF(B1130="","",IFERROR(INDEX(Client_List!$K:$K,MATCH(B1130,Client_List!$B:$B,0)),""))</f>
        <v>CANOLA OIL</v>
      </c>
      <c r="F1130" s="19">
        <f>IF(B1130="","",IFERROR(INDEX(Client_List!$J:$J,MATCH(B1130,Client_List!$B:$B,0)),""))</f>
        <v>950</v>
      </c>
      <c r="G1130" s="19">
        <v>455</v>
      </c>
      <c r="H1130" s="19">
        <f>IF(B1130="","",IFERROR(A1130-LOOKUP(2,1/($B$4:$B1129=B1130),$A$4:$A1129),""))</f>
        <v>3</v>
      </c>
      <c r="I1130" s="75">
        <f t="shared" si="17"/>
        <v>151.66666666666666</v>
      </c>
      <c r="J1130" s="19"/>
      <c r="K1130" s="6">
        <f>IF(B1130="","",IFERROR(AVERAGEIFS($I$4:$I1130,$B$4:$B1130,B1130,$I$4:$I1130,"&gt;"&amp;0),""))</f>
        <v>153.77446789321789</v>
      </c>
      <c r="L1130" s="19" t="str">
        <f>IF(B1130="","",IF(ISNA(MATCH(B1130,Client_List!$B:$B,0)),"⚠ NOT FOUND","✓"))</f>
        <v>✓</v>
      </c>
    </row>
    <row r="1131" spans="1:12" ht="14" customHeight="1" x14ac:dyDescent="0.2">
      <c r="A1131" s="58">
        <v>46116</v>
      </c>
      <c r="B1131" s="15" t="s">
        <v>75</v>
      </c>
      <c r="C1131" s="16" t="str">
        <f>IF(B1131="","",IFERROR(INDEX(Client_List!$C:$C,MATCH(B1131,Client_List!$B:$B,0)),""))</f>
        <v>1</v>
      </c>
      <c r="D1131" s="16" t="str">
        <f>IF(B1131="","",IFERROR(INDEX(Client_List!$D:$D,MATCH(B1131,Client_List!$B:$B,0)),""))</f>
        <v>1D</v>
      </c>
      <c r="E1131" s="16" t="str">
        <f>IF(B1131="","",IFERROR(INDEX(Client_List!$K:$K,MATCH(B1131,Client_List!$B:$B,0)),""))</f>
        <v>CANOLA OIL</v>
      </c>
      <c r="F1131" s="16">
        <f>IF(B1131="","",IFERROR(INDEX(Client_List!$J:$J,MATCH(B1131,Client_List!$B:$B,0)),""))</f>
        <v>620</v>
      </c>
      <c r="G1131" s="16">
        <v>527</v>
      </c>
      <c r="H1131" s="16">
        <f>IF(B1131="","",IFERROR(A1131-LOOKUP(2,1/($B$4:$B1130=B1131),$A$4:$A1130),""))</f>
        <v>7</v>
      </c>
      <c r="I1131" s="74">
        <f t="shared" si="17"/>
        <v>75.285714285714292</v>
      </c>
      <c r="J1131" s="16"/>
      <c r="K1131" s="6">
        <f>IF(B1131="","",IFERROR(AVERAGEIFS($I$4:$I1131,$B$4:$B1131,B1131,$I$4:$I1131,"&gt;"&amp;0),""))</f>
        <v>100.83741496598638</v>
      </c>
      <c r="L1131" s="16" t="str">
        <f>IF(B1131="","",IF(ISNA(MATCH(B1131,Client_List!$B:$B,0)),"⚠ NOT FOUND","✓"))</f>
        <v>✓</v>
      </c>
    </row>
    <row r="1132" spans="1:12" ht="14" customHeight="1" x14ac:dyDescent="0.2">
      <c r="A1132" s="59">
        <v>46116</v>
      </c>
      <c r="B1132" s="18" t="s">
        <v>104</v>
      </c>
      <c r="C1132" s="19" t="str">
        <f>IF(B1132="","",IFERROR(INDEX(Client_List!$C:$C,MATCH(B1132,Client_List!$B:$B,0)),""))</f>
        <v>4</v>
      </c>
      <c r="D1132" s="19" t="str">
        <f>IF(B1132="","",IFERROR(INDEX(Client_List!$D:$D,MATCH(B1132,Client_List!$B:$B,0)),""))</f>
        <v>4E</v>
      </c>
      <c r="E1132" s="19" t="str">
        <f>IF(B1132="","",IFERROR(INDEX(Client_List!$K:$K,MATCH(B1132,Client_List!$B:$B,0)),""))</f>
        <v>CANOLA OIL</v>
      </c>
      <c r="F1132" s="19">
        <f>IF(B1132="","",IFERROR(INDEX(Client_List!$J:$J,MATCH(B1132,Client_List!$B:$B,0)),""))</f>
        <v>350</v>
      </c>
      <c r="G1132" s="19">
        <v>223</v>
      </c>
      <c r="H1132" s="19">
        <f>IF(B1132="","",IFERROR(A1132-LOOKUP(2,1/($B$4:$B1131=B1132),$A$4:$A1131),""))</f>
        <v>9</v>
      </c>
      <c r="I1132" s="75">
        <f t="shared" si="17"/>
        <v>24.777777777777779</v>
      </c>
      <c r="J1132" s="19"/>
      <c r="K1132" s="6">
        <f>IF(B1132="","",IFERROR(AVERAGEIFS($I$4:$I1132,$B$4:$B1132,B1132,$I$4:$I1132,"&gt;"&amp;0),""))</f>
        <v>18.104365079365078</v>
      </c>
      <c r="L1132" s="19" t="str">
        <f>IF(B1132="","",IF(ISNA(MATCH(B1132,Client_List!$B:$B,0)),"⚠ NOT FOUND","✓"))</f>
        <v>✓</v>
      </c>
    </row>
    <row r="1133" spans="1:12" ht="14" customHeight="1" x14ac:dyDescent="0.2">
      <c r="A1133" s="58">
        <v>46116</v>
      </c>
      <c r="B1133" s="15" t="s">
        <v>126</v>
      </c>
      <c r="C1133" s="16" t="str">
        <f>IF(B1133="","",IFERROR(INDEX(Client_List!$C:$C,MATCH(B1133,Client_List!$B:$B,0)),""))</f>
        <v>4</v>
      </c>
      <c r="D1133" s="16" t="str">
        <f>IF(B1133="","",IFERROR(INDEX(Client_List!$D:$D,MATCH(B1133,Client_List!$B:$B,0)),""))</f>
        <v>4D</v>
      </c>
      <c r="E1133" s="16" t="str">
        <f>IF(B1133="","",IFERROR(INDEX(Client_List!$K:$K,MATCH(B1133,Client_List!$B:$B,0)),""))</f>
        <v>CANOLA OIL</v>
      </c>
      <c r="F1133" s="16">
        <f>IF(B1133="","",IFERROR(INDEX(Client_List!$J:$J,MATCH(B1133,Client_List!$B:$B,0)),""))</f>
        <v>700</v>
      </c>
      <c r="G1133" s="16">
        <v>618</v>
      </c>
      <c r="H1133" s="16">
        <f>IF(B1133="","",IFERROR(A1133-LOOKUP(2,1/($B$4:$B1132=B1133),$A$4:$A1132),""))</f>
        <v>9</v>
      </c>
      <c r="I1133" s="74">
        <f t="shared" si="17"/>
        <v>68.666666666666671</v>
      </c>
      <c r="J1133" s="16"/>
      <c r="K1133" s="6">
        <f>IF(B1133="","",IFERROR(AVERAGEIFS($I$4:$I1133,$B$4:$B1133,B1133,$I$4:$I1133,"&gt;"&amp;0),""))</f>
        <v>68.965159840159842</v>
      </c>
      <c r="L1133" s="16" t="str">
        <f>IF(B1133="","",IF(ISNA(MATCH(B1133,Client_List!$B:$B,0)),"⚠ NOT FOUND","✓"))</f>
        <v>✓</v>
      </c>
    </row>
    <row r="1134" spans="1:12" ht="14" customHeight="1" x14ac:dyDescent="0.2">
      <c r="A1134" s="59">
        <v>46116</v>
      </c>
      <c r="B1134" s="18" t="s">
        <v>132</v>
      </c>
      <c r="C1134" s="19" t="str">
        <f>IF(B1134="","",IFERROR(INDEX(Client_List!$C:$C,MATCH(B1134,Client_List!$B:$B,0)),""))</f>
        <v>3</v>
      </c>
      <c r="D1134" s="19" t="str">
        <f>IF(B1134="","",IFERROR(INDEX(Client_List!$D:$D,MATCH(B1134,Client_List!$B:$B,0)),""))</f>
        <v>3C</v>
      </c>
      <c r="E1134" s="19" t="str">
        <f>IF(B1134="","",IFERROR(INDEX(Client_List!$K:$K,MATCH(B1134,Client_List!$B:$B,0)),""))</f>
        <v>CANOLA OIL</v>
      </c>
      <c r="F1134" s="19">
        <f>IF(B1134="","",IFERROR(INDEX(Client_List!$J:$J,MATCH(B1134,Client_List!$B:$B,0)),""))</f>
        <v>630</v>
      </c>
      <c r="G1134" s="19">
        <v>578</v>
      </c>
      <c r="H1134" s="19">
        <f>IF(B1134="","",IFERROR(A1134-LOOKUP(2,1/($B$4:$B1133=B1134),$A$4:$A1133),""))</f>
        <v>13</v>
      </c>
      <c r="I1134" s="75">
        <f t="shared" si="17"/>
        <v>44.46153846153846</v>
      </c>
      <c r="J1134" s="19"/>
      <c r="K1134" s="6">
        <f>IF(B1134="","",IFERROR(AVERAGEIFS($I$4:$I1134,$B$4:$B1134,B1134,$I$4:$I1134,"&gt;"&amp;0),""))</f>
        <v>44.129785029785033</v>
      </c>
      <c r="L1134" s="19" t="str">
        <f>IF(B1134="","",IF(ISNA(MATCH(B1134,Client_List!$B:$B,0)),"⚠ NOT FOUND","✓"))</f>
        <v>✓</v>
      </c>
    </row>
    <row r="1135" spans="1:12" ht="14" customHeight="1" x14ac:dyDescent="0.2">
      <c r="A1135" s="58">
        <v>46116</v>
      </c>
      <c r="B1135" s="15" t="s">
        <v>152</v>
      </c>
      <c r="C1135" s="16" t="str">
        <f>IF(B1135="","",IFERROR(INDEX(Client_List!$C:$C,MATCH(B1135,Client_List!$B:$B,0)),""))</f>
        <v>4</v>
      </c>
      <c r="D1135" s="16" t="str">
        <f>IF(B1135="","",IFERROR(INDEX(Client_List!$D:$D,MATCH(B1135,Client_List!$B:$B,0)),""))</f>
        <v>4B</v>
      </c>
      <c r="E1135" s="16" t="str">
        <f>IF(B1135="","",IFERROR(INDEX(Client_List!$K:$K,MATCH(B1135,Client_List!$B:$B,0)),""))</f>
        <v>CANOLA OIL</v>
      </c>
      <c r="F1135" s="16">
        <f>IF(B1135="","",IFERROR(INDEX(Client_List!$J:$J,MATCH(B1135,Client_List!$B:$B,0)),""))</f>
        <v>950</v>
      </c>
      <c r="G1135" s="16">
        <v>725</v>
      </c>
      <c r="H1135" s="16">
        <f>IF(B1135="","",IFERROR(A1135-LOOKUP(2,1/($B$4:$B1134=B1135),$A$4:$A1134),""))</f>
        <v>14</v>
      </c>
      <c r="I1135" s="74">
        <f t="shared" si="17"/>
        <v>51.785714285714285</v>
      </c>
      <c r="J1135" s="16"/>
      <c r="K1135" s="6">
        <f>IF(B1135="","",IFERROR(AVERAGEIFS($I$4:$I1135,$B$4:$B1135,B1135,$I$4:$I1135,"&gt;"&amp;0),""))</f>
        <v>53.083333333333336</v>
      </c>
      <c r="L1135" s="16" t="str">
        <f>IF(B1135="","",IF(ISNA(MATCH(B1135,Client_List!$B:$B,0)),"⚠ NOT FOUND","✓"))</f>
        <v>✓</v>
      </c>
    </row>
    <row r="1136" spans="1:12" ht="14" customHeight="1" x14ac:dyDescent="0.2">
      <c r="A1136" s="59">
        <v>46116</v>
      </c>
      <c r="B1136" s="18" t="s">
        <v>166</v>
      </c>
      <c r="C1136" s="19" t="str">
        <f>IF(B1136="","",IFERROR(INDEX(Client_List!$C:$C,MATCH(B1136,Client_List!$B:$B,0)),""))</f>
        <v>4</v>
      </c>
      <c r="D1136" s="19" t="str">
        <f>IF(B1136="","",IFERROR(INDEX(Client_List!$D:$D,MATCH(B1136,Client_List!$B:$B,0)),""))</f>
        <v>4B</v>
      </c>
      <c r="E1136" s="19" t="str">
        <f>IF(B1136="","",IFERROR(INDEX(Client_List!$K:$K,MATCH(B1136,Client_List!$B:$B,0)),""))</f>
        <v>CANOLA OIL</v>
      </c>
      <c r="F1136" s="19">
        <f>IF(B1136="","",IFERROR(INDEX(Client_List!$J:$J,MATCH(B1136,Client_List!$B:$B,0)),""))</f>
        <v>1050</v>
      </c>
      <c r="G1136" s="19">
        <v>743</v>
      </c>
      <c r="H1136" s="19">
        <f>IF(B1136="","",IFERROR(A1136-LOOKUP(2,1/($B$4:$B1135=B1136),$A$4:$A1135),""))</f>
        <v>9</v>
      </c>
      <c r="I1136" s="75">
        <f t="shared" si="17"/>
        <v>82.555555555555557</v>
      </c>
      <c r="J1136" s="19"/>
      <c r="K1136" s="6">
        <f>IF(B1136="","",IFERROR(AVERAGEIFS($I$4:$I1136,$B$4:$B1136,B1136,$I$4:$I1136,"&gt;"&amp;0),""))</f>
        <v>74.492592592592587</v>
      </c>
      <c r="L1136" s="19" t="str">
        <f>IF(B1136="","",IF(ISNA(MATCH(B1136,Client_List!$B:$B,0)),"⚠ NOT FOUND","✓"))</f>
        <v>✓</v>
      </c>
    </row>
    <row r="1137" spans="1:12" ht="14" customHeight="1" x14ac:dyDescent="0.2">
      <c r="A1137" s="58">
        <v>46116</v>
      </c>
      <c r="B1137" s="15" t="s">
        <v>182</v>
      </c>
      <c r="C1137" s="16" t="str">
        <f>IF(B1137="","",IFERROR(INDEX(Client_List!$C:$C,MATCH(B1137,Client_List!$B:$B,0)),""))</f>
        <v>3</v>
      </c>
      <c r="D1137" s="16" t="str">
        <f>IF(B1137="","",IFERROR(INDEX(Client_List!$D:$D,MATCH(B1137,Client_List!$B:$B,0)),""))</f>
        <v>3D</v>
      </c>
      <c r="E1137" s="16" t="str">
        <f>IF(B1137="","",IFERROR(INDEX(Client_List!$K:$K,MATCH(B1137,Client_List!$B:$B,0)),""))</f>
        <v>CANOLA OIL</v>
      </c>
      <c r="F1137" s="16">
        <f>IF(B1137="","",IFERROR(INDEX(Client_List!$J:$J,MATCH(B1137,Client_List!$B:$B,0)),""))</f>
        <v>1000</v>
      </c>
      <c r="G1137" s="16">
        <v>636</v>
      </c>
      <c r="H1137" s="16">
        <f>IF(B1137="","",IFERROR(A1137-LOOKUP(2,1/($B$4:$B1136=B1137),$A$4:$A1136),""))</f>
        <v>31</v>
      </c>
      <c r="I1137" s="74">
        <f t="shared" si="17"/>
        <v>20.516129032258064</v>
      </c>
      <c r="J1137" s="16"/>
      <c r="K1137" s="6">
        <f>IF(B1137="","",IFERROR(AVERAGEIFS($I$4:$I1137,$B$4:$B1137,B1137,$I$4:$I1137,"&gt;"&amp;0),""))</f>
        <v>41.927035330261141</v>
      </c>
      <c r="L1137" s="16" t="str">
        <f>IF(B1137="","",IF(ISNA(MATCH(B1137,Client_List!$B:$B,0)),"⚠ NOT FOUND","✓"))</f>
        <v>✓</v>
      </c>
    </row>
    <row r="1138" spans="1:12" ht="14" customHeight="1" x14ac:dyDescent="0.2">
      <c r="A1138" s="59">
        <v>46116</v>
      </c>
      <c r="B1138" s="18" t="s">
        <v>204</v>
      </c>
      <c r="C1138" s="19" t="str">
        <f>IF(B1138="","",IFERROR(INDEX(Client_List!$C:$C,MATCH(B1138,Client_List!$B:$B,0)),""))</f>
        <v>5</v>
      </c>
      <c r="D1138" s="19" t="str">
        <f>IF(B1138="","",IFERROR(INDEX(Client_List!$D:$D,MATCH(B1138,Client_List!$B:$B,0)),""))</f>
        <v>5E</v>
      </c>
      <c r="E1138" s="19" t="str">
        <f>IF(B1138="","",IFERROR(INDEX(Client_List!$K:$K,MATCH(B1138,Client_List!$B:$B,0)),""))</f>
        <v>CANOLA OIL</v>
      </c>
      <c r="F1138" s="19">
        <f>IF(B1138="","",IFERROR(INDEX(Client_List!$J:$J,MATCH(B1138,Client_List!$B:$B,0)),""))</f>
        <v>1800</v>
      </c>
      <c r="G1138" s="19">
        <v>1485</v>
      </c>
      <c r="H1138" s="19">
        <f>IF(B1138="","",IFERROR(A1138-LOOKUP(2,1/($B$4:$B1137=B1138),$A$4:$A1137),""))</f>
        <v>8</v>
      </c>
      <c r="I1138" s="75">
        <f t="shared" si="17"/>
        <v>185.625</v>
      </c>
      <c r="J1138" s="19"/>
      <c r="K1138" s="6">
        <f>IF(B1138="","",IFERROR(AVERAGEIFS($I$4:$I1138,$B$4:$B1138,B1138,$I$4:$I1138,"&gt;"&amp;0),""))</f>
        <v>162.75847763347764</v>
      </c>
      <c r="L1138" s="19" t="str">
        <f>IF(B1138="","",IF(ISNA(MATCH(B1138,Client_List!$B:$B,0)),"⚠ NOT FOUND","✓"))</f>
        <v>✓</v>
      </c>
    </row>
    <row r="1139" spans="1:12" ht="14" customHeight="1" x14ac:dyDescent="0.2">
      <c r="A1139" s="58">
        <v>46116</v>
      </c>
      <c r="B1139" s="15" t="s">
        <v>216</v>
      </c>
      <c r="C1139" s="16" t="str">
        <f>IF(B1139="","",IFERROR(INDEX(Client_List!$C:$C,MATCH(B1139,Client_List!$B:$B,0)),""))</f>
        <v>3</v>
      </c>
      <c r="D1139" s="16" t="str">
        <f>IF(B1139="","",IFERROR(INDEX(Client_List!$D:$D,MATCH(B1139,Client_List!$B:$B,0)),""))</f>
        <v>3D</v>
      </c>
      <c r="E1139" s="16" t="str">
        <f>IF(B1139="","",IFERROR(INDEX(Client_List!$K:$K,MATCH(B1139,Client_List!$B:$B,0)),""))</f>
        <v>CANOLA OIL</v>
      </c>
      <c r="F1139" s="16">
        <f>IF(B1139="","",IFERROR(INDEX(Client_List!$J:$J,MATCH(B1139,Client_List!$B:$B,0)),""))</f>
        <v>450</v>
      </c>
      <c r="G1139" s="16">
        <v>415</v>
      </c>
      <c r="H1139" s="16">
        <f>IF(B1139="","",IFERROR(A1139-LOOKUP(2,1/($B$4:$B1138=B1139),$A$4:$A1138),""))</f>
        <v>14</v>
      </c>
      <c r="I1139" s="74">
        <f t="shared" si="17"/>
        <v>29.642857142857142</v>
      </c>
      <c r="J1139" s="16"/>
      <c r="K1139" s="6">
        <f>IF(B1139="","",IFERROR(AVERAGEIFS($I$4:$I1139,$B$4:$B1139,B1139,$I$4:$I1139,"&gt;"&amp;0),""))</f>
        <v>30.102008177008177</v>
      </c>
      <c r="L1139" s="16" t="str">
        <f>IF(B1139="","",IF(ISNA(MATCH(B1139,Client_List!$B:$B,0)),"⚠ NOT FOUND","✓"))</f>
        <v>✓</v>
      </c>
    </row>
    <row r="1140" spans="1:12" ht="14" customHeight="1" x14ac:dyDescent="0.2">
      <c r="A1140" s="59">
        <v>46116</v>
      </c>
      <c r="B1140" s="18" t="s">
        <v>374</v>
      </c>
      <c r="C1140" s="19">
        <f>IF(B1140="","",IFERROR(INDEX(Client_List!$C:$C,MATCH(B1140,Client_List!$B:$B,0)),""))</f>
        <v>0</v>
      </c>
      <c r="D1140" s="19" t="str">
        <f>IF(B1140="","",IFERROR(INDEX(Client_List!$D:$D,MATCH(B1140,Client_List!$B:$B,0)),""))</f>
        <v>F</v>
      </c>
      <c r="E1140" s="19" t="str">
        <f>IF(B1140="","",IFERROR(INDEX(Client_List!$K:$K,MATCH(B1140,Client_List!$B:$B,0)),""))</f>
        <v>CANOLA OIL</v>
      </c>
      <c r="F1140" s="19">
        <f>IF(B1140="","",IFERROR(INDEX(Client_List!$J:$J,MATCH(B1140,Client_List!$B:$B,0)),""))</f>
        <v>700</v>
      </c>
      <c r="G1140" s="19">
        <v>439</v>
      </c>
      <c r="H1140" s="19">
        <f>IF(B1140="","",IFERROR(A1140-LOOKUP(2,1/($B$4:$B1139=B1140),$A$4:$A1139),""))</f>
        <v>28</v>
      </c>
      <c r="I1140" s="75">
        <f t="shared" si="17"/>
        <v>15.678571428571429</v>
      </c>
      <c r="J1140" s="19"/>
      <c r="K1140" s="6">
        <f>IF(B1140="","",IFERROR(AVERAGEIFS($I$4:$I1140,$B$4:$B1140,B1140,$I$4:$I1140,"&gt;"&amp;0),""))</f>
        <v>17.857142857142858</v>
      </c>
      <c r="L1140" s="19" t="str">
        <f>IF(B1140="","",IF(ISNA(MATCH(B1140,Client_List!$B:$B,0)),"⚠ NOT FOUND","✓"))</f>
        <v>✓</v>
      </c>
    </row>
    <row r="1141" spans="1:12" ht="14" customHeight="1" x14ac:dyDescent="0.2">
      <c r="A1141" s="58">
        <v>46116</v>
      </c>
      <c r="B1141" s="15" t="s">
        <v>236</v>
      </c>
      <c r="C1141" s="16" t="str">
        <f>IF(B1141="","",IFERROR(INDEX(Client_List!$C:$C,MATCH(B1141,Client_List!$B:$B,0)),""))</f>
        <v>5</v>
      </c>
      <c r="D1141" s="16" t="str">
        <f>IF(B1141="","",IFERROR(INDEX(Client_List!$D:$D,MATCH(B1141,Client_List!$B:$B,0)),""))</f>
        <v>5E</v>
      </c>
      <c r="E1141" s="16" t="str">
        <f>IF(B1141="","",IFERROR(INDEX(Client_List!$K:$K,MATCH(B1141,Client_List!$B:$B,0)),""))</f>
        <v>CANOLA OIL</v>
      </c>
      <c r="F1141" s="16">
        <f>IF(B1141="","",IFERROR(INDEX(Client_List!$J:$J,MATCH(B1141,Client_List!$B:$B,0)),""))</f>
        <v>500</v>
      </c>
      <c r="G1141" s="16">
        <v>334</v>
      </c>
      <c r="H1141" s="16">
        <f>IF(B1141="","",IFERROR(A1141-LOOKUP(2,1/($B$4:$B1140=B1141),$A$4:$A1140),""))</f>
        <v>16</v>
      </c>
      <c r="I1141" s="74">
        <f t="shared" si="17"/>
        <v>20.875</v>
      </c>
      <c r="J1141" s="16"/>
      <c r="K1141" s="6">
        <f>IF(B1141="","",IFERROR(AVERAGEIFS($I$4:$I1141,$B$4:$B1141,B1141,$I$4:$I1141,"&gt;"&amp;0),""))</f>
        <v>27.647954822954823</v>
      </c>
      <c r="L1141" s="16" t="str">
        <f>IF(B1141="","",IF(ISNA(MATCH(B1141,Client_List!$B:$B,0)),"⚠ NOT FOUND","✓"))</f>
        <v>✓</v>
      </c>
    </row>
    <row r="1142" spans="1:12" ht="14" customHeight="1" x14ac:dyDescent="0.2">
      <c r="A1142" s="59">
        <v>46116</v>
      </c>
      <c r="B1142" s="18" t="s">
        <v>244</v>
      </c>
      <c r="C1142" s="19" t="str">
        <f>IF(B1142="","",IFERROR(INDEX(Client_List!$C:$C,MATCH(B1142,Client_List!$B:$B,0)),""))</f>
        <v>4</v>
      </c>
      <c r="D1142" s="19" t="str">
        <f>IF(B1142="","",IFERROR(INDEX(Client_List!$D:$D,MATCH(B1142,Client_List!$B:$B,0)),""))</f>
        <v>4E</v>
      </c>
      <c r="E1142" s="19" t="str">
        <f>IF(B1142="","",IFERROR(INDEX(Client_List!$K:$K,MATCH(B1142,Client_List!$B:$B,0)),""))</f>
        <v>FRYERS CHOICE BLEND</v>
      </c>
      <c r="F1142" s="19">
        <f>IF(B1142="","",IFERROR(INDEX(Client_List!$J:$J,MATCH(B1142,Client_List!$B:$B,0)),""))</f>
        <v>950</v>
      </c>
      <c r="G1142" s="19">
        <v>673</v>
      </c>
      <c r="H1142" s="19">
        <f>IF(B1142="","",IFERROR(A1142-LOOKUP(2,1/($B$4:$B1141=B1142),$A$4:$A1141),""))</f>
        <v>9</v>
      </c>
      <c r="I1142" s="75">
        <f t="shared" si="17"/>
        <v>74.777777777777771</v>
      </c>
      <c r="J1142" s="19"/>
      <c r="K1142" s="6">
        <f>IF(B1142="","",IFERROR(AVERAGEIFS($I$4:$I1142,$B$4:$B1142,B1142,$I$4:$I1142,"&gt;"&amp;0),""))</f>
        <v>53.389423076923073</v>
      </c>
      <c r="L1142" s="19" t="str">
        <f>IF(B1142="","",IF(ISNA(MATCH(B1142,Client_List!$B:$B,0)),"⚠ NOT FOUND","✓"))</f>
        <v>✓</v>
      </c>
    </row>
    <row r="1143" spans="1:12" ht="14" customHeight="1" x14ac:dyDescent="0.2">
      <c r="A1143" s="58">
        <v>46116</v>
      </c>
      <c r="B1143" s="15" t="s">
        <v>274</v>
      </c>
      <c r="C1143" s="16" t="str">
        <f>IF(B1143="","",IFERROR(INDEX(Client_List!$C:$C,MATCH(B1143,Client_List!$B:$B,0)),""))</f>
        <v>3</v>
      </c>
      <c r="D1143" s="16" t="str">
        <f>IF(B1143="","",IFERROR(INDEX(Client_List!$D:$D,MATCH(B1143,Client_List!$B:$B,0)),""))</f>
        <v>3C</v>
      </c>
      <c r="E1143" s="16" t="str">
        <f>IF(B1143="","",IFERROR(INDEX(Client_List!$K:$K,MATCH(B1143,Client_List!$B:$B,0)),""))</f>
        <v>FRYERS CHOICE BLEND</v>
      </c>
      <c r="F1143" s="16">
        <f>IF(B1143="","",IFERROR(INDEX(Client_List!$J:$J,MATCH(B1143,Client_List!$B:$B,0)),""))</f>
        <v>450</v>
      </c>
      <c r="G1143" s="16">
        <v>216</v>
      </c>
      <c r="H1143" s="16">
        <f>IF(B1143="","",IFERROR(A1143-LOOKUP(2,1/($B$4:$B1142=B1143),$A$4:$A1142),""))</f>
        <v>9</v>
      </c>
      <c r="I1143" s="74">
        <f t="shared" si="17"/>
        <v>24</v>
      </c>
      <c r="J1143" s="16"/>
      <c r="K1143" s="6">
        <f>IF(B1143="","",IFERROR(AVERAGEIFS($I$4:$I1143,$B$4:$B1143,B1143,$I$4:$I1143,"&gt;"&amp;0),""))</f>
        <v>41.388961038961043</v>
      </c>
      <c r="L1143" s="16" t="str">
        <f>IF(B1143="","",IF(ISNA(MATCH(B1143,Client_List!$B:$B,0)),"⚠ NOT FOUND","✓"))</f>
        <v>✓</v>
      </c>
    </row>
    <row r="1144" spans="1:12" ht="14" customHeight="1" x14ac:dyDescent="0.2">
      <c r="A1144" s="59">
        <v>46116</v>
      </c>
      <c r="B1144" s="18" t="s">
        <v>278</v>
      </c>
      <c r="C1144" s="19" t="str">
        <f>IF(B1144="","",IFERROR(INDEX(Client_List!$C:$C,MATCH(B1144,Client_List!$B:$B,0)),""))</f>
        <v>3</v>
      </c>
      <c r="D1144" s="19" t="str">
        <f>IF(B1144="","",IFERROR(INDEX(Client_List!$D:$D,MATCH(B1144,Client_List!$B:$B,0)),""))</f>
        <v>3A</v>
      </c>
      <c r="E1144" s="19" t="str">
        <f>IF(B1144="","",IFERROR(INDEX(Client_List!$K:$K,MATCH(B1144,Client_List!$B:$B,0)),""))</f>
        <v>CANOLA OIL</v>
      </c>
      <c r="F1144" s="19">
        <f>IF(B1144="","",IFERROR(INDEX(Client_List!$J:$J,MATCH(B1144,Client_List!$B:$B,0)),""))</f>
        <v>1850</v>
      </c>
      <c r="G1144" s="19">
        <v>795</v>
      </c>
      <c r="H1144" s="19">
        <f>IF(B1144="","",IFERROR(A1144-LOOKUP(2,1/($B$4:$B1143=B1144),$A$4:$A1143),""))</f>
        <v>28</v>
      </c>
      <c r="I1144" s="75">
        <f t="shared" si="17"/>
        <v>28.392857142857142</v>
      </c>
      <c r="J1144" s="19"/>
      <c r="K1144" s="6">
        <f>IF(B1144="","",IFERROR(AVERAGEIFS($I$4:$I1144,$B$4:$B1144,B1144,$I$4:$I1144,"&gt;"&amp;0),""))</f>
        <v>64.776785714285722</v>
      </c>
      <c r="L1144" s="19" t="str">
        <f>IF(B1144="","",IF(ISNA(MATCH(B1144,Client_List!$B:$B,0)),"⚠ NOT FOUND","✓"))</f>
        <v>✓</v>
      </c>
    </row>
    <row r="1145" spans="1:12" ht="14" customHeight="1" x14ac:dyDescent="0.2">
      <c r="A1145" s="58">
        <v>46116</v>
      </c>
      <c r="B1145" s="15" t="s">
        <v>280</v>
      </c>
      <c r="C1145" s="16" t="str">
        <f>IF(B1145="","",IFERROR(INDEX(Client_List!$C:$C,MATCH(B1145,Client_List!$B:$B,0)),""))</f>
        <v>5</v>
      </c>
      <c r="D1145" s="16" t="str">
        <f>IF(B1145="","",IFERROR(INDEX(Client_List!$D:$D,MATCH(B1145,Client_List!$B:$B,0)),""))</f>
        <v>5E</v>
      </c>
      <c r="E1145" s="16" t="str">
        <f>IF(B1145="","",IFERROR(INDEX(Client_List!$K:$K,MATCH(B1145,Client_List!$B:$B,0)),""))</f>
        <v>CANOLA OIL</v>
      </c>
      <c r="F1145" s="16">
        <f>IF(B1145="","",IFERROR(INDEX(Client_List!$J:$J,MATCH(B1145,Client_List!$B:$B,0)),""))</f>
        <v>1050</v>
      </c>
      <c r="G1145" s="16">
        <v>795</v>
      </c>
      <c r="H1145" s="16">
        <f>IF(B1145="","",IFERROR(A1145-LOOKUP(2,1/($B$4:$B1144=B1145),$A$4:$A1144),""))</f>
        <v>14</v>
      </c>
      <c r="I1145" s="74">
        <f t="shared" si="17"/>
        <v>56.785714285714285</v>
      </c>
      <c r="J1145" s="16"/>
      <c r="K1145" s="6">
        <f>IF(B1145="","",IFERROR(AVERAGEIFS($I$4:$I1145,$B$4:$B1145,B1145,$I$4:$I1145,"&gt;"&amp;0),""))</f>
        <v>67.808967606181227</v>
      </c>
      <c r="L1145" s="16" t="str">
        <f>IF(B1145="","",IF(ISNA(MATCH(B1145,Client_List!$B:$B,0)),"⚠ NOT FOUND","✓"))</f>
        <v>✓</v>
      </c>
    </row>
    <row r="1146" spans="1:12" ht="14" customHeight="1" x14ac:dyDescent="0.2">
      <c r="A1146" s="59">
        <v>46116</v>
      </c>
      <c r="B1146" s="18" t="s">
        <v>334</v>
      </c>
      <c r="C1146" s="19" t="str">
        <f>IF(B1146="","",IFERROR(INDEX(Client_List!$C:$C,MATCH(B1146,Client_List!$B:$B,0)),""))</f>
        <v>5</v>
      </c>
      <c r="D1146" s="19" t="str">
        <f>IF(B1146="","",IFERROR(INDEX(Client_List!$D:$D,MATCH(B1146,Client_List!$B:$B,0)),""))</f>
        <v>5E</v>
      </c>
      <c r="E1146" s="19" t="str">
        <f>IF(B1146="","",IFERROR(INDEX(Client_List!$K:$K,MATCH(B1146,Client_List!$B:$B,0)),""))</f>
        <v>CANOLA OIL</v>
      </c>
      <c r="F1146" s="19">
        <f>IF(B1146="","",IFERROR(INDEX(Client_List!$J:$J,MATCH(B1146,Client_List!$B:$B,0)),""))</f>
        <v>1050</v>
      </c>
      <c r="G1146" s="19">
        <v>766</v>
      </c>
      <c r="H1146" s="19">
        <f>IF(B1146="","",IFERROR(A1146-LOOKUP(2,1/($B$4:$B1145=B1146),$A$4:$A1145),""))</f>
        <v>13</v>
      </c>
      <c r="I1146" s="75">
        <f t="shared" si="17"/>
        <v>58.92307692307692</v>
      </c>
      <c r="J1146" s="19"/>
      <c r="K1146" s="6">
        <f>IF(B1146="","",IFERROR(AVERAGEIFS($I$4:$I1146,$B$4:$B1146,B1146,$I$4:$I1146,"&gt;"&amp;0),""))</f>
        <v>51.489893162393159</v>
      </c>
      <c r="L1146" s="19" t="str">
        <f>IF(B1146="","",IF(ISNA(MATCH(B1146,Client_List!$B:$B,0)),"⚠ NOT FOUND","✓"))</f>
        <v>✓</v>
      </c>
    </row>
    <row r="1147" spans="1:12" ht="14" customHeight="1" x14ac:dyDescent="0.2">
      <c r="A1147" s="58">
        <v>46118</v>
      </c>
      <c r="B1147" s="15" t="s">
        <v>372</v>
      </c>
      <c r="C1147" s="16">
        <f>IF(B1147="","",IFERROR(INDEX(Client_List!$C:$C,MATCH(B1147,Client_List!$B:$B,0)),""))</f>
        <v>0</v>
      </c>
      <c r="D1147" s="16" t="str">
        <f>IF(B1147="","",IFERROR(INDEX(Client_List!$D:$D,MATCH(B1147,Client_List!$B:$B,0)),""))</f>
        <v>F</v>
      </c>
      <c r="E1147" s="16" t="str">
        <f>IF(B1147="","",IFERROR(INDEX(Client_List!$K:$K,MATCH(B1147,Client_List!$B:$B,0)),""))</f>
        <v>CANOLA OIL</v>
      </c>
      <c r="F1147" s="16">
        <f>IF(B1147="","",IFERROR(INDEX(Client_List!$J:$J,MATCH(B1147,Client_List!$B:$B,0)),""))</f>
        <v>700</v>
      </c>
      <c r="G1147" s="16">
        <v>347</v>
      </c>
      <c r="H1147" s="16">
        <f>IF(B1147="","",IFERROR(A1147-LOOKUP(2,1/($B$4:$B1146=B1147),$A$4:$A1146),""))</f>
        <v>16</v>
      </c>
      <c r="I1147" s="74">
        <f t="shared" si="17"/>
        <v>21.6875</v>
      </c>
      <c r="J1147" s="16"/>
      <c r="K1147" s="6">
        <f>IF(B1147="","",IFERROR(AVERAGEIFS($I$4:$I1147,$B$4:$B1147,B1147,$I$4:$I1147,"&gt;"&amp;0),""))</f>
        <v>22.245535714285712</v>
      </c>
      <c r="L1147" s="16" t="str">
        <f>IF(B1147="","",IF(ISNA(MATCH(B1147,Client_List!$B:$B,0)),"⚠ NOT FOUND","✓"))</f>
        <v>✓</v>
      </c>
    </row>
    <row r="1148" spans="1:12" ht="14" customHeight="1" x14ac:dyDescent="0.2">
      <c r="A1148" s="59">
        <v>46119</v>
      </c>
      <c r="B1148" s="18" t="s">
        <v>35</v>
      </c>
      <c r="C1148" s="19" t="str">
        <f>IF(B1148="","",IFERROR(INDEX(Client_List!$C:$C,MATCH(B1148,Client_List!$B:$B,0)),""))</f>
        <v>2</v>
      </c>
      <c r="D1148" s="19" t="str">
        <f>IF(B1148="","",IFERROR(INDEX(Client_List!$D:$D,MATCH(B1148,Client_List!$B:$B,0)),""))</f>
        <v>2C</v>
      </c>
      <c r="E1148" s="19" t="str">
        <f>IF(B1148="","",IFERROR(INDEX(Client_List!$K:$K,MATCH(B1148,Client_List!$B:$B,0)),""))</f>
        <v>CANOLA OIL</v>
      </c>
      <c r="F1148" s="19">
        <f>IF(B1148="","",IFERROR(INDEX(Client_List!$J:$J,MATCH(B1148,Client_List!$B:$B,0)),""))</f>
        <v>950</v>
      </c>
      <c r="G1148" s="19">
        <v>321</v>
      </c>
      <c r="H1148" s="19">
        <f>IF(B1148="","",IFERROR(A1148-LOOKUP(2,1/($B$4:$B1147=B1148),$A$4:$A1147),""))</f>
        <v>6</v>
      </c>
      <c r="I1148" s="75">
        <f t="shared" si="17"/>
        <v>53.5</v>
      </c>
      <c r="J1148" s="19"/>
      <c r="K1148" s="6">
        <f>IF(B1148="","",IFERROR(AVERAGEIFS($I$4:$I1148,$B$4:$B1148,B1148,$I$4:$I1148,"&gt;"&amp;0),""))</f>
        <v>77.32420357420358</v>
      </c>
      <c r="L1148" s="19" t="str">
        <f>IF(B1148="","",IF(ISNA(MATCH(B1148,Client_List!$B:$B,0)),"⚠ NOT FOUND","✓"))</f>
        <v>✓</v>
      </c>
    </row>
    <row r="1149" spans="1:12" ht="14" customHeight="1" x14ac:dyDescent="0.2">
      <c r="A1149" s="58">
        <v>46119</v>
      </c>
      <c r="B1149" s="15" t="s">
        <v>51</v>
      </c>
      <c r="C1149" s="16" t="str">
        <f>IF(B1149="","",IFERROR(INDEX(Client_List!$C:$C,MATCH(B1149,Client_List!$B:$B,0)),""))</f>
        <v>3</v>
      </c>
      <c r="D1149" s="16" t="str">
        <f>IF(B1149="","",IFERROR(INDEX(Client_List!$D:$D,MATCH(B1149,Client_List!$B:$B,0)),""))</f>
        <v>3D</v>
      </c>
      <c r="E1149" s="16" t="str">
        <f>IF(B1149="","",IFERROR(INDEX(Client_List!$K:$K,MATCH(B1149,Client_List!$B:$B,0)),""))</f>
        <v>CANOLA OIL</v>
      </c>
      <c r="F1149" s="16">
        <f>IF(B1149="","",IFERROR(INDEX(Client_List!$J:$J,MATCH(B1149,Client_List!$B:$B,0)),""))</f>
        <v>700</v>
      </c>
      <c r="G1149" s="16">
        <v>836</v>
      </c>
      <c r="H1149" s="16">
        <f>IF(B1149="","",IFERROR(A1149-LOOKUP(2,1/($B$4:$B1148=B1149),$A$4:$A1148),""))</f>
        <v>14</v>
      </c>
      <c r="I1149" s="74">
        <f t="shared" si="17"/>
        <v>59.714285714285715</v>
      </c>
      <c r="J1149" s="16"/>
      <c r="K1149" s="6">
        <f>IF(B1149="","",IFERROR(AVERAGEIFS($I$4:$I1149,$B$4:$B1149,B1149,$I$4:$I1149,"&gt;"&amp;0),""))</f>
        <v>61.722134115884124</v>
      </c>
      <c r="L1149" s="16" t="str">
        <f>IF(B1149="","",IF(ISNA(MATCH(B1149,Client_List!$B:$B,0)),"⚠ NOT FOUND","✓"))</f>
        <v>✓</v>
      </c>
    </row>
    <row r="1150" spans="1:12" ht="14" customHeight="1" x14ac:dyDescent="0.2">
      <c r="A1150" s="59">
        <v>46119</v>
      </c>
      <c r="B1150" s="18" t="s">
        <v>56</v>
      </c>
      <c r="C1150" s="19" t="str">
        <f>IF(B1150="","",IFERROR(INDEX(Client_List!$C:$C,MATCH(B1150,Client_List!$B:$B,0)),""))</f>
        <v>5</v>
      </c>
      <c r="D1150" s="19" t="str">
        <f>IF(B1150="","",IFERROR(INDEX(Client_List!$D:$D,MATCH(B1150,Client_List!$B:$B,0)),""))</f>
        <v>5F</v>
      </c>
      <c r="E1150" s="19" t="str">
        <f>IF(B1150="","",IFERROR(INDEX(Client_List!$K:$K,MATCH(B1150,Client_List!$B:$B,0)),""))</f>
        <v>CANOLA OIL</v>
      </c>
      <c r="F1150" s="19">
        <f>IF(B1150="","",IFERROR(INDEX(Client_List!$J:$J,MATCH(B1150,Client_List!$B:$B,0)),""))</f>
        <v>900</v>
      </c>
      <c r="G1150" s="19">
        <v>1035</v>
      </c>
      <c r="H1150" s="19">
        <f>IF(B1150="","",IFERROR(A1150-LOOKUP(2,1/($B$4:$B1149=B1150),$A$4:$A1149),""))</f>
        <v>16</v>
      </c>
      <c r="I1150" s="75">
        <f t="shared" si="17"/>
        <v>64.6875</v>
      </c>
      <c r="J1150" s="19"/>
      <c r="K1150" s="6">
        <f>IF(B1150="","",IFERROR(AVERAGEIFS($I$4:$I1150,$B$4:$B1150,B1150,$I$4:$I1150,"&gt;"&amp;0),""))</f>
        <v>58.116937229437227</v>
      </c>
      <c r="L1150" s="19" t="str">
        <f>IF(B1150="","",IF(ISNA(MATCH(B1150,Client_List!$B:$B,0)),"⚠ NOT FOUND","✓"))</f>
        <v>✓</v>
      </c>
    </row>
    <row r="1151" spans="1:12" ht="14" customHeight="1" x14ac:dyDescent="0.2">
      <c r="A1151" s="58">
        <v>46119</v>
      </c>
      <c r="B1151" s="15" t="s">
        <v>59</v>
      </c>
      <c r="C1151" s="16" t="str">
        <f>IF(B1151="","",IFERROR(INDEX(Client_List!$C:$C,MATCH(B1151,Client_List!$B:$B,0)),""))</f>
        <v>1</v>
      </c>
      <c r="D1151" s="16" t="str">
        <f>IF(B1151="","",IFERROR(INDEX(Client_List!$D:$D,MATCH(B1151,Client_List!$B:$B,0)),""))</f>
        <v>1D</v>
      </c>
      <c r="E1151" s="16" t="str">
        <f>IF(B1151="","",IFERROR(INDEX(Client_List!$K:$K,MATCH(B1151,Client_List!$B:$B,0)),""))</f>
        <v>CANOLA OIL</v>
      </c>
      <c r="F1151" s="16">
        <f>IF(B1151="","",IFERROR(INDEX(Client_List!$J:$J,MATCH(B1151,Client_List!$B:$B,0)),""))</f>
        <v>900</v>
      </c>
      <c r="G1151" s="16">
        <v>943</v>
      </c>
      <c r="H1151" s="16">
        <f>IF(B1151="","",IFERROR(A1151-LOOKUP(2,1/($B$4:$B1150=B1151),$A$4:$A1150),""))</f>
        <v>11</v>
      </c>
      <c r="I1151" s="74">
        <f t="shared" si="17"/>
        <v>85.727272727272734</v>
      </c>
      <c r="J1151" s="16"/>
      <c r="K1151" s="6">
        <f>IF(B1151="","",IFERROR(AVERAGEIFS($I$4:$I1151,$B$4:$B1151,B1151,$I$4:$I1151,"&gt;"&amp;0),""))</f>
        <v>78.960185185185182</v>
      </c>
      <c r="L1151" s="16" t="str">
        <f>IF(B1151="","",IF(ISNA(MATCH(B1151,Client_List!$B:$B,0)),"⚠ NOT FOUND","✓"))</f>
        <v>✓</v>
      </c>
    </row>
    <row r="1152" spans="1:12" ht="14" customHeight="1" x14ac:dyDescent="0.2">
      <c r="A1152" s="59">
        <v>46119</v>
      </c>
      <c r="B1152" s="18" t="s">
        <v>63</v>
      </c>
      <c r="C1152" s="19" t="str">
        <f>IF(B1152="","",IFERROR(INDEX(Client_List!$C:$C,MATCH(B1152,Client_List!$B:$B,0)),""))</f>
        <v>5</v>
      </c>
      <c r="D1152" s="19" t="str">
        <f>IF(B1152="","",IFERROR(INDEX(Client_List!$D:$D,MATCH(B1152,Client_List!$B:$B,0)),""))</f>
        <v>5D</v>
      </c>
      <c r="E1152" s="19" t="str">
        <f>IF(B1152="","",IFERROR(INDEX(Client_List!$K:$K,MATCH(B1152,Client_List!$B:$B,0)),""))</f>
        <v>CANOLA OIL</v>
      </c>
      <c r="F1152" s="19">
        <f>IF(B1152="","",IFERROR(INDEX(Client_List!$J:$J,MATCH(B1152,Client_List!$B:$B,0)),""))</f>
        <v>425</v>
      </c>
      <c r="G1152" s="19">
        <v>209</v>
      </c>
      <c r="H1152" s="19">
        <f>IF(B1152="","",IFERROR(A1152-LOOKUP(2,1/($B$4:$B1151=B1152),$A$4:$A1151),""))</f>
        <v>5</v>
      </c>
      <c r="I1152" s="75">
        <f t="shared" si="17"/>
        <v>41.8</v>
      </c>
      <c r="J1152" s="19"/>
      <c r="K1152" s="6">
        <f>IF(B1152="","",IFERROR(AVERAGEIFS($I$4:$I1152,$B$4:$B1152,B1152,$I$4:$I1152,"&gt;"&amp;0),""))</f>
        <v>58.93816964285714</v>
      </c>
      <c r="L1152" s="19" t="str">
        <f>IF(B1152="","",IF(ISNA(MATCH(B1152,Client_List!$B:$B,0)),"⚠ NOT FOUND","✓"))</f>
        <v>✓</v>
      </c>
    </row>
    <row r="1153" spans="1:12" ht="14" customHeight="1" x14ac:dyDescent="0.2">
      <c r="A1153" s="58">
        <v>46119</v>
      </c>
      <c r="B1153" s="15" t="s">
        <v>67</v>
      </c>
      <c r="C1153" s="16" t="str">
        <f>IF(B1153="","",IFERROR(INDEX(Client_List!$C:$C,MATCH(B1153,Client_List!$B:$B,0)),""))</f>
        <v>5</v>
      </c>
      <c r="D1153" s="16" t="str">
        <f>IF(B1153="","",IFERROR(INDEX(Client_List!$D:$D,MATCH(B1153,Client_List!$B:$B,0)),""))</f>
        <v>5F</v>
      </c>
      <c r="E1153" s="16" t="str">
        <f>IF(B1153="","",IFERROR(INDEX(Client_List!$K:$K,MATCH(B1153,Client_List!$B:$B,0)),""))</f>
        <v>CANOLA OIL</v>
      </c>
      <c r="F1153" s="16">
        <f>IF(B1153="","",IFERROR(INDEX(Client_List!$J:$J,MATCH(B1153,Client_List!$B:$B,0)),""))</f>
        <v>950</v>
      </c>
      <c r="G1153" s="16">
        <v>261</v>
      </c>
      <c r="H1153" s="16">
        <f>IF(B1153="","",IFERROR(A1153-LOOKUP(2,1/($B$4:$B1152=B1153),$A$4:$A1152),""))</f>
        <v>3</v>
      </c>
      <c r="I1153" s="74">
        <f t="shared" si="17"/>
        <v>87</v>
      </c>
      <c r="J1153" s="16"/>
      <c r="K1153" s="6">
        <f>IF(B1153="","",IFERROR(AVERAGEIFS($I$4:$I1153,$B$4:$B1153,B1153,$I$4:$I1153,"&gt;"&amp;0),""))</f>
        <v>148.63797036297035</v>
      </c>
      <c r="L1153" s="16" t="str">
        <f>IF(B1153="","",IF(ISNA(MATCH(B1153,Client_List!$B:$B,0)),"⚠ NOT FOUND","✓"))</f>
        <v>✓</v>
      </c>
    </row>
    <row r="1154" spans="1:12" ht="14" customHeight="1" x14ac:dyDescent="0.2">
      <c r="A1154" s="59">
        <v>46119</v>
      </c>
      <c r="B1154" s="18" t="s">
        <v>100</v>
      </c>
      <c r="C1154" s="19" t="str">
        <f>IF(B1154="","",IFERROR(INDEX(Client_List!$C:$C,MATCH(B1154,Client_List!$B:$B,0)),""))</f>
        <v>4</v>
      </c>
      <c r="D1154" s="19" t="str">
        <f>IF(B1154="","",IFERROR(INDEX(Client_List!$D:$D,MATCH(B1154,Client_List!$B:$B,0)),""))</f>
        <v>4F</v>
      </c>
      <c r="E1154" s="19" t="str">
        <f>IF(B1154="","",IFERROR(INDEX(Client_List!$K:$K,MATCH(B1154,Client_List!$B:$B,0)),""))</f>
        <v>CANOLA OIL</v>
      </c>
      <c r="F1154" s="19">
        <f>IF(B1154="","",IFERROR(INDEX(Client_List!$J:$J,MATCH(B1154,Client_List!$B:$B,0)),""))</f>
        <v>700</v>
      </c>
      <c r="G1154" s="19">
        <v>574</v>
      </c>
      <c r="H1154" s="19">
        <f>IF(B1154="","",IFERROR(A1154-LOOKUP(2,1/($B$4:$B1153=B1154),$A$4:$A1153),""))</f>
        <v>19</v>
      </c>
      <c r="I1154" s="75">
        <f t="shared" si="17"/>
        <v>30.210526315789473</v>
      </c>
      <c r="J1154" s="19"/>
      <c r="K1154" s="6">
        <f>IF(B1154="","",IFERROR(AVERAGEIFS($I$4:$I1154,$B$4:$B1154,B1154,$I$4:$I1154,"&gt;"&amp;0),""))</f>
        <v>28.93060776942356</v>
      </c>
      <c r="L1154" s="19" t="str">
        <f>IF(B1154="","",IF(ISNA(MATCH(B1154,Client_List!$B:$B,0)),"⚠ NOT FOUND","✓"))</f>
        <v>✓</v>
      </c>
    </row>
    <row r="1155" spans="1:12" ht="14" customHeight="1" x14ac:dyDescent="0.2">
      <c r="A1155" s="58">
        <v>46119</v>
      </c>
      <c r="B1155" s="15" t="s">
        <v>120</v>
      </c>
      <c r="C1155" s="16" t="str">
        <f>IF(B1155="","",IFERROR(INDEX(Client_List!$C:$C,MATCH(B1155,Client_List!$B:$B,0)),""))</f>
        <v>5</v>
      </c>
      <c r="D1155" s="16" t="str">
        <f>IF(B1155="","",IFERROR(INDEX(Client_List!$D:$D,MATCH(B1155,Client_List!$B:$B,0)),""))</f>
        <v>5D</v>
      </c>
      <c r="E1155" s="16" t="str">
        <f>IF(B1155="","",IFERROR(INDEX(Client_List!$K:$K,MATCH(B1155,Client_List!$B:$B,0)),""))</f>
        <v>FRYERS CHOICE BLEND</v>
      </c>
      <c r="F1155" s="16">
        <f>IF(B1155="","",IFERROR(INDEX(Client_List!$J:$J,MATCH(B1155,Client_List!$B:$B,0)),""))</f>
        <v>450</v>
      </c>
      <c r="G1155" s="16">
        <v>265</v>
      </c>
      <c r="H1155" s="16">
        <f>IF(B1155="","",IFERROR(A1155-LOOKUP(2,1/($B$4:$B1154=B1155),$A$4:$A1154),""))</f>
        <v>7</v>
      </c>
      <c r="I1155" s="74">
        <f t="shared" si="17"/>
        <v>37.857142857142854</v>
      </c>
      <c r="J1155" s="16"/>
      <c r="K1155" s="6">
        <f>IF(B1155="","",IFERROR(AVERAGEIFS($I$4:$I1155,$B$4:$B1155,B1155,$I$4:$I1155,"&gt;"&amp;0),""))</f>
        <v>40.659329004329003</v>
      </c>
      <c r="L1155" s="16" t="str">
        <f>IF(B1155="","",IF(ISNA(MATCH(B1155,Client_List!$B:$B,0)),"⚠ NOT FOUND","✓"))</f>
        <v>✓</v>
      </c>
    </row>
    <row r="1156" spans="1:12" ht="14" customHeight="1" x14ac:dyDescent="0.2">
      <c r="A1156" s="59">
        <v>46119</v>
      </c>
      <c r="B1156" s="18" t="s">
        <v>128</v>
      </c>
      <c r="C1156" s="19" t="str">
        <f>IF(B1156="","",IFERROR(INDEX(Client_List!$C:$C,MATCH(B1156,Client_List!$B:$B,0)),""))</f>
        <v>4</v>
      </c>
      <c r="D1156" s="19" t="str">
        <f>IF(B1156="","",IFERROR(INDEX(Client_List!$D:$D,MATCH(B1156,Client_List!$B:$B,0)),""))</f>
        <v>4E</v>
      </c>
      <c r="E1156" s="19" t="str">
        <f>IF(B1156="","",IFERROR(INDEX(Client_List!$K:$K,MATCH(B1156,Client_List!$B:$B,0)),""))</f>
        <v>CANOLA OIL</v>
      </c>
      <c r="F1156" s="19">
        <f>IF(B1156="","",IFERROR(INDEX(Client_List!$J:$J,MATCH(B1156,Client_List!$B:$B,0)),""))</f>
        <v>700</v>
      </c>
      <c r="G1156" s="19">
        <v>590</v>
      </c>
      <c r="H1156" s="19">
        <f>IF(B1156="","",IFERROR(A1156-LOOKUP(2,1/($B$4:$B1155=B1156),$A$4:$A1155),""))</f>
        <v>7</v>
      </c>
      <c r="I1156" s="75">
        <f t="shared" ref="I1156:I1219" si="18">IF(B1156="","",IFERROR(G1156/H1156,""))</f>
        <v>84.285714285714292</v>
      </c>
      <c r="J1156" s="19"/>
      <c r="K1156" s="6">
        <f>IF(B1156="","",IFERROR(AVERAGEIFS($I$4:$I1156,$B$4:$B1156,B1156,$I$4:$I1156,"&gt;"&amp;0),""))</f>
        <v>74.045848595848611</v>
      </c>
      <c r="L1156" s="19" t="str">
        <f>IF(B1156="","",IF(ISNA(MATCH(B1156,Client_List!$B:$B,0)),"⚠ NOT FOUND","✓"))</f>
        <v>✓</v>
      </c>
    </row>
    <row r="1157" spans="1:12" ht="14" customHeight="1" x14ac:dyDescent="0.2">
      <c r="A1157" s="58">
        <v>46119</v>
      </c>
      <c r="B1157" s="15" t="s">
        <v>142</v>
      </c>
      <c r="C1157" s="16" t="str">
        <f>IF(B1157="","",IFERROR(INDEX(Client_List!$C:$C,MATCH(B1157,Client_List!$B:$B,0)),""))</f>
        <v>4</v>
      </c>
      <c r="D1157" s="16" t="str">
        <f>IF(B1157="","",IFERROR(INDEX(Client_List!$D:$D,MATCH(B1157,Client_List!$B:$B,0)),""))</f>
        <v>4A</v>
      </c>
      <c r="E1157" s="16" t="str">
        <f>IF(B1157="","",IFERROR(INDEX(Client_List!$K:$K,MATCH(B1157,Client_List!$B:$B,0)),""))</f>
        <v>FRYERS CHOICE BLEND</v>
      </c>
      <c r="F1157" s="16">
        <f>IF(B1157="","",IFERROR(INDEX(Client_List!$J:$J,MATCH(B1157,Client_List!$B:$B,0)),""))</f>
        <v>1050</v>
      </c>
      <c r="G1157" s="16">
        <v>878</v>
      </c>
      <c r="H1157" s="16">
        <f>IF(B1157="","",IFERROR(A1157-LOOKUP(2,1/($B$4:$B1156=B1157),$A$4:$A1156),""))</f>
        <v>4</v>
      </c>
      <c r="I1157" s="74">
        <f t="shared" si="18"/>
        <v>219.5</v>
      </c>
      <c r="J1157" s="16"/>
      <c r="K1157" s="6">
        <f>IF(B1157="","",IFERROR(AVERAGEIFS($I$4:$I1157,$B$4:$B1157,B1157,$I$4:$I1157,"&gt;"&amp;0),""))</f>
        <v>178.81382275132276</v>
      </c>
      <c r="L1157" s="16" t="str">
        <f>IF(B1157="","",IF(ISNA(MATCH(B1157,Client_List!$B:$B,0)),"⚠ NOT FOUND","✓"))</f>
        <v>✓</v>
      </c>
    </row>
    <row r="1158" spans="1:12" ht="14" customHeight="1" x14ac:dyDescent="0.2">
      <c r="A1158" s="59">
        <v>46119</v>
      </c>
      <c r="B1158" s="18" t="s">
        <v>148</v>
      </c>
      <c r="C1158" s="19" t="str">
        <f>IF(B1158="","",IFERROR(INDEX(Client_List!$C:$C,MATCH(B1158,Client_List!$B:$B,0)),""))</f>
        <v>4</v>
      </c>
      <c r="D1158" s="19" t="str">
        <f>IF(B1158="","",IFERROR(INDEX(Client_List!$D:$D,MATCH(B1158,Client_List!$B:$B,0)),""))</f>
        <v>4B</v>
      </c>
      <c r="E1158" s="19" t="str">
        <f>IF(B1158="","",IFERROR(INDEX(Client_List!$K:$K,MATCH(B1158,Client_List!$B:$B,0)),""))</f>
        <v>FRYERS CHOICE BLEND</v>
      </c>
      <c r="F1158" s="19">
        <f>IF(B1158="","",IFERROR(INDEX(Client_List!$J:$J,MATCH(B1158,Client_List!$B:$B,0)),""))</f>
        <v>950</v>
      </c>
      <c r="G1158" s="19">
        <v>542</v>
      </c>
      <c r="H1158" s="19">
        <f>IF(B1158="","",IFERROR(A1158-LOOKUP(2,1/($B$4:$B1157=B1158),$A$4:$A1157),""))</f>
        <v>7</v>
      </c>
      <c r="I1158" s="75">
        <f t="shared" si="18"/>
        <v>77.428571428571431</v>
      </c>
      <c r="J1158" s="19"/>
      <c r="K1158" s="6">
        <f>IF(B1158="","",IFERROR(AVERAGEIFS($I$4:$I1158,$B$4:$B1158,B1158,$I$4:$I1158,"&gt;"&amp;0),""))</f>
        <v>83.348831168831168</v>
      </c>
      <c r="L1158" s="19" t="str">
        <f>IF(B1158="","",IF(ISNA(MATCH(B1158,Client_List!$B:$B,0)),"⚠ NOT FOUND","✓"))</f>
        <v>✓</v>
      </c>
    </row>
    <row r="1159" spans="1:12" ht="14" customHeight="1" x14ac:dyDescent="0.2">
      <c r="A1159" s="58">
        <v>46119</v>
      </c>
      <c r="B1159" s="15" t="s">
        <v>194</v>
      </c>
      <c r="C1159" s="16" t="str">
        <f>IF(B1159="","",IFERROR(INDEX(Client_List!$C:$C,MATCH(B1159,Client_List!$B:$B,0)),""))</f>
        <v>4</v>
      </c>
      <c r="D1159" s="16" t="str">
        <f>IF(B1159="","",IFERROR(INDEX(Client_List!$D:$D,MATCH(B1159,Client_List!$B:$B,0)),""))</f>
        <v>4A</v>
      </c>
      <c r="E1159" s="16" t="str">
        <f>IF(B1159="","",IFERROR(INDEX(Client_List!$K:$K,MATCH(B1159,Client_List!$B:$B,0)),""))</f>
        <v>FRYERS CHOICE BLEND</v>
      </c>
      <c r="F1159" s="16">
        <f>IF(B1159="","",IFERROR(INDEX(Client_List!$J:$J,MATCH(B1159,Client_List!$B:$B,0)),""))</f>
        <v>620</v>
      </c>
      <c r="G1159" s="16">
        <v>409</v>
      </c>
      <c r="H1159" s="16">
        <f>IF(B1159="","",IFERROR(A1159-LOOKUP(2,1/($B$4:$B1158=B1159),$A$4:$A1158),""))</f>
        <v>20</v>
      </c>
      <c r="I1159" s="74">
        <f t="shared" si="18"/>
        <v>20.45</v>
      </c>
      <c r="J1159" s="16"/>
      <c r="K1159" s="6">
        <f>IF(B1159="","",IFERROR(AVERAGEIFS($I$4:$I1159,$B$4:$B1159,B1159,$I$4:$I1159,"&gt;"&amp;0),""))</f>
        <v>20.396104108309991</v>
      </c>
      <c r="L1159" s="16" t="str">
        <f>IF(B1159="","",IF(ISNA(MATCH(B1159,Client_List!$B:$B,0)),"⚠ NOT FOUND","✓"))</f>
        <v>✓</v>
      </c>
    </row>
    <row r="1160" spans="1:12" ht="14" customHeight="1" x14ac:dyDescent="0.2">
      <c r="A1160" s="59">
        <v>46119</v>
      </c>
      <c r="B1160" s="18" t="s">
        <v>224</v>
      </c>
      <c r="C1160" s="19" t="str">
        <f>IF(B1160="","",IFERROR(INDEX(Client_List!$C:$C,MATCH(B1160,Client_List!$B:$B,0)),""))</f>
        <v>5</v>
      </c>
      <c r="D1160" s="19" t="str">
        <f>IF(B1160="","",IFERROR(INDEX(Client_List!$D:$D,MATCH(B1160,Client_List!$B:$B,0)),""))</f>
        <v>5E</v>
      </c>
      <c r="E1160" s="19" t="str">
        <f>IF(B1160="","",IFERROR(INDEX(Client_List!$K:$K,MATCH(B1160,Client_List!$B:$B,0)),""))</f>
        <v>CANOLA OIL</v>
      </c>
      <c r="F1160" s="19">
        <f>IF(B1160="","",IFERROR(INDEX(Client_List!$J:$J,MATCH(B1160,Client_List!$B:$B,0)),""))</f>
        <v>450</v>
      </c>
      <c r="G1160" s="19">
        <v>300</v>
      </c>
      <c r="H1160" s="19">
        <f>IF(B1160="","",IFERROR(A1160-LOOKUP(2,1/($B$4:$B1159=B1160),$A$4:$A1159),""))</f>
        <v>13</v>
      </c>
      <c r="I1160" s="75">
        <f t="shared" si="18"/>
        <v>23.076923076923077</v>
      </c>
      <c r="J1160" s="19"/>
      <c r="K1160" s="6">
        <f>IF(B1160="","",IFERROR(AVERAGEIFS($I$4:$I1160,$B$4:$B1160,B1160,$I$4:$I1160,"&gt;"&amp;0),""))</f>
        <v>27.799071270433497</v>
      </c>
      <c r="L1160" s="19" t="str">
        <f>IF(B1160="","",IF(ISNA(MATCH(B1160,Client_List!$B:$B,0)),"⚠ NOT FOUND","✓"))</f>
        <v>✓</v>
      </c>
    </row>
    <row r="1161" spans="1:12" ht="14" customHeight="1" x14ac:dyDescent="0.2">
      <c r="A1161" s="58">
        <v>46119</v>
      </c>
      <c r="B1161" s="15" t="s">
        <v>236</v>
      </c>
      <c r="C1161" s="16" t="str">
        <f>IF(B1161="","",IFERROR(INDEX(Client_List!$C:$C,MATCH(B1161,Client_List!$B:$B,0)),""))</f>
        <v>5</v>
      </c>
      <c r="D1161" s="16" t="str">
        <f>IF(B1161="","",IFERROR(INDEX(Client_List!$D:$D,MATCH(B1161,Client_List!$B:$B,0)),""))</f>
        <v>5E</v>
      </c>
      <c r="E1161" s="16" t="str">
        <f>IF(B1161="","",IFERROR(INDEX(Client_List!$K:$K,MATCH(B1161,Client_List!$B:$B,0)),""))</f>
        <v>CANOLA OIL</v>
      </c>
      <c r="F1161" s="16">
        <f>IF(B1161="","",IFERROR(INDEX(Client_List!$J:$J,MATCH(B1161,Client_List!$B:$B,0)),""))</f>
        <v>500</v>
      </c>
      <c r="G1161" s="16">
        <v>153</v>
      </c>
      <c r="H1161" s="16">
        <f>IF(B1161="","",IFERROR(A1161-LOOKUP(2,1/($B$4:$B1160=B1161),$A$4:$A1160),""))</f>
        <v>3</v>
      </c>
      <c r="I1161" s="74">
        <f t="shared" si="18"/>
        <v>51</v>
      </c>
      <c r="J1161" s="16"/>
      <c r="K1161" s="6">
        <f>IF(B1161="","",IFERROR(AVERAGEIFS($I$4:$I1161,$B$4:$B1161,B1161,$I$4:$I1161,"&gt;"&amp;0),""))</f>
        <v>30.566960470085469</v>
      </c>
      <c r="L1161" s="16" t="str">
        <f>IF(B1161="","",IF(ISNA(MATCH(B1161,Client_List!$B:$B,0)),"⚠ NOT FOUND","✓"))</f>
        <v>✓</v>
      </c>
    </row>
    <row r="1162" spans="1:12" ht="14" customHeight="1" x14ac:dyDescent="0.2">
      <c r="A1162" s="59">
        <v>46119</v>
      </c>
      <c r="B1162" s="18" t="s">
        <v>256</v>
      </c>
      <c r="C1162" s="19" t="str">
        <f>IF(B1162="","",IFERROR(INDEX(Client_List!$C:$C,MATCH(B1162,Client_List!$B:$B,0)),""))</f>
        <v>3</v>
      </c>
      <c r="D1162" s="19" t="str">
        <f>IF(B1162="","",IFERROR(INDEX(Client_List!$D:$D,MATCH(B1162,Client_List!$B:$B,0)),""))</f>
        <v>3E</v>
      </c>
      <c r="E1162" s="19" t="str">
        <f>IF(B1162="","",IFERROR(INDEX(Client_List!$K:$K,MATCH(B1162,Client_List!$B:$B,0)),""))</f>
        <v>FRYERS CHOICE BLEND</v>
      </c>
      <c r="F1162" s="19">
        <f>IF(B1162="","",IFERROR(INDEX(Client_List!$J:$J,MATCH(B1162,Client_List!$B:$B,0)),""))</f>
        <v>950</v>
      </c>
      <c r="G1162" s="19">
        <v>513</v>
      </c>
      <c r="H1162" s="19">
        <f>IF(B1162="","",IFERROR(A1162-LOOKUP(2,1/($B$4:$B1161=B1162),$A$4:$A1161),""))</f>
        <v>7</v>
      </c>
      <c r="I1162" s="75">
        <f t="shared" si="18"/>
        <v>73.285714285714292</v>
      </c>
      <c r="J1162" s="19"/>
      <c r="K1162" s="6">
        <f>IF(B1162="","",IFERROR(AVERAGEIFS($I$4:$I1162,$B$4:$B1162,B1162,$I$4:$I1162,"&gt;"&amp;0),""))</f>
        <v>99.119200244200229</v>
      </c>
      <c r="L1162" s="19" t="str">
        <f>IF(B1162="","",IF(ISNA(MATCH(B1162,Client_List!$B:$B,0)),"⚠ NOT FOUND","✓"))</f>
        <v>✓</v>
      </c>
    </row>
    <row r="1163" spans="1:12" ht="14" customHeight="1" x14ac:dyDescent="0.2">
      <c r="A1163" s="58">
        <v>46119</v>
      </c>
      <c r="B1163" s="15" t="s">
        <v>258</v>
      </c>
      <c r="C1163" s="16" t="str">
        <f>IF(B1163="","",IFERROR(INDEX(Client_List!$C:$C,MATCH(B1163,Client_List!$B:$B,0)),""))</f>
        <v>4</v>
      </c>
      <c r="D1163" s="16" t="str">
        <f>IF(B1163="","",IFERROR(INDEX(Client_List!$D:$D,MATCH(B1163,Client_List!$B:$B,0)),""))</f>
        <v>4F</v>
      </c>
      <c r="E1163" s="16" t="str">
        <f>IF(B1163="","",IFERROR(INDEX(Client_List!$K:$K,MATCH(B1163,Client_List!$B:$B,0)),""))</f>
        <v>FRYERS CHOICE BLEND</v>
      </c>
      <c r="F1163" s="16">
        <f>IF(B1163="","",IFERROR(INDEX(Client_List!$J:$J,MATCH(B1163,Client_List!$B:$B,0)),""))</f>
        <v>950</v>
      </c>
      <c r="G1163" s="16">
        <v>672</v>
      </c>
      <c r="H1163" s="16">
        <f>IF(B1163="","",IFERROR(A1163-LOOKUP(2,1/($B$4:$B1162=B1163),$A$4:$A1162),""))</f>
        <v>13</v>
      </c>
      <c r="I1163" s="74">
        <f t="shared" si="18"/>
        <v>51.692307692307693</v>
      </c>
      <c r="J1163" s="16"/>
      <c r="K1163" s="6">
        <f>IF(B1163="","",IFERROR(AVERAGEIFS($I$4:$I1163,$B$4:$B1163,B1163,$I$4:$I1163,"&gt;"&amp;0),""))</f>
        <v>48.728645197395196</v>
      </c>
      <c r="L1163" s="16" t="str">
        <f>IF(B1163="","",IF(ISNA(MATCH(B1163,Client_List!$B:$B,0)),"⚠ NOT FOUND","✓"))</f>
        <v>✓</v>
      </c>
    </row>
    <row r="1164" spans="1:12" ht="14" customHeight="1" x14ac:dyDescent="0.2">
      <c r="A1164" s="59">
        <v>46119</v>
      </c>
      <c r="B1164" s="18" t="s">
        <v>288</v>
      </c>
      <c r="C1164" s="19" t="str">
        <f>IF(B1164="","",IFERROR(INDEX(Client_List!$C:$C,MATCH(B1164,Client_List!$B:$B,0)),""))</f>
        <v>3</v>
      </c>
      <c r="D1164" s="19" t="str">
        <f>IF(B1164="","",IFERROR(INDEX(Client_List!$D:$D,MATCH(B1164,Client_List!$B:$B,0)),""))</f>
        <v>3C</v>
      </c>
      <c r="E1164" s="19" t="str">
        <f>IF(B1164="","",IFERROR(INDEX(Client_List!$K:$K,MATCH(B1164,Client_List!$B:$B,0)),""))</f>
        <v>CANOLA OIL</v>
      </c>
      <c r="F1164" s="19">
        <f>IF(B1164="","",IFERROR(INDEX(Client_List!$J:$J,MATCH(B1164,Client_List!$B:$B,0)),""))</f>
        <v>620</v>
      </c>
      <c r="G1164" s="19">
        <v>513</v>
      </c>
      <c r="H1164" s="19">
        <f>IF(B1164="","",IFERROR(A1164-LOOKUP(2,1/($B$4:$B1163=B1164),$A$4:$A1163),""))</f>
        <v>20</v>
      </c>
      <c r="I1164" s="75">
        <f t="shared" si="18"/>
        <v>25.65</v>
      </c>
      <c r="J1164" s="19"/>
      <c r="K1164" s="6">
        <f>IF(B1164="","",IFERROR(AVERAGEIFS($I$4:$I1164,$B$4:$B1164,B1164,$I$4:$I1164,"&gt;"&amp;0),""))</f>
        <v>36.955250305250303</v>
      </c>
      <c r="L1164" s="19" t="str">
        <f>IF(B1164="","",IF(ISNA(MATCH(B1164,Client_List!$B:$B,0)),"⚠ NOT FOUND","✓"))</f>
        <v>✓</v>
      </c>
    </row>
    <row r="1165" spans="1:12" ht="14" customHeight="1" x14ac:dyDescent="0.2">
      <c r="A1165" s="58">
        <v>46119</v>
      </c>
      <c r="B1165" s="15" t="s">
        <v>296</v>
      </c>
      <c r="C1165" s="16" t="str">
        <f>IF(B1165="","",IFERROR(INDEX(Client_List!$C:$C,MATCH(B1165,Client_List!$B:$B,0)),""))</f>
        <v>4</v>
      </c>
      <c r="D1165" s="16" t="str">
        <f>IF(B1165="","",IFERROR(INDEX(Client_List!$D:$D,MATCH(B1165,Client_List!$B:$B,0)),""))</f>
        <v>4C</v>
      </c>
      <c r="E1165" s="16" t="str">
        <f>IF(B1165="","",IFERROR(INDEX(Client_List!$K:$K,MATCH(B1165,Client_List!$B:$B,0)),""))</f>
        <v>FRYERS CHOICE BLEND</v>
      </c>
      <c r="F1165" s="16">
        <f>IF(B1165="","",IFERROR(INDEX(Client_List!$J:$J,MATCH(B1165,Client_List!$B:$B,0)),""))</f>
        <v>480</v>
      </c>
      <c r="G1165" s="16">
        <v>297</v>
      </c>
      <c r="H1165" s="16">
        <f>IF(B1165="","",IFERROR(A1165-LOOKUP(2,1/($B$4:$B1164=B1165),$A$4:$A1164),""))</f>
        <v>11</v>
      </c>
      <c r="I1165" s="74">
        <f t="shared" si="18"/>
        <v>27</v>
      </c>
      <c r="J1165" s="16"/>
      <c r="K1165" s="6">
        <f>IF(B1165="","",IFERROR(AVERAGEIFS($I$4:$I1165,$B$4:$B1165,B1165,$I$4:$I1165,"&gt;"&amp;0),""))</f>
        <v>39.822796934865899</v>
      </c>
      <c r="L1165" s="16" t="str">
        <f>IF(B1165="","",IF(ISNA(MATCH(B1165,Client_List!$B:$B,0)),"⚠ NOT FOUND","✓"))</f>
        <v>✓</v>
      </c>
    </row>
    <row r="1166" spans="1:12" ht="14" customHeight="1" x14ac:dyDescent="0.2">
      <c r="A1166" s="59">
        <v>46119</v>
      </c>
      <c r="B1166" s="18" t="s">
        <v>304</v>
      </c>
      <c r="C1166" s="19" t="str">
        <f>IF(B1166="","",IFERROR(INDEX(Client_List!$C:$C,MATCH(B1166,Client_List!$B:$B,0)),""))</f>
        <v>3</v>
      </c>
      <c r="D1166" s="19" t="str">
        <f>IF(B1166="","",IFERROR(INDEX(Client_List!$D:$D,MATCH(B1166,Client_List!$B:$B,0)),""))</f>
        <v>3B</v>
      </c>
      <c r="E1166" s="19" t="str">
        <f>IF(B1166="","",IFERROR(INDEX(Client_List!$K:$K,MATCH(B1166,Client_List!$B:$B,0)),""))</f>
        <v>CANOLA OIL</v>
      </c>
      <c r="F1166" s="19">
        <f>IF(B1166="","",IFERROR(INDEX(Client_List!$J:$J,MATCH(B1166,Client_List!$B:$B,0)),""))</f>
        <v>350</v>
      </c>
      <c r="G1166" s="19">
        <v>204</v>
      </c>
      <c r="H1166" s="19">
        <f>IF(B1166="","",IFERROR(A1166-LOOKUP(2,1/($B$4:$B1165=B1166),$A$4:$A1165),""))</f>
        <v>7</v>
      </c>
      <c r="I1166" s="75">
        <f t="shared" si="18"/>
        <v>29.142857142857142</v>
      </c>
      <c r="J1166" s="19"/>
      <c r="K1166" s="6">
        <f>IF(B1166="","",IFERROR(AVERAGEIFS($I$4:$I1166,$B$4:$B1166,B1166,$I$4:$I1166,"&gt;"&amp;0),""))</f>
        <v>47.419092019092005</v>
      </c>
      <c r="L1166" s="19" t="str">
        <f>IF(B1166="","",IF(ISNA(MATCH(B1166,Client_List!$B:$B,0)),"⚠ NOT FOUND","✓"))</f>
        <v>✓</v>
      </c>
    </row>
    <row r="1167" spans="1:12" ht="14" customHeight="1" x14ac:dyDescent="0.2">
      <c r="A1167" s="58">
        <v>46119</v>
      </c>
      <c r="B1167" s="15" t="s">
        <v>308</v>
      </c>
      <c r="C1167" s="16" t="str">
        <f>IF(B1167="","",IFERROR(INDEX(Client_List!$C:$C,MATCH(B1167,Client_List!$B:$B,0)),""))</f>
        <v>3</v>
      </c>
      <c r="D1167" s="16" t="str">
        <f>IF(B1167="","",IFERROR(INDEX(Client_List!$D:$D,MATCH(B1167,Client_List!$B:$B,0)),""))</f>
        <v>3C</v>
      </c>
      <c r="E1167" s="16" t="str">
        <f>IF(B1167="","",IFERROR(INDEX(Client_List!$K:$K,MATCH(B1167,Client_List!$B:$B,0)),""))</f>
        <v>FRYERS CHOICE BLEND</v>
      </c>
      <c r="F1167" s="16">
        <f>IF(B1167="","",IFERROR(INDEX(Client_List!$J:$J,MATCH(B1167,Client_List!$B:$B,0)),""))</f>
        <v>500</v>
      </c>
      <c r="G1167" s="16">
        <v>457</v>
      </c>
      <c r="H1167" s="16">
        <f>IF(B1167="","",IFERROR(A1167-LOOKUP(2,1/($B$4:$B1166=B1167),$A$4:$A1166),""))</f>
        <v>46</v>
      </c>
      <c r="I1167" s="74">
        <f t="shared" si="18"/>
        <v>9.9347826086956523</v>
      </c>
      <c r="J1167" s="16"/>
      <c r="K1167" s="6">
        <f>IF(B1167="","",IFERROR(AVERAGEIFS($I$4:$I1167,$B$4:$B1167,B1167,$I$4:$I1167,"&gt;"&amp;0),""))</f>
        <v>9.0652173913043477</v>
      </c>
      <c r="L1167" s="16" t="str">
        <f>IF(B1167="","",IF(ISNA(MATCH(B1167,Client_List!$B:$B,0)),"⚠ NOT FOUND","✓"))</f>
        <v>✓</v>
      </c>
    </row>
    <row r="1168" spans="1:12" ht="14" customHeight="1" x14ac:dyDescent="0.2">
      <c r="A1168" s="59">
        <v>46120</v>
      </c>
      <c r="B1168" s="18" t="s">
        <v>43</v>
      </c>
      <c r="C1168" s="19" t="str">
        <f>IF(B1168="","",IFERROR(INDEX(Client_List!$C:$C,MATCH(B1168,Client_List!$B:$B,0)),""))</f>
        <v>1</v>
      </c>
      <c r="D1168" s="19" t="str">
        <f>IF(B1168="","",IFERROR(INDEX(Client_List!$D:$D,MATCH(B1168,Client_List!$B:$B,0)),""))</f>
        <v>1C</v>
      </c>
      <c r="E1168" s="19" t="str">
        <f>IF(B1168="","",IFERROR(INDEX(Client_List!$K:$K,MATCH(B1168,Client_List!$B:$B,0)),""))</f>
        <v>FRYERS CHOICE BLEND</v>
      </c>
      <c r="F1168" s="19">
        <f>IF(B1168="","",IFERROR(INDEX(Client_List!$J:$J,MATCH(B1168,Client_List!$B:$B,0)),""))</f>
        <v>620</v>
      </c>
      <c r="G1168" s="19">
        <v>505</v>
      </c>
      <c r="H1168" s="19">
        <f>IF(B1168="","",IFERROR(A1168-LOOKUP(2,1/($B$4:$B1167=B1168),$A$4:$A1167),""))</f>
        <v>13</v>
      </c>
      <c r="I1168" s="75">
        <f t="shared" si="18"/>
        <v>38.846153846153847</v>
      </c>
      <c r="J1168" s="19"/>
      <c r="K1168" s="6">
        <f>IF(B1168="","",IFERROR(AVERAGEIFS($I$4:$I1168,$B$4:$B1168,B1168,$I$4:$I1168,"&gt;"&amp;0),""))</f>
        <v>44.030090569153067</v>
      </c>
      <c r="L1168" s="19" t="str">
        <f>IF(B1168="","",IF(ISNA(MATCH(B1168,Client_List!$B:$B,0)),"⚠ NOT FOUND","✓"))</f>
        <v>✓</v>
      </c>
    </row>
    <row r="1169" spans="1:12" ht="14" customHeight="1" x14ac:dyDescent="0.2">
      <c r="A1169" s="58">
        <v>46120</v>
      </c>
      <c r="B1169" s="15" t="s">
        <v>49</v>
      </c>
      <c r="C1169" s="16" t="str">
        <f>IF(B1169="","",IFERROR(INDEX(Client_List!$C:$C,MATCH(B1169,Client_List!$B:$B,0)),""))</f>
        <v>2</v>
      </c>
      <c r="D1169" s="16" t="str">
        <f>IF(B1169="","",IFERROR(INDEX(Client_List!$D:$D,MATCH(B1169,Client_List!$B:$B,0)),""))</f>
        <v>2C</v>
      </c>
      <c r="E1169" s="16" t="str">
        <f>IF(B1169="","",IFERROR(INDEX(Client_List!$K:$K,MATCH(B1169,Client_List!$B:$B,0)),""))</f>
        <v>CANOLA OIL</v>
      </c>
      <c r="F1169" s="16">
        <f>IF(B1169="","",IFERROR(INDEX(Client_List!$J:$J,MATCH(B1169,Client_List!$B:$B,0)),""))</f>
        <v>950</v>
      </c>
      <c r="G1169" s="16">
        <v>434</v>
      </c>
      <c r="H1169" s="16">
        <f>IF(B1169="","",IFERROR(A1169-LOOKUP(2,1/($B$4:$B1168=B1169),$A$4:$A1168),""))</f>
        <v>7</v>
      </c>
      <c r="I1169" s="74">
        <f t="shared" si="18"/>
        <v>62</v>
      </c>
      <c r="J1169" s="16"/>
      <c r="K1169" s="6">
        <f>IF(B1169="","",IFERROR(AVERAGEIFS($I$4:$I1169,$B$4:$B1169,B1169,$I$4:$I1169,"&gt;"&amp;0),""))</f>
        <v>73.041975308641966</v>
      </c>
      <c r="L1169" s="16" t="str">
        <f>IF(B1169="","",IF(ISNA(MATCH(B1169,Client_List!$B:$B,0)),"⚠ NOT FOUND","✓"))</f>
        <v>✓</v>
      </c>
    </row>
    <row r="1170" spans="1:12" ht="14" customHeight="1" x14ac:dyDescent="0.2">
      <c r="A1170" s="59">
        <v>46120</v>
      </c>
      <c r="B1170" s="18" t="s">
        <v>63</v>
      </c>
      <c r="C1170" s="19" t="str">
        <f>IF(B1170="","",IFERROR(INDEX(Client_List!$C:$C,MATCH(B1170,Client_List!$B:$B,0)),""))</f>
        <v>5</v>
      </c>
      <c r="D1170" s="19" t="str">
        <f>IF(B1170="","",IFERROR(INDEX(Client_List!$D:$D,MATCH(B1170,Client_List!$B:$B,0)),""))</f>
        <v>5D</v>
      </c>
      <c r="E1170" s="19" t="str">
        <f>IF(B1170="","",IFERROR(INDEX(Client_List!$K:$K,MATCH(B1170,Client_List!$B:$B,0)),""))</f>
        <v>CANOLA OIL</v>
      </c>
      <c r="F1170" s="19">
        <f>IF(B1170="","",IFERROR(INDEX(Client_List!$J:$J,MATCH(B1170,Client_List!$B:$B,0)),""))</f>
        <v>425</v>
      </c>
      <c r="G1170" s="19">
        <v>270</v>
      </c>
      <c r="H1170" s="19">
        <f>IF(B1170="","",IFERROR(A1170-LOOKUP(2,1/($B$4:$B1169=B1170),$A$4:$A1169),""))</f>
        <v>1</v>
      </c>
      <c r="I1170" s="75">
        <f t="shared" si="18"/>
        <v>270</v>
      </c>
      <c r="J1170" s="19"/>
      <c r="K1170" s="6">
        <f>IF(B1170="","",IFERROR(AVERAGEIFS($I$4:$I1170,$B$4:$B1170,B1170,$I$4:$I1170,"&gt;"&amp;0),""))</f>
        <v>71.353571428571414</v>
      </c>
      <c r="L1170" s="19" t="str">
        <f>IF(B1170="","",IF(ISNA(MATCH(B1170,Client_List!$B:$B,0)),"⚠ NOT FOUND","✓"))</f>
        <v>✓</v>
      </c>
    </row>
    <row r="1171" spans="1:12" ht="14" customHeight="1" x14ac:dyDescent="0.2">
      <c r="A1171" s="58">
        <v>46120</v>
      </c>
      <c r="B1171" s="15" t="s">
        <v>106</v>
      </c>
      <c r="C1171" s="16" t="str">
        <f>IF(B1171="","",IFERROR(INDEX(Client_List!$C:$C,MATCH(B1171,Client_List!$B:$B,0)),""))</f>
        <v>4</v>
      </c>
      <c r="D1171" s="16" t="str">
        <f>IF(B1171="","",IFERROR(INDEX(Client_List!$D:$D,MATCH(B1171,Client_List!$B:$B,0)),""))</f>
        <v>4E</v>
      </c>
      <c r="E1171" s="16" t="str">
        <f>IF(B1171="","",IFERROR(INDEX(Client_List!$K:$K,MATCH(B1171,Client_List!$B:$B,0)),""))</f>
        <v>CANOLA OIL</v>
      </c>
      <c r="F1171" s="16">
        <f>IF(B1171="","",IFERROR(INDEX(Client_List!$J:$J,MATCH(B1171,Client_List!$B:$B,0)),""))</f>
        <v>350</v>
      </c>
      <c r="G1171" s="16">
        <v>247</v>
      </c>
      <c r="H1171" s="16">
        <f>IF(B1171="","",IFERROR(A1171-LOOKUP(2,1/($B$4:$B1170=B1171),$A$4:$A1170),""))</f>
        <v>27</v>
      </c>
      <c r="I1171" s="74">
        <f t="shared" si="18"/>
        <v>9.1481481481481488</v>
      </c>
      <c r="J1171" s="16"/>
      <c r="K1171" s="6">
        <f>IF(B1171="","",IFERROR(AVERAGEIFS($I$4:$I1171,$B$4:$B1171,B1171,$I$4:$I1171,"&gt;"&amp;0),""))</f>
        <v>14.412763709172378</v>
      </c>
      <c r="L1171" s="16" t="str">
        <f>IF(B1171="","",IF(ISNA(MATCH(B1171,Client_List!$B:$B,0)),"⚠ NOT FOUND","✓"))</f>
        <v>✓</v>
      </c>
    </row>
    <row r="1172" spans="1:12" ht="14" customHeight="1" x14ac:dyDescent="0.2">
      <c r="A1172" s="59">
        <v>46120</v>
      </c>
      <c r="B1172" s="18" t="s">
        <v>108</v>
      </c>
      <c r="C1172" s="19" t="str">
        <f>IF(B1172="","",IFERROR(INDEX(Client_List!$C:$C,MATCH(B1172,Client_List!$B:$B,0)),""))</f>
        <v>1</v>
      </c>
      <c r="D1172" s="19" t="str">
        <f>IF(B1172="","",IFERROR(INDEX(Client_List!$D:$D,MATCH(B1172,Client_List!$B:$B,0)),""))</f>
        <v>1D</v>
      </c>
      <c r="E1172" s="19" t="str">
        <f>IF(B1172="","",IFERROR(INDEX(Client_List!$K:$K,MATCH(B1172,Client_List!$B:$B,0)),""))</f>
        <v>FRYERS CHOICE BLEND</v>
      </c>
      <c r="F1172" s="19">
        <f>IF(B1172="","",IFERROR(INDEX(Client_List!$J:$J,MATCH(B1172,Client_List!$B:$B,0)),""))</f>
        <v>1050</v>
      </c>
      <c r="G1172" s="19">
        <v>913</v>
      </c>
      <c r="H1172" s="19">
        <f>IF(B1172="","",IFERROR(A1172-LOOKUP(2,1/($B$4:$B1171=B1172),$A$4:$A1171),""))</f>
        <v>15</v>
      </c>
      <c r="I1172" s="75">
        <f t="shared" si="18"/>
        <v>60.866666666666667</v>
      </c>
      <c r="J1172" s="19"/>
      <c r="K1172" s="6">
        <f>IF(B1172="","",IFERROR(AVERAGEIFS($I$4:$I1172,$B$4:$B1172,B1172,$I$4:$I1172,"&gt;"&amp;0),""))</f>
        <v>50.646182764603822</v>
      </c>
      <c r="L1172" s="19" t="str">
        <f>IF(B1172="","",IF(ISNA(MATCH(B1172,Client_List!$B:$B,0)),"⚠ NOT FOUND","✓"))</f>
        <v>✓</v>
      </c>
    </row>
    <row r="1173" spans="1:12" ht="14" customHeight="1" x14ac:dyDescent="0.2">
      <c r="A1173" s="58">
        <v>46120</v>
      </c>
      <c r="B1173" s="15" t="s">
        <v>114</v>
      </c>
      <c r="C1173" s="16" t="str">
        <f>IF(B1173="","",IFERROR(INDEX(Client_List!$C:$C,MATCH(B1173,Client_List!$B:$B,0)),""))</f>
        <v>2</v>
      </c>
      <c r="D1173" s="16" t="str">
        <f>IF(B1173="","",IFERROR(INDEX(Client_List!$D:$D,MATCH(B1173,Client_List!$B:$B,0)),""))</f>
        <v>2A</v>
      </c>
      <c r="E1173" s="16" t="str">
        <f>IF(B1173="","",IFERROR(INDEX(Client_List!$K:$K,MATCH(B1173,Client_List!$B:$B,0)),""))</f>
        <v>FRYERS CHOICE BLEND</v>
      </c>
      <c r="F1173" s="16">
        <f>IF(B1173="","",IFERROR(INDEX(Client_List!$J:$J,MATCH(B1173,Client_List!$B:$B,0)),""))</f>
        <v>500</v>
      </c>
      <c r="G1173" s="16">
        <v>429</v>
      </c>
      <c r="H1173" s="16">
        <f>IF(B1173="","",IFERROR(A1173-LOOKUP(2,1/($B$4:$B1172=B1173),$A$4:$A1172),""))</f>
        <v>12</v>
      </c>
      <c r="I1173" s="74">
        <f t="shared" si="18"/>
        <v>35.75</v>
      </c>
      <c r="J1173" s="16"/>
      <c r="K1173" s="6">
        <f>IF(B1173="","",IFERROR(AVERAGEIFS($I$4:$I1173,$B$4:$B1173,B1173,$I$4:$I1173,"&gt;"&amp;0),""))</f>
        <v>34.205154369440088</v>
      </c>
      <c r="L1173" s="16" t="str">
        <f>IF(B1173="","",IF(ISNA(MATCH(B1173,Client_List!$B:$B,0)),"⚠ NOT FOUND","✓"))</f>
        <v>✓</v>
      </c>
    </row>
    <row r="1174" spans="1:12" ht="14" customHeight="1" x14ac:dyDescent="0.2">
      <c r="A1174" s="59">
        <v>46120</v>
      </c>
      <c r="B1174" s="18" t="s">
        <v>144</v>
      </c>
      <c r="C1174" s="19" t="str">
        <f>IF(B1174="","",IFERROR(INDEX(Client_List!$C:$C,MATCH(B1174,Client_List!$B:$B,0)),""))</f>
        <v>4</v>
      </c>
      <c r="D1174" s="19" t="str">
        <f>IF(B1174="","",IFERROR(INDEX(Client_List!$D:$D,MATCH(B1174,Client_List!$B:$B,0)),""))</f>
        <v>4A</v>
      </c>
      <c r="E1174" s="19" t="str">
        <f>IF(B1174="","",IFERROR(INDEX(Client_List!$K:$K,MATCH(B1174,Client_List!$B:$B,0)),""))</f>
        <v>FRYERS CHOICE BLEND</v>
      </c>
      <c r="F1174" s="19">
        <f>IF(B1174="","",IFERROR(INDEX(Client_List!$J:$J,MATCH(B1174,Client_List!$B:$B,0)),""))</f>
        <v>900</v>
      </c>
      <c r="G1174" s="19">
        <v>906</v>
      </c>
      <c r="H1174" s="19">
        <f>IF(B1174="","",IFERROR(A1174-LOOKUP(2,1/($B$4:$B1173=B1174),$A$4:$A1173),""))</f>
        <v>10</v>
      </c>
      <c r="I1174" s="75">
        <f t="shared" si="18"/>
        <v>90.6</v>
      </c>
      <c r="J1174" s="19"/>
      <c r="K1174" s="6">
        <f>IF(B1174="","",IFERROR(AVERAGEIFS($I$4:$I1174,$B$4:$B1174,B1174,$I$4:$I1174,"&gt;"&amp;0),""))</f>
        <v>72.627403909222082</v>
      </c>
      <c r="L1174" s="19" t="str">
        <f>IF(B1174="","",IF(ISNA(MATCH(B1174,Client_List!$B:$B,0)),"⚠ NOT FOUND","✓"))</f>
        <v>✓</v>
      </c>
    </row>
    <row r="1175" spans="1:12" ht="14" customHeight="1" x14ac:dyDescent="0.2">
      <c r="A1175" s="58">
        <v>46120</v>
      </c>
      <c r="B1175" s="15" t="s">
        <v>156</v>
      </c>
      <c r="C1175" s="16" t="str">
        <f>IF(B1175="","",IFERROR(INDEX(Client_List!$C:$C,MATCH(B1175,Client_List!$B:$B,0)),""))</f>
        <v>4</v>
      </c>
      <c r="D1175" s="16" t="str">
        <f>IF(B1175="","",IFERROR(INDEX(Client_List!$D:$D,MATCH(B1175,Client_List!$B:$B,0)),""))</f>
        <v>4B</v>
      </c>
      <c r="E1175" s="16" t="str">
        <f>IF(B1175="","",IFERROR(INDEX(Client_List!$K:$K,MATCH(B1175,Client_List!$B:$B,0)),""))</f>
        <v>CANOLA OIL</v>
      </c>
      <c r="F1175" s="16">
        <f>IF(B1175="","",IFERROR(INDEX(Client_List!$J:$J,MATCH(B1175,Client_List!$B:$B,0)),""))</f>
        <v>1050</v>
      </c>
      <c r="G1175" s="16">
        <v>786</v>
      </c>
      <c r="H1175" s="16">
        <f>IF(B1175="","",IFERROR(A1175-LOOKUP(2,1/($B$4:$B1174=B1175),$A$4:$A1174),""))</f>
        <v>13</v>
      </c>
      <c r="I1175" s="74">
        <f t="shared" si="18"/>
        <v>60.46153846153846</v>
      </c>
      <c r="J1175" s="16"/>
      <c r="K1175" s="6">
        <f>IF(B1175="","",IFERROR(AVERAGEIFS($I$4:$I1175,$B$4:$B1175,B1175,$I$4:$I1175,"&gt;"&amp;0),""))</f>
        <v>72.506721849578994</v>
      </c>
      <c r="L1175" s="16" t="str">
        <f>IF(B1175="","",IF(ISNA(MATCH(B1175,Client_List!$B:$B,0)),"⚠ NOT FOUND","✓"))</f>
        <v>✓</v>
      </c>
    </row>
    <row r="1176" spans="1:12" ht="14" customHeight="1" x14ac:dyDescent="0.2">
      <c r="A1176" s="59">
        <v>46120</v>
      </c>
      <c r="B1176" s="18" t="s">
        <v>188</v>
      </c>
      <c r="C1176" s="19" t="str">
        <f>IF(B1176="","",IFERROR(INDEX(Client_List!$C:$C,MATCH(B1176,Client_List!$B:$B,0)),""))</f>
        <v>4</v>
      </c>
      <c r="D1176" s="19" t="str">
        <f>IF(B1176="","",IFERROR(INDEX(Client_List!$D:$D,MATCH(B1176,Client_List!$B:$B,0)),""))</f>
        <v>4C</v>
      </c>
      <c r="E1176" s="19" t="str">
        <f>IF(B1176="","",IFERROR(INDEX(Client_List!$K:$K,MATCH(B1176,Client_List!$B:$B,0)),""))</f>
        <v>CANOLA OIL</v>
      </c>
      <c r="F1176" s="19">
        <f>IF(B1176="","",IFERROR(INDEX(Client_List!$J:$J,MATCH(B1176,Client_List!$B:$B,0)),""))</f>
        <v>900</v>
      </c>
      <c r="G1176" s="19">
        <v>810</v>
      </c>
      <c r="H1176" s="19">
        <f>IF(B1176="","",IFERROR(A1176-LOOKUP(2,1/($B$4:$B1175=B1176),$A$4:$A1175),""))</f>
        <v>15</v>
      </c>
      <c r="I1176" s="75">
        <f t="shared" si="18"/>
        <v>54</v>
      </c>
      <c r="J1176" s="19"/>
      <c r="K1176" s="6">
        <f>IF(B1176="","",IFERROR(AVERAGEIFS($I$4:$I1176,$B$4:$B1176,B1176,$I$4:$I1176,"&gt;"&amp;0),""))</f>
        <v>48.954741554741553</v>
      </c>
      <c r="L1176" s="19" t="str">
        <f>IF(B1176="","",IF(ISNA(MATCH(B1176,Client_List!$B:$B,0)),"⚠ NOT FOUND","✓"))</f>
        <v>✓</v>
      </c>
    </row>
    <row r="1177" spans="1:12" ht="14" customHeight="1" x14ac:dyDescent="0.2">
      <c r="A1177" s="58">
        <v>46120</v>
      </c>
      <c r="B1177" s="15" t="s">
        <v>202</v>
      </c>
      <c r="C1177" s="16" t="str">
        <f>IF(B1177="","",IFERROR(INDEX(Client_List!$C:$C,MATCH(B1177,Client_List!$B:$B,0)),""))</f>
        <v>4</v>
      </c>
      <c r="D1177" s="16" t="str">
        <f>IF(B1177="","",IFERROR(INDEX(Client_List!$D:$D,MATCH(B1177,Client_List!$B:$B,0)),""))</f>
        <v>4D</v>
      </c>
      <c r="E1177" s="16" t="str">
        <f>IF(B1177="","",IFERROR(INDEX(Client_List!$K:$K,MATCH(B1177,Client_List!$B:$B,0)),""))</f>
        <v>CANOLA OIL</v>
      </c>
      <c r="F1177" s="16">
        <f>IF(B1177="","",IFERROR(INDEX(Client_List!$J:$J,MATCH(B1177,Client_List!$B:$B,0)),""))</f>
        <v>1050</v>
      </c>
      <c r="G1177" s="16">
        <v>910</v>
      </c>
      <c r="H1177" s="16">
        <f>IF(B1177="","",IFERROR(A1177-LOOKUP(2,1/($B$4:$B1176=B1177),$A$4:$A1176),""))</f>
        <v>10</v>
      </c>
      <c r="I1177" s="74">
        <f t="shared" si="18"/>
        <v>91</v>
      </c>
      <c r="J1177" s="16"/>
      <c r="K1177" s="6">
        <f>IF(B1177="","",IFERROR(AVERAGEIFS($I$4:$I1177,$B$4:$B1177,B1177,$I$4:$I1177,"&gt;"&amp;0),""))</f>
        <v>88.77292568542569</v>
      </c>
      <c r="L1177" s="16" t="str">
        <f>IF(B1177="","",IF(ISNA(MATCH(B1177,Client_List!$B:$B,0)),"⚠ NOT FOUND","✓"))</f>
        <v>✓</v>
      </c>
    </row>
    <row r="1178" spans="1:12" ht="14" customHeight="1" x14ac:dyDescent="0.2">
      <c r="A1178" s="59">
        <v>46120</v>
      </c>
      <c r="B1178" s="18" t="s">
        <v>206</v>
      </c>
      <c r="C1178" s="19" t="str">
        <f>IF(B1178="","",IFERROR(INDEX(Client_List!$C:$C,MATCH(B1178,Client_List!$B:$B,0)),""))</f>
        <v>4</v>
      </c>
      <c r="D1178" s="19" t="str">
        <f>IF(B1178="","",IFERROR(INDEX(Client_List!$D:$D,MATCH(B1178,Client_List!$B:$B,0)),""))</f>
        <v>4C</v>
      </c>
      <c r="E1178" s="19" t="str">
        <f>IF(B1178="","",IFERROR(INDEX(Client_List!$K:$K,MATCH(B1178,Client_List!$B:$B,0)),""))</f>
        <v>CANOLA OIL</v>
      </c>
      <c r="F1178" s="19">
        <f>IF(B1178="","",IFERROR(INDEX(Client_List!$J:$J,MATCH(B1178,Client_List!$B:$B,0)),""))</f>
        <v>1050</v>
      </c>
      <c r="G1178" s="19">
        <v>802</v>
      </c>
      <c r="H1178" s="19">
        <f>IF(B1178="","",IFERROR(A1178-LOOKUP(2,1/($B$4:$B1177=B1178),$A$4:$A1177),""))</f>
        <v>8</v>
      </c>
      <c r="I1178" s="75">
        <f t="shared" si="18"/>
        <v>100.25</v>
      </c>
      <c r="J1178" s="19"/>
      <c r="K1178" s="6">
        <f>IF(B1178="","",IFERROR(AVERAGEIFS($I$4:$I1178,$B$4:$B1178,B1178,$I$4:$I1178,"&gt;"&amp;0),""))</f>
        <v>88.780400155400159</v>
      </c>
      <c r="L1178" s="19" t="str">
        <f>IF(B1178="","",IF(ISNA(MATCH(B1178,Client_List!$B:$B,0)),"⚠ NOT FOUND","✓"))</f>
        <v>✓</v>
      </c>
    </row>
    <row r="1179" spans="1:12" ht="14" customHeight="1" x14ac:dyDescent="0.2">
      <c r="A1179" s="58">
        <v>46120</v>
      </c>
      <c r="B1179" s="15" t="s">
        <v>214</v>
      </c>
      <c r="C1179" s="16" t="str">
        <f>IF(B1179="","",IFERROR(INDEX(Client_List!$C:$C,MATCH(B1179,Client_List!$B:$B,0)),""))</f>
        <v>1</v>
      </c>
      <c r="D1179" s="16" t="str">
        <f>IF(B1179="","",IFERROR(INDEX(Client_List!$D:$D,MATCH(B1179,Client_List!$B:$B,0)),""))</f>
        <v>1C</v>
      </c>
      <c r="E1179" s="16" t="str">
        <f>IF(B1179="","",IFERROR(INDEX(Client_List!$K:$K,MATCH(B1179,Client_List!$B:$B,0)),""))</f>
        <v>CANOLA OIL</v>
      </c>
      <c r="F1179" s="16">
        <f>IF(B1179="","",IFERROR(INDEX(Client_List!$J:$J,MATCH(B1179,Client_List!$B:$B,0)),""))</f>
        <v>630</v>
      </c>
      <c r="G1179" s="16">
        <v>329</v>
      </c>
      <c r="H1179" s="16">
        <f>IF(B1179="","",IFERROR(A1179-LOOKUP(2,1/($B$4:$B1178=B1179),$A$4:$A1178),""))</f>
        <v>15</v>
      </c>
      <c r="I1179" s="74">
        <f t="shared" si="18"/>
        <v>21.933333333333334</v>
      </c>
      <c r="J1179" s="16"/>
      <c r="K1179" s="6">
        <f>IF(B1179="","",IFERROR(AVERAGEIFS($I$4:$I1179,$B$4:$B1179,B1179,$I$4:$I1179,"&gt;"&amp;0),""))</f>
        <v>26.982936507936511</v>
      </c>
      <c r="L1179" s="16" t="str">
        <f>IF(B1179="","",IF(ISNA(MATCH(B1179,Client_List!$B:$B,0)),"⚠ NOT FOUND","✓"))</f>
        <v>✓</v>
      </c>
    </row>
    <row r="1180" spans="1:12" ht="14" customHeight="1" x14ac:dyDescent="0.2">
      <c r="A1180" s="59">
        <v>46120</v>
      </c>
      <c r="B1180" s="18" t="s">
        <v>262</v>
      </c>
      <c r="C1180" s="19" t="str">
        <f>IF(B1180="","",IFERROR(INDEX(Client_List!$C:$C,MATCH(B1180,Client_List!$B:$B,0)),""))</f>
        <v>2</v>
      </c>
      <c r="D1180" s="19" t="str">
        <f>IF(B1180="","",IFERROR(INDEX(Client_List!$D:$D,MATCH(B1180,Client_List!$B:$B,0)),""))</f>
        <v>2C</v>
      </c>
      <c r="E1180" s="19" t="str">
        <f>IF(B1180="","",IFERROR(INDEX(Client_List!$K:$K,MATCH(B1180,Client_List!$B:$B,0)),""))</f>
        <v>CANOLA OIL</v>
      </c>
      <c r="F1180" s="19">
        <f>IF(B1180="","",IFERROR(INDEX(Client_List!$J:$J,MATCH(B1180,Client_List!$B:$B,0)),""))</f>
        <v>1950</v>
      </c>
      <c r="G1180" s="19">
        <v>1305</v>
      </c>
      <c r="H1180" s="19">
        <f>IF(B1180="","",IFERROR(A1180-LOOKUP(2,1/($B$4:$B1179=B1180),$A$4:$A1179),""))</f>
        <v>10</v>
      </c>
      <c r="I1180" s="75">
        <f t="shared" si="18"/>
        <v>130.5</v>
      </c>
      <c r="J1180" s="19"/>
      <c r="K1180" s="6">
        <f>IF(B1180="","",IFERROR(AVERAGEIFS($I$4:$I1180,$B$4:$B1180,B1180,$I$4:$I1180,"&gt;"&amp;0),""))</f>
        <v>161.82222222222222</v>
      </c>
      <c r="L1180" s="19" t="str">
        <f>IF(B1180="","",IF(ISNA(MATCH(B1180,Client_List!$B:$B,0)),"⚠ NOT FOUND","✓"))</f>
        <v>✓</v>
      </c>
    </row>
    <row r="1181" spans="1:12" ht="14" customHeight="1" x14ac:dyDescent="0.2">
      <c r="A1181" s="58">
        <v>46120</v>
      </c>
      <c r="B1181" s="15" t="s">
        <v>310</v>
      </c>
      <c r="C1181" s="16" t="str">
        <f>IF(B1181="","",IFERROR(INDEX(Client_List!$C:$C,MATCH(B1181,Client_List!$B:$B,0)),""))</f>
        <v>3</v>
      </c>
      <c r="D1181" s="16" t="str">
        <f>IF(B1181="","",IFERROR(INDEX(Client_List!$D:$D,MATCH(B1181,Client_List!$B:$B,0)),""))</f>
        <v>3D</v>
      </c>
      <c r="E1181" s="16" t="str">
        <f>IF(B1181="","",IFERROR(INDEX(Client_List!$K:$K,MATCH(B1181,Client_List!$B:$B,0)),""))</f>
        <v>CANOLA OIL</v>
      </c>
      <c r="F1181" s="16">
        <f>IF(B1181="","",IFERROR(INDEX(Client_List!$J:$J,MATCH(B1181,Client_List!$B:$B,0)),""))</f>
        <v>1050</v>
      </c>
      <c r="G1181" s="16">
        <v>806</v>
      </c>
      <c r="H1181" s="16">
        <f>IF(B1181="","",IFERROR(A1181-LOOKUP(2,1/($B$4:$B1180=B1181),$A$4:$A1180),""))</f>
        <v>12</v>
      </c>
      <c r="I1181" s="74">
        <f t="shared" si="18"/>
        <v>67.166666666666671</v>
      </c>
      <c r="J1181" s="16"/>
      <c r="K1181" s="6">
        <f>IF(B1181="","",IFERROR(AVERAGEIFS($I$4:$I1181,$B$4:$B1181,B1181,$I$4:$I1181,"&gt;"&amp;0),""))</f>
        <v>72.669849594849595</v>
      </c>
      <c r="L1181" s="16" t="str">
        <f>IF(B1181="","",IF(ISNA(MATCH(B1181,Client_List!$B:$B,0)),"⚠ NOT FOUND","✓"))</f>
        <v>✓</v>
      </c>
    </row>
    <row r="1182" spans="1:12" ht="14" customHeight="1" x14ac:dyDescent="0.2">
      <c r="A1182" s="59">
        <v>46120</v>
      </c>
      <c r="B1182" s="18" t="s">
        <v>314</v>
      </c>
      <c r="C1182" s="19" t="str">
        <f>IF(B1182="","",IFERROR(INDEX(Client_List!$C:$C,MATCH(B1182,Client_List!$B:$B,0)),""))</f>
        <v>1</v>
      </c>
      <c r="D1182" s="19" t="str">
        <f>IF(B1182="","",IFERROR(INDEX(Client_List!$D:$D,MATCH(B1182,Client_List!$B:$B,0)),""))</f>
        <v>1C</v>
      </c>
      <c r="E1182" s="19" t="str">
        <f>IF(B1182="","",IFERROR(INDEX(Client_List!$K:$K,MATCH(B1182,Client_List!$B:$B,0)),""))</f>
        <v>CANOLA OIL</v>
      </c>
      <c r="F1182" s="19">
        <f>IF(B1182="","",IFERROR(INDEX(Client_List!$J:$J,MATCH(B1182,Client_List!$B:$B,0)),""))</f>
        <v>1050</v>
      </c>
      <c r="G1182" s="19">
        <v>987</v>
      </c>
      <c r="H1182" s="19">
        <f>IF(B1182="","",IFERROR(A1182-LOOKUP(2,1/($B$4:$B1181=B1182),$A$4:$A1181),""))</f>
        <v>12</v>
      </c>
      <c r="I1182" s="75">
        <f t="shared" si="18"/>
        <v>82.25</v>
      </c>
      <c r="J1182" s="19"/>
      <c r="K1182" s="6">
        <f>IF(B1182="","",IFERROR(AVERAGEIFS($I$4:$I1182,$B$4:$B1182,B1182,$I$4:$I1182,"&gt;"&amp;0),""))</f>
        <v>80.539398696541539</v>
      </c>
      <c r="L1182" s="19" t="str">
        <f>IF(B1182="","",IF(ISNA(MATCH(B1182,Client_List!$B:$B,0)),"⚠ NOT FOUND","✓"))</f>
        <v>✓</v>
      </c>
    </row>
    <row r="1183" spans="1:12" ht="14" customHeight="1" x14ac:dyDescent="0.2">
      <c r="A1183" s="58">
        <v>46120</v>
      </c>
      <c r="B1183" s="15" t="s">
        <v>326</v>
      </c>
      <c r="C1183" s="16" t="str">
        <f>IF(B1183="","",IFERROR(INDEX(Client_List!$C:$C,MATCH(B1183,Client_List!$B:$B,0)),""))</f>
        <v>1</v>
      </c>
      <c r="D1183" s="16" t="str">
        <f>IF(B1183="","",IFERROR(INDEX(Client_List!$D:$D,MATCH(B1183,Client_List!$B:$B,0)),""))</f>
        <v>1C</v>
      </c>
      <c r="E1183" s="16" t="str">
        <f>IF(B1183="","",IFERROR(INDEX(Client_List!$K:$K,MATCH(B1183,Client_List!$B:$B,0)),""))</f>
        <v>FRYERS CHOICE BLEND</v>
      </c>
      <c r="F1183" s="16">
        <f>IF(B1183="","",IFERROR(INDEX(Client_List!$J:$J,MATCH(B1183,Client_List!$B:$B,0)),""))</f>
        <v>950</v>
      </c>
      <c r="G1183" s="16">
        <v>795</v>
      </c>
      <c r="H1183" s="16">
        <f>IF(B1183="","",IFERROR(A1183-LOOKUP(2,1/($B$4:$B1182=B1183),$A$4:$A1182),""))</f>
        <v>24</v>
      </c>
      <c r="I1183" s="74">
        <f t="shared" si="18"/>
        <v>33.125</v>
      </c>
      <c r="J1183" s="16"/>
      <c r="K1183" s="6">
        <f>IF(B1183="","",IFERROR(AVERAGEIFS($I$4:$I1183,$B$4:$B1183,B1183,$I$4:$I1183,"&gt;"&amp;0),""))</f>
        <v>30.563392857142858</v>
      </c>
      <c r="L1183" s="16" t="str">
        <f>IF(B1183="","",IF(ISNA(MATCH(B1183,Client_List!$B:$B,0)),"⚠ NOT FOUND","✓"))</f>
        <v>✓</v>
      </c>
    </row>
    <row r="1184" spans="1:12" ht="14" customHeight="1" x14ac:dyDescent="0.2">
      <c r="A1184" s="59">
        <v>46120</v>
      </c>
      <c r="B1184" s="18" t="s">
        <v>340</v>
      </c>
      <c r="C1184" s="19" t="str">
        <f>IF(B1184="","",IFERROR(INDEX(Client_List!$C:$C,MATCH(B1184,Client_List!$B:$B,0)),""))</f>
        <v>2</v>
      </c>
      <c r="D1184" s="19" t="str">
        <f>IF(B1184="","",IFERROR(INDEX(Client_List!$D:$D,MATCH(B1184,Client_List!$B:$B,0)),""))</f>
        <v>2C</v>
      </c>
      <c r="E1184" s="19" t="str">
        <f>IF(B1184="","",IFERROR(INDEX(Client_List!$K:$K,MATCH(B1184,Client_List!$B:$B,0)),""))</f>
        <v>FRYERS CHOICE BLEND</v>
      </c>
      <c r="F1184" s="19">
        <f>IF(B1184="","",IFERROR(INDEX(Client_List!$J:$J,MATCH(B1184,Client_List!$B:$B,0)),""))</f>
        <v>300</v>
      </c>
      <c r="G1184" s="19">
        <v>148</v>
      </c>
      <c r="H1184" s="19">
        <f>IF(B1184="","",IFERROR(A1184-LOOKUP(2,1/($B$4:$B1183=B1184),$A$4:$A1183),""))</f>
        <v>10</v>
      </c>
      <c r="I1184" s="75">
        <f t="shared" si="18"/>
        <v>14.8</v>
      </c>
      <c r="J1184" s="19"/>
      <c r="K1184" s="6">
        <f>IF(B1184="","",IFERROR(AVERAGEIFS($I$4:$I1184,$B$4:$B1184,B1184,$I$4:$I1184,"&gt;"&amp;0),""))</f>
        <v>30.189941724941725</v>
      </c>
      <c r="L1184" s="19" t="str">
        <f>IF(B1184="","",IF(ISNA(MATCH(B1184,Client_List!$B:$B,0)),"⚠ NOT FOUND","✓"))</f>
        <v>✓</v>
      </c>
    </row>
    <row r="1185" spans="1:12" ht="14" customHeight="1" x14ac:dyDescent="0.2">
      <c r="A1185" s="58">
        <v>46121</v>
      </c>
      <c r="B1185" s="15" t="s">
        <v>77</v>
      </c>
      <c r="C1185" s="16" t="str">
        <f>IF(B1185="","",IFERROR(INDEX(Client_List!$C:$C,MATCH(B1185,Client_List!$B:$B,0)),""))</f>
        <v>1</v>
      </c>
      <c r="D1185" s="16" t="str">
        <f>IF(B1185="","",IFERROR(INDEX(Client_List!$D:$D,MATCH(B1185,Client_List!$B:$B,0)),""))</f>
        <v>1D</v>
      </c>
      <c r="E1185" s="16" t="str">
        <f>IF(B1185="","",IFERROR(INDEX(Client_List!$K:$K,MATCH(B1185,Client_List!$B:$B,0)),""))</f>
        <v>CANOLA OIL</v>
      </c>
      <c r="F1185" s="16">
        <f>IF(B1185="","",IFERROR(INDEX(Client_List!$J:$J,MATCH(B1185,Client_List!$B:$B,0)),""))</f>
        <v>620</v>
      </c>
      <c r="G1185" s="16">
        <v>450</v>
      </c>
      <c r="H1185" s="16">
        <f>IF(B1185="","",IFERROR(A1185-LOOKUP(2,1/($B$4:$B1184=B1185),$A$4:$A1184),""))</f>
        <v>8</v>
      </c>
      <c r="I1185" s="74">
        <f t="shared" si="18"/>
        <v>56.25</v>
      </c>
      <c r="J1185" s="16"/>
      <c r="K1185" s="6">
        <f>IF(B1185="","",IFERROR(AVERAGEIFS($I$4:$I1185,$B$4:$B1185,B1185,$I$4:$I1185,"&gt;"&amp;0),""))</f>
        <v>67.128373015873009</v>
      </c>
      <c r="L1185" s="16" t="str">
        <f>IF(B1185="","",IF(ISNA(MATCH(B1185,Client_List!$B:$B,0)),"⚠ NOT FOUND","✓"))</f>
        <v>✓</v>
      </c>
    </row>
    <row r="1186" spans="1:12" ht="14" customHeight="1" x14ac:dyDescent="0.2">
      <c r="A1186" s="59">
        <v>46121</v>
      </c>
      <c r="B1186" s="18" t="s">
        <v>366</v>
      </c>
      <c r="C1186" s="19" t="str">
        <f>IF(B1186="","",IFERROR(INDEX(Client_List!$C:$C,MATCH(B1186,Client_List!$B:$B,0)),""))</f>
        <v>2</v>
      </c>
      <c r="D1186" s="19" t="str">
        <f>IF(B1186="","",IFERROR(INDEX(Client_List!$D:$D,MATCH(B1186,Client_List!$B:$B,0)),""))</f>
        <v>2C</v>
      </c>
      <c r="E1186" s="19" t="str">
        <f>IF(B1186="","",IFERROR(INDEX(Client_List!$K:$K,MATCH(B1186,Client_List!$B:$B,0)),""))</f>
        <v>CANOLA OIL</v>
      </c>
      <c r="F1186" s="19">
        <f>IF(B1186="","",IFERROR(INDEX(Client_List!$J:$J,MATCH(B1186,Client_List!$B:$B,0)),""))</f>
        <v>350</v>
      </c>
      <c r="G1186" s="19">
        <v>337</v>
      </c>
      <c r="H1186" s="19">
        <f>IF(B1186="","",IFERROR(A1186-LOOKUP(2,1/($B$4:$B1185=B1186),$A$4:$A1185),""))</f>
        <v>16</v>
      </c>
      <c r="I1186" s="75">
        <f t="shared" si="18"/>
        <v>21.0625</v>
      </c>
      <c r="J1186" s="19"/>
      <c r="K1186" s="6">
        <f>IF(B1186="","",IFERROR(AVERAGEIFS($I$4:$I1186,$B$4:$B1186,B1186,$I$4:$I1186,"&gt;"&amp;0),""))</f>
        <v>17.096211281408653</v>
      </c>
      <c r="L1186" s="19" t="str">
        <f>IF(B1186="","",IF(ISNA(MATCH(B1186,Client_List!$B:$B,0)),"⚠ NOT FOUND","✓"))</f>
        <v>✓</v>
      </c>
    </row>
    <row r="1187" spans="1:12" ht="14" customHeight="1" x14ac:dyDescent="0.2">
      <c r="A1187" s="58">
        <v>46121</v>
      </c>
      <c r="B1187" s="15" t="s">
        <v>190</v>
      </c>
      <c r="C1187" s="16" t="str">
        <f>IF(B1187="","",IFERROR(INDEX(Client_List!$C:$C,MATCH(B1187,Client_List!$B:$B,0)),""))</f>
        <v>2</v>
      </c>
      <c r="D1187" s="16" t="str">
        <f>IF(B1187="","",IFERROR(INDEX(Client_List!$D:$D,MATCH(B1187,Client_List!$B:$B,0)),""))</f>
        <v>2C</v>
      </c>
      <c r="E1187" s="16" t="str">
        <f>IF(B1187="","",IFERROR(INDEX(Client_List!$K:$K,MATCH(B1187,Client_List!$B:$B,0)),""))</f>
        <v>CANOLA OIL</v>
      </c>
      <c r="F1187" s="16">
        <f>IF(B1187="","",IFERROR(INDEX(Client_List!$J:$J,MATCH(B1187,Client_List!$B:$B,0)),""))</f>
        <v>1050</v>
      </c>
      <c r="G1187" s="16">
        <v>666</v>
      </c>
      <c r="H1187" s="16">
        <f>IF(B1187="","",IFERROR(A1187-LOOKUP(2,1/($B$4:$B1186=B1187),$A$4:$A1186),""))</f>
        <v>7</v>
      </c>
      <c r="I1187" s="74">
        <f t="shared" si="18"/>
        <v>95.142857142857139</v>
      </c>
      <c r="J1187" s="16"/>
      <c r="K1187" s="6">
        <f>IF(B1187="","",IFERROR(AVERAGEIFS($I$4:$I1187,$B$4:$B1187,B1187,$I$4:$I1187,"&gt;"&amp;0),""))</f>
        <v>131.37712585034015</v>
      </c>
      <c r="L1187" s="16" t="str">
        <f>IF(B1187="","",IF(ISNA(MATCH(B1187,Client_List!$B:$B,0)),"⚠ NOT FOUND","✓"))</f>
        <v>✓</v>
      </c>
    </row>
    <row r="1188" spans="1:12" ht="14" customHeight="1" x14ac:dyDescent="0.2">
      <c r="A1188" s="59">
        <v>46121</v>
      </c>
      <c r="B1188" s="18" t="s">
        <v>230</v>
      </c>
      <c r="C1188" s="19" t="str">
        <f>IF(B1188="","",IFERROR(INDEX(Client_List!$C:$C,MATCH(B1188,Client_List!$B:$B,0)),""))</f>
        <v>1</v>
      </c>
      <c r="D1188" s="19" t="str">
        <f>IF(B1188="","",IFERROR(INDEX(Client_List!$D:$D,MATCH(B1188,Client_List!$B:$B,0)),""))</f>
        <v>1D</v>
      </c>
      <c r="E1188" s="19" t="str">
        <f>IF(B1188="","",IFERROR(INDEX(Client_List!$K:$K,MATCH(B1188,Client_List!$B:$B,0)),""))</f>
        <v>CANOLA OIL</v>
      </c>
      <c r="F1188" s="19">
        <f>IF(B1188="","",IFERROR(INDEX(Client_List!$J:$J,MATCH(B1188,Client_List!$B:$B,0)),""))</f>
        <v>660</v>
      </c>
      <c r="G1188" s="19">
        <v>477</v>
      </c>
      <c r="H1188" s="19">
        <f>IF(B1188="","",IFERROR(A1188-LOOKUP(2,1/($B$4:$B1187=B1188),$A$4:$A1187),""))</f>
        <v>13</v>
      </c>
      <c r="I1188" s="75">
        <f t="shared" si="18"/>
        <v>36.692307692307693</v>
      </c>
      <c r="J1188" s="19"/>
      <c r="K1188" s="6">
        <f>IF(B1188="","",IFERROR(AVERAGEIFS($I$4:$I1188,$B$4:$B1188,B1188,$I$4:$I1188,"&gt;"&amp;0),""))</f>
        <v>47.442590742590731</v>
      </c>
      <c r="L1188" s="19" t="str">
        <f>IF(B1188="","",IF(ISNA(MATCH(B1188,Client_List!$B:$B,0)),"⚠ NOT FOUND","✓"))</f>
        <v>✓</v>
      </c>
    </row>
    <row r="1189" spans="1:12" ht="14" customHeight="1" x14ac:dyDescent="0.2">
      <c r="A1189" s="58">
        <v>46121</v>
      </c>
      <c r="B1189" s="15" t="s">
        <v>376</v>
      </c>
      <c r="C1189" s="16">
        <f>IF(B1189="","",IFERROR(INDEX(Client_List!$C:$C,MATCH(B1189,Client_List!$B:$B,0)),""))</f>
        <v>0</v>
      </c>
      <c r="D1189" s="16" t="str">
        <f>IF(B1189="","",IFERROR(INDEX(Client_List!$D:$D,MATCH(B1189,Client_List!$B:$B,0)),""))</f>
        <v>P</v>
      </c>
      <c r="E1189" s="16" t="str">
        <f>IF(B1189="","",IFERROR(INDEX(Client_List!$K:$K,MATCH(B1189,Client_List!$B:$B,0)),""))</f>
        <v>CANOLA OIL</v>
      </c>
      <c r="F1189" s="16">
        <f>IF(B1189="","",IFERROR(INDEX(Client_List!$J:$J,MATCH(B1189,Client_List!$B:$B,0)),""))</f>
        <v>1800</v>
      </c>
      <c r="G1189" s="16">
        <v>983</v>
      </c>
      <c r="H1189" s="16">
        <f>IF(B1189="","",IFERROR(A1189-LOOKUP(2,1/($B$4:$B1188=B1189),$A$4:$A1188),""))</f>
        <v>28</v>
      </c>
      <c r="I1189" s="74">
        <f t="shared" si="18"/>
        <v>35.107142857142854</v>
      </c>
      <c r="J1189" s="16"/>
      <c r="K1189" s="6">
        <f>IF(B1189="","",IFERROR(AVERAGEIFS($I$4:$I1189,$B$4:$B1189,B1189,$I$4:$I1189,"&gt;"&amp;0),""))</f>
        <v>36.666666666666664</v>
      </c>
      <c r="L1189" s="16" t="str">
        <f>IF(B1189="","",IF(ISNA(MATCH(B1189,Client_List!$B:$B,0)),"⚠ NOT FOUND","✓"))</f>
        <v>✓</v>
      </c>
    </row>
    <row r="1190" spans="1:12" ht="14" customHeight="1" x14ac:dyDescent="0.2">
      <c r="A1190" s="59">
        <v>46121</v>
      </c>
      <c r="B1190" s="18" t="s">
        <v>250</v>
      </c>
      <c r="C1190" s="19" t="str">
        <f>IF(B1190="","",IFERROR(INDEX(Client_List!$C:$C,MATCH(B1190,Client_List!$B:$B,0)),""))</f>
        <v>2</v>
      </c>
      <c r="D1190" s="19" t="str">
        <f>IF(B1190="","",IFERROR(INDEX(Client_List!$D:$D,MATCH(B1190,Client_List!$B:$B,0)),""))</f>
        <v>2D</v>
      </c>
      <c r="E1190" s="19" t="str">
        <f>IF(B1190="","",IFERROR(INDEX(Client_List!$K:$K,MATCH(B1190,Client_List!$B:$B,0)),""))</f>
        <v>FRYERS CHOICE BLEND</v>
      </c>
      <c r="F1190" s="19">
        <f>IF(B1190="","",IFERROR(INDEX(Client_List!$J:$J,MATCH(B1190,Client_List!$B:$B,0)),""))</f>
        <v>950</v>
      </c>
      <c r="G1190" s="19">
        <v>794</v>
      </c>
      <c r="H1190" s="19">
        <f>IF(B1190="","",IFERROR(A1190-LOOKUP(2,1/($B$4:$B1189=B1190),$A$4:$A1189),""))</f>
        <v>7</v>
      </c>
      <c r="I1190" s="75">
        <f t="shared" si="18"/>
        <v>113.42857142857143</v>
      </c>
      <c r="J1190" s="19"/>
      <c r="K1190" s="6">
        <f>IF(B1190="","",IFERROR(AVERAGEIFS($I$4:$I1190,$B$4:$B1190,B1190,$I$4:$I1190,"&gt;"&amp;0),""))</f>
        <v>118.46938775510203</v>
      </c>
      <c r="L1190" s="19" t="str">
        <f>IF(B1190="","",IF(ISNA(MATCH(B1190,Client_List!$B:$B,0)),"⚠ NOT FOUND","✓"))</f>
        <v>✓</v>
      </c>
    </row>
    <row r="1191" spans="1:12" ht="14" customHeight="1" x14ac:dyDescent="0.2">
      <c r="A1191" s="58">
        <v>46121</v>
      </c>
      <c r="B1191" s="15" t="s">
        <v>268</v>
      </c>
      <c r="C1191" s="16" t="str">
        <f>IF(B1191="","",IFERROR(INDEX(Client_List!$C:$C,MATCH(B1191,Client_List!$B:$B,0)),""))</f>
        <v>5</v>
      </c>
      <c r="D1191" s="16" t="str">
        <f>IF(B1191="","",IFERROR(INDEX(Client_List!$D:$D,MATCH(B1191,Client_List!$B:$B,0)),""))</f>
        <v>5D</v>
      </c>
      <c r="E1191" s="16" t="str">
        <f>IF(B1191="","",IFERROR(INDEX(Client_List!$K:$K,MATCH(B1191,Client_List!$B:$B,0)),""))</f>
        <v>CANOLA OIL</v>
      </c>
      <c r="F1191" s="16">
        <f>IF(B1191="","",IFERROR(INDEX(Client_List!$J:$J,MATCH(B1191,Client_List!$B:$B,0)),""))</f>
        <v>660</v>
      </c>
      <c r="G1191" s="16">
        <v>266</v>
      </c>
      <c r="H1191" s="16">
        <f>IF(B1191="","",IFERROR(A1191-LOOKUP(2,1/($B$4:$B1190=B1191),$A$4:$A1190),""))</f>
        <v>8</v>
      </c>
      <c r="I1191" s="74">
        <f t="shared" si="18"/>
        <v>33.25</v>
      </c>
      <c r="J1191" s="16"/>
      <c r="K1191" s="6">
        <f>IF(B1191="","",IFERROR(AVERAGEIFS($I$4:$I1191,$B$4:$B1191,B1191,$I$4:$I1191,"&gt;"&amp;0),""))</f>
        <v>59.032222222222217</v>
      </c>
      <c r="L1191" s="16" t="str">
        <f>IF(B1191="","",IF(ISNA(MATCH(B1191,Client_List!$B:$B,0)),"⚠ NOT FOUND","✓"))</f>
        <v>✓</v>
      </c>
    </row>
    <row r="1192" spans="1:12" ht="14" customHeight="1" x14ac:dyDescent="0.2">
      <c r="A1192" s="59">
        <v>46121</v>
      </c>
      <c r="B1192" s="18" t="s">
        <v>278</v>
      </c>
      <c r="C1192" s="19" t="str">
        <f>IF(B1192="","",IFERROR(INDEX(Client_List!$C:$C,MATCH(B1192,Client_List!$B:$B,0)),""))</f>
        <v>3</v>
      </c>
      <c r="D1192" s="19" t="str">
        <f>IF(B1192="","",IFERROR(INDEX(Client_List!$D:$D,MATCH(B1192,Client_List!$B:$B,0)),""))</f>
        <v>3A</v>
      </c>
      <c r="E1192" s="19" t="str">
        <f>IF(B1192="","",IFERROR(INDEX(Client_List!$K:$K,MATCH(B1192,Client_List!$B:$B,0)),""))</f>
        <v>CANOLA OIL</v>
      </c>
      <c r="F1192" s="19">
        <f>IF(B1192="","",IFERROR(INDEX(Client_List!$J:$J,MATCH(B1192,Client_List!$B:$B,0)),""))</f>
        <v>1850</v>
      </c>
      <c r="G1192" s="19">
        <v>1444</v>
      </c>
      <c r="H1192" s="19">
        <f>IF(B1192="","",IFERROR(A1192-LOOKUP(2,1/($B$4:$B1191=B1192),$A$4:$A1191),""))</f>
        <v>5</v>
      </c>
      <c r="I1192" s="75">
        <f t="shared" si="18"/>
        <v>288.8</v>
      </c>
      <c r="J1192" s="19"/>
      <c r="K1192" s="6">
        <f>IF(B1192="","",IFERROR(AVERAGEIFS($I$4:$I1192,$B$4:$B1192,B1192,$I$4:$I1192,"&gt;"&amp;0),""))</f>
        <v>109.58142857142857</v>
      </c>
      <c r="L1192" s="19" t="str">
        <f>IF(B1192="","",IF(ISNA(MATCH(B1192,Client_List!$B:$B,0)),"⚠ NOT FOUND","✓"))</f>
        <v>✓</v>
      </c>
    </row>
    <row r="1193" spans="1:12" ht="14" customHeight="1" x14ac:dyDescent="0.2">
      <c r="A1193" s="58">
        <v>46121</v>
      </c>
      <c r="B1193" s="15" t="s">
        <v>377</v>
      </c>
      <c r="C1193" s="16">
        <f>IF(B1193="","",IFERROR(INDEX(Client_List!$C:$C,MATCH(B1193,Client_List!$B:$B,0)),""))</f>
        <v>0</v>
      </c>
      <c r="D1193" s="16" t="str">
        <f>IF(B1193="","",IFERROR(INDEX(Client_List!$D:$D,MATCH(B1193,Client_List!$B:$B,0)),""))</f>
        <v>P</v>
      </c>
      <c r="E1193" s="16" t="str">
        <f>IF(B1193="","",IFERROR(INDEX(Client_List!$K:$K,MATCH(B1193,Client_List!$B:$B,0)),""))</f>
        <v>CANOLA OIL</v>
      </c>
      <c r="F1193" s="16">
        <f>IF(B1193="","",IFERROR(INDEX(Client_List!$J:$J,MATCH(B1193,Client_List!$B:$B,0)),""))</f>
        <v>1050</v>
      </c>
      <c r="G1193" s="16">
        <v>940</v>
      </c>
      <c r="H1193" s="16">
        <f>IF(B1193="","",IFERROR(A1193-LOOKUP(2,1/($B$4:$B1192=B1193),$A$4:$A1192),""))</f>
        <v>28</v>
      </c>
      <c r="I1193" s="74">
        <f t="shared" si="18"/>
        <v>33.571428571428569</v>
      </c>
      <c r="J1193" s="16"/>
      <c r="K1193" s="6">
        <f>IF(B1193="","",IFERROR(AVERAGEIFS($I$4:$I1193,$B$4:$B1193,B1193,$I$4:$I1193,"&gt;"&amp;0),""))</f>
        <v>36.63095238095238</v>
      </c>
      <c r="L1193" s="16" t="str">
        <f>IF(B1193="","",IF(ISNA(MATCH(B1193,Client_List!$B:$B,0)),"⚠ NOT FOUND","✓"))</f>
        <v>✓</v>
      </c>
    </row>
    <row r="1194" spans="1:12" ht="14" customHeight="1" x14ac:dyDescent="0.2">
      <c r="A1194" s="59">
        <v>46121</v>
      </c>
      <c r="B1194" s="18" t="s">
        <v>336</v>
      </c>
      <c r="C1194" s="19" t="str">
        <f>IF(B1194="","",IFERROR(INDEX(Client_List!$C:$C,MATCH(B1194,Client_List!$B:$B,0)),""))</f>
        <v>4</v>
      </c>
      <c r="D1194" s="19" t="str">
        <f>IF(B1194="","",IFERROR(INDEX(Client_List!$D:$D,MATCH(B1194,Client_List!$B:$B,0)),""))</f>
        <v>4D</v>
      </c>
      <c r="E1194" s="19" t="str">
        <f>IF(B1194="","",IFERROR(INDEX(Client_List!$K:$K,MATCH(B1194,Client_List!$B:$B,0)),""))</f>
        <v>CANOLA OIL</v>
      </c>
      <c r="F1194" s="19">
        <f>IF(B1194="","",IFERROR(INDEX(Client_List!$J:$J,MATCH(B1194,Client_List!$B:$B,0)),""))</f>
        <v>1050</v>
      </c>
      <c r="G1194" s="19">
        <v>993</v>
      </c>
      <c r="H1194" s="19">
        <f>IF(B1194="","",IFERROR(A1194-LOOKUP(2,1/($B$4:$B1193=B1194),$A$4:$A1193),""))</f>
        <v>9</v>
      </c>
      <c r="I1194" s="75">
        <f t="shared" si="18"/>
        <v>110.33333333333333</v>
      </c>
      <c r="J1194" s="19"/>
      <c r="K1194" s="6">
        <f>IF(B1194="","",IFERROR(AVERAGEIFS($I$4:$I1194,$B$4:$B1194,B1194,$I$4:$I1194,"&gt;"&amp;0),""))</f>
        <v>90.415064102564116</v>
      </c>
      <c r="L1194" s="19" t="str">
        <f>IF(B1194="","",IF(ISNA(MATCH(B1194,Client_List!$B:$B,0)),"⚠ NOT FOUND","✓"))</f>
        <v>✓</v>
      </c>
    </row>
    <row r="1195" spans="1:12" ht="14" customHeight="1" x14ac:dyDescent="0.2">
      <c r="A1195" s="58">
        <v>46121</v>
      </c>
      <c r="B1195" s="15" t="s">
        <v>350</v>
      </c>
      <c r="C1195" s="16" t="str">
        <f>IF(B1195="","",IFERROR(INDEX(Client_List!$C:$C,MATCH(B1195,Client_List!$B:$B,0)),""))</f>
        <v>2</v>
      </c>
      <c r="D1195" s="16" t="str">
        <f>IF(B1195="","",IFERROR(INDEX(Client_List!$D:$D,MATCH(B1195,Client_List!$B:$B,0)),""))</f>
        <v>2D</v>
      </c>
      <c r="E1195" s="16" t="str">
        <f>IF(B1195="","",IFERROR(INDEX(Client_List!$K:$K,MATCH(B1195,Client_List!$B:$B,0)),""))</f>
        <v>CANOLA OIL</v>
      </c>
      <c r="F1195" s="16">
        <f>IF(B1195="","",IFERROR(INDEX(Client_List!$J:$J,MATCH(B1195,Client_List!$B:$B,0)),""))</f>
        <v>1050</v>
      </c>
      <c r="G1195" s="16">
        <v>767</v>
      </c>
      <c r="H1195" s="16">
        <f>IF(B1195="","",IFERROR(A1195-LOOKUP(2,1/($B$4:$B1194=B1195),$A$4:$A1194),""))</f>
        <v>6</v>
      </c>
      <c r="I1195" s="74">
        <f t="shared" si="18"/>
        <v>127.83333333333333</v>
      </c>
      <c r="J1195" s="16"/>
      <c r="K1195" s="6">
        <f>IF(B1195="","",IFERROR(AVERAGEIFS($I$4:$I1195,$B$4:$B1195,B1195,$I$4:$I1195,"&gt;"&amp;0),""))</f>
        <v>75.303996598639444</v>
      </c>
      <c r="L1195" s="16" t="str">
        <f>IF(B1195="","",IF(ISNA(MATCH(B1195,Client_List!$B:$B,0)),"⚠ NOT FOUND","✓"))</f>
        <v>✓</v>
      </c>
    </row>
    <row r="1196" spans="1:12" ht="14" customHeight="1" x14ac:dyDescent="0.2">
      <c r="A1196" s="59">
        <v>46122</v>
      </c>
      <c r="B1196" s="18" t="s">
        <v>54</v>
      </c>
      <c r="C1196" s="19" t="str">
        <f>IF(B1196="","",IFERROR(INDEX(Client_List!$C:$C,MATCH(B1196,Client_List!$B:$B,0)),""))</f>
        <v>4</v>
      </c>
      <c r="D1196" s="19" t="str">
        <f>IF(B1196="","",IFERROR(INDEX(Client_List!$D:$D,MATCH(B1196,Client_List!$B:$B,0)),""))</f>
        <v>4F</v>
      </c>
      <c r="E1196" s="19" t="str">
        <f>IF(B1196="","",IFERROR(INDEX(Client_List!$K:$K,MATCH(B1196,Client_List!$B:$B,0)),""))</f>
        <v>CANOLA OIL</v>
      </c>
      <c r="F1196" s="19">
        <f>IF(B1196="","",IFERROR(INDEX(Client_List!$J:$J,MATCH(B1196,Client_List!$B:$B,0)),""))</f>
        <v>1000</v>
      </c>
      <c r="G1196" s="19">
        <v>742</v>
      </c>
      <c r="H1196" s="19">
        <f>IF(B1196="","",IFERROR(A1196-LOOKUP(2,1/($B$4:$B1195=B1196),$A$4:$A1195),""))</f>
        <v>10</v>
      </c>
      <c r="I1196" s="75">
        <f t="shared" si="18"/>
        <v>74.2</v>
      </c>
      <c r="J1196" s="19"/>
      <c r="K1196" s="6">
        <f>IF(B1196="","",IFERROR(AVERAGEIFS($I$4:$I1196,$B$4:$B1196,B1196,$I$4:$I1196,"&gt;"&amp;0),""))</f>
        <v>68.782312925170075</v>
      </c>
      <c r="L1196" s="19" t="str">
        <f>IF(B1196="","",IF(ISNA(MATCH(B1196,Client_List!$B:$B,0)),"⚠ NOT FOUND","✓"))</f>
        <v>✓</v>
      </c>
    </row>
    <row r="1197" spans="1:12" ht="14" customHeight="1" x14ac:dyDescent="0.2">
      <c r="A1197" s="58">
        <v>46122</v>
      </c>
      <c r="B1197" s="15" t="s">
        <v>65</v>
      </c>
      <c r="C1197" s="16" t="str">
        <f>IF(B1197="","",IFERROR(INDEX(Client_List!$C:$C,MATCH(B1197,Client_List!$B:$B,0)),""))</f>
        <v>5</v>
      </c>
      <c r="D1197" s="16" t="str">
        <f>IF(B1197="","",IFERROR(INDEX(Client_List!$D:$D,MATCH(B1197,Client_List!$B:$B,0)),""))</f>
        <v>5F</v>
      </c>
      <c r="E1197" s="16" t="str">
        <f>IF(B1197="","",IFERROR(INDEX(Client_List!$K:$K,MATCH(B1197,Client_List!$B:$B,0)),""))</f>
        <v>FRYERS CHOICE BLEND</v>
      </c>
      <c r="F1197" s="16">
        <f>IF(B1197="","",IFERROR(INDEX(Client_List!$J:$J,MATCH(B1197,Client_List!$B:$B,0)),""))</f>
        <v>1050</v>
      </c>
      <c r="G1197" s="16">
        <v>667</v>
      </c>
      <c r="H1197" s="16">
        <f>IF(B1197="","",IFERROR(A1197-LOOKUP(2,1/($B$4:$B1196=B1197),$A$4:$A1196),""))</f>
        <v>17</v>
      </c>
      <c r="I1197" s="74">
        <f t="shared" si="18"/>
        <v>39.235294117647058</v>
      </c>
      <c r="J1197" s="16"/>
      <c r="K1197" s="6">
        <f>IF(B1197="","",IFERROR(AVERAGEIFS($I$4:$I1197,$B$4:$B1197,B1197,$I$4:$I1197,"&gt;"&amp;0),""))</f>
        <v>42.932520529579357</v>
      </c>
      <c r="L1197" s="16" t="str">
        <f>IF(B1197="","",IF(ISNA(MATCH(B1197,Client_List!$B:$B,0)),"⚠ NOT FOUND","✓"))</f>
        <v>✓</v>
      </c>
    </row>
    <row r="1198" spans="1:12" ht="14" customHeight="1" x14ac:dyDescent="0.2">
      <c r="A1198" s="59">
        <v>46122</v>
      </c>
      <c r="B1198" s="18" t="s">
        <v>67</v>
      </c>
      <c r="C1198" s="19" t="str">
        <f>IF(B1198="","",IFERROR(INDEX(Client_List!$C:$C,MATCH(B1198,Client_List!$B:$B,0)),""))</f>
        <v>5</v>
      </c>
      <c r="D1198" s="19" t="str">
        <f>IF(B1198="","",IFERROR(INDEX(Client_List!$D:$D,MATCH(B1198,Client_List!$B:$B,0)),""))</f>
        <v>5F</v>
      </c>
      <c r="E1198" s="19" t="str">
        <f>IF(B1198="","",IFERROR(INDEX(Client_List!$K:$K,MATCH(B1198,Client_List!$B:$B,0)),""))</f>
        <v>CANOLA OIL</v>
      </c>
      <c r="F1198" s="19">
        <f>IF(B1198="","",IFERROR(INDEX(Client_List!$J:$J,MATCH(B1198,Client_List!$B:$B,0)),""))</f>
        <v>950</v>
      </c>
      <c r="G1198" s="19">
        <v>788</v>
      </c>
      <c r="H1198" s="19">
        <f>IF(B1198="","",IFERROR(A1198-LOOKUP(2,1/($B$4:$B1197=B1198),$A$4:$A1197),""))</f>
        <v>3</v>
      </c>
      <c r="I1198" s="75">
        <f t="shared" si="18"/>
        <v>262.66666666666669</v>
      </c>
      <c r="J1198" s="19"/>
      <c r="K1198" s="6">
        <f>IF(B1198="","",IFERROR(AVERAGEIFS($I$4:$I1198,$B$4:$B1198,B1198,$I$4:$I1198,"&gt;"&amp;0),""))</f>
        <v>156.78287724180581</v>
      </c>
      <c r="L1198" s="19" t="str">
        <f>IF(B1198="","",IF(ISNA(MATCH(B1198,Client_List!$B:$B,0)),"⚠ NOT FOUND","✓"))</f>
        <v>✓</v>
      </c>
    </row>
    <row r="1199" spans="1:12" ht="14" customHeight="1" x14ac:dyDescent="0.2">
      <c r="A1199" s="58">
        <v>46122</v>
      </c>
      <c r="B1199" s="15" t="s">
        <v>67</v>
      </c>
      <c r="C1199" s="16" t="str">
        <f>IF(B1199="","",IFERROR(INDEX(Client_List!$C:$C,MATCH(B1199,Client_List!$B:$B,0)),""))</f>
        <v>5</v>
      </c>
      <c r="D1199" s="16" t="str">
        <f>IF(B1199="","",IFERROR(INDEX(Client_List!$D:$D,MATCH(B1199,Client_List!$B:$B,0)),""))</f>
        <v>5F</v>
      </c>
      <c r="E1199" s="16" t="str">
        <f>IF(B1199="","",IFERROR(INDEX(Client_List!$K:$K,MATCH(B1199,Client_List!$B:$B,0)),""))</f>
        <v>CANOLA OIL</v>
      </c>
      <c r="F1199" s="16">
        <f>IF(B1199="","",IFERROR(INDEX(Client_List!$J:$J,MATCH(B1199,Client_List!$B:$B,0)),""))</f>
        <v>950</v>
      </c>
      <c r="G1199" s="16">
        <v>184</v>
      </c>
      <c r="H1199" s="16">
        <f>IF(B1199="","",IFERROR(A1199-LOOKUP(2,1/($B$4:$B1198=B1199),$A$4:$A1198),""))</f>
        <v>0</v>
      </c>
      <c r="I1199" s="74" t="str">
        <f t="shared" si="18"/>
        <v/>
      </c>
      <c r="J1199" s="16"/>
      <c r="K1199" s="6">
        <f>IF(B1199="","",IFERROR(AVERAGEIFS($I$4:$I1199,$B$4:$B1199,B1199,$I$4:$I1199,"&gt;"&amp;0),""))</f>
        <v>156.78287724180581</v>
      </c>
      <c r="L1199" s="16" t="str">
        <f>IF(B1199="","",IF(ISNA(MATCH(B1199,Client_List!$B:$B,0)),"⚠ NOT FOUND","✓"))</f>
        <v>✓</v>
      </c>
    </row>
    <row r="1200" spans="1:12" ht="14" customHeight="1" x14ac:dyDescent="0.2">
      <c r="A1200" s="59">
        <v>46122</v>
      </c>
      <c r="B1200" s="18" t="s">
        <v>126</v>
      </c>
      <c r="C1200" s="19" t="str">
        <f>IF(B1200="","",IFERROR(INDEX(Client_List!$C:$C,MATCH(B1200,Client_List!$B:$B,0)),""))</f>
        <v>4</v>
      </c>
      <c r="D1200" s="19" t="str">
        <f>IF(B1200="","",IFERROR(INDEX(Client_List!$D:$D,MATCH(B1200,Client_List!$B:$B,0)),""))</f>
        <v>4D</v>
      </c>
      <c r="E1200" s="19" t="str">
        <f>IF(B1200="","",IFERROR(INDEX(Client_List!$K:$K,MATCH(B1200,Client_List!$B:$B,0)),""))</f>
        <v>CANOLA OIL</v>
      </c>
      <c r="F1200" s="19">
        <f>IF(B1200="","",IFERROR(INDEX(Client_List!$J:$J,MATCH(B1200,Client_List!$B:$B,0)),""))</f>
        <v>700</v>
      </c>
      <c r="G1200" s="19">
        <v>577</v>
      </c>
      <c r="H1200" s="19">
        <f>IF(B1200="","",IFERROR(A1200-LOOKUP(2,1/($B$4:$B1199=B1200),$A$4:$A1199),""))</f>
        <v>6</v>
      </c>
      <c r="I1200" s="75">
        <f t="shared" si="18"/>
        <v>96.166666666666671</v>
      </c>
      <c r="J1200" s="19"/>
      <c r="K1200" s="6">
        <f>IF(B1200="","",IFERROR(AVERAGEIFS($I$4:$I1200,$B$4:$B1200,B1200,$I$4:$I1200,"&gt;"&amp;0),""))</f>
        <v>71.231952075702068</v>
      </c>
      <c r="L1200" s="19" t="str">
        <f>IF(B1200="","",IF(ISNA(MATCH(B1200,Client_List!$B:$B,0)),"⚠ NOT FOUND","✓"))</f>
        <v>✓</v>
      </c>
    </row>
    <row r="1201" spans="1:12" ht="14" customHeight="1" x14ac:dyDescent="0.2">
      <c r="A1201" s="58">
        <v>46122</v>
      </c>
      <c r="B1201" s="15" t="s">
        <v>170</v>
      </c>
      <c r="C1201" s="16" t="str">
        <f>IF(B1201="","",IFERROR(INDEX(Client_List!$C:$C,MATCH(B1201,Client_List!$B:$B,0)),""))</f>
        <v>3</v>
      </c>
      <c r="D1201" s="16" t="str">
        <f>IF(B1201="","",IFERROR(INDEX(Client_List!$D:$D,MATCH(B1201,Client_List!$B:$B,0)),""))</f>
        <v>3E</v>
      </c>
      <c r="E1201" s="16" t="str">
        <f>IF(B1201="","",IFERROR(INDEX(Client_List!$K:$K,MATCH(B1201,Client_List!$B:$B,0)),""))</f>
        <v>CANOLA OIL</v>
      </c>
      <c r="F1201" s="16">
        <f>IF(B1201="","",IFERROR(INDEX(Client_List!$J:$J,MATCH(B1201,Client_List!$B:$B,0)),""))</f>
        <v>1050</v>
      </c>
      <c r="G1201" s="16">
        <v>409</v>
      </c>
      <c r="H1201" s="16">
        <f>IF(B1201="","",IFERROR(A1201-LOOKUP(2,1/($B$4:$B1200=B1201),$A$4:$A1200),""))</f>
        <v>16</v>
      </c>
      <c r="I1201" s="74">
        <f t="shared" si="18"/>
        <v>25.5625</v>
      </c>
      <c r="J1201" s="16"/>
      <c r="K1201" s="6">
        <f>IF(B1201="","",IFERROR(AVERAGEIFS($I$4:$I1201,$B$4:$B1201,B1201,$I$4:$I1201,"&gt;"&amp;0),""))</f>
        <v>47.554722222222225</v>
      </c>
      <c r="L1201" s="16" t="str">
        <f>IF(B1201="","",IF(ISNA(MATCH(B1201,Client_List!$B:$B,0)),"⚠ NOT FOUND","✓"))</f>
        <v>✓</v>
      </c>
    </row>
    <row r="1202" spans="1:12" ht="14" customHeight="1" x14ac:dyDescent="0.2">
      <c r="A1202" s="59">
        <v>46122</v>
      </c>
      <c r="B1202" s="18" t="s">
        <v>184</v>
      </c>
      <c r="C1202" s="19" t="str">
        <f>IF(B1202="","",IFERROR(INDEX(Client_List!$C:$C,MATCH(B1202,Client_List!$B:$B,0)),""))</f>
        <v>3</v>
      </c>
      <c r="D1202" s="19" t="str">
        <f>IF(B1202="","",IFERROR(INDEX(Client_List!$D:$D,MATCH(B1202,Client_List!$B:$B,0)),""))</f>
        <v>3C</v>
      </c>
      <c r="E1202" s="19" t="str">
        <f>IF(B1202="","",IFERROR(INDEX(Client_List!$K:$K,MATCH(B1202,Client_List!$B:$B,0)),""))</f>
        <v>CANOLA OIL</v>
      </c>
      <c r="F1202" s="19">
        <f>IF(B1202="","",IFERROR(INDEX(Client_List!$J:$J,MATCH(B1202,Client_List!$B:$B,0)),""))</f>
        <v>1050</v>
      </c>
      <c r="G1202" s="19">
        <v>726</v>
      </c>
      <c r="H1202" s="19">
        <f>IF(B1202="","",IFERROR(A1202-LOOKUP(2,1/($B$4:$B1201=B1202),$A$4:$A1201),""))</f>
        <v>7</v>
      </c>
      <c r="I1202" s="75">
        <f t="shared" si="18"/>
        <v>103.71428571428571</v>
      </c>
      <c r="J1202" s="19"/>
      <c r="K1202" s="6">
        <f>IF(B1202="","",IFERROR(AVERAGEIFS($I$4:$I1202,$B$4:$B1202,B1202,$I$4:$I1202,"&gt;"&amp;0),""))</f>
        <v>99.812698412698424</v>
      </c>
      <c r="L1202" s="19" t="str">
        <f>IF(B1202="","",IF(ISNA(MATCH(B1202,Client_List!$B:$B,0)),"⚠ NOT FOUND","✓"))</f>
        <v>✓</v>
      </c>
    </row>
    <row r="1203" spans="1:12" ht="14" customHeight="1" x14ac:dyDescent="0.2">
      <c r="A1203" s="58">
        <v>46122</v>
      </c>
      <c r="B1203" s="15" t="s">
        <v>196</v>
      </c>
      <c r="C1203" s="16" t="str">
        <f>IF(B1203="","",IFERROR(INDEX(Client_List!$C:$C,MATCH(B1203,Client_List!$B:$B,0)),""))</f>
        <v>4</v>
      </c>
      <c r="D1203" s="16" t="str">
        <f>IF(B1203="","",IFERROR(INDEX(Client_List!$D:$D,MATCH(B1203,Client_List!$B:$B,0)),""))</f>
        <v>4F</v>
      </c>
      <c r="E1203" s="16" t="str">
        <f>IF(B1203="","",IFERROR(INDEX(Client_List!$K:$K,MATCH(B1203,Client_List!$B:$B,0)),""))</f>
        <v>FRYERS CHOICE BLEND</v>
      </c>
      <c r="F1203" s="16">
        <f>IF(B1203="","",IFERROR(INDEX(Client_List!$J:$J,MATCH(B1203,Client_List!$B:$B,0)),""))</f>
        <v>620</v>
      </c>
      <c r="G1203" s="16">
        <v>570</v>
      </c>
      <c r="H1203" s="16">
        <f>IF(B1203="","",IFERROR(A1203-LOOKUP(2,1/($B$4:$B1202=B1203),$A$4:$A1202),""))</f>
        <v>9</v>
      </c>
      <c r="I1203" s="74">
        <f t="shared" si="18"/>
        <v>63.333333333333336</v>
      </c>
      <c r="J1203" s="16"/>
      <c r="K1203" s="6">
        <f>IF(B1203="","",IFERROR(AVERAGEIFS($I$4:$I1203,$B$4:$B1203,B1203,$I$4:$I1203,"&gt;"&amp;0),""))</f>
        <v>38.85225344830608</v>
      </c>
      <c r="L1203" s="16" t="str">
        <f>IF(B1203="","",IF(ISNA(MATCH(B1203,Client_List!$B:$B,0)),"⚠ NOT FOUND","✓"))</f>
        <v>✓</v>
      </c>
    </row>
    <row r="1204" spans="1:12" ht="14" customHeight="1" x14ac:dyDescent="0.2">
      <c r="A1204" s="59">
        <v>46122</v>
      </c>
      <c r="B1204" s="18" t="s">
        <v>242</v>
      </c>
      <c r="C1204" s="19" t="str">
        <f>IF(B1204="","",IFERROR(INDEX(Client_List!$C:$C,MATCH(B1204,Client_List!$B:$B,0)),""))</f>
        <v>4</v>
      </c>
      <c r="D1204" s="19" t="str">
        <f>IF(B1204="","",IFERROR(INDEX(Client_List!$D:$D,MATCH(B1204,Client_List!$B:$B,0)),""))</f>
        <v>4D</v>
      </c>
      <c r="E1204" s="19" t="str">
        <f>IF(B1204="","",IFERROR(INDEX(Client_List!$K:$K,MATCH(B1204,Client_List!$B:$B,0)),""))</f>
        <v>FRYERS CHOICE BLEND</v>
      </c>
      <c r="F1204" s="19">
        <f>IF(B1204="","",IFERROR(INDEX(Client_List!$J:$J,MATCH(B1204,Client_List!$B:$B,0)),""))</f>
        <v>950</v>
      </c>
      <c r="G1204" s="19">
        <v>803</v>
      </c>
      <c r="H1204" s="19">
        <f>IF(B1204="","",IFERROR(A1204-LOOKUP(2,1/($B$4:$B1203=B1204),$A$4:$A1203),""))</f>
        <v>10</v>
      </c>
      <c r="I1204" s="75">
        <f t="shared" si="18"/>
        <v>80.3</v>
      </c>
      <c r="J1204" s="19"/>
      <c r="K1204" s="6">
        <f>IF(B1204="","",IFERROR(AVERAGEIFS($I$4:$I1204,$B$4:$B1204,B1204,$I$4:$I1204,"&gt;"&amp;0),""))</f>
        <v>75.44693861693861</v>
      </c>
      <c r="L1204" s="19" t="str">
        <f>IF(B1204="","",IF(ISNA(MATCH(B1204,Client_List!$B:$B,0)),"⚠ NOT FOUND","✓"))</f>
        <v>✓</v>
      </c>
    </row>
    <row r="1205" spans="1:12" ht="14" customHeight="1" x14ac:dyDescent="0.2">
      <c r="A1205" s="58">
        <v>46122</v>
      </c>
      <c r="B1205" s="15" t="s">
        <v>246</v>
      </c>
      <c r="C1205" s="16" t="str">
        <f>IF(B1205="","",IFERROR(INDEX(Client_List!$C:$C,MATCH(B1205,Client_List!$B:$B,0)),""))</f>
        <v>3</v>
      </c>
      <c r="D1205" s="16" t="str">
        <f>IF(B1205="","",IFERROR(INDEX(Client_List!$D:$D,MATCH(B1205,Client_List!$B:$B,0)),""))</f>
        <v>3E</v>
      </c>
      <c r="E1205" s="16" t="str">
        <f>IF(B1205="","",IFERROR(INDEX(Client_List!$K:$K,MATCH(B1205,Client_List!$B:$B,0)),""))</f>
        <v>FRYERS CHOICE BLEND</v>
      </c>
      <c r="F1205" s="16">
        <f>IF(B1205="","",IFERROR(INDEX(Client_List!$J:$J,MATCH(B1205,Client_List!$B:$B,0)),""))</f>
        <v>950</v>
      </c>
      <c r="G1205" s="16">
        <v>682</v>
      </c>
      <c r="H1205" s="16">
        <f>IF(B1205="","",IFERROR(A1205-LOOKUP(2,1/($B$4:$B1204=B1205),$A$4:$A1204),""))</f>
        <v>9</v>
      </c>
      <c r="I1205" s="74">
        <f t="shared" si="18"/>
        <v>75.777777777777771</v>
      </c>
      <c r="J1205" s="16"/>
      <c r="K1205" s="6">
        <f>IF(B1205="","",IFERROR(AVERAGEIFS($I$4:$I1205,$B$4:$B1205,B1205,$I$4:$I1205,"&gt;"&amp;0),""))</f>
        <v>73.635489510489521</v>
      </c>
      <c r="L1205" s="16" t="str">
        <f>IF(B1205="","",IF(ISNA(MATCH(B1205,Client_List!$B:$B,0)),"⚠ NOT FOUND","✓"))</f>
        <v>✓</v>
      </c>
    </row>
    <row r="1206" spans="1:12" ht="14" customHeight="1" x14ac:dyDescent="0.2">
      <c r="A1206" s="59">
        <v>46122</v>
      </c>
      <c r="B1206" s="18" t="s">
        <v>252</v>
      </c>
      <c r="C1206" s="19" t="str">
        <f>IF(B1206="","",IFERROR(INDEX(Client_List!$C:$C,MATCH(B1206,Client_List!$B:$B,0)),""))</f>
        <v>4</v>
      </c>
      <c r="D1206" s="19" t="str">
        <f>IF(B1206="","",IFERROR(INDEX(Client_List!$D:$D,MATCH(B1206,Client_List!$B:$B,0)),""))</f>
        <v>4E</v>
      </c>
      <c r="E1206" s="19" t="str">
        <f>IF(B1206="","",IFERROR(INDEX(Client_List!$K:$K,MATCH(B1206,Client_List!$B:$B,0)),""))</f>
        <v>FRYERS CHOICE BLEND</v>
      </c>
      <c r="F1206" s="19">
        <f>IF(B1206="","",IFERROR(INDEX(Client_List!$J:$J,MATCH(B1206,Client_List!$B:$B,0)),""))</f>
        <v>1950</v>
      </c>
      <c r="G1206" s="19">
        <v>1766</v>
      </c>
      <c r="H1206" s="19">
        <f>IF(B1206="","",IFERROR(A1206-LOOKUP(2,1/($B$4:$B1205=B1206),$A$4:$A1205),""))</f>
        <v>9</v>
      </c>
      <c r="I1206" s="75">
        <f t="shared" si="18"/>
        <v>196.22222222222223</v>
      </c>
      <c r="J1206" s="19"/>
      <c r="K1206" s="6">
        <f>IF(B1206="","",IFERROR(AVERAGEIFS($I$4:$I1206,$B$4:$B1206,B1206,$I$4:$I1206,"&gt;"&amp;0),""))</f>
        <v>216.13911335578001</v>
      </c>
      <c r="L1206" s="19" t="str">
        <f>IF(B1206="","",IF(ISNA(MATCH(B1206,Client_List!$B:$B,0)),"⚠ NOT FOUND","✓"))</f>
        <v>✓</v>
      </c>
    </row>
    <row r="1207" spans="1:12" ht="14" customHeight="1" x14ac:dyDescent="0.2">
      <c r="A1207" s="58">
        <v>46122</v>
      </c>
      <c r="B1207" s="15" t="s">
        <v>254</v>
      </c>
      <c r="C1207" s="16" t="str">
        <f>IF(B1207="","",IFERROR(INDEX(Client_List!$C:$C,MATCH(B1207,Client_List!$B:$B,0)),""))</f>
        <v>2</v>
      </c>
      <c r="D1207" s="16" t="str">
        <f>IF(B1207="","",IFERROR(INDEX(Client_List!$D:$D,MATCH(B1207,Client_List!$B:$B,0)),""))</f>
        <v>2E</v>
      </c>
      <c r="E1207" s="16" t="str">
        <f>IF(B1207="","",IFERROR(INDEX(Client_List!$K:$K,MATCH(B1207,Client_List!$B:$B,0)),""))</f>
        <v>FRYERS CHOICE BLEND</v>
      </c>
      <c r="F1207" s="16">
        <f>IF(B1207="","",IFERROR(INDEX(Client_List!$J:$J,MATCH(B1207,Client_List!$B:$B,0)),""))</f>
        <v>1950</v>
      </c>
      <c r="G1207" s="16">
        <v>1596</v>
      </c>
      <c r="H1207" s="16">
        <f>IF(B1207="","",IFERROR(A1207-LOOKUP(2,1/($B$4:$B1206=B1207),$A$4:$A1206),""))</f>
        <v>9</v>
      </c>
      <c r="I1207" s="74">
        <f t="shared" si="18"/>
        <v>177.33333333333334</v>
      </c>
      <c r="J1207" s="16"/>
      <c r="K1207" s="6">
        <f>IF(B1207="","",IFERROR(AVERAGEIFS($I$4:$I1207,$B$4:$B1207,B1207,$I$4:$I1207,"&gt;"&amp;0),""))</f>
        <v>153.24772727272725</v>
      </c>
      <c r="L1207" s="16" t="str">
        <f>IF(B1207="","",IF(ISNA(MATCH(B1207,Client_List!$B:$B,0)),"⚠ NOT FOUND","✓"))</f>
        <v>✓</v>
      </c>
    </row>
    <row r="1208" spans="1:12" ht="14" customHeight="1" x14ac:dyDescent="0.2">
      <c r="A1208" s="59">
        <v>46122</v>
      </c>
      <c r="B1208" s="18" t="s">
        <v>274</v>
      </c>
      <c r="C1208" s="19" t="str">
        <f>IF(B1208="","",IFERROR(INDEX(Client_List!$C:$C,MATCH(B1208,Client_List!$B:$B,0)),""))</f>
        <v>3</v>
      </c>
      <c r="D1208" s="19" t="str">
        <f>IF(B1208="","",IFERROR(INDEX(Client_List!$D:$D,MATCH(B1208,Client_List!$B:$B,0)),""))</f>
        <v>3C</v>
      </c>
      <c r="E1208" s="19" t="str">
        <f>IF(B1208="","",IFERROR(INDEX(Client_List!$K:$K,MATCH(B1208,Client_List!$B:$B,0)),""))</f>
        <v>FRYERS CHOICE BLEND</v>
      </c>
      <c r="F1208" s="19">
        <f>IF(B1208="","",IFERROR(INDEX(Client_List!$J:$J,MATCH(B1208,Client_List!$B:$B,0)),""))</f>
        <v>450</v>
      </c>
      <c r="G1208" s="19">
        <v>241</v>
      </c>
      <c r="H1208" s="19">
        <f>IF(B1208="","",IFERROR(A1208-LOOKUP(2,1/($B$4:$B1207=B1208),$A$4:$A1207),""))</f>
        <v>6</v>
      </c>
      <c r="I1208" s="75">
        <f t="shared" si="18"/>
        <v>40.166666666666664</v>
      </c>
      <c r="J1208" s="19"/>
      <c r="K1208" s="6">
        <f>IF(B1208="","",IFERROR(AVERAGEIFS($I$4:$I1208,$B$4:$B1208,B1208,$I$4:$I1208,"&gt;"&amp;0),""))</f>
        <v>41.287103174603182</v>
      </c>
      <c r="L1208" s="19" t="str">
        <f>IF(B1208="","",IF(ISNA(MATCH(B1208,Client_List!$B:$B,0)),"⚠ NOT FOUND","✓"))</f>
        <v>✓</v>
      </c>
    </row>
    <row r="1209" spans="1:12" ht="14" customHeight="1" x14ac:dyDescent="0.2">
      <c r="A1209" s="58">
        <v>46122</v>
      </c>
      <c r="B1209" s="15" t="s">
        <v>290</v>
      </c>
      <c r="C1209" s="16" t="str">
        <f>IF(B1209="","",IFERROR(INDEX(Client_List!$C:$C,MATCH(B1209,Client_List!$B:$B,0)),""))</f>
        <v>3</v>
      </c>
      <c r="D1209" s="16" t="str">
        <f>IF(B1209="","",IFERROR(INDEX(Client_List!$D:$D,MATCH(B1209,Client_List!$B:$B,0)),""))</f>
        <v>3D</v>
      </c>
      <c r="E1209" s="16" t="str">
        <f>IF(B1209="","",IFERROR(INDEX(Client_List!$K:$K,MATCH(B1209,Client_List!$B:$B,0)),""))</f>
        <v>CANOLA OIL</v>
      </c>
      <c r="F1209" s="16">
        <f>IF(B1209="","",IFERROR(INDEX(Client_List!$J:$J,MATCH(B1209,Client_List!$B:$B,0)),""))</f>
        <v>350</v>
      </c>
      <c r="G1209" s="16">
        <v>252</v>
      </c>
      <c r="H1209" s="16">
        <f>IF(B1209="","",IFERROR(A1209-LOOKUP(2,1/($B$4:$B1208=B1209),$A$4:$A1208),""))</f>
        <v>23</v>
      </c>
      <c r="I1209" s="74">
        <f t="shared" si="18"/>
        <v>10.956521739130435</v>
      </c>
      <c r="J1209" s="16"/>
      <c r="K1209" s="6">
        <f>IF(B1209="","",IFERROR(AVERAGEIFS($I$4:$I1209,$B$4:$B1209,B1209,$I$4:$I1209,"&gt;"&amp;0),""))</f>
        <v>13.516774665551839</v>
      </c>
      <c r="L1209" s="16" t="str">
        <f>IF(B1209="","",IF(ISNA(MATCH(B1209,Client_List!$B:$B,0)),"⚠ NOT FOUND","✓"))</f>
        <v>✓</v>
      </c>
    </row>
    <row r="1210" spans="1:12" ht="14" customHeight="1" x14ac:dyDescent="0.2">
      <c r="A1210" s="59">
        <v>46122</v>
      </c>
      <c r="B1210" s="18" t="s">
        <v>306</v>
      </c>
      <c r="C1210" s="19" t="str">
        <f>IF(B1210="","",IFERROR(INDEX(Client_List!$C:$C,MATCH(B1210,Client_List!$B:$B,0)),""))</f>
        <v>4</v>
      </c>
      <c r="D1210" s="19" t="str">
        <f>IF(B1210="","",IFERROR(INDEX(Client_List!$D:$D,MATCH(B1210,Client_List!$B:$B,0)),""))</f>
        <v>4C</v>
      </c>
      <c r="E1210" s="19" t="str">
        <f>IF(B1210="","",IFERROR(INDEX(Client_List!$K:$K,MATCH(B1210,Client_List!$B:$B,0)),""))</f>
        <v>FRYERS CHOICE BLEND</v>
      </c>
      <c r="F1210" s="19">
        <f>IF(B1210="","",IFERROR(INDEX(Client_List!$J:$J,MATCH(B1210,Client_List!$B:$B,0)),""))</f>
        <v>1050</v>
      </c>
      <c r="G1210" s="19">
        <v>797</v>
      </c>
      <c r="H1210" s="19">
        <f>IF(B1210="","",IFERROR(A1210-LOOKUP(2,1/($B$4:$B1209=B1210),$A$4:$A1209),""))</f>
        <v>7</v>
      </c>
      <c r="I1210" s="75">
        <f t="shared" si="18"/>
        <v>113.85714285714286</v>
      </c>
      <c r="J1210" s="19"/>
      <c r="K1210" s="6">
        <f>IF(B1210="","",IFERROR(AVERAGEIFS($I$4:$I1210,$B$4:$B1210,B1210,$I$4:$I1210,"&gt;"&amp;0),""))</f>
        <v>104.07063852813853</v>
      </c>
      <c r="L1210" s="19" t="str">
        <f>IF(B1210="","",IF(ISNA(MATCH(B1210,Client_List!$B:$B,0)),"⚠ NOT FOUND","✓"))</f>
        <v>✓</v>
      </c>
    </row>
    <row r="1211" spans="1:12" ht="14" customHeight="1" x14ac:dyDescent="0.2">
      <c r="A1211" s="58">
        <v>46122</v>
      </c>
      <c r="B1211" s="15" t="s">
        <v>338</v>
      </c>
      <c r="C1211" s="16" t="str">
        <f>IF(B1211="","",IFERROR(INDEX(Client_List!$C:$C,MATCH(B1211,Client_List!$B:$B,0)),""))</f>
        <v>4</v>
      </c>
      <c r="D1211" s="16" t="str">
        <f>IF(B1211="","",IFERROR(INDEX(Client_List!$D:$D,MATCH(B1211,Client_List!$B:$B,0)),""))</f>
        <v>4D</v>
      </c>
      <c r="E1211" s="16" t="str">
        <f>IF(B1211="","",IFERROR(INDEX(Client_List!$K:$K,MATCH(B1211,Client_List!$B:$B,0)),""))</f>
        <v>CANOLA OIL</v>
      </c>
      <c r="F1211" s="16">
        <f>IF(B1211="","",IFERROR(INDEX(Client_List!$J:$J,MATCH(B1211,Client_List!$B:$B,0)),""))</f>
        <v>1050</v>
      </c>
      <c r="G1211" s="16">
        <v>969</v>
      </c>
      <c r="H1211" s="16">
        <f>IF(B1211="","",IFERROR(A1211-LOOKUP(2,1/($B$4:$B1210=B1211),$A$4:$A1210),""))</f>
        <v>18</v>
      </c>
      <c r="I1211" s="74">
        <f t="shared" si="18"/>
        <v>53.833333333333336</v>
      </c>
      <c r="J1211" s="16"/>
      <c r="K1211" s="6">
        <f>IF(B1211="","",IFERROR(AVERAGEIFS($I$4:$I1211,$B$4:$B1211,B1211,$I$4:$I1211,"&gt;"&amp;0),""))</f>
        <v>42.982112794612796</v>
      </c>
      <c r="L1211" s="16" t="str">
        <f>IF(B1211="","",IF(ISNA(MATCH(B1211,Client_List!$B:$B,0)),"⚠ NOT FOUND","✓"))</f>
        <v>✓</v>
      </c>
    </row>
    <row r="1212" spans="1:12" ht="14" customHeight="1" x14ac:dyDescent="0.2">
      <c r="A1212" s="59">
        <v>46122</v>
      </c>
      <c r="B1212" s="18" t="s">
        <v>342</v>
      </c>
      <c r="C1212" s="19" t="str">
        <f>IF(B1212="","",IFERROR(INDEX(Client_List!$C:$C,MATCH(B1212,Client_List!$B:$B,0)),""))</f>
        <v>4</v>
      </c>
      <c r="D1212" s="19" t="str">
        <f>IF(B1212="","",IFERROR(INDEX(Client_List!$D:$D,MATCH(B1212,Client_List!$B:$B,0)),""))</f>
        <v>4A</v>
      </c>
      <c r="E1212" s="19" t="str">
        <f>IF(B1212="","",IFERROR(INDEX(Client_List!$K:$K,MATCH(B1212,Client_List!$B:$B,0)),""))</f>
        <v>FRYERS CHOICE BLEND</v>
      </c>
      <c r="F1212" s="19">
        <f>IF(B1212="","",IFERROR(INDEX(Client_List!$J:$J,MATCH(B1212,Client_List!$B:$B,0)),""))</f>
        <v>630</v>
      </c>
      <c r="G1212" s="19">
        <v>140</v>
      </c>
      <c r="H1212" s="19">
        <f>IF(B1212="","",IFERROR(A1212-LOOKUP(2,1/($B$4:$B1211=B1212),$A$4:$A1211),""))</f>
        <v>12</v>
      </c>
      <c r="I1212" s="75">
        <f t="shared" si="18"/>
        <v>11.666666666666666</v>
      </c>
      <c r="J1212" s="19"/>
      <c r="K1212" s="6">
        <f>IF(B1212="","",IFERROR(AVERAGEIFS($I$4:$I1212,$B$4:$B1212,B1212,$I$4:$I1212,"&gt;"&amp;0),""))</f>
        <v>35.187998905856048</v>
      </c>
      <c r="L1212" s="19" t="str">
        <f>IF(B1212="","",IF(ISNA(MATCH(B1212,Client_List!$B:$B,0)),"⚠ NOT FOUND","✓"))</f>
        <v>✓</v>
      </c>
    </row>
    <row r="1213" spans="1:12" ht="14" customHeight="1" x14ac:dyDescent="0.2">
      <c r="A1213" s="58">
        <v>46123</v>
      </c>
      <c r="B1213" s="15" t="s">
        <v>75</v>
      </c>
      <c r="C1213" s="16" t="str">
        <f>IF(B1213="","",IFERROR(INDEX(Client_List!$C:$C,MATCH(B1213,Client_List!$B:$B,0)),""))</f>
        <v>1</v>
      </c>
      <c r="D1213" s="16" t="str">
        <f>IF(B1213="","",IFERROR(INDEX(Client_List!$D:$D,MATCH(B1213,Client_List!$B:$B,0)),""))</f>
        <v>1D</v>
      </c>
      <c r="E1213" s="16" t="str">
        <f>IF(B1213="","",IFERROR(INDEX(Client_List!$K:$K,MATCH(B1213,Client_List!$B:$B,0)),""))</f>
        <v>CANOLA OIL</v>
      </c>
      <c r="F1213" s="16">
        <f>IF(B1213="","",IFERROR(INDEX(Client_List!$J:$J,MATCH(B1213,Client_List!$B:$B,0)),""))</f>
        <v>620</v>
      </c>
      <c r="G1213" s="16">
        <v>509</v>
      </c>
      <c r="H1213" s="16">
        <f>IF(B1213="","",IFERROR(A1213-LOOKUP(2,1/($B$4:$B1212=B1213),$A$4:$A1212),""))</f>
        <v>7</v>
      </c>
      <c r="I1213" s="74">
        <f t="shared" si="18"/>
        <v>72.714285714285708</v>
      </c>
      <c r="J1213" s="16"/>
      <c r="K1213" s="6">
        <f>IF(B1213="","",IFERROR(AVERAGEIFS($I$4:$I1213,$B$4:$B1213,B1213,$I$4:$I1213,"&gt;"&amp;0),""))</f>
        <v>98.962539682539685</v>
      </c>
      <c r="L1213" s="16" t="str">
        <f>IF(B1213="","",IF(ISNA(MATCH(B1213,Client_List!$B:$B,0)),"⚠ NOT FOUND","✓"))</f>
        <v>✓</v>
      </c>
    </row>
    <row r="1214" spans="1:12" ht="14" customHeight="1" x14ac:dyDescent="0.2">
      <c r="A1214" s="59">
        <v>46123</v>
      </c>
      <c r="B1214" s="18" t="s">
        <v>83</v>
      </c>
      <c r="C1214" s="19" t="str">
        <f>IF(B1214="","",IFERROR(INDEX(Client_List!$C:$C,MATCH(B1214,Client_List!$B:$B,0)),""))</f>
        <v>4</v>
      </c>
      <c r="D1214" s="19" t="str">
        <f>IF(B1214="","",IFERROR(INDEX(Client_List!$D:$D,MATCH(B1214,Client_List!$B:$B,0)),""))</f>
        <v>4D</v>
      </c>
      <c r="E1214" s="19" t="str">
        <f>IF(B1214="","",IFERROR(INDEX(Client_List!$K:$K,MATCH(B1214,Client_List!$B:$B,0)),""))</f>
        <v>FRYERS CHOICE BLEND</v>
      </c>
      <c r="F1214" s="19">
        <f>IF(B1214="","",IFERROR(INDEX(Client_List!$J:$J,MATCH(B1214,Client_List!$B:$B,0)),""))</f>
        <v>350</v>
      </c>
      <c r="G1214" s="19">
        <v>320</v>
      </c>
      <c r="H1214" s="19">
        <f>IF(B1214="","",IFERROR(A1214-LOOKUP(2,1/($B$4:$B1213=B1214),$A$4:$A1213),""))</f>
        <v>9</v>
      </c>
      <c r="I1214" s="75">
        <f t="shared" si="18"/>
        <v>35.555555555555557</v>
      </c>
      <c r="J1214" s="19"/>
      <c r="K1214" s="6">
        <f>IF(B1214="","",IFERROR(AVERAGEIFS($I$4:$I1214,$B$4:$B1214,B1214,$I$4:$I1214,"&gt;"&amp;0),""))</f>
        <v>35.462632275132272</v>
      </c>
      <c r="L1214" s="19" t="str">
        <f>IF(B1214="","",IF(ISNA(MATCH(B1214,Client_List!$B:$B,0)),"⚠ NOT FOUND","✓"))</f>
        <v>✓</v>
      </c>
    </row>
    <row r="1215" spans="1:12" ht="14" customHeight="1" x14ac:dyDescent="0.2">
      <c r="A1215" s="58">
        <v>46123</v>
      </c>
      <c r="B1215" s="15" t="s">
        <v>142</v>
      </c>
      <c r="C1215" s="16" t="str">
        <f>IF(B1215="","",IFERROR(INDEX(Client_List!$C:$C,MATCH(B1215,Client_List!$B:$B,0)),""))</f>
        <v>4</v>
      </c>
      <c r="D1215" s="16" t="str">
        <f>IF(B1215="","",IFERROR(INDEX(Client_List!$D:$D,MATCH(B1215,Client_List!$B:$B,0)),""))</f>
        <v>4A</v>
      </c>
      <c r="E1215" s="16" t="str">
        <f>IF(B1215="","",IFERROR(INDEX(Client_List!$K:$K,MATCH(B1215,Client_List!$B:$B,0)),""))</f>
        <v>FRYERS CHOICE BLEND</v>
      </c>
      <c r="F1215" s="16">
        <f>IF(B1215="","",IFERROR(INDEX(Client_List!$J:$J,MATCH(B1215,Client_List!$B:$B,0)),""))</f>
        <v>1050</v>
      </c>
      <c r="G1215" s="16">
        <v>918</v>
      </c>
      <c r="H1215" s="16">
        <f>IF(B1215="","",IFERROR(A1215-LOOKUP(2,1/($B$4:$B1214=B1215),$A$4:$A1214),""))</f>
        <v>4</v>
      </c>
      <c r="I1215" s="74">
        <f t="shared" si="18"/>
        <v>229.5</v>
      </c>
      <c r="J1215" s="16"/>
      <c r="K1215" s="6">
        <f>IF(B1215="","",IFERROR(AVERAGEIFS($I$4:$I1215,$B$4:$B1215,B1215,$I$4:$I1215,"&gt;"&amp;0),""))</f>
        <v>181.48151629072683</v>
      </c>
      <c r="L1215" s="16" t="str">
        <f>IF(B1215="","",IF(ISNA(MATCH(B1215,Client_List!$B:$B,0)),"⚠ NOT FOUND","✓"))</f>
        <v>✓</v>
      </c>
    </row>
    <row r="1216" spans="1:12" ht="14" customHeight="1" x14ac:dyDescent="0.2">
      <c r="A1216" s="59">
        <v>46123</v>
      </c>
      <c r="B1216" s="18" t="s">
        <v>180</v>
      </c>
      <c r="C1216" s="19" t="str">
        <f>IF(B1216="","",IFERROR(INDEX(Client_List!$C:$C,MATCH(B1216,Client_List!$B:$B,0)),""))</f>
        <v>1</v>
      </c>
      <c r="D1216" s="19" t="str">
        <f>IF(B1216="","",IFERROR(INDEX(Client_List!$D:$D,MATCH(B1216,Client_List!$B:$B,0)),""))</f>
        <v>1D</v>
      </c>
      <c r="E1216" s="19" t="str">
        <f>IF(B1216="","",IFERROR(INDEX(Client_List!$K:$K,MATCH(B1216,Client_List!$B:$B,0)),""))</f>
        <v>CANOLA OIL</v>
      </c>
      <c r="F1216" s="19">
        <f>IF(B1216="","",IFERROR(INDEX(Client_List!$J:$J,MATCH(B1216,Client_List!$B:$B,0)),""))</f>
        <v>950</v>
      </c>
      <c r="G1216" s="19">
        <v>617</v>
      </c>
      <c r="H1216" s="19">
        <f>IF(B1216="","",IFERROR(A1216-LOOKUP(2,1/($B$4:$B1215=B1216),$A$4:$A1215),""))</f>
        <v>10</v>
      </c>
      <c r="I1216" s="75">
        <f t="shared" si="18"/>
        <v>61.7</v>
      </c>
      <c r="J1216" s="19"/>
      <c r="K1216" s="6">
        <f>IF(B1216="","",IFERROR(AVERAGEIFS($I$4:$I1216,$B$4:$B1216,B1216,$I$4:$I1216,"&gt;"&amp;0),""))</f>
        <v>73.487559354226022</v>
      </c>
      <c r="L1216" s="19" t="str">
        <f>IF(B1216="","",IF(ISNA(MATCH(B1216,Client_List!$B:$B,0)),"⚠ NOT FOUND","✓"))</f>
        <v>✓</v>
      </c>
    </row>
    <row r="1217" spans="1:12" ht="14" customHeight="1" x14ac:dyDescent="0.2">
      <c r="A1217" s="58">
        <v>46123</v>
      </c>
      <c r="B1217" s="15" t="s">
        <v>367</v>
      </c>
      <c r="C1217" s="16">
        <f>IF(B1217="","",IFERROR(INDEX(Client_List!$C:$C,MATCH(B1217,Client_List!$B:$B,0)),""))</f>
        <v>0</v>
      </c>
      <c r="D1217" s="16" t="str">
        <f>IF(B1217="","",IFERROR(INDEX(Client_List!$D:$D,MATCH(B1217,Client_List!$B:$B,0)),""))</f>
        <v>T</v>
      </c>
      <c r="E1217" s="16" t="str">
        <f>IF(B1217="","",IFERROR(INDEX(Client_List!$K:$K,MATCH(B1217,Client_List!$B:$B,0)),""))</f>
        <v>CANOLA OIL</v>
      </c>
      <c r="F1217" s="16">
        <f>IF(B1217="","",IFERROR(INDEX(Client_List!$J:$J,MATCH(B1217,Client_List!$B:$B,0)),""))</f>
        <v>500</v>
      </c>
      <c r="G1217" s="16">
        <v>505</v>
      </c>
      <c r="H1217" s="16">
        <f>IF(B1217="","",IFERROR(A1217-LOOKUP(2,1/($B$4:$B1216=B1217),$A$4:$A1216),""))</f>
        <v>14</v>
      </c>
      <c r="I1217" s="74">
        <f t="shared" si="18"/>
        <v>36.071428571428569</v>
      </c>
      <c r="J1217" s="16"/>
      <c r="K1217" s="6">
        <f>IF(B1217="","",IFERROR(AVERAGEIFS($I$4:$I1217,$B$4:$B1217,B1217,$I$4:$I1217,"&gt;"&amp;0),""))</f>
        <v>29.081632653061224</v>
      </c>
      <c r="L1217" s="16" t="str">
        <f>IF(B1217="","",IF(ISNA(MATCH(B1217,Client_List!$B:$B,0)),"⚠ NOT FOUND","✓"))</f>
        <v>✓</v>
      </c>
    </row>
    <row r="1218" spans="1:12" ht="14" customHeight="1" x14ac:dyDescent="0.2">
      <c r="A1218" s="59">
        <v>46123</v>
      </c>
      <c r="B1218" s="18" t="s">
        <v>368</v>
      </c>
      <c r="C1218" s="19">
        <f>IF(B1218="","",IFERROR(INDEX(Client_List!$C:$C,MATCH(B1218,Client_List!$B:$B,0)),""))</f>
        <v>0</v>
      </c>
      <c r="D1218" s="19" t="str">
        <f>IF(B1218="","",IFERROR(INDEX(Client_List!$D:$D,MATCH(B1218,Client_List!$B:$B,0)),""))</f>
        <v>TU</v>
      </c>
      <c r="E1218" s="19" t="str">
        <f>IF(B1218="","",IFERROR(INDEX(Client_List!$K:$K,MATCH(B1218,Client_List!$B:$B,0)),""))</f>
        <v>CANOLA OIL</v>
      </c>
      <c r="F1218" s="19">
        <f>IF(B1218="","",IFERROR(INDEX(Client_List!$J:$J,MATCH(B1218,Client_List!$B:$B,0)),""))</f>
        <v>950</v>
      </c>
      <c r="G1218" s="19">
        <v>614</v>
      </c>
      <c r="H1218" s="19">
        <f>IF(B1218="","",IFERROR(A1218-LOOKUP(2,1/($B$4:$B1217=B1218),$A$4:$A1217),""))</f>
        <v>28</v>
      </c>
      <c r="I1218" s="75">
        <f t="shared" si="18"/>
        <v>21.928571428571427</v>
      </c>
      <c r="J1218" s="19"/>
      <c r="K1218" s="6">
        <f>IF(B1218="","",IFERROR(AVERAGEIFS($I$4:$I1218,$B$4:$B1218,B1218,$I$4:$I1218,"&gt;"&amp;0),""))</f>
        <v>40.297619047619051</v>
      </c>
      <c r="L1218" s="19" t="str">
        <f>IF(B1218="","",IF(ISNA(MATCH(B1218,Client_List!$B:$B,0)),"⚠ NOT FOUND","✓"))</f>
        <v>✓</v>
      </c>
    </row>
    <row r="1219" spans="1:12" ht="14" customHeight="1" x14ac:dyDescent="0.2">
      <c r="A1219" s="58">
        <v>46123</v>
      </c>
      <c r="B1219" s="15" t="s">
        <v>369</v>
      </c>
      <c r="C1219" s="16">
        <f>IF(B1219="","",IFERROR(INDEX(Client_List!$C:$C,MATCH(B1219,Client_List!$B:$B,0)),""))</f>
        <v>0</v>
      </c>
      <c r="D1219" s="16" t="str">
        <f>IF(B1219="","",IFERROR(INDEX(Client_List!$D:$D,MATCH(B1219,Client_List!$B:$B,0)),""))</f>
        <v>TU</v>
      </c>
      <c r="E1219" s="16" t="str">
        <f>IF(B1219="","",IFERROR(INDEX(Client_List!$K:$K,MATCH(B1219,Client_List!$B:$B,0)),""))</f>
        <v>CANOLA OIL</v>
      </c>
      <c r="F1219" s="16">
        <f>IF(B1219="","",IFERROR(INDEX(Client_List!$J:$J,MATCH(B1219,Client_List!$B:$B,0)),""))</f>
        <v>700</v>
      </c>
      <c r="G1219" s="16">
        <v>358</v>
      </c>
      <c r="H1219" s="16">
        <f>IF(B1219="","",IFERROR(A1219-LOOKUP(2,1/($B$4:$B1218=B1219),$A$4:$A1218),""))</f>
        <v>28</v>
      </c>
      <c r="I1219" s="74">
        <f t="shared" si="18"/>
        <v>12.785714285714286</v>
      </c>
      <c r="J1219" s="16"/>
      <c r="K1219" s="6">
        <f>IF(B1219="","",IFERROR(AVERAGEIFS($I$4:$I1219,$B$4:$B1219,B1219,$I$4:$I1219,"&gt;"&amp;0),""))</f>
        <v>23.63095238095238</v>
      </c>
      <c r="L1219" s="16" t="str">
        <f>IF(B1219="","",IF(ISNA(MATCH(B1219,Client_List!$B:$B,0)),"⚠ NOT FOUND","✓"))</f>
        <v>✓</v>
      </c>
    </row>
    <row r="1220" spans="1:12" ht="14" customHeight="1" x14ac:dyDescent="0.2">
      <c r="A1220" s="59">
        <v>46123</v>
      </c>
      <c r="B1220" s="18" t="s">
        <v>248</v>
      </c>
      <c r="C1220" s="19" t="str">
        <f>IF(B1220="","",IFERROR(INDEX(Client_List!$C:$C,MATCH(B1220,Client_List!$B:$B,0)),""))</f>
        <v>3</v>
      </c>
      <c r="D1220" s="19" t="str">
        <f>IF(B1220="","",IFERROR(INDEX(Client_List!$D:$D,MATCH(B1220,Client_List!$B:$B,0)),""))</f>
        <v>3E</v>
      </c>
      <c r="E1220" s="19" t="str">
        <f>IF(B1220="","",IFERROR(INDEX(Client_List!$K:$K,MATCH(B1220,Client_List!$B:$B,0)),""))</f>
        <v>FRYERS CHOICE BLEND</v>
      </c>
      <c r="F1220" s="19">
        <f>IF(B1220="","",IFERROR(INDEX(Client_List!$J:$J,MATCH(B1220,Client_List!$B:$B,0)),""))</f>
        <v>950</v>
      </c>
      <c r="G1220" s="19">
        <v>720</v>
      </c>
      <c r="H1220" s="19">
        <f>IF(B1220="","",IFERROR(A1220-LOOKUP(2,1/($B$4:$B1219=B1220),$A$4:$A1219),""))</f>
        <v>11</v>
      </c>
      <c r="I1220" s="75">
        <f t="shared" ref="I1220:I1283" si="19">IF(B1220="","",IFERROR(G1220/H1220,""))</f>
        <v>65.454545454545453</v>
      </c>
      <c r="J1220" s="19"/>
      <c r="K1220" s="6">
        <f>IF(B1220="","",IFERROR(AVERAGEIFS($I$4:$I1220,$B$4:$B1220,B1220,$I$4:$I1220,"&gt;"&amp;0),""))</f>
        <v>68.778409090909093</v>
      </c>
      <c r="L1220" s="19" t="str">
        <f>IF(B1220="","",IF(ISNA(MATCH(B1220,Client_List!$B:$B,0)),"⚠ NOT FOUND","✓"))</f>
        <v>✓</v>
      </c>
    </row>
    <row r="1221" spans="1:12" ht="14" customHeight="1" x14ac:dyDescent="0.2">
      <c r="A1221" s="58">
        <v>46123</v>
      </c>
      <c r="B1221" s="15" t="s">
        <v>379</v>
      </c>
      <c r="C1221" s="16">
        <f>IF(B1221="","",IFERROR(INDEX(Client_List!$C:$C,MATCH(B1221,Client_List!$B:$B,0)),""))</f>
        <v>0</v>
      </c>
      <c r="D1221" s="16" t="str">
        <f>IF(B1221="","",IFERROR(INDEX(Client_List!$D:$D,MATCH(B1221,Client_List!$B:$B,0)),""))</f>
        <v>C</v>
      </c>
      <c r="E1221" s="16" t="str">
        <f>IF(B1221="","",IFERROR(INDEX(Client_List!$K:$K,MATCH(B1221,Client_List!$B:$B,0)),""))</f>
        <v>FRYERS CHOICE BLEND</v>
      </c>
      <c r="F1221" s="16">
        <f>IF(B1221="","",IFERROR(INDEX(Client_List!$J:$J,MATCH(B1221,Client_List!$B:$B,0)),""))</f>
        <v>700</v>
      </c>
      <c r="G1221" s="16">
        <v>582</v>
      </c>
      <c r="H1221" s="16">
        <f>IF(B1221="","",IFERROR(A1221-LOOKUP(2,1/($B$4:$B1220=B1221),$A$4:$A1220),""))</f>
        <v>14</v>
      </c>
      <c r="I1221" s="74">
        <f t="shared" si="19"/>
        <v>41.571428571428569</v>
      </c>
      <c r="J1221" s="16"/>
      <c r="K1221" s="6">
        <f>IF(B1221="","",IFERROR(AVERAGEIFS($I$4:$I1221,$B$4:$B1221,B1221,$I$4:$I1221,"&gt;"&amp;0),""))</f>
        <v>39.511904761904759</v>
      </c>
      <c r="L1221" s="16" t="str">
        <f>IF(B1221="","",IF(ISNA(MATCH(B1221,Client_List!$B:$B,0)),"⚠ NOT FOUND","✓"))</f>
        <v>✓</v>
      </c>
    </row>
    <row r="1222" spans="1:12" ht="14" customHeight="1" x14ac:dyDescent="0.2">
      <c r="A1222" s="59">
        <v>46123</v>
      </c>
      <c r="B1222" s="18" t="s">
        <v>282</v>
      </c>
      <c r="C1222" s="19" t="str">
        <f>IF(B1222="","",IFERROR(INDEX(Client_List!$C:$C,MATCH(B1222,Client_List!$B:$B,0)),""))</f>
        <v>1</v>
      </c>
      <c r="D1222" s="19" t="str">
        <f>IF(B1222="","",IFERROR(INDEX(Client_List!$D:$D,MATCH(B1222,Client_List!$B:$B,0)),""))</f>
        <v>1E</v>
      </c>
      <c r="E1222" s="19" t="str">
        <f>IF(B1222="","",IFERROR(INDEX(Client_List!$K:$K,MATCH(B1222,Client_List!$B:$B,0)),""))</f>
        <v>FRYERS CHOICE BLEND</v>
      </c>
      <c r="F1222" s="19">
        <f>IF(B1222="","",IFERROR(INDEX(Client_List!$J:$J,MATCH(B1222,Client_List!$B:$B,0)),""))</f>
        <v>1100</v>
      </c>
      <c r="G1222" s="19">
        <v>1020</v>
      </c>
      <c r="H1222" s="19">
        <f>IF(B1222="","",IFERROR(A1222-LOOKUP(2,1/($B$4:$B1221=B1222),$A$4:$A1221),""))</f>
        <v>16</v>
      </c>
      <c r="I1222" s="75">
        <f t="shared" si="19"/>
        <v>63.75</v>
      </c>
      <c r="J1222" s="19"/>
      <c r="K1222" s="6">
        <f>IF(B1222="","",IFERROR(AVERAGEIFS($I$4:$I1222,$B$4:$B1222,B1222,$I$4:$I1222,"&gt;"&amp;0),""))</f>
        <v>58.599747474747481</v>
      </c>
      <c r="L1222" s="19" t="str">
        <f>IF(B1222="","",IF(ISNA(MATCH(B1222,Client_List!$B:$B,0)),"⚠ NOT FOUND","✓"))</f>
        <v>✓</v>
      </c>
    </row>
    <row r="1223" spans="1:12" ht="14" customHeight="1" x14ac:dyDescent="0.2">
      <c r="A1223" s="58">
        <v>46123</v>
      </c>
      <c r="B1223" s="15" t="s">
        <v>316</v>
      </c>
      <c r="C1223" s="16" t="str">
        <f>IF(B1223="","",IFERROR(INDEX(Client_List!$C:$C,MATCH(B1223,Client_List!$B:$B,0)),""))</f>
        <v>1</v>
      </c>
      <c r="D1223" s="16" t="str">
        <f>IF(B1223="","",IFERROR(INDEX(Client_List!$D:$D,MATCH(B1223,Client_List!$B:$B,0)),""))</f>
        <v>1E</v>
      </c>
      <c r="E1223" s="16" t="str">
        <f>IF(B1223="","",IFERROR(INDEX(Client_List!$K:$K,MATCH(B1223,Client_List!$B:$B,0)),""))</f>
        <v>CANOLA OIL</v>
      </c>
      <c r="F1223" s="16">
        <f>IF(B1223="","",IFERROR(INDEX(Client_List!$J:$J,MATCH(B1223,Client_List!$B:$B,0)),""))</f>
        <v>1050</v>
      </c>
      <c r="G1223" s="16">
        <v>931</v>
      </c>
      <c r="H1223" s="16">
        <f>IF(B1223="","",IFERROR(A1223-LOOKUP(2,1/($B$4:$B1222=B1223),$A$4:$A1222),""))</f>
        <v>16</v>
      </c>
      <c r="I1223" s="74">
        <f t="shared" si="19"/>
        <v>58.1875</v>
      </c>
      <c r="J1223" s="16"/>
      <c r="K1223" s="6">
        <f>IF(B1223="","",IFERROR(AVERAGEIFS($I$4:$I1223,$B$4:$B1223,B1223,$I$4:$I1223,"&gt;"&amp;0),""))</f>
        <v>64.008627946127945</v>
      </c>
      <c r="L1223" s="16" t="str">
        <f>IF(B1223="","",IF(ISNA(MATCH(B1223,Client_List!$B:$B,0)),"⚠ NOT FOUND","✓"))</f>
        <v>✓</v>
      </c>
    </row>
    <row r="1224" spans="1:12" ht="14" customHeight="1" x14ac:dyDescent="0.2">
      <c r="A1224" s="59">
        <v>46123</v>
      </c>
      <c r="B1224" s="18" t="s">
        <v>318</v>
      </c>
      <c r="C1224" s="19" t="str">
        <f>IF(B1224="","",IFERROR(INDEX(Client_List!$C:$C,MATCH(B1224,Client_List!$B:$B,0)),""))</f>
        <v>2</v>
      </c>
      <c r="D1224" s="19" t="str">
        <f>IF(B1224="","",IFERROR(INDEX(Client_List!$D:$D,MATCH(B1224,Client_List!$B:$B,0)),""))</f>
        <v>2D</v>
      </c>
      <c r="E1224" s="19" t="str">
        <f>IF(B1224="","",IFERROR(INDEX(Client_List!$K:$K,MATCH(B1224,Client_List!$B:$B,0)),""))</f>
        <v>FRYERS CHOICE BLEND</v>
      </c>
      <c r="F1224" s="19">
        <f>IF(B1224="","",IFERROR(INDEX(Client_List!$J:$J,MATCH(B1224,Client_List!$B:$B,0)),""))</f>
        <v>1050</v>
      </c>
      <c r="G1224" s="19">
        <v>797</v>
      </c>
      <c r="H1224" s="19">
        <f>IF(B1224="","",IFERROR(A1224-LOOKUP(2,1/($B$4:$B1223=B1224),$A$4:$A1223),""))</f>
        <v>17</v>
      </c>
      <c r="I1224" s="75">
        <f t="shared" si="19"/>
        <v>46.882352941176471</v>
      </c>
      <c r="J1224" s="19"/>
      <c r="K1224" s="6">
        <f>IF(B1224="","",IFERROR(AVERAGEIFS($I$4:$I1224,$B$4:$B1224,B1224,$I$4:$I1224,"&gt;"&amp;0),""))</f>
        <v>59.815110488639903</v>
      </c>
      <c r="L1224" s="19" t="str">
        <f>IF(B1224="","",IF(ISNA(MATCH(B1224,Client_List!$B:$B,0)),"⚠ NOT FOUND","✓"))</f>
        <v>✓</v>
      </c>
    </row>
    <row r="1225" spans="1:12" ht="14" customHeight="1" x14ac:dyDescent="0.2">
      <c r="A1225" s="58">
        <v>46126</v>
      </c>
      <c r="B1225" s="15" t="s">
        <v>63</v>
      </c>
      <c r="C1225" s="16" t="str">
        <f>IF(B1225="","",IFERROR(INDEX(Client_List!$C:$C,MATCH(B1225,Client_List!$B:$B,0)),""))</f>
        <v>5</v>
      </c>
      <c r="D1225" s="16" t="str">
        <f>IF(B1225="","",IFERROR(INDEX(Client_List!$D:$D,MATCH(B1225,Client_List!$B:$B,0)),""))</f>
        <v>5D</v>
      </c>
      <c r="E1225" s="16" t="str">
        <f>IF(B1225="","",IFERROR(INDEX(Client_List!$K:$K,MATCH(B1225,Client_List!$B:$B,0)),""))</f>
        <v>CANOLA OIL</v>
      </c>
      <c r="F1225" s="16">
        <f>IF(B1225="","",IFERROR(INDEX(Client_List!$J:$J,MATCH(B1225,Client_List!$B:$B,0)),""))</f>
        <v>425</v>
      </c>
      <c r="G1225" s="16">
        <v>270</v>
      </c>
      <c r="H1225" s="16">
        <f>IF(B1225="","",IFERROR(A1225-LOOKUP(2,1/($B$4:$B1224=B1225),$A$4:$A1224),""))</f>
        <v>6</v>
      </c>
      <c r="I1225" s="74">
        <f t="shared" si="19"/>
        <v>45</v>
      </c>
      <c r="J1225" s="16"/>
      <c r="K1225" s="6">
        <f>IF(B1225="","",IFERROR(AVERAGEIFS($I$4:$I1225,$B$4:$B1225,B1225,$I$4:$I1225,"&gt;"&amp;0),""))</f>
        <v>69.889484126984115</v>
      </c>
      <c r="L1225" s="16" t="str">
        <f>IF(B1225="","",IF(ISNA(MATCH(B1225,Client_List!$B:$B,0)),"⚠ NOT FOUND","✓"))</f>
        <v>✓</v>
      </c>
    </row>
    <row r="1226" spans="1:12" ht="14" customHeight="1" x14ac:dyDescent="0.2">
      <c r="A1226" s="59">
        <v>46126</v>
      </c>
      <c r="B1226" s="18" t="s">
        <v>365</v>
      </c>
      <c r="C1226" s="19">
        <f>IF(B1226="","",IFERROR(INDEX(Client_List!$C:$C,MATCH(B1226,Client_List!$B:$B,0)),""))</f>
        <v>0</v>
      </c>
      <c r="D1226" s="19">
        <f>IF(B1226="","",IFERROR(INDEX(Client_List!$D:$D,MATCH(B1226,Client_List!$B:$B,0)),""))</f>
        <v>0</v>
      </c>
      <c r="E1226" s="19" t="str">
        <f>IF(B1226="","",IFERROR(INDEX(Client_List!$K:$K,MATCH(B1226,Client_List!$B:$B,0)),""))</f>
        <v>CANOLA OIL</v>
      </c>
      <c r="F1226" s="19">
        <f>IF(B1226="","",IFERROR(INDEX(Client_List!$J:$J,MATCH(B1226,Client_List!$B:$B,0)),""))</f>
        <v>700</v>
      </c>
      <c r="G1226" s="19">
        <v>570</v>
      </c>
      <c r="H1226" s="19">
        <f>IF(B1226="","",IFERROR(A1226-LOOKUP(2,1/($B$4:$B1225=B1226),$A$4:$A1225),""))</f>
        <v>12</v>
      </c>
      <c r="I1226" s="75">
        <f t="shared" si="19"/>
        <v>47.5</v>
      </c>
      <c r="J1226" s="19"/>
      <c r="K1226" s="6">
        <f>IF(B1226="","",IFERROR(AVERAGEIFS($I$4:$I1226,$B$4:$B1226,B1226,$I$4:$I1226,"&gt;"&amp;0),""))</f>
        <v>63.445068027210887</v>
      </c>
      <c r="L1226" s="19" t="str">
        <f>IF(B1226="","",IF(ISNA(MATCH(B1226,Client_List!$B:$B,0)),"⚠ NOT FOUND","✓"))</f>
        <v>✓</v>
      </c>
    </row>
    <row r="1227" spans="1:12" ht="14" customHeight="1" x14ac:dyDescent="0.2">
      <c r="A1227" s="58">
        <v>46126</v>
      </c>
      <c r="B1227" s="15" t="s">
        <v>102</v>
      </c>
      <c r="C1227" s="16" t="str">
        <f>IF(B1227="","",IFERROR(INDEX(Client_List!$C:$C,MATCH(B1227,Client_List!$B:$B,0)),""))</f>
        <v>3</v>
      </c>
      <c r="D1227" s="16" t="str">
        <f>IF(B1227="","",IFERROR(INDEX(Client_List!$D:$D,MATCH(B1227,Client_List!$B:$B,0)),""))</f>
        <v>3C</v>
      </c>
      <c r="E1227" s="16" t="str">
        <f>IF(B1227="","",IFERROR(INDEX(Client_List!$K:$K,MATCH(B1227,Client_List!$B:$B,0)),""))</f>
        <v>CANOLA OIL</v>
      </c>
      <c r="F1227" s="16">
        <f>IF(B1227="","",IFERROR(INDEX(Client_List!$J:$J,MATCH(B1227,Client_List!$B:$B,0)),""))</f>
        <v>500</v>
      </c>
      <c r="G1227" s="16">
        <v>498</v>
      </c>
      <c r="H1227" s="16">
        <f>IF(B1227="","",IFERROR(A1227-LOOKUP(2,1/($B$4:$B1226=B1227),$A$4:$A1226),""))</f>
        <v>13</v>
      </c>
      <c r="I1227" s="74">
        <f t="shared" si="19"/>
        <v>38.307692307692307</v>
      </c>
      <c r="J1227" s="16"/>
      <c r="K1227" s="6">
        <f>IF(B1227="","",IFERROR(AVERAGEIFS($I$4:$I1227,$B$4:$B1227,B1227,$I$4:$I1227,"&gt;"&amp;0),""))</f>
        <v>33.715750915750917</v>
      </c>
      <c r="L1227" s="16" t="str">
        <f>IF(B1227="","",IF(ISNA(MATCH(B1227,Client_List!$B:$B,0)),"⚠ NOT FOUND","✓"))</f>
        <v>✓</v>
      </c>
    </row>
    <row r="1228" spans="1:12" ht="14" customHeight="1" x14ac:dyDescent="0.2">
      <c r="A1228" s="59">
        <v>46126</v>
      </c>
      <c r="B1228" s="18" t="s">
        <v>112</v>
      </c>
      <c r="C1228" s="19" t="str">
        <f>IF(B1228="","",IFERROR(INDEX(Client_List!$C:$C,MATCH(B1228,Client_List!$B:$B,0)),""))</f>
        <v>2</v>
      </c>
      <c r="D1228" s="19" t="str">
        <f>IF(B1228="","",IFERROR(INDEX(Client_List!$D:$D,MATCH(B1228,Client_List!$B:$B,0)),""))</f>
        <v>2A</v>
      </c>
      <c r="E1228" s="19" t="str">
        <f>IF(B1228="","",IFERROR(INDEX(Client_List!$K:$K,MATCH(B1228,Client_List!$B:$B,0)),""))</f>
        <v>FRYERS CHOICE BLEND</v>
      </c>
      <c r="F1228" s="19">
        <f>IF(B1228="","",IFERROR(INDEX(Client_List!$J:$J,MATCH(B1228,Client_List!$B:$B,0)),""))</f>
        <v>450</v>
      </c>
      <c r="G1228" s="19">
        <v>483</v>
      </c>
      <c r="H1228" s="19">
        <f>IF(B1228="","",IFERROR(A1228-LOOKUP(2,1/($B$4:$B1227=B1228),$A$4:$A1227),""))</f>
        <v>11</v>
      </c>
      <c r="I1228" s="75">
        <f t="shared" si="19"/>
        <v>43.909090909090907</v>
      </c>
      <c r="J1228" s="19"/>
      <c r="K1228" s="6">
        <f>IF(B1228="","",IFERROR(AVERAGEIFS($I$4:$I1228,$B$4:$B1228,B1228,$I$4:$I1228,"&gt;"&amp;0),""))</f>
        <v>39.341801056086766</v>
      </c>
      <c r="L1228" s="19" t="str">
        <f>IF(B1228="","",IF(ISNA(MATCH(B1228,Client_List!$B:$B,0)),"⚠ NOT FOUND","✓"))</f>
        <v>✓</v>
      </c>
    </row>
    <row r="1229" spans="1:12" ht="14" customHeight="1" x14ac:dyDescent="0.2">
      <c r="A1229" s="58">
        <v>46126</v>
      </c>
      <c r="B1229" s="15" t="s">
        <v>128</v>
      </c>
      <c r="C1229" s="16" t="str">
        <f>IF(B1229="","",IFERROR(INDEX(Client_List!$C:$C,MATCH(B1229,Client_List!$B:$B,0)),""))</f>
        <v>4</v>
      </c>
      <c r="D1229" s="16" t="str">
        <f>IF(B1229="","",IFERROR(INDEX(Client_List!$D:$D,MATCH(B1229,Client_List!$B:$B,0)),""))</f>
        <v>4E</v>
      </c>
      <c r="E1229" s="16" t="str">
        <f>IF(B1229="","",IFERROR(INDEX(Client_List!$K:$K,MATCH(B1229,Client_List!$B:$B,0)),""))</f>
        <v>CANOLA OIL</v>
      </c>
      <c r="F1229" s="16">
        <f>IF(B1229="","",IFERROR(INDEX(Client_List!$J:$J,MATCH(B1229,Client_List!$B:$B,0)),""))</f>
        <v>700</v>
      </c>
      <c r="G1229" s="16">
        <v>513</v>
      </c>
      <c r="H1229" s="16">
        <f>IF(B1229="","",IFERROR(A1229-LOOKUP(2,1/($B$4:$B1228=B1229),$A$4:$A1228),""))</f>
        <v>7</v>
      </c>
      <c r="I1229" s="74">
        <f t="shared" si="19"/>
        <v>73.285714285714292</v>
      </c>
      <c r="J1229" s="16"/>
      <c r="K1229" s="6">
        <f>IF(B1229="","",IFERROR(AVERAGEIFS($I$4:$I1229,$B$4:$B1229,B1229,$I$4:$I1229,"&gt;"&amp;0),""))</f>
        <v>73.991553287981873</v>
      </c>
      <c r="L1229" s="16" t="str">
        <f>IF(B1229="","",IF(ISNA(MATCH(B1229,Client_List!$B:$B,0)),"⚠ NOT FOUND","✓"))</f>
        <v>✓</v>
      </c>
    </row>
    <row r="1230" spans="1:12" ht="14" customHeight="1" x14ac:dyDescent="0.2">
      <c r="A1230" s="59">
        <v>46126</v>
      </c>
      <c r="B1230" s="18" t="s">
        <v>132</v>
      </c>
      <c r="C1230" s="19" t="str">
        <f>IF(B1230="","",IFERROR(INDEX(Client_List!$C:$C,MATCH(B1230,Client_List!$B:$B,0)),""))</f>
        <v>3</v>
      </c>
      <c r="D1230" s="19" t="str">
        <f>IF(B1230="","",IFERROR(INDEX(Client_List!$D:$D,MATCH(B1230,Client_List!$B:$B,0)),""))</f>
        <v>3C</v>
      </c>
      <c r="E1230" s="19" t="str">
        <f>IF(B1230="","",IFERROR(INDEX(Client_List!$K:$K,MATCH(B1230,Client_List!$B:$B,0)),""))</f>
        <v>CANOLA OIL</v>
      </c>
      <c r="F1230" s="19">
        <f>IF(B1230="","",IFERROR(INDEX(Client_List!$J:$J,MATCH(B1230,Client_List!$B:$B,0)),""))</f>
        <v>630</v>
      </c>
      <c r="G1230" s="19">
        <v>522</v>
      </c>
      <c r="H1230" s="19">
        <f>IF(B1230="","",IFERROR(A1230-LOOKUP(2,1/($B$4:$B1229=B1230),$A$4:$A1229),""))</f>
        <v>10</v>
      </c>
      <c r="I1230" s="75">
        <f t="shared" si="19"/>
        <v>52.2</v>
      </c>
      <c r="J1230" s="19"/>
      <c r="K1230" s="6">
        <f>IF(B1230="","",IFERROR(AVERAGEIFS($I$4:$I1230,$B$4:$B1230,B1230,$I$4:$I1230,"&gt;"&amp;0),""))</f>
        <v>45.282672882672884</v>
      </c>
      <c r="L1230" s="19" t="str">
        <f>IF(B1230="","",IF(ISNA(MATCH(B1230,Client_List!$B:$B,0)),"⚠ NOT FOUND","✓"))</f>
        <v>✓</v>
      </c>
    </row>
    <row r="1231" spans="1:12" ht="14" customHeight="1" x14ac:dyDescent="0.2">
      <c r="A1231" s="58">
        <v>46126</v>
      </c>
      <c r="B1231" s="15" t="s">
        <v>136</v>
      </c>
      <c r="C1231" s="16" t="str">
        <f>IF(B1231="","",IFERROR(INDEX(Client_List!$C:$C,MATCH(B1231,Client_List!$B:$B,0)),""))</f>
        <v>5</v>
      </c>
      <c r="D1231" s="16" t="str">
        <f>IF(B1231="","",IFERROR(INDEX(Client_List!$D:$D,MATCH(B1231,Client_List!$B:$B,0)),""))</f>
        <v>5F</v>
      </c>
      <c r="E1231" s="16" t="str">
        <f>IF(B1231="","",IFERROR(INDEX(Client_List!$K:$K,MATCH(B1231,Client_List!$B:$B,0)),""))</f>
        <v>FRYERS CHOICE BLEND</v>
      </c>
      <c r="F1231" s="16">
        <f>IF(B1231="","",IFERROR(INDEX(Client_List!$J:$J,MATCH(B1231,Client_List!$B:$B,0)),""))</f>
        <v>480</v>
      </c>
      <c r="G1231" s="16">
        <v>486</v>
      </c>
      <c r="H1231" s="16">
        <f>IF(B1231="","",IFERROR(A1231-LOOKUP(2,1/($B$4:$B1230=B1231),$A$4:$A1230),""))</f>
        <v>14</v>
      </c>
      <c r="I1231" s="74">
        <f t="shared" si="19"/>
        <v>34.714285714285715</v>
      </c>
      <c r="J1231" s="16"/>
      <c r="K1231" s="6">
        <f>IF(B1231="","",IFERROR(AVERAGEIFS($I$4:$I1231,$B$4:$B1231,B1231,$I$4:$I1231,"&gt;"&amp;0),""))</f>
        <v>41.67258297258298</v>
      </c>
      <c r="L1231" s="16" t="str">
        <f>IF(B1231="","",IF(ISNA(MATCH(B1231,Client_List!$B:$B,0)),"⚠ NOT FOUND","✓"))</f>
        <v>✓</v>
      </c>
    </row>
    <row r="1232" spans="1:12" ht="14" customHeight="1" x14ac:dyDescent="0.2">
      <c r="A1232" s="59">
        <v>46126</v>
      </c>
      <c r="B1232" s="18" t="s">
        <v>138</v>
      </c>
      <c r="C1232" s="19" t="str">
        <f>IF(B1232="","",IFERROR(INDEX(Client_List!$C:$C,MATCH(B1232,Client_List!$B:$B,0)),""))</f>
        <v>4</v>
      </c>
      <c r="D1232" s="19" t="str">
        <f>IF(B1232="","",IFERROR(INDEX(Client_List!$D:$D,MATCH(B1232,Client_List!$B:$B,0)),""))</f>
        <v>4E</v>
      </c>
      <c r="E1232" s="19" t="str">
        <f>IF(B1232="","",IFERROR(INDEX(Client_List!$K:$K,MATCH(B1232,Client_List!$B:$B,0)),""))</f>
        <v>CANOLA OIL</v>
      </c>
      <c r="F1232" s="19">
        <f>IF(B1232="","",IFERROR(INDEX(Client_List!$J:$J,MATCH(B1232,Client_List!$B:$B,0)),""))</f>
        <v>350</v>
      </c>
      <c r="G1232" s="19">
        <v>364</v>
      </c>
      <c r="H1232" s="19">
        <f>IF(B1232="","",IFERROR(A1232-LOOKUP(2,1/($B$4:$B1231=B1232),$A$4:$A1231),""))</f>
        <v>11</v>
      </c>
      <c r="I1232" s="75">
        <f t="shared" si="19"/>
        <v>33.090909090909093</v>
      </c>
      <c r="J1232" s="19"/>
      <c r="K1232" s="6">
        <f>IF(B1232="","",IFERROR(AVERAGEIFS($I$4:$I1232,$B$4:$B1232,B1232,$I$4:$I1232,"&gt;"&amp;0),""))</f>
        <v>36.801554506099954</v>
      </c>
      <c r="L1232" s="19" t="str">
        <f>IF(B1232="","",IF(ISNA(MATCH(B1232,Client_List!$B:$B,0)),"⚠ NOT FOUND","✓"))</f>
        <v>✓</v>
      </c>
    </row>
    <row r="1233" spans="1:12" ht="14" customHeight="1" x14ac:dyDescent="0.2">
      <c r="A1233" s="58">
        <v>46126</v>
      </c>
      <c r="B1233" s="15" t="s">
        <v>140</v>
      </c>
      <c r="C1233" s="16" t="str">
        <f>IF(B1233="","",IFERROR(INDEX(Client_List!$C:$C,MATCH(B1233,Client_List!$B:$B,0)),""))</f>
        <v>5</v>
      </c>
      <c r="D1233" s="16" t="str">
        <f>IF(B1233="","",IFERROR(INDEX(Client_List!$D:$D,MATCH(B1233,Client_List!$B:$B,0)),""))</f>
        <v>5E</v>
      </c>
      <c r="E1233" s="16" t="str">
        <f>IF(B1233="","",IFERROR(INDEX(Client_List!$K:$K,MATCH(B1233,Client_List!$B:$B,0)),""))</f>
        <v>CANOLA OIL</v>
      </c>
      <c r="F1233" s="16">
        <f>IF(B1233="","",IFERROR(INDEX(Client_List!$J:$J,MATCH(B1233,Client_List!$B:$B,0)),""))</f>
        <v>350</v>
      </c>
      <c r="G1233" s="16">
        <v>303</v>
      </c>
      <c r="H1233" s="16">
        <f>IF(B1233="","",IFERROR(A1233-LOOKUP(2,1/($B$4:$B1232=B1233),$A$4:$A1232),""))</f>
        <v>12</v>
      </c>
      <c r="I1233" s="74">
        <f t="shared" si="19"/>
        <v>25.25</v>
      </c>
      <c r="J1233" s="16"/>
      <c r="K1233" s="6">
        <f>IF(B1233="","",IFERROR(AVERAGEIFS($I$4:$I1233,$B$4:$B1233,B1233,$I$4:$I1233,"&gt;"&amp;0),""))</f>
        <v>30.880698005698004</v>
      </c>
      <c r="L1233" s="16" t="str">
        <f>IF(B1233="","",IF(ISNA(MATCH(B1233,Client_List!$B:$B,0)),"⚠ NOT FOUND","✓"))</f>
        <v>✓</v>
      </c>
    </row>
    <row r="1234" spans="1:12" ht="14" customHeight="1" x14ac:dyDescent="0.2">
      <c r="A1234" s="59">
        <v>46126</v>
      </c>
      <c r="B1234" s="18" t="s">
        <v>180</v>
      </c>
      <c r="C1234" s="19" t="str">
        <f>IF(B1234="","",IFERROR(INDEX(Client_List!$C:$C,MATCH(B1234,Client_List!$B:$B,0)),""))</f>
        <v>1</v>
      </c>
      <c r="D1234" s="19" t="str">
        <f>IF(B1234="","",IFERROR(INDEX(Client_List!$D:$D,MATCH(B1234,Client_List!$B:$B,0)),""))</f>
        <v>1D</v>
      </c>
      <c r="E1234" s="19" t="str">
        <f>IF(B1234="","",IFERROR(INDEX(Client_List!$K:$K,MATCH(B1234,Client_List!$B:$B,0)),""))</f>
        <v>CANOLA OIL</v>
      </c>
      <c r="F1234" s="19">
        <f>IF(B1234="","",IFERROR(INDEX(Client_List!$J:$J,MATCH(B1234,Client_List!$B:$B,0)),""))</f>
        <v>950</v>
      </c>
      <c r="G1234" s="19">
        <v>267</v>
      </c>
      <c r="H1234" s="19">
        <f>IF(B1234="","",IFERROR(A1234-LOOKUP(2,1/($B$4:$B1233=B1234),$A$4:$A1233),""))</f>
        <v>3</v>
      </c>
      <c r="I1234" s="75">
        <f t="shared" si="19"/>
        <v>89</v>
      </c>
      <c r="J1234" s="19"/>
      <c r="K1234" s="6">
        <f>IF(B1234="","",IFERROR(AVERAGEIFS($I$4:$I1234,$B$4:$B1234,B1234,$I$4:$I1234,"&gt;"&amp;0),""))</f>
        <v>75.038803418803425</v>
      </c>
      <c r="L1234" s="19" t="str">
        <f>IF(B1234="","",IF(ISNA(MATCH(B1234,Client_List!$B:$B,0)),"⚠ NOT FOUND","✓"))</f>
        <v>✓</v>
      </c>
    </row>
    <row r="1235" spans="1:12" ht="14" customHeight="1" x14ac:dyDescent="0.2">
      <c r="A1235" s="58">
        <v>46126</v>
      </c>
      <c r="B1235" s="15" t="s">
        <v>186</v>
      </c>
      <c r="C1235" s="16" t="str">
        <f>IF(B1235="","",IFERROR(INDEX(Client_List!$C:$C,MATCH(B1235,Client_List!$B:$B,0)),""))</f>
        <v>4</v>
      </c>
      <c r="D1235" s="16" t="str">
        <f>IF(B1235="","",IFERROR(INDEX(Client_List!$D:$D,MATCH(B1235,Client_List!$B:$B,0)),""))</f>
        <v>4E</v>
      </c>
      <c r="E1235" s="16" t="str">
        <f>IF(B1235="","",IFERROR(INDEX(Client_List!$K:$K,MATCH(B1235,Client_List!$B:$B,0)),""))</f>
        <v>CANOLA OIL</v>
      </c>
      <c r="F1235" s="16">
        <f>IF(B1235="","",IFERROR(INDEX(Client_List!$J:$J,MATCH(B1235,Client_List!$B:$B,0)),""))</f>
        <v>950</v>
      </c>
      <c r="G1235" s="16">
        <v>816</v>
      </c>
      <c r="H1235" s="16">
        <f>IF(B1235="","",IFERROR(A1235-LOOKUP(2,1/($B$4:$B1234=B1235),$A$4:$A1234),""))</f>
        <v>11</v>
      </c>
      <c r="I1235" s="74">
        <f t="shared" si="19"/>
        <v>74.181818181818187</v>
      </c>
      <c r="J1235" s="16"/>
      <c r="K1235" s="6">
        <f>IF(B1235="","",IFERROR(AVERAGEIFS($I$4:$I1235,$B$4:$B1235,B1235,$I$4:$I1235,"&gt;"&amp;0),""))</f>
        <v>87.298996458087373</v>
      </c>
      <c r="L1235" s="16" t="str">
        <f>IF(B1235="","",IF(ISNA(MATCH(B1235,Client_List!$B:$B,0)),"⚠ NOT FOUND","✓"))</f>
        <v>✓</v>
      </c>
    </row>
    <row r="1236" spans="1:12" ht="14" customHeight="1" x14ac:dyDescent="0.2">
      <c r="A1236" s="59">
        <v>46126</v>
      </c>
      <c r="B1236" s="18" t="s">
        <v>226</v>
      </c>
      <c r="C1236" s="19" t="str">
        <f>IF(B1236="","",IFERROR(INDEX(Client_List!$C:$C,MATCH(B1236,Client_List!$B:$B,0)),""))</f>
        <v>4</v>
      </c>
      <c r="D1236" s="19" t="str">
        <f>IF(B1236="","",IFERROR(INDEX(Client_List!$D:$D,MATCH(B1236,Client_List!$B:$B,0)),""))</f>
        <v>4F</v>
      </c>
      <c r="E1236" s="19" t="str">
        <f>IF(B1236="","",IFERROR(INDEX(Client_List!$K:$K,MATCH(B1236,Client_List!$B:$B,0)),""))</f>
        <v>CANOLA OIL</v>
      </c>
      <c r="F1236" s="19">
        <f>IF(B1236="","",IFERROR(INDEX(Client_List!$J:$J,MATCH(B1236,Client_List!$B:$B,0)),""))</f>
        <v>660</v>
      </c>
      <c r="G1236" s="19">
        <v>480</v>
      </c>
      <c r="H1236" s="19">
        <f>IF(B1236="","",IFERROR(A1236-LOOKUP(2,1/($B$4:$B1235=B1236),$A$4:$A1235),""))</f>
        <v>25</v>
      </c>
      <c r="I1236" s="75">
        <f t="shared" si="19"/>
        <v>19.2</v>
      </c>
      <c r="J1236" s="19"/>
      <c r="K1236" s="6">
        <f>IF(B1236="","",IFERROR(AVERAGEIFS($I$4:$I1236,$B$4:$B1236,B1236,$I$4:$I1236,"&gt;"&amp;0),""))</f>
        <v>26.221969696969698</v>
      </c>
      <c r="L1236" s="19" t="str">
        <f>IF(B1236="","",IF(ISNA(MATCH(B1236,Client_List!$B:$B,0)),"⚠ NOT FOUND","✓"))</f>
        <v>✓</v>
      </c>
    </row>
    <row r="1237" spans="1:12" ht="14" customHeight="1" x14ac:dyDescent="0.2">
      <c r="A1237" s="58">
        <v>46126</v>
      </c>
      <c r="B1237" s="15" t="s">
        <v>232</v>
      </c>
      <c r="C1237" s="16" t="str">
        <f>IF(B1237="","",IFERROR(INDEX(Client_List!$C:$C,MATCH(B1237,Client_List!$B:$B,0)),""))</f>
        <v>5</v>
      </c>
      <c r="D1237" s="16" t="str">
        <f>IF(B1237="","",IFERROR(INDEX(Client_List!$D:$D,MATCH(B1237,Client_List!$B:$B,0)),""))</f>
        <v>5F</v>
      </c>
      <c r="E1237" s="16" t="str">
        <f>IF(B1237="","",IFERROR(INDEX(Client_List!$K:$K,MATCH(B1237,Client_List!$B:$B,0)),""))</f>
        <v>CANOLA OIL</v>
      </c>
      <c r="F1237" s="16">
        <f>IF(B1237="","",IFERROR(INDEX(Client_List!$J:$J,MATCH(B1237,Client_List!$B:$B,0)),""))</f>
        <v>500</v>
      </c>
      <c r="G1237" s="16">
        <v>482</v>
      </c>
      <c r="H1237" s="16">
        <f>IF(B1237="","",IFERROR(A1237-LOOKUP(2,1/($B$4:$B1236=B1237),$A$4:$A1236),""))</f>
        <v>12</v>
      </c>
      <c r="I1237" s="74">
        <f t="shared" si="19"/>
        <v>40.166666666666664</v>
      </c>
      <c r="J1237" s="16"/>
      <c r="K1237" s="6">
        <f>IF(B1237="","",IFERROR(AVERAGEIFS($I$4:$I1237,$B$4:$B1237,B1237,$I$4:$I1237,"&gt;"&amp;0),""))</f>
        <v>40.640779220779223</v>
      </c>
      <c r="L1237" s="16" t="str">
        <f>IF(B1237="","",IF(ISNA(MATCH(B1237,Client_List!$B:$B,0)),"⚠ NOT FOUND","✓"))</f>
        <v>✓</v>
      </c>
    </row>
    <row r="1238" spans="1:12" ht="14" customHeight="1" x14ac:dyDescent="0.2">
      <c r="A1238" s="59">
        <v>46126</v>
      </c>
      <c r="B1238" s="18" t="s">
        <v>234</v>
      </c>
      <c r="C1238" s="19" t="str">
        <f>IF(B1238="","",IFERROR(INDEX(Client_List!$C:$C,MATCH(B1238,Client_List!$B:$B,0)),""))</f>
        <v>4</v>
      </c>
      <c r="D1238" s="19" t="str">
        <f>IF(B1238="","",IFERROR(INDEX(Client_List!$D:$D,MATCH(B1238,Client_List!$B:$B,0)),""))</f>
        <v>4E</v>
      </c>
      <c r="E1238" s="19" t="str">
        <f>IF(B1238="","",IFERROR(INDEX(Client_List!$K:$K,MATCH(B1238,Client_List!$B:$B,0)),""))</f>
        <v>CANOLA OIL</v>
      </c>
      <c r="F1238" s="19">
        <f>IF(B1238="","",IFERROR(INDEX(Client_List!$J:$J,MATCH(B1238,Client_List!$B:$B,0)),""))</f>
        <v>630</v>
      </c>
      <c r="G1238" s="19">
        <v>476</v>
      </c>
      <c r="H1238" s="19">
        <f>IF(B1238="","",IFERROR(A1238-LOOKUP(2,1/($B$4:$B1237=B1238),$A$4:$A1237),""))</f>
        <v>21</v>
      </c>
      <c r="I1238" s="75">
        <f t="shared" si="19"/>
        <v>22.666666666666668</v>
      </c>
      <c r="J1238" s="19"/>
      <c r="K1238" s="6">
        <f>IF(B1238="","",IFERROR(AVERAGEIFS($I$4:$I1238,$B$4:$B1238,B1238,$I$4:$I1238,"&gt;"&amp;0),""))</f>
        <v>23.393333333333334</v>
      </c>
      <c r="L1238" s="19" t="str">
        <f>IF(B1238="","",IF(ISNA(MATCH(B1238,Client_List!$B:$B,0)),"⚠ NOT FOUND","✓"))</f>
        <v>✓</v>
      </c>
    </row>
    <row r="1239" spans="1:12" ht="14" customHeight="1" x14ac:dyDescent="0.2">
      <c r="A1239" s="58">
        <v>46126</v>
      </c>
      <c r="B1239" s="15" t="s">
        <v>240</v>
      </c>
      <c r="C1239" s="16" t="str">
        <f>IF(B1239="","",IFERROR(INDEX(Client_List!$C:$C,MATCH(B1239,Client_List!$B:$B,0)),""))</f>
        <v>5</v>
      </c>
      <c r="D1239" s="16" t="str">
        <f>IF(B1239="","",IFERROR(INDEX(Client_List!$D:$D,MATCH(B1239,Client_List!$B:$B,0)),""))</f>
        <v>5F</v>
      </c>
      <c r="E1239" s="16" t="str">
        <f>IF(B1239="","",IFERROR(INDEX(Client_List!$K:$K,MATCH(B1239,Client_List!$B:$B,0)),""))</f>
        <v>CANOLA OIL</v>
      </c>
      <c r="F1239" s="16">
        <f>IF(B1239="","",IFERROR(INDEX(Client_List!$J:$J,MATCH(B1239,Client_List!$B:$B,0)),""))</f>
        <v>350</v>
      </c>
      <c r="G1239" s="16">
        <v>343</v>
      </c>
      <c r="H1239" s="16">
        <f>IF(B1239="","",IFERROR(A1239-LOOKUP(2,1/($B$4:$B1238=B1239),$A$4:$A1238),""))</f>
        <v>16</v>
      </c>
      <c r="I1239" s="74">
        <f t="shared" si="19"/>
        <v>21.4375</v>
      </c>
      <c r="J1239" s="16"/>
      <c r="K1239" s="6">
        <f>IF(B1239="","",IFERROR(AVERAGEIFS($I$4:$I1239,$B$4:$B1239,B1239,$I$4:$I1239,"&gt;"&amp;0),""))</f>
        <v>28.298821394654727</v>
      </c>
      <c r="L1239" s="16" t="str">
        <f>IF(B1239="","",IF(ISNA(MATCH(B1239,Client_List!$B:$B,0)),"⚠ NOT FOUND","✓"))</f>
        <v>✓</v>
      </c>
    </row>
    <row r="1240" spans="1:12" ht="14" customHeight="1" x14ac:dyDescent="0.2">
      <c r="A1240" s="59">
        <v>46126</v>
      </c>
      <c r="B1240" s="18" t="s">
        <v>276</v>
      </c>
      <c r="C1240" s="19" t="str">
        <f>IF(B1240="","",IFERROR(INDEX(Client_List!$C:$C,MATCH(B1240,Client_List!$B:$B,0)),""))</f>
        <v>3</v>
      </c>
      <c r="D1240" s="19" t="str">
        <f>IF(B1240="","",IFERROR(INDEX(Client_List!$D:$D,MATCH(B1240,Client_List!$B:$B,0)),""))</f>
        <v>3D</v>
      </c>
      <c r="E1240" s="19" t="str">
        <f>IF(B1240="","",IFERROR(INDEX(Client_List!$K:$K,MATCH(B1240,Client_List!$B:$B,0)),""))</f>
        <v>FRYERS CHOICE BLEND</v>
      </c>
      <c r="F1240" s="19">
        <f>IF(B1240="","",IFERROR(INDEX(Client_List!$J:$J,MATCH(B1240,Client_List!$B:$B,0)),""))</f>
        <v>950</v>
      </c>
      <c r="G1240" s="19">
        <v>932</v>
      </c>
      <c r="H1240" s="19">
        <f>IF(B1240="","",IFERROR(A1240-LOOKUP(2,1/($B$4:$B1239=B1240),$A$4:$A1239),""))</f>
        <v>12</v>
      </c>
      <c r="I1240" s="75">
        <f t="shared" si="19"/>
        <v>77.666666666666671</v>
      </c>
      <c r="J1240" s="19"/>
      <c r="K1240" s="6">
        <f>IF(B1240="","",IFERROR(AVERAGEIFS($I$4:$I1240,$B$4:$B1240,B1240,$I$4:$I1240,"&gt;"&amp;0),""))</f>
        <v>85.613029100529104</v>
      </c>
      <c r="L1240" s="19" t="str">
        <f>IF(B1240="","",IF(ISNA(MATCH(B1240,Client_List!$B:$B,0)),"⚠ NOT FOUND","✓"))</f>
        <v>✓</v>
      </c>
    </row>
    <row r="1241" spans="1:12" ht="14" customHeight="1" x14ac:dyDescent="0.2">
      <c r="A1241" s="58">
        <v>46126</v>
      </c>
      <c r="B1241" s="15" t="s">
        <v>284</v>
      </c>
      <c r="C1241" s="16" t="str">
        <f>IF(B1241="","",IFERROR(INDEX(Client_List!$C:$C,MATCH(B1241,Client_List!$B:$B,0)),""))</f>
        <v>2</v>
      </c>
      <c r="D1241" s="16" t="str">
        <f>IF(B1241="","",IFERROR(INDEX(Client_List!$D:$D,MATCH(B1241,Client_List!$B:$B,0)),""))</f>
        <v>2C</v>
      </c>
      <c r="E1241" s="16" t="str">
        <f>IF(B1241="","",IFERROR(INDEX(Client_List!$K:$K,MATCH(B1241,Client_List!$B:$B,0)),""))</f>
        <v>CANOLA OIL</v>
      </c>
      <c r="F1241" s="16">
        <f>IF(B1241="","",IFERROR(INDEX(Client_List!$J:$J,MATCH(B1241,Client_List!$B:$B,0)),""))</f>
        <v>620</v>
      </c>
      <c r="G1241" s="16">
        <v>479</v>
      </c>
      <c r="H1241" s="16">
        <f>IF(B1241="","",IFERROR(A1241-LOOKUP(2,1/($B$4:$B1240=B1241),$A$4:$A1240),""))</f>
        <v>21</v>
      </c>
      <c r="I1241" s="74">
        <f t="shared" si="19"/>
        <v>22.80952380952381</v>
      </c>
      <c r="J1241" s="16"/>
      <c r="K1241" s="6">
        <f>IF(B1241="","",IFERROR(AVERAGEIFS($I$4:$I1241,$B$4:$B1241,B1241,$I$4:$I1241,"&gt;"&amp;0),""))</f>
        <v>28.492201657991131</v>
      </c>
      <c r="L1241" s="16" t="str">
        <f>IF(B1241="","",IF(ISNA(MATCH(B1241,Client_List!$B:$B,0)),"⚠ NOT FOUND","✓"))</f>
        <v>✓</v>
      </c>
    </row>
    <row r="1242" spans="1:12" ht="14" customHeight="1" x14ac:dyDescent="0.2">
      <c r="A1242" s="59">
        <v>46126</v>
      </c>
      <c r="B1242" s="18" t="s">
        <v>298</v>
      </c>
      <c r="C1242" s="19" t="str">
        <f>IF(B1242="","",IFERROR(INDEX(Client_List!$C:$C,MATCH(B1242,Client_List!$B:$B,0)),""))</f>
        <v>1</v>
      </c>
      <c r="D1242" s="19" t="str">
        <f>IF(B1242="","",IFERROR(INDEX(Client_List!$D:$D,MATCH(B1242,Client_List!$B:$B,0)),""))</f>
        <v>1C</v>
      </c>
      <c r="E1242" s="19" t="str">
        <f>IF(B1242="","",IFERROR(INDEX(Client_List!$K:$K,MATCH(B1242,Client_List!$B:$B,0)),""))</f>
        <v>CANOLA OIL</v>
      </c>
      <c r="F1242" s="19">
        <f>IF(B1242="","",IFERROR(INDEX(Client_List!$J:$J,MATCH(B1242,Client_List!$B:$B,0)),""))</f>
        <v>950</v>
      </c>
      <c r="G1242" s="19">
        <v>306</v>
      </c>
      <c r="H1242" s="19">
        <f>IF(B1242="","",IFERROR(A1242-LOOKUP(2,1/($B$4:$B1241=B1242),$A$4:$A1241),""))</f>
        <v>18</v>
      </c>
      <c r="I1242" s="75">
        <f t="shared" si="19"/>
        <v>17</v>
      </c>
      <c r="J1242" s="19"/>
      <c r="K1242" s="6">
        <f>IF(B1242="","",IFERROR(AVERAGEIFS($I$4:$I1242,$B$4:$B1242,B1242,$I$4:$I1242,"&gt;"&amp;0),""))</f>
        <v>49.057769261550774</v>
      </c>
      <c r="L1242" s="19" t="str">
        <f>IF(B1242="","",IF(ISNA(MATCH(B1242,Client_List!$B:$B,0)),"⚠ NOT FOUND","✓"))</f>
        <v>✓</v>
      </c>
    </row>
    <row r="1243" spans="1:12" ht="14" customHeight="1" x14ac:dyDescent="0.2">
      <c r="A1243" s="58">
        <v>46129</v>
      </c>
      <c r="B1243" s="15" t="s">
        <v>300</v>
      </c>
      <c r="C1243" s="16" t="str">
        <f>IF(B1243="","",IFERROR(INDEX(Client_List!$C:$C,MATCH(B1243,Client_List!$B:$B,0)),""))</f>
        <v>4</v>
      </c>
      <c r="D1243" s="16" t="str">
        <f>IF(B1243="","",IFERROR(INDEX(Client_List!$D:$D,MATCH(B1243,Client_List!$B:$B,0)),""))</f>
        <v>4C</v>
      </c>
      <c r="E1243" s="16" t="str">
        <f>IF(B1243="","",IFERROR(INDEX(Client_List!$K:$K,MATCH(B1243,Client_List!$B:$B,0)),""))</f>
        <v>FRYERS CHOICE BLEND</v>
      </c>
      <c r="F1243" s="16">
        <f>IF(B1243="","",IFERROR(INDEX(Client_List!$J:$J,MATCH(B1243,Client_List!$B:$B,0)),""))</f>
        <v>350</v>
      </c>
      <c r="G1243" s="16">
        <v>200</v>
      </c>
      <c r="H1243" s="16">
        <f>IF(B1243="","",IFERROR(A1243-LOOKUP(2,1/($B$4:$B1242=B1243),$A$4:$A1242),""))</f>
        <v>14</v>
      </c>
      <c r="I1243" s="74">
        <f t="shared" si="19"/>
        <v>14.285714285714286</v>
      </c>
      <c r="J1243" s="16"/>
      <c r="K1243" s="6">
        <f>IF(B1243="","",IFERROR(AVERAGEIFS($I$4:$I1243,$B$4:$B1243,B1243,$I$4:$I1243,"&gt;"&amp;0),""))</f>
        <v>27.402380952380952</v>
      </c>
      <c r="L1243" s="16" t="str">
        <f>IF(B1243="","",IF(ISNA(MATCH(B1243,Client_List!$B:$B,0)),"⚠ NOT FOUND","✓"))</f>
        <v>✓</v>
      </c>
    </row>
    <row r="1244" spans="1:12" ht="14" customHeight="1" x14ac:dyDescent="0.2">
      <c r="A1244" s="59"/>
      <c r="B1244" s="18"/>
      <c r="C1244" s="19" t="str">
        <f>IF(B1244="","",IFERROR(INDEX(Client_List!$C:$C,MATCH(B1244,Client_List!$B:$B,0)),""))</f>
        <v/>
      </c>
      <c r="D1244" s="19" t="str">
        <f>IF(B1244="","",IFERROR(INDEX(Client_List!$D:$D,MATCH(B1244,Client_List!$B:$B,0)),""))</f>
        <v/>
      </c>
      <c r="E1244" s="19" t="str">
        <f>IF(B1244="","",IFERROR(INDEX(Client_List!$K:$K,MATCH(B1244,Client_List!$B:$B,0)),""))</f>
        <v/>
      </c>
      <c r="F1244" s="19" t="str">
        <f>IF(B1244="","",IFERROR(INDEX(Client_List!$J:$J,MATCH(B1244,Client_List!$B:$B,0)),""))</f>
        <v/>
      </c>
      <c r="G1244" s="19"/>
      <c r="H1244" s="19" t="str">
        <f>IF(B1244="","",IFERROR(A1244-LOOKUP(2,1/($B$4:$B1243=B1244),$A$4:$A1243),""))</f>
        <v/>
      </c>
      <c r="I1244" s="19" t="str">
        <f t="shared" si="19"/>
        <v/>
      </c>
      <c r="J1244" s="19"/>
      <c r="K1244" s="6" t="str">
        <f>IF(B1244="","",IFERROR(AVERAGEIFS($I$4:$I1244,$B$4:$B1244,B1244,$I$4:$I1244,"&gt;"&amp;0),""))</f>
        <v/>
      </c>
      <c r="L1244" s="19" t="str">
        <f>IF(B1244="","",IF(ISNA(MATCH(B1244,Client_List!$B:$B,0)),"⚠ NOT FOUND","✓"))</f>
        <v/>
      </c>
    </row>
    <row r="1245" spans="1:12" ht="14" customHeight="1" x14ac:dyDescent="0.2">
      <c r="A1245" s="58"/>
      <c r="B1245" s="15"/>
      <c r="C1245" s="16" t="str">
        <f>IF(B1245="","",IFERROR(INDEX(Client_List!$C:$C,MATCH(B1245,Client_List!$B:$B,0)),""))</f>
        <v/>
      </c>
      <c r="D1245" s="16" t="str">
        <f>IF(B1245="","",IFERROR(INDEX(Client_List!$D:$D,MATCH(B1245,Client_List!$B:$B,0)),""))</f>
        <v/>
      </c>
      <c r="E1245" s="16" t="str">
        <f>IF(B1245="","",IFERROR(INDEX(Client_List!$K:$K,MATCH(B1245,Client_List!$B:$B,0)),""))</f>
        <v/>
      </c>
      <c r="F1245" s="16" t="str">
        <f>IF(B1245="","",IFERROR(INDEX(Client_List!$J:$J,MATCH(B1245,Client_List!$B:$B,0)),""))</f>
        <v/>
      </c>
      <c r="G1245" s="16"/>
      <c r="H1245" s="16" t="str">
        <f>IF(B1245="","",IFERROR(A1245-LOOKUP(2,1/($B$4:$B1244=B1245),$A$4:$A1244),""))</f>
        <v/>
      </c>
      <c r="I1245" s="16" t="str">
        <f t="shared" si="19"/>
        <v/>
      </c>
      <c r="J1245" s="16"/>
      <c r="K1245" s="6" t="str">
        <f>IF(B1245="","",IFERROR(AVERAGEIFS($I$4:$I1245,$B$4:$B1245,B1245,$I$4:$I1245,"&gt;"&amp;0),""))</f>
        <v/>
      </c>
      <c r="L1245" s="16" t="str">
        <f>IF(B1245="","",IF(ISNA(MATCH(B1245,Client_List!$B:$B,0)),"⚠ NOT FOUND","✓"))</f>
        <v/>
      </c>
    </row>
    <row r="1246" spans="1:12" ht="14" customHeight="1" x14ac:dyDescent="0.2">
      <c r="A1246" s="59"/>
      <c r="B1246" s="18"/>
      <c r="C1246" s="19" t="str">
        <f>IF(B1246="","",IFERROR(INDEX(Client_List!$C:$C,MATCH(B1246,Client_List!$B:$B,0)),""))</f>
        <v/>
      </c>
      <c r="D1246" s="19" t="str">
        <f>IF(B1246="","",IFERROR(INDEX(Client_List!$D:$D,MATCH(B1246,Client_List!$B:$B,0)),""))</f>
        <v/>
      </c>
      <c r="E1246" s="19" t="str">
        <f>IF(B1246="","",IFERROR(INDEX(Client_List!$K:$K,MATCH(B1246,Client_List!$B:$B,0)),""))</f>
        <v/>
      </c>
      <c r="F1246" s="19" t="str">
        <f>IF(B1246="","",IFERROR(INDEX(Client_List!$J:$J,MATCH(B1246,Client_List!$B:$B,0)),""))</f>
        <v/>
      </c>
      <c r="G1246" s="19"/>
      <c r="H1246" s="19" t="str">
        <f>IF(B1246="","",IFERROR(A1246-LOOKUP(2,1/($B$4:$B1245=B1246),$A$4:$A1245),""))</f>
        <v/>
      </c>
      <c r="I1246" s="19" t="str">
        <f t="shared" si="19"/>
        <v/>
      </c>
      <c r="J1246" s="19"/>
      <c r="K1246" s="6" t="str">
        <f>IF(B1246="","",IFERROR(AVERAGEIFS($I$4:$I1246,$B$4:$B1246,B1246,$I$4:$I1246,"&gt;"&amp;0),""))</f>
        <v/>
      </c>
      <c r="L1246" s="19" t="str">
        <f>IF(B1246="","",IF(ISNA(MATCH(B1246,Client_List!$B:$B,0)),"⚠ NOT FOUND","✓"))</f>
        <v/>
      </c>
    </row>
    <row r="1247" spans="1:12" ht="14" customHeight="1" x14ac:dyDescent="0.2">
      <c r="A1247" s="58"/>
      <c r="B1247" s="15"/>
      <c r="C1247" s="16" t="str">
        <f>IF(B1247="","",IFERROR(INDEX(Client_List!$C:$C,MATCH(B1247,Client_List!$B:$B,0)),""))</f>
        <v/>
      </c>
      <c r="D1247" s="16" t="str">
        <f>IF(B1247="","",IFERROR(INDEX(Client_List!$D:$D,MATCH(B1247,Client_List!$B:$B,0)),""))</f>
        <v/>
      </c>
      <c r="E1247" s="16" t="str">
        <f>IF(B1247="","",IFERROR(INDEX(Client_List!$K:$K,MATCH(B1247,Client_List!$B:$B,0)),""))</f>
        <v/>
      </c>
      <c r="F1247" s="16" t="str">
        <f>IF(B1247="","",IFERROR(INDEX(Client_List!$J:$J,MATCH(B1247,Client_List!$B:$B,0)),""))</f>
        <v/>
      </c>
      <c r="G1247" s="16"/>
      <c r="H1247" s="16" t="str">
        <f>IF(B1247="","",IFERROR(A1247-LOOKUP(2,1/($B$4:$B1246=B1247),$A$4:$A1246),""))</f>
        <v/>
      </c>
      <c r="I1247" s="16" t="str">
        <f t="shared" si="19"/>
        <v/>
      </c>
      <c r="J1247" s="16"/>
      <c r="K1247" s="6" t="str">
        <f>IF(B1247="","",IFERROR(AVERAGEIFS($I$4:$I1247,$B$4:$B1247,B1247,$I$4:$I1247,"&gt;"&amp;0),""))</f>
        <v/>
      </c>
      <c r="L1247" s="16" t="str">
        <f>IF(B1247="","",IF(ISNA(MATCH(B1247,Client_List!$B:$B,0)),"⚠ NOT FOUND","✓"))</f>
        <v/>
      </c>
    </row>
    <row r="1248" spans="1:12" ht="14" customHeight="1" x14ac:dyDescent="0.2">
      <c r="A1248" s="59"/>
      <c r="B1248" s="18"/>
      <c r="C1248" s="19" t="str">
        <f>IF(B1248="","",IFERROR(INDEX(Client_List!$C:$C,MATCH(B1248,Client_List!$B:$B,0)),""))</f>
        <v/>
      </c>
      <c r="D1248" s="19" t="str">
        <f>IF(B1248="","",IFERROR(INDEX(Client_List!$D:$D,MATCH(B1248,Client_List!$B:$B,0)),""))</f>
        <v/>
      </c>
      <c r="E1248" s="19" t="str">
        <f>IF(B1248="","",IFERROR(INDEX(Client_List!$K:$K,MATCH(B1248,Client_List!$B:$B,0)),""))</f>
        <v/>
      </c>
      <c r="F1248" s="19" t="str">
        <f>IF(B1248="","",IFERROR(INDEX(Client_List!$J:$J,MATCH(B1248,Client_List!$B:$B,0)),""))</f>
        <v/>
      </c>
      <c r="G1248" s="19"/>
      <c r="H1248" s="19" t="str">
        <f>IF(B1248="","",IFERROR(A1248-LOOKUP(2,1/($B$4:$B1247=B1248),$A$4:$A1247),""))</f>
        <v/>
      </c>
      <c r="I1248" s="19" t="str">
        <f t="shared" si="19"/>
        <v/>
      </c>
      <c r="J1248" s="19"/>
      <c r="K1248" s="6" t="str">
        <f>IF(B1248="","",IFERROR(AVERAGEIFS($I$4:$I1248,$B$4:$B1248,B1248,$I$4:$I1248,"&gt;"&amp;0),""))</f>
        <v/>
      </c>
      <c r="L1248" s="19" t="str">
        <f>IF(B1248="","",IF(ISNA(MATCH(B1248,Client_List!$B:$B,0)),"⚠ NOT FOUND","✓"))</f>
        <v/>
      </c>
    </row>
    <row r="1249" spans="1:12" ht="14" customHeight="1" x14ac:dyDescent="0.2">
      <c r="A1249" s="58"/>
      <c r="B1249" s="15"/>
      <c r="C1249" s="16" t="str">
        <f>IF(B1249="","",IFERROR(INDEX(Client_List!$C:$C,MATCH(B1249,Client_List!$B:$B,0)),""))</f>
        <v/>
      </c>
      <c r="D1249" s="16" t="str">
        <f>IF(B1249="","",IFERROR(INDEX(Client_List!$D:$D,MATCH(B1249,Client_List!$B:$B,0)),""))</f>
        <v/>
      </c>
      <c r="E1249" s="16" t="str">
        <f>IF(B1249="","",IFERROR(INDEX(Client_List!$K:$K,MATCH(B1249,Client_List!$B:$B,0)),""))</f>
        <v/>
      </c>
      <c r="F1249" s="16" t="str">
        <f>IF(B1249="","",IFERROR(INDEX(Client_List!$J:$J,MATCH(B1249,Client_List!$B:$B,0)),""))</f>
        <v/>
      </c>
      <c r="G1249" s="16"/>
      <c r="H1249" s="16" t="str">
        <f>IF(B1249="","",IFERROR(A1249-LOOKUP(2,1/($B$4:$B1248=B1249),$A$4:$A1248),""))</f>
        <v/>
      </c>
      <c r="I1249" s="16" t="str">
        <f t="shared" si="19"/>
        <v/>
      </c>
      <c r="J1249" s="16"/>
      <c r="K1249" s="6" t="str">
        <f>IF(B1249="","",IFERROR(AVERAGEIFS($I$4:$I1249,$B$4:$B1249,B1249,$I$4:$I1249,"&gt;"&amp;0),""))</f>
        <v/>
      </c>
      <c r="L1249" s="16" t="str">
        <f>IF(B1249="","",IF(ISNA(MATCH(B1249,Client_List!$B:$B,0)),"⚠ NOT FOUND","✓"))</f>
        <v/>
      </c>
    </row>
    <row r="1250" spans="1:12" ht="14" customHeight="1" x14ac:dyDescent="0.2">
      <c r="A1250" s="59"/>
      <c r="B1250" s="18"/>
      <c r="C1250" s="19" t="str">
        <f>IF(B1250="","",IFERROR(INDEX(Client_List!$C:$C,MATCH(B1250,Client_List!$B:$B,0)),""))</f>
        <v/>
      </c>
      <c r="D1250" s="19" t="str">
        <f>IF(B1250="","",IFERROR(INDEX(Client_List!$D:$D,MATCH(B1250,Client_List!$B:$B,0)),""))</f>
        <v/>
      </c>
      <c r="E1250" s="19" t="str">
        <f>IF(B1250="","",IFERROR(INDEX(Client_List!$K:$K,MATCH(B1250,Client_List!$B:$B,0)),""))</f>
        <v/>
      </c>
      <c r="F1250" s="19" t="str">
        <f>IF(B1250="","",IFERROR(INDEX(Client_List!$J:$J,MATCH(B1250,Client_List!$B:$B,0)),""))</f>
        <v/>
      </c>
      <c r="G1250" s="19"/>
      <c r="H1250" s="19" t="str">
        <f>IF(B1250="","",IFERROR(A1250-LOOKUP(2,1/($B$4:$B1249=B1250),$A$4:$A1249),""))</f>
        <v/>
      </c>
      <c r="I1250" s="19" t="str">
        <f t="shared" si="19"/>
        <v/>
      </c>
      <c r="J1250" s="19"/>
      <c r="K1250" s="6" t="str">
        <f>IF(B1250="","",IFERROR(AVERAGEIFS($I$4:$I1250,$B$4:$B1250,B1250,$I$4:$I1250,"&gt;"&amp;0),""))</f>
        <v/>
      </c>
      <c r="L1250" s="19" t="str">
        <f>IF(B1250="","",IF(ISNA(MATCH(B1250,Client_List!$B:$B,0)),"⚠ NOT FOUND","✓"))</f>
        <v/>
      </c>
    </row>
    <row r="1251" spans="1:12" ht="14" customHeight="1" x14ac:dyDescent="0.2">
      <c r="A1251" s="58"/>
      <c r="B1251" s="15"/>
      <c r="C1251" s="16" t="str">
        <f>IF(B1251="","",IFERROR(INDEX(Client_List!$C:$C,MATCH(B1251,Client_List!$B:$B,0)),""))</f>
        <v/>
      </c>
      <c r="D1251" s="16" t="str">
        <f>IF(B1251="","",IFERROR(INDEX(Client_List!$D:$D,MATCH(B1251,Client_List!$B:$B,0)),""))</f>
        <v/>
      </c>
      <c r="E1251" s="16" t="str">
        <f>IF(B1251="","",IFERROR(INDEX(Client_List!$K:$K,MATCH(B1251,Client_List!$B:$B,0)),""))</f>
        <v/>
      </c>
      <c r="F1251" s="16" t="str">
        <f>IF(B1251="","",IFERROR(INDEX(Client_List!$J:$J,MATCH(B1251,Client_List!$B:$B,0)),""))</f>
        <v/>
      </c>
      <c r="G1251" s="16"/>
      <c r="H1251" s="16" t="str">
        <f>IF(B1251="","",IFERROR(A1251-LOOKUP(2,1/($B$4:$B1250=B1251),$A$4:$A1250),""))</f>
        <v/>
      </c>
      <c r="I1251" s="16" t="str">
        <f t="shared" si="19"/>
        <v/>
      </c>
      <c r="J1251" s="16"/>
      <c r="K1251" s="6" t="str">
        <f>IF(B1251="","",IFERROR(AVERAGEIFS($I$4:$I1251,$B$4:$B1251,B1251,$I$4:$I1251,"&gt;"&amp;0),""))</f>
        <v/>
      </c>
      <c r="L1251" s="16" t="str">
        <f>IF(B1251="","",IF(ISNA(MATCH(B1251,Client_List!$B:$B,0)),"⚠ NOT FOUND","✓"))</f>
        <v/>
      </c>
    </row>
    <row r="1252" spans="1:12" ht="14" customHeight="1" x14ac:dyDescent="0.2">
      <c r="A1252" s="59"/>
      <c r="B1252" s="18"/>
      <c r="C1252" s="19" t="str">
        <f>IF(B1252="","",IFERROR(INDEX(Client_List!$C:$C,MATCH(B1252,Client_List!$B:$B,0)),""))</f>
        <v/>
      </c>
      <c r="D1252" s="19" t="str">
        <f>IF(B1252="","",IFERROR(INDEX(Client_List!$D:$D,MATCH(B1252,Client_List!$B:$B,0)),""))</f>
        <v/>
      </c>
      <c r="E1252" s="19" t="str">
        <f>IF(B1252="","",IFERROR(INDEX(Client_List!$K:$K,MATCH(B1252,Client_List!$B:$B,0)),""))</f>
        <v/>
      </c>
      <c r="F1252" s="19" t="str">
        <f>IF(B1252="","",IFERROR(INDEX(Client_List!$J:$J,MATCH(B1252,Client_List!$B:$B,0)),""))</f>
        <v/>
      </c>
      <c r="G1252" s="19"/>
      <c r="H1252" s="19" t="str">
        <f>IF(B1252="","",IFERROR(A1252-LOOKUP(2,1/($B$4:$B1251=B1252),$A$4:$A1251),""))</f>
        <v/>
      </c>
      <c r="I1252" s="19" t="str">
        <f t="shared" si="19"/>
        <v/>
      </c>
      <c r="J1252" s="19"/>
      <c r="K1252" s="6" t="str">
        <f>IF(B1252="","",IFERROR(AVERAGEIFS($I$4:$I1252,$B$4:$B1252,B1252,$I$4:$I1252,"&gt;"&amp;0),""))</f>
        <v/>
      </c>
      <c r="L1252" s="19" t="str">
        <f>IF(B1252="","",IF(ISNA(MATCH(B1252,Client_List!$B:$B,0)),"⚠ NOT FOUND","✓"))</f>
        <v/>
      </c>
    </row>
    <row r="1253" spans="1:12" ht="14" customHeight="1" x14ac:dyDescent="0.2">
      <c r="A1253" s="58"/>
      <c r="B1253" s="15"/>
      <c r="C1253" s="16" t="str">
        <f>IF(B1253="","",IFERROR(INDEX(Client_List!$C:$C,MATCH(B1253,Client_List!$B:$B,0)),""))</f>
        <v/>
      </c>
      <c r="D1253" s="16" t="str">
        <f>IF(B1253="","",IFERROR(INDEX(Client_List!$D:$D,MATCH(B1253,Client_List!$B:$B,0)),""))</f>
        <v/>
      </c>
      <c r="E1253" s="16" t="str">
        <f>IF(B1253="","",IFERROR(INDEX(Client_List!$K:$K,MATCH(B1253,Client_List!$B:$B,0)),""))</f>
        <v/>
      </c>
      <c r="F1253" s="16" t="str">
        <f>IF(B1253="","",IFERROR(INDEX(Client_List!$J:$J,MATCH(B1253,Client_List!$B:$B,0)),""))</f>
        <v/>
      </c>
      <c r="G1253" s="16"/>
      <c r="H1253" s="16" t="str">
        <f>IF(B1253="","",IFERROR(A1253-LOOKUP(2,1/($B$4:$B1252=B1253),$A$4:$A1252),""))</f>
        <v/>
      </c>
      <c r="I1253" s="16" t="str">
        <f t="shared" si="19"/>
        <v/>
      </c>
      <c r="J1253" s="16"/>
      <c r="K1253" s="6" t="str">
        <f>IF(B1253="","",IFERROR(AVERAGEIFS($I$4:$I1253,$B$4:$B1253,B1253,$I$4:$I1253,"&gt;"&amp;0),""))</f>
        <v/>
      </c>
      <c r="L1253" s="16" t="str">
        <f>IF(B1253="","",IF(ISNA(MATCH(B1253,Client_List!$B:$B,0)),"⚠ NOT FOUND","✓"))</f>
        <v/>
      </c>
    </row>
    <row r="1254" spans="1:12" ht="14" customHeight="1" x14ac:dyDescent="0.2">
      <c r="A1254" s="59"/>
      <c r="B1254" s="18"/>
      <c r="C1254" s="19" t="str">
        <f>IF(B1254="","",IFERROR(INDEX(Client_List!$C:$C,MATCH(B1254,Client_List!$B:$B,0)),""))</f>
        <v/>
      </c>
      <c r="D1254" s="19" t="str">
        <f>IF(B1254="","",IFERROR(INDEX(Client_List!$D:$D,MATCH(B1254,Client_List!$B:$B,0)),""))</f>
        <v/>
      </c>
      <c r="E1254" s="19" t="str">
        <f>IF(B1254="","",IFERROR(INDEX(Client_List!$K:$K,MATCH(B1254,Client_List!$B:$B,0)),""))</f>
        <v/>
      </c>
      <c r="F1254" s="19" t="str">
        <f>IF(B1254="","",IFERROR(INDEX(Client_List!$J:$J,MATCH(B1254,Client_List!$B:$B,0)),""))</f>
        <v/>
      </c>
      <c r="G1254" s="19"/>
      <c r="H1254" s="19" t="str">
        <f>IF(B1254="","",IFERROR(A1254-LOOKUP(2,1/($B$4:$B1253=B1254),$A$4:$A1253),""))</f>
        <v/>
      </c>
      <c r="I1254" s="19" t="str">
        <f t="shared" si="19"/>
        <v/>
      </c>
      <c r="J1254" s="19"/>
      <c r="K1254" s="6" t="str">
        <f>IF(B1254="","",IFERROR(AVERAGEIFS($I$4:$I1254,$B$4:$B1254,B1254,$I$4:$I1254,"&gt;"&amp;0),""))</f>
        <v/>
      </c>
      <c r="L1254" s="19" t="str">
        <f>IF(B1254="","",IF(ISNA(MATCH(B1254,Client_List!$B:$B,0)),"⚠ NOT FOUND","✓"))</f>
        <v/>
      </c>
    </row>
    <row r="1255" spans="1:12" ht="14" customHeight="1" x14ac:dyDescent="0.2">
      <c r="A1255" s="58"/>
      <c r="B1255" s="15"/>
      <c r="C1255" s="16" t="str">
        <f>IF(B1255="","",IFERROR(INDEX(Client_List!$C:$C,MATCH(B1255,Client_List!$B:$B,0)),""))</f>
        <v/>
      </c>
      <c r="D1255" s="16" t="str">
        <f>IF(B1255="","",IFERROR(INDEX(Client_List!$D:$D,MATCH(B1255,Client_List!$B:$B,0)),""))</f>
        <v/>
      </c>
      <c r="E1255" s="16" t="str">
        <f>IF(B1255="","",IFERROR(INDEX(Client_List!$K:$K,MATCH(B1255,Client_List!$B:$B,0)),""))</f>
        <v/>
      </c>
      <c r="F1255" s="16" t="str">
        <f>IF(B1255="","",IFERROR(INDEX(Client_List!$J:$J,MATCH(B1255,Client_List!$B:$B,0)),""))</f>
        <v/>
      </c>
      <c r="G1255" s="16"/>
      <c r="H1255" s="16" t="str">
        <f>IF(B1255="","",IFERROR(A1255-LOOKUP(2,1/($B$4:$B1254=B1255),$A$4:$A1254),""))</f>
        <v/>
      </c>
      <c r="I1255" s="16" t="str">
        <f t="shared" si="19"/>
        <v/>
      </c>
      <c r="J1255" s="16"/>
      <c r="K1255" s="6" t="str">
        <f>IF(B1255="","",IFERROR(AVERAGEIFS($I$4:$I1255,$B$4:$B1255,B1255,$I$4:$I1255,"&gt;"&amp;0),""))</f>
        <v/>
      </c>
      <c r="L1255" s="16" t="str">
        <f>IF(B1255="","",IF(ISNA(MATCH(B1255,Client_List!$B:$B,0)),"⚠ NOT FOUND","✓"))</f>
        <v/>
      </c>
    </row>
    <row r="1256" spans="1:12" ht="14" customHeight="1" x14ac:dyDescent="0.2">
      <c r="A1256" s="59"/>
      <c r="B1256" s="18"/>
      <c r="C1256" s="19" t="str">
        <f>IF(B1256="","",IFERROR(INDEX(Client_List!$C:$C,MATCH(B1256,Client_List!$B:$B,0)),""))</f>
        <v/>
      </c>
      <c r="D1256" s="19" t="str">
        <f>IF(B1256="","",IFERROR(INDEX(Client_List!$D:$D,MATCH(B1256,Client_List!$B:$B,0)),""))</f>
        <v/>
      </c>
      <c r="E1256" s="19" t="str">
        <f>IF(B1256="","",IFERROR(INDEX(Client_List!$K:$K,MATCH(B1256,Client_List!$B:$B,0)),""))</f>
        <v/>
      </c>
      <c r="F1256" s="19" t="str">
        <f>IF(B1256="","",IFERROR(INDEX(Client_List!$J:$J,MATCH(B1256,Client_List!$B:$B,0)),""))</f>
        <v/>
      </c>
      <c r="G1256" s="19"/>
      <c r="H1256" s="19" t="str">
        <f>IF(B1256="","",IFERROR(A1256-LOOKUP(2,1/($B$4:$B1255=B1256),$A$4:$A1255),""))</f>
        <v/>
      </c>
      <c r="I1256" s="19" t="str">
        <f t="shared" si="19"/>
        <v/>
      </c>
      <c r="J1256" s="19"/>
      <c r="K1256" s="6" t="str">
        <f>IF(B1256="","",IFERROR(AVERAGEIFS($I$4:$I1256,$B$4:$B1256,B1256,$I$4:$I1256,"&gt;"&amp;0),""))</f>
        <v/>
      </c>
      <c r="L1256" s="19" t="str">
        <f>IF(B1256="","",IF(ISNA(MATCH(B1256,Client_List!$B:$B,0)),"⚠ NOT FOUND","✓"))</f>
        <v/>
      </c>
    </row>
    <row r="1257" spans="1:12" ht="14" customHeight="1" x14ac:dyDescent="0.2">
      <c r="A1257" s="58"/>
      <c r="B1257" s="15"/>
      <c r="C1257" s="16" t="str">
        <f>IF(B1257="","",IFERROR(INDEX(Client_List!$C:$C,MATCH(B1257,Client_List!$B:$B,0)),""))</f>
        <v/>
      </c>
      <c r="D1257" s="16" t="str">
        <f>IF(B1257="","",IFERROR(INDEX(Client_List!$D:$D,MATCH(B1257,Client_List!$B:$B,0)),""))</f>
        <v/>
      </c>
      <c r="E1257" s="16" t="str">
        <f>IF(B1257="","",IFERROR(INDEX(Client_List!$K:$K,MATCH(B1257,Client_List!$B:$B,0)),""))</f>
        <v/>
      </c>
      <c r="F1257" s="16" t="str">
        <f>IF(B1257="","",IFERROR(INDEX(Client_List!$J:$J,MATCH(B1257,Client_List!$B:$B,0)),""))</f>
        <v/>
      </c>
      <c r="G1257" s="16"/>
      <c r="H1257" s="16" t="str">
        <f>IF(B1257="","",IFERROR(A1257-LOOKUP(2,1/($B$4:$B1256=B1257),$A$4:$A1256),""))</f>
        <v/>
      </c>
      <c r="I1257" s="16" t="str">
        <f t="shared" si="19"/>
        <v/>
      </c>
      <c r="J1257" s="16"/>
      <c r="K1257" s="6" t="str">
        <f>IF(B1257="","",IFERROR(AVERAGEIFS($I$4:$I1257,$B$4:$B1257,B1257,$I$4:$I1257,"&gt;"&amp;0),""))</f>
        <v/>
      </c>
      <c r="L1257" s="16" t="str">
        <f>IF(B1257="","",IF(ISNA(MATCH(B1257,Client_List!$B:$B,0)),"⚠ NOT FOUND","✓"))</f>
        <v/>
      </c>
    </row>
    <row r="1258" spans="1:12" ht="14" customHeight="1" x14ac:dyDescent="0.2">
      <c r="A1258" s="59"/>
      <c r="B1258" s="18"/>
      <c r="C1258" s="19" t="str">
        <f>IF(B1258="","",IFERROR(INDEX(Client_List!$C:$C,MATCH(B1258,Client_List!$B:$B,0)),""))</f>
        <v/>
      </c>
      <c r="D1258" s="19" t="str">
        <f>IF(B1258="","",IFERROR(INDEX(Client_List!$D:$D,MATCH(B1258,Client_List!$B:$B,0)),""))</f>
        <v/>
      </c>
      <c r="E1258" s="19" t="str">
        <f>IF(B1258="","",IFERROR(INDEX(Client_List!$K:$K,MATCH(B1258,Client_List!$B:$B,0)),""))</f>
        <v/>
      </c>
      <c r="F1258" s="19" t="str">
        <f>IF(B1258="","",IFERROR(INDEX(Client_List!$J:$J,MATCH(B1258,Client_List!$B:$B,0)),""))</f>
        <v/>
      </c>
      <c r="G1258" s="19"/>
      <c r="H1258" s="19" t="str">
        <f>IF(B1258="","",IFERROR(A1258-LOOKUP(2,1/($B$4:$B1257=B1258),$A$4:$A1257),""))</f>
        <v/>
      </c>
      <c r="I1258" s="19" t="str">
        <f t="shared" si="19"/>
        <v/>
      </c>
      <c r="J1258" s="19"/>
      <c r="K1258" s="6" t="str">
        <f>IF(B1258="","",IFERROR(AVERAGEIFS($I$4:$I1258,$B$4:$B1258,B1258,$I$4:$I1258,"&gt;"&amp;0),""))</f>
        <v/>
      </c>
      <c r="L1258" s="19" t="str">
        <f>IF(B1258="","",IF(ISNA(MATCH(B1258,Client_List!$B:$B,0)),"⚠ NOT FOUND","✓"))</f>
        <v/>
      </c>
    </row>
    <row r="1259" spans="1:12" ht="14" customHeight="1" x14ac:dyDescent="0.2">
      <c r="A1259" s="58"/>
      <c r="B1259" s="15"/>
      <c r="C1259" s="16" t="str">
        <f>IF(B1259="","",IFERROR(INDEX(Client_List!$C:$C,MATCH(B1259,Client_List!$B:$B,0)),""))</f>
        <v/>
      </c>
      <c r="D1259" s="16" t="str">
        <f>IF(B1259="","",IFERROR(INDEX(Client_List!$D:$D,MATCH(B1259,Client_List!$B:$B,0)),""))</f>
        <v/>
      </c>
      <c r="E1259" s="16" t="str">
        <f>IF(B1259="","",IFERROR(INDEX(Client_List!$K:$K,MATCH(B1259,Client_List!$B:$B,0)),""))</f>
        <v/>
      </c>
      <c r="F1259" s="16" t="str">
        <f>IF(B1259="","",IFERROR(INDEX(Client_List!$J:$J,MATCH(B1259,Client_List!$B:$B,0)),""))</f>
        <v/>
      </c>
      <c r="G1259" s="16"/>
      <c r="H1259" s="16" t="str">
        <f>IF(B1259="","",IFERROR(A1259-LOOKUP(2,1/($B$4:$B1258=B1259),$A$4:$A1258),""))</f>
        <v/>
      </c>
      <c r="I1259" s="16" t="str">
        <f t="shared" si="19"/>
        <v/>
      </c>
      <c r="J1259" s="16"/>
      <c r="K1259" s="6" t="str">
        <f>IF(B1259="","",IFERROR(AVERAGEIFS($I$4:$I1259,$B$4:$B1259,B1259,$I$4:$I1259,"&gt;"&amp;0),""))</f>
        <v/>
      </c>
      <c r="L1259" s="16" t="str">
        <f>IF(B1259="","",IF(ISNA(MATCH(B1259,Client_List!$B:$B,0)),"⚠ NOT FOUND","✓"))</f>
        <v/>
      </c>
    </row>
    <row r="1260" spans="1:12" ht="14" customHeight="1" x14ac:dyDescent="0.2">
      <c r="A1260" s="59"/>
      <c r="B1260" s="18"/>
      <c r="C1260" s="19" t="str">
        <f>IF(B1260="","",IFERROR(INDEX(Client_List!$C:$C,MATCH(B1260,Client_List!$B:$B,0)),""))</f>
        <v/>
      </c>
      <c r="D1260" s="19" t="str">
        <f>IF(B1260="","",IFERROR(INDEX(Client_List!$D:$D,MATCH(B1260,Client_List!$B:$B,0)),""))</f>
        <v/>
      </c>
      <c r="E1260" s="19" t="str">
        <f>IF(B1260="","",IFERROR(INDEX(Client_List!$K:$K,MATCH(B1260,Client_List!$B:$B,0)),""))</f>
        <v/>
      </c>
      <c r="F1260" s="19" t="str">
        <f>IF(B1260="","",IFERROR(INDEX(Client_List!$J:$J,MATCH(B1260,Client_List!$B:$B,0)),""))</f>
        <v/>
      </c>
      <c r="G1260" s="19"/>
      <c r="H1260" s="19" t="str">
        <f>IF(B1260="","",IFERROR(A1260-LOOKUP(2,1/($B$4:$B1259=B1260),$A$4:$A1259),""))</f>
        <v/>
      </c>
      <c r="I1260" s="19" t="str">
        <f t="shared" si="19"/>
        <v/>
      </c>
      <c r="J1260" s="19"/>
      <c r="K1260" s="6" t="str">
        <f>IF(B1260="","",IFERROR(AVERAGEIFS($I$4:$I1260,$B$4:$B1260,B1260,$I$4:$I1260,"&gt;"&amp;0),""))</f>
        <v/>
      </c>
      <c r="L1260" s="19" t="str">
        <f>IF(B1260="","",IF(ISNA(MATCH(B1260,Client_List!$B:$B,0)),"⚠ NOT FOUND","✓"))</f>
        <v/>
      </c>
    </row>
    <row r="1261" spans="1:12" ht="14" customHeight="1" x14ac:dyDescent="0.2">
      <c r="A1261" s="58"/>
      <c r="B1261" s="15"/>
      <c r="C1261" s="16" t="str">
        <f>IF(B1261="","",IFERROR(INDEX(Client_List!$C:$C,MATCH(B1261,Client_List!$B:$B,0)),""))</f>
        <v/>
      </c>
      <c r="D1261" s="16" t="str">
        <f>IF(B1261="","",IFERROR(INDEX(Client_List!$D:$D,MATCH(B1261,Client_List!$B:$B,0)),""))</f>
        <v/>
      </c>
      <c r="E1261" s="16" t="str">
        <f>IF(B1261="","",IFERROR(INDEX(Client_List!$K:$K,MATCH(B1261,Client_List!$B:$B,0)),""))</f>
        <v/>
      </c>
      <c r="F1261" s="16" t="str">
        <f>IF(B1261="","",IFERROR(INDEX(Client_List!$J:$J,MATCH(B1261,Client_List!$B:$B,0)),""))</f>
        <v/>
      </c>
      <c r="G1261" s="16"/>
      <c r="H1261" s="16" t="str">
        <f>IF(B1261="","",IFERROR(A1261-LOOKUP(2,1/($B$4:$B1260=B1261),$A$4:$A1260),""))</f>
        <v/>
      </c>
      <c r="I1261" s="16" t="str">
        <f t="shared" si="19"/>
        <v/>
      </c>
      <c r="J1261" s="16"/>
      <c r="K1261" s="6" t="str">
        <f>IF(B1261="","",IFERROR(AVERAGEIFS($I$4:$I1261,$B$4:$B1261,B1261,$I$4:$I1261,"&gt;"&amp;0),""))</f>
        <v/>
      </c>
      <c r="L1261" s="16" t="str">
        <f>IF(B1261="","",IF(ISNA(MATCH(B1261,Client_List!$B:$B,0)),"⚠ NOT FOUND","✓"))</f>
        <v/>
      </c>
    </row>
    <row r="1262" spans="1:12" ht="14" customHeight="1" x14ac:dyDescent="0.2">
      <c r="A1262" s="59"/>
      <c r="B1262" s="18"/>
      <c r="C1262" s="19" t="str">
        <f>IF(B1262="","",IFERROR(INDEX(Client_List!$C:$C,MATCH(B1262,Client_List!$B:$B,0)),""))</f>
        <v/>
      </c>
      <c r="D1262" s="19" t="str">
        <f>IF(B1262="","",IFERROR(INDEX(Client_List!$D:$D,MATCH(B1262,Client_List!$B:$B,0)),""))</f>
        <v/>
      </c>
      <c r="E1262" s="19" t="str">
        <f>IF(B1262="","",IFERROR(INDEX(Client_List!$K:$K,MATCH(B1262,Client_List!$B:$B,0)),""))</f>
        <v/>
      </c>
      <c r="F1262" s="19" t="str">
        <f>IF(B1262="","",IFERROR(INDEX(Client_List!$J:$J,MATCH(B1262,Client_List!$B:$B,0)),""))</f>
        <v/>
      </c>
      <c r="G1262" s="19"/>
      <c r="H1262" s="19" t="str">
        <f>IF(B1262="","",IFERROR(A1262-LOOKUP(2,1/($B$4:$B1261=B1262),$A$4:$A1261),""))</f>
        <v/>
      </c>
      <c r="I1262" s="19" t="str">
        <f t="shared" si="19"/>
        <v/>
      </c>
      <c r="J1262" s="19"/>
      <c r="K1262" s="6" t="str">
        <f>IF(B1262="","",IFERROR(AVERAGEIFS($I$4:$I1262,$B$4:$B1262,B1262,$I$4:$I1262,"&gt;"&amp;0),""))</f>
        <v/>
      </c>
      <c r="L1262" s="19" t="str">
        <f>IF(B1262="","",IF(ISNA(MATCH(B1262,Client_List!$B:$B,0)),"⚠ NOT FOUND","✓"))</f>
        <v/>
      </c>
    </row>
    <row r="1263" spans="1:12" ht="14" customHeight="1" x14ac:dyDescent="0.2">
      <c r="A1263" s="58"/>
      <c r="B1263" s="15"/>
      <c r="C1263" s="16" t="str">
        <f>IF(B1263="","",IFERROR(INDEX(Client_List!$C:$C,MATCH(B1263,Client_List!$B:$B,0)),""))</f>
        <v/>
      </c>
      <c r="D1263" s="16" t="str">
        <f>IF(B1263="","",IFERROR(INDEX(Client_List!$D:$D,MATCH(B1263,Client_List!$B:$B,0)),""))</f>
        <v/>
      </c>
      <c r="E1263" s="16" t="str">
        <f>IF(B1263="","",IFERROR(INDEX(Client_List!$K:$K,MATCH(B1263,Client_List!$B:$B,0)),""))</f>
        <v/>
      </c>
      <c r="F1263" s="16" t="str">
        <f>IF(B1263="","",IFERROR(INDEX(Client_List!$J:$J,MATCH(B1263,Client_List!$B:$B,0)),""))</f>
        <v/>
      </c>
      <c r="G1263" s="16"/>
      <c r="H1263" s="16" t="str">
        <f>IF(B1263="","",IFERROR(A1263-LOOKUP(2,1/($B$4:$B1262=B1263),$A$4:$A1262),""))</f>
        <v/>
      </c>
      <c r="I1263" s="16" t="str">
        <f t="shared" si="19"/>
        <v/>
      </c>
      <c r="J1263" s="16"/>
      <c r="K1263" s="6" t="str">
        <f>IF(B1263="","",IFERROR(AVERAGEIFS($I$4:$I1263,$B$4:$B1263,B1263,$I$4:$I1263,"&gt;"&amp;0),""))</f>
        <v/>
      </c>
      <c r="L1263" s="16" t="str">
        <f>IF(B1263="","",IF(ISNA(MATCH(B1263,Client_List!$B:$B,0)),"⚠ NOT FOUND","✓"))</f>
        <v/>
      </c>
    </row>
    <row r="1264" spans="1:12" ht="14" customHeight="1" x14ac:dyDescent="0.2">
      <c r="A1264" s="59"/>
      <c r="B1264" s="18"/>
      <c r="C1264" s="19" t="str">
        <f>IF(B1264="","",IFERROR(INDEX(Client_List!$C:$C,MATCH(B1264,Client_List!$B:$B,0)),""))</f>
        <v/>
      </c>
      <c r="D1264" s="19" t="str">
        <f>IF(B1264="","",IFERROR(INDEX(Client_List!$D:$D,MATCH(B1264,Client_List!$B:$B,0)),""))</f>
        <v/>
      </c>
      <c r="E1264" s="19" t="str">
        <f>IF(B1264="","",IFERROR(INDEX(Client_List!$K:$K,MATCH(B1264,Client_List!$B:$B,0)),""))</f>
        <v/>
      </c>
      <c r="F1264" s="19" t="str">
        <f>IF(B1264="","",IFERROR(INDEX(Client_List!$J:$J,MATCH(B1264,Client_List!$B:$B,0)),""))</f>
        <v/>
      </c>
      <c r="G1264" s="19"/>
      <c r="H1264" s="19" t="str">
        <f>IF(B1264="","",IFERROR(A1264-LOOKUP(2,1/($B$4:$B1263=B1264),$A$4:$A1263),""))</f>
        <v/>
      </c>
      <c r="I1264" s="19" t="str">
        <f t="shared" si="19"/>
        <v/>
      </c>
      <c r="J1264" s="19"/>
      <c r="K1264" s="6" t="str">
        <f>IF(B1264="","",IFERROR(AVERAGEIFS($I$4:$I1264,$B$4:$B1264,B1264,$I$4:$I1264,"&gt;"&amp;0),""))</f>
        <v/>
      </c>
      <c r="L1264" s="19" t="str">
        <f>IF(B1264="","",IF(ISNA(MATCH(B1264,Client_List!$B:$B,0)),"⚠ NOT FOUND","✓"))</f>
        <v/>
      </c>
    </row>
    <row r="1265" spans="1:12" ht="14" customHeight="1" x14ac:dyDescent="0.2">
      <c r="A1265" s="58"/>
      <c r="B1265" s="15"/>
      <c r="C1265" s="16" t="str">
        <f>IF(B1265="","",IFERROR(INDEX(Client_List!$C:$C,MATCH(B1265,Client_List!$B:$B,0)),""))</f>
        <v/>
      </c>
      <c r="D1265" s="16" t="str">
        <f>IF(B1265="","",IFERROR(INDEX(Client_List!$D:$D,MATCH(B1265,Client_List!$B:$B,0)),""))</f>
        <v/>
      </c>
      <c r="E1265" s="16" t="str">
        <f>IF(B1265="","",IFERROR(INDEX(Client_List!$K:$K,MATCH(B1265,Client_List!$B:$B,0)),""))</f>
        <v/>
      </c>
      <c r="F1265" s="16" t="str">
        <f>IF(B1265="","",IFERROR(INDEX(Client_List!$J:$J,MATCH(B1265,Client_List!$B:$B,0)),""))</f>
        <v/>
      </c>
      <c r="G1265" s="16"/>
      <c r="H1265" s="16" t="str">
        <f>IF(B1265="","",IFERROR(A1265-LOOKUP(2,1/($B$4:$B1264=B1265),$A$4:$A1264),""))</f>
        <v/>
      </c>
      <c r="I1265" s="16" t="str">
        <f t="shared" si="19"/>
        <v/>
      </c>
      <c r="J1265" s="16"/>
      <c r="K1265" s="6" t="str">
        <f>IF(B1265="","",IFERROR(AVERAGEIFS($I$4:$I1265,$B$4:$B1265,B1265,$I$4:$I1265,"&gt;"&amp;0),""))</f>
        <v/>
      </c>
      <c r="L1265" s="16" t="str">
        <f>IF(B1265="","",IF(ISNA(MATCH(B1265,Client_List!$B:$B,0)),"⚠ NOT FOUND","✓"))</f>
        <v/>
      </c>
    </row>
    <row r="1266" spans="1:12" ht="14" customHeight="1" x14ac:dyDescent="0.2">
      <c r="A1266" s="59"/>
      <c r="B1266" s="18"/>
      <c r="C1266" s="19" t="str">
        <f>IF(B1266="","",IFERROR(INDEX(Client_List!$C:$C,MATCH(B1266,Client_List!$B:$B,0)),""))</f>
        <v/>
      </c>
      <c r="D1266" s="19" t="str">
        <f>IF(B1266="","",IFERROR(INDEX(Client_List!$D:$D,MATCH(B1266,Client_List!$B:$B,0)),""))</f>
        <v/>
      </c>
      <c r="E1266" s="19" t="str">
        <f>IF(B1266="","",IFERROR(INDEX(Client_List!$K:$K,MATCH(B1266,Client_List!$B:$B,0)),""))</f>
        <v/>
      </c>
      <c r="F1266" s="19" t="str">
        <f>IF(B1266="","",IFERROR(INDEX(Client_List!$J:$J,MATCH(B1266,Client_List!$B:$B,0)),""))</f>
        <v/>
      </c>
      <c r="G1266" s="19"/>
      <c r="H1266" s="19" t="str">
        <f>IF(B1266="","",IFERROR(A1266-LOOKUP(2,1/($B$4:$B1265=B1266),$A$4:$A1265),""))</f>
        <v/>
      </c>
      <c r="I1266" s="19" t="str">
        <f t="shared" si="19"/>
        <v/>
      </c>
      <c r="J1266" s="19"/>
      <c r="K1266" s="6" t="str">
        <f>IF(B1266="","",IFERROR(AVERAGEIFS($I$4:$I1266,$B$4:$B1266,B1266,$I$4:$I1266,"&gt;"&amp;0),""))</f>
        <v/>
      </c>
      <c r="L1266" s="19" t="str">
        <f>IF(B1266="","",IF(ISNA(MATCH(B1266,Client_List!$B:$B,0)),"⚠ NOT FOUND","✓"))</f>
        <v/>
      </c>
    </row>
    <row r="1267" spans="1:12" ht="14" customHeight="1" x14ac:dyDescent="0.2">
      <c r="A1267" s="58"/>
      <c r="B1267" s="15"/>
      <c r="C1267" s="16" t="str">
        <f>IF(B1267="","",IFERROR(INDEX(Client_List!$C:$C,MATCH(B1267,Client_List!$B:$B,0)),""))</f>
        <v/>
      </c>
      <c r="D1267" s="16" t="str">
        <f>IF(B1267="","",IFERROR(INDEX(Client_List!$D:$D,MATCH(B1267,Client_List!$B:$B,0)),""))</f>
        <v/>
      </c>
      <c r="E1267" s="16" t="str">
        <f>IF(B1267="","",IFERROR(INDEX(Client_List!$K:$K,MATCH(B1267,Client_List!$B:$B,0)),""))</f>
        <v/>
      </c>
      <c r="F1267" s="16" t="str">
        <f>IF(B1267="","",IFERROR(INDEX(Client_List!$J:$J,MATCH(B1267,Client_List!$B:$B,0)),""))</f>
        <v/>
      </c>
      <c r="G1267" s="16"/>
      <c r="H1267" s="16" t="str">
        <f>IF(B1267="","",IFERROR(A1267-LOOKUP(2,1/($B$4:$B1266=B1267),$A$4:$A1266),""))</f>
        <v/>
      </c>
      <c r="I1267" s="16" t="str">
        <f t="shared" si="19"/>
        <v/>
      </c>
      <c r="J1267" s="16"/>
      <c r="K1267" s="6" t="str">
        <f>IF(B1267="","",IFERROR(AVERAGEIFS($I$4:$I1267,$B$4:$B1267,B1267,$I$4:$I1267,"&gt;"&amp;0),""))</f>
        <v/>
      </c>
      <c r="L1267" s="16" t="str">
        <f>IF(B1267="","",IF(ISNA(MATCH(B1267,Client_List!$B:$B,0)),"⚠ NOT FOUND","✓"))</f>
        <v/>
      </c>
    </row>
    <row r="1268" spans="1:12" ht="14" customHeight="1" x14ac:dyDescent="0.2">
      <c r="A1268" s="59"/>
      <c r="B1268" s="18"/>
      <c r="C1268" s="19" t="str">
        <f>IF(B1268="","",IFERROR(INDEX(Client_List!$C:$C,MATCH(B1268,Client_List!$B:$B,0)),""))</f>
        <v/>
      </c>
      <c r="D1268" s="19" t="str">
        <f>IF(B1268="","",IFERROR(INDEX(Client_List!$D:$D,MATCH(B1268,Client_List!$B:$B,0)),""))</f>
        <v/>
      </c>
      <c r="E1268" s="19" t="str">
        <f>IF(B1268="","",IFERROR(INDEX(Client_List!$K:$K,MATCH(B1268,Client_List!$B:$B,0)),""))</f>
        <v/>
      </c>
      <c r="F1268" s="19" t="str">
        <f>IF(B1268="","",IFERROR(INDEX(Client_List!$J:$J,MATCH(B1268,Client_List!$B:$B,0)),""))</f>
        <v/>
      </c>
      <c r="G1268" s="19"/>
      <c r="H1268" s="19" t="str">
        <f>IF(B1268="","",IFERROR(A1268-LOOKUP(2,1/($B$4:$B1267=B1268),$A$4:$A1267),""))</f>
        <v/>
      </c>
      <c r="I1268" s="19" t="str">
        <f t="shared" si="19"/>
        <v/>
      </c>
      <c r="J1268" s="19"/>
      <c r="K1268" s="6" t="str">
        <f>IF(B1268="","",IFERROR(AVERAGEIFS($I$4:$I1268,$B$4:$B1268,B1268,$I$4:$I1268,"&gt;"&amp;0),""))</f>
        <v/>
      </c>
      <c r="L1268" s="19" t="str">
        <f>IF(B1268="","",IF(ISNA(MATCH(B1268,Client_List!$B:$B,0)),"⚠ NOT FOUND","✓"))</f>
        <v/>
      </c>
    </row>
    <row r="1269" spans="1:12" ht="14" customHeight="1" x14ac:dyDescent="0.2">
      <c r="A1269" s="58"/>
      <c r="B1269" s="15"/>
      <c r="C1269" s="16" t="str">
        <f>IF(B1269="","",IFERROR(INDEX(Client_List!$C:$C,MATCH(B1269,Client_List!$B:$B,0)),""))</f>
        <v/>
      </c>
      <c r="D1269" s="16" t="str">
        <f>IF(B1269="","",IFERROR(INDEX(Client_List!$D:$D,MATCH(B1269,Client_List!$B:$B,0)),""))</f>
        <v/>
      </c>
      <c r="E1269" s="16" t="str">
        <f>IF(B1269="","",IFERROR(INDEX(Client_List!$K:$K,MATCH(B1269,Client_List!$B:$B,0)),""))</f>
        <v/>
      </c>
      <c r="F1269" s="16" t="str">
        <f>IF(B1269="","",IFERROR(INDEX(Client_List!$J:$J,MATCH(B1269,Client_List!$B:$B,0)),""))</f>
        <v/>
      </c>
      <c r="G1269" s="16"/>
      <c r="H1269" s="16" t="str">
        <f>IF(B1269="","",IFERROR(A1269-LOOKUP(2,1/($B$4:$B1268=B1269),$A$4:$A1268),""))</f>
        <v/>
      </c>
      <c r="I1269" s="16" t="str">
        <f t="shared" si="19"/>
        <v/>
      </c>
      <c r="J1269" s="16"/>
      <c r="K1269" s="6" t="str">
        <f>IF(B1269="","",IFERROR(AVERAGEIFS($I$4:$I1269,$B$4:$B1269,B1269,$I$4:$I1269,"&gt;"&amp;0),""))</f>
        <v/>
      </c>
      <c r="L1269" s="16" t="str">
        <f>IF(B1269="","",IF(ISNA(MATCH(B1269,Client_List!$B:$B,0)),"⚠ NOT FOUND","✓"))</f>
        <v/>
      </c>
    </row>
    <row r="1270" spans="1:12" ht="14" customHeight="1" x14ac:dyDescent="0.2">
      <c r="A1270" s="59"/>
      <c r="B1270" s="18"/>
      <c r="C1270" s="19" t="str">
        <f>IF(B1270="","",IFERROR(INDEX(Client_List!$C:$C,MATCH(B1270,Client_List!$B:$B,0)),""))</f>
        <v/>
      </c>
      <c r="D1270" s="19" t="str">
        <f>IF(B1270="","",IFERROR(INDEX(Client_List!$D:$D,MATCH(B1270,Client_List!$B:$B,0)),""))</f>
        <v/>
      </c>
      <c r="E1270" s="19" t="str">
        <f>IF(B1270="","",IFERROR(INDEX(Client_List!$K:$K,MATCH(B1270,Client_List!$B:$B,0)),""))</f>
        <v/>
      </c>
      <c r="F1270" s="19" t="str">
        <f>IF(B1270="","",IFERROR(INDEX(Client_List!$J:$J,MATCH(B1270,Client_List!$B:$B,0)),""))</f>
        <v/>
      </c>
      <c r="G1270" s="19"/>
      <c r="H1270" s="19" t="str">
        <f>IF(B1270="","",IFERROR(A1270-LOOKUP(2,1/($B$4:$B1269=B1270),$A$4:$A1269),""))</f>
        <v/>
      </c>
      <c r="I1270" s="19" t="str">
        <f t="shared" si="19"/>
        <v/>
      </c>
      <c r="J1270" s="19"/>
      <c r="K1270" s="6" t="str">
        <f>IF(B1270="","",IFERROR(AVERAGEIFS($I$4:$I1270,$B$4:$B1270,B1270,$I$4:$I1270,"&gt;"&amp;0),""))</f>
        <v/>
      </c>
      <c r="L1270" s="19" t="str">
        <f>IF(B1270="","",IF(ISNA(MATCH(B1270,Client_List!$B:$B,0)),"⚠ NOT FOUND","✓"))</f>
        <v/>
      </c>
    </row>
    <row r="1271" spans="1:12" ht="14" customHeight="1" x14ac:dyDescent="0.2">
      <c r="A1271" s="58"/>
      <c r="B1271" s="15"/>
      <c r="C1271" s="16" t="str">
        <f>IF(B1271="","",IFERROR(INDEX(Client_List!$C:$C,MATCH(B1271,Client_List!$B:$B,0)),""))</f>
        <v/>
      </c>
      <c r="D1271" s="16" t="str">
        <f>IF(B1271="","",IFERROR(INDEX(Client_List!$D:$D,MATCH(B1271,Client_List!$B:$B,0)),""))</f>
        <v/>
      </c>
      <c r="E1271" s="16" t="str">
        <f>IF(B1271="","",IFERROR(INDEX(Client_List!$K:$K,MATCH(B1271,Client_List!$B:$B,0)),""))</f>
        <v/>
      </c>
      <c r="F1271" s="16" t="str">
        <f>IF(B1271="","",IFERROR(INDEX(Client_List!$J:$J,MATCH(B1271,Client_List!$B:$B,0)),""))</f>
        <v/>
      </c>
      <c r="G1271" s="16"/>
      <c r="H1271" s="16" t="str">
        <f>IF(B1271="","",IFERROR(A1271-LOOKUP(2,1/($B$4:$B1270=B1271),$A$4:$A1270),""))</f>
        <v/>
      </c>
      <c r="I1271" s="16" t="str">
        <f t="shared" si="19"/>
        <v/>
      </c>
      <c r="J1271" s="16"/>
      <c r="K1271" s="6" t="str">
        <f>IF(B1271="","",IFERROR(AVERAGEIFS($I$4:$I1271,$B$4:$B1271,B1271,$I$4:$I1271,"&gt;"&amp;0),""))</f>
        <v/>
      </c>
      <c r="L1271" s="16" t="str">
        <f>IF(B1271="","",IF(ISNA(MATCH(B1271,Client_List!$B:$B,0)),"⚠ NOT FOUND","✓"))</f>
        <v/>
      </c>
    </row>
    <row r="1272" spans="1:12" ht="14" customHeight="1" x14ac:dyDescent="0.2">
      <c r="A1272" s="59"/>
      <c r="B1272" s="18"/>
      <c r="C1272" s="19" t="str">
        <f>IF(B1272="","",IFERROR(INDEX(Client_List!$C:$C,MATCH(B1272,Client_List!$B:$B,0)),""))</f>
        <v/>
      </c>
      <c r="D1272" s="19" t="str">
        <f>IF(B1272="","",IFERROR(INDEX(Client_List!$D:$D,MATCH(B1272,Client_List!$B:$B,0)),""))</f>
        <v/>
      </c>
      <c r="E1272" s="19" t="str">
        <f>IF(B1272="","",IFERROR(INDEX(Client_List!$K:$K,MATCH(B1272,Client_List!$B:$B,0)),""))</f>
        <v/>
      </c>
      <c r="F1272" s="19" t="str">
        <f>IF(B1272="","",IFERROR(INDEX(Client_List!$J:$J,MATCH(B1272,Client_List!$B:$B,0)),""))</f>
        <v/>
      </c>
      <c r="G1272" s="19"/>
      <c r="H1272" s="19" t="str">
        <f>IF(B1272="","",IFERROR(A1272-LOOKUP(2,1/($B$4:$B1271=B1272),$A$4:$A1271),""))</f>
        <v/>
      </c>
      <c r="I1272" s="19" t="str">
        <f t="shared" si="19"/>
        <v/>
      </c>
      <c r="J1272" s="19"/>
      <c r="K1272" s="6" t="str">
        <f>IF(B1272="","",IFERROR(AVERAGEIFS($I$4:$I1272,$B$4:$B1272,B1272,$I$4:$I1272,"&gt;"&amp;0),""))</f>
        <v/>
      </c>
      <c r="L1272" s="19" t="str">
        <f>IF(B1272="","",IF(ISNA(MATCH(B1272,Client_List!$B:$B,0)),"⚠ NOT FOUND","✓"))</f>
        <v/>
      </c>
    </row>
    <row r="1273" spans="1:12" ht="14" customHeight="1" x14ac:dyDescent="0.2">
      <c r="A1273" s="58"/>
      <c r="B1273" s="15"/>
      <c r="C1273" s="16" t="str">
        <f>IF(B1273="","",IFERROR(INDEX(Client_List!$C:$C,MATCH(B1273,Client_List!$B:$B,0)),""))</f>
        <v/>
      </c>
      <c r="D1273" s="16" t="str">
        <f>IF(B1273="","",IFERROR(INDEX(Client_List!$D:$D,MATCH(B1273,Client_List!$B:$B,0)),""))</f>
        <v/>
      </c>
      <c r="E1273" s="16" t="str">
        <f>IF(B1273="","",IFERROR(INDEX(Client_List!$K:$K,MATCH(B1273,Client_List!$B:$B,0)),""))</f>
        <v/>
      </c>
      <c r="F1273" s="16" t="str">
        <f>IF(B1273="","",IFERROR(INDEX(Client_List!$J:$J,MATCH(B1273,Client_List!$B:$B,0)),""))</f>
        <v/>
      </c>
      <c r="G1273" s="16"/>
      <c r="H1273" s="16" t="str">
        <f>IF(B1273="","",IFERROR(A1273-LOOKUP(2,1/($B$4:$B1272=B1273),$A$4:$A1272),""))</f>
        <v/>
      </c>
      <c r="I1273" s="16" t="str">
        <f t="shared" si="19"/>
        <v/>
      </c>
      <c r="J1273" s="16"/>
      <c r="K1273" s="6" t="str">
        <f>IF(B1273="","",IFERROR(AVERAGEIFS($I$4:$I1273,$B$4:$B1273,B1273,$I$4:$I1273,"&gt;"&amp;0),""))</f>
        <v/>
      </c>
      <c r="L1273" s="16" t="str">
        <f>IF(B1273="","",IF(ISNA(MATCH(B1273,Client_List!$B:$B,0)),"⚠ NOT FOUND","✓"))</f>
        <v/>
      </c>
    </row>
    <row r="1274" spans="1:12" ht="14" customHeight="1" x14ac:dyDescent="0.2">
      <c r="A1274" s="59"/>
      <c r="B1274" s="18"/>
      <c r="C1274" s="19" t="str">
        <f>IF(B1274="","",IFERROR(INDEX(Client_List!$C:$C,MATCH(B1274,Client_List!$B:$B,0)),""))</f>
        <v/>
      </c>
      <c r="D1274" s="19" t="str">
        <f>IF(B1274="","",IFERROR(INDEX(Client_List!$D:$D,MATCH(B1274,Client_List!$B:$B,0)),""))</f>
        <v/>
      </c>
      <c r="E1274" s="19" t="str">
        <f>IF(B1274="","",IFERROR(INDEX(Client_List!$K:$K,MATCH(B1274,Client_List!$B:$B,0)),""))</f>
        <v/>
      </c>
      <c r="F1274" s="19" t="str">
        <f>IF(B1274="","",IFERROR(INDEX(Client_List!$J:$J,MATCH(B1274,Client_List!$B:$B,0)),""))</f>
        <v/>
      </c>
      <c r="G1274" s="19"/>
      <c r="H1274" s="19" t="str">
        <f>IF(B1274="","",IFERROR(A1274-LOOKUP(2,1/($B$4:$B1273=B1274),$A$4:$A1273),""))</f>
        <v/>
      </c>
      <c r="I1274" s="19" t="str">
        <f t="shared" si="19"/>
        <v/>
      </c>
      <c r="J1274" s="19"/>
      <c r="K1274" s="6" t="str">
        <f>IF(B1274="","",IFERROR(AVERAGEIFS($I$4:$I1274,$B$4:$B1274,B1274,$I$4:$I1274,"&gt;"&amp;0),""))</f>
        <v/>
      </c>
      <c r="L1274" s="19" t="str">
        <f>IF(B1274="","",IF(ISNA(MATCH(B1274,Client_List!$B:$B,0)),"⚠ NOT FOUND","✓"))</f>
        <v/>
      </c>
    </row>
    <row r="1275" spans="1:12" ht="14" customHeight="1" x14ac:dyDescent="0.2">
      <c r="A1275" s="58"/>
      <c r="B1275" s="15"/>
      <c r="C1275" s="16" t="str">
        <f>IF(B1275="","",IFERROR(INDEX(Client_List!$C:$C,MATCH(B1275,Client_List!$B:$B,0)),""))</f>
        <v/>
      </c>
      <c r="D1275" s="16" t="str">
        <f>IF(B1275="","",IFERROR(INDEX(Client_List!$D:$D,MATCH(B1275,Client_List!$B:$B,0)),""))</f>
        <v/>
      </c>
      <c r="E1275" s="16" t="str">
        <f>IF(B1275="","",IFERROR(INDEX(Client_List!$K:$K,MATCH(B1275,Client_List!$B:$B,0)),""))</f>
        <v/>
      </c>
      <c r="F1275" s="16" t="str">
        <f>IF(B1275="","",IFERROR(INDEX(Client_List!$J:$J,MATCH(B1275,Client_List!$B:$B,0)),""))</f>
        <v/>
      </c>
      <c r="G1275" s="16"/>
      <c r="H1275" s="16" t="str">
        <f>IF(B1275="","",IFERROR(A1275-LOOKUP(2,1/($B$4:$B1274=B1275),$A$4:$A1274),""))</f>
        <v/>
      </c>
      <c r="I1275" s="16" t="str">
        <f t="shared" si="19"/>
        <v/>
      </c>
      <c r="J1275" s="16"/>
      <c r="K1275" s="6" t="str">
        <f>IF(B1275="","",IFERROR(AVERAGEIFS($I$4:$I1275,$B$4:$B1275,B1275,$I$4:$I1275,"&gt;"&amp;0),""))</f>
        <v/>
      </c>
      <c r="L1275" s="16" t="str">
        <f>IF(B1275="","",IF(ISNA(MATCH(B1275,Client_List!$B:$B,0)),"⚠ NOT FOUND","✓"))</f>
        <v/>
      </c>
    </row>
    <row r="1276" spans="1:12" ht="14" customHeight="1" x14ac:dyDescent="0.2">
      <c r="A1276" s="59"/>
      <c r="B1276" s="18"/>
      <c r="C1276" s="19" t="str">
        <f>IF(B1276="","",IFERROR(INDEX(Client_List!$C:$C,MATCH(B1276,Client_List!$B:$B,0)),""))</f>
        <v/>
      </c>
      <c r="D1276" s="19" t="str">
        <f>IF(B1276="","",IFERROR(INDEX(Client_List!$D:$D,MATCH(B1276,Client_List!$B:$B,0)),""))</f>
        <v/>
      </c>
      <c r="E1276" s="19" t="str">
        <f>IF(B1276="","",IFERROR(INDEX(Client_List!$K:$K,MATCH(B1276,Client_List!$B:$B,0)),""))</f>
        <v/>
      </c>
      <c r="F1276" s="19" t="str">
        <f>IF(B1276="","",IFERROR(INDEX(Client_List!$J:$J,MATCH(B1276,Client_List!$B:$B,0)),""))</f>
        <v/>
      </c>
      <c r="G1276" s="19"/>
      <c r="H1276" s="19" t="str">
        <f>IF(B1276="","",IFERROR(A1276-LOOKUP(2,1/($B$4:$B1275=B1276),$A$4:$A1275),""))</f>
        <v/>
      </c>
      <c r="I1276" s="19" t="str">
        <f t="shared" si="19"/>
        <v/>
      </c>
      <c r="J1276" s="19"/>
      <c r="K1276" s="6" t="str">
        <f>IF(B1276="","",IFERROR(AVERAGEIFS($I$4:$I1276,$B$4:$B1276,B1276,$I$4:$I1276,"&gt;"&amp;0),""))</f>
        <v/>
      </c>
      <c r="L1276" s="19" t="str">
        <f>IF(B1276="","",IF(ISNA(MATCH(B1276,Client_List!$B:$B,0)),"⚠ NOT FOUND","✓"))</f>
        <v/>
      </c>
    </row>
    <row r="1277" spans="1:12" ht="14" customHeight="1" x14ac:dyDescent="0.2">
      <c r="A1277" s="58"/>
      <c r="B1277" s="15"/>
      <c r="C1277" s="16" t="str">
        <f>IF(B1277="","",IFERROR(INDEX(Client_List!$C:$C,MATCH(B1277,Client_List!$B:$B,0)),""))</f>
        <v/>
      </c>
      <c r="D1277" s="16" t="str">
        <f>IF(B1277="","",IFERROR(INDEX(Client_List!$D:$D,MATCH(B1277,Client_List!$B:$B,0)),""))</f>
        <v/>
      </c>
      <c r="E1277" s="16" t="str">
        <f>IF(B1277="","",IFERROR(INDEX(Client_List!$K:$K,MATCH(B1277,Client_List!$B:$B,0)),""))</f>
        <v/>
      </c>
      <c r="F1277" s="16" t="str">
        <f>IF(B1277="","",IFERROR(INDEX(Client_List!$J:$J,MATCH(B1277,Client_List!$B:$B,0)),""))</f>
        <v/>
      </c>
      <c r="G1277" s="16"/>
      <c r="H1277" s="16" t="str">
        <f>IF(B1277="","",IFERROR(A1277-LOOKUP(2,1/($B$4:$B1276=B1277),$A$4:$A1276),""))</f>
        <v/>
      </c>
      <c r="I1277" s="16" t="str">
        <f t="shared" si="19"/>
        <v/>
      </c>
      <c r="J1277" s="16"/>
      <c r="K1277" s="6" t="str">
        <f>IF(B1277="","",IFERROR(AVERAGEIFS($I$4:$I1277,$B$4:$B1277,B1277,$I$4:$I1277,"&gt;"&amp;0),""))</f>
        <v/>
      </c>
      <c r="L1277" s="16" t="str">
        <f>IF(B1277="","",IF(ISNA(MATCH(B1277,Client_List!$B:$B,0)),"⚠ NOT FOUND","✓"))</f>
        <v/>
      </c>
    </row>
    <row r="1278" spans="1:12" ht="14" customHeight="1" x14ac:dyDescent="0.2">
      <c r="A1278" s="59"/>
      <c r="B1278" s="18"/>
      <c r="C1278" s="19" t="str">
        <f>IF(B1278="","",IFERROR(INDEX(Client_List!$C:$C,MATCH(B1278,Client_List!$B:$B,0)),""))</f>
        <v/>
      </c>
      <c r="D1278" s="19" t="str">
        <f>IF(B1278="","",IFERROR(INDEX(Client_List!$D:$D,MATCH(B1278,Client_List!$B:$B,0)),""))</f>
        <v/>
      </c>
      <c r="E1278" s="19" t="str">
        <f>IF(B1278="","",IFERROR(INDEX(Client_List!$K:$K,MATCH(B1278,Client_List!$B:$B,0)),""))</f>
        <v/>
      </c>
      <c r="F1278" s="19" t="str">
        <f>IF(B1278="","",IFERROR(INDEX(Client_List!$J:$J,MATCH(B1278,Client_List!$B:$B,0)),""))</f>
        <v/>
      </c>
      <c r="G1278" s="19"/>
      <c r="H1278" s="19" t="str">
        <f>IF(B1278="","",IFERROR(A1278-LOOKUP(2,1/($B$4:$B1277=B1278),$A$4:$A1277),""))</f>
        <v/>
      </c>
      <c r="I1278" s="19" t="str">
        <f t="shared" si="19"/>
        <v/>
      </c>
      <c r="J1278" s="19"/>
      <c r="K1278" s="6" t="str">
        <f>IF(B1278="","",IFERROR(AVERAGEIFS($I$4:$I1278,$B$4:$B1278,B1278,$I$4:$I1278,"&gt;"&amp;0),""))</f>
        <v/>
      </c>
      <c r="L1278" s="19" t="str">
        <f>IF(B1278="","",IF(ISNA(MATCH(B1278,Client_List!$B:$B,0)),"⚠ NOT FOUND","✓"))</f>
        <v/>
      </c>
    </row>
    <row r="1279" spans="1:12" ht="14" customHeight="1" x14ac:dyDescent="0.2">
      <c r="A1279" s="58"/>
      <c r="B1279" s="15"/>
      <c r="C1279" s="16" t="str">
        <f>IF(B1279="","",IFERROR(INDEX(Client_List!$C:$C,MATCH(B1279,Client_List!$B:$B,0)),""))</f>
        <v/>
      </c>
      <c r="D1279" s="16" t="str">
        <f>IF(B1279="","",IFERROR(INDEX(Client_List!$D:$D,MATCH(B1279,Client_List!$B:$B,0)),""))</f>
        <v/>
      </c>
      <c r="E1279" s="16" t="str">
        <f>IF(B1279="","",IFERROR(INDEX(Client_List!$K:$K,MATCH(B1279,Client_List!$B:$B,0)),""))</f>
        <v/>
      </c>
      <c r="F1279" s="16" t="str">
        <f>IF(B1279="","",IFERROR(INDEX(Client_List!$J:$J,MATCH(B1279,Client_List!$B:$B,0)),""))</f>
        <v/>
      </c>
      <c r="G1279" s="16"/>
      <c r="H1279" s="16" t="str">
        <f>IF(B1279="","",IFERROR(A1279-LOOKUP(2,1/($B$4:$B1278=B1279),$A$4:$A1278),""))</f>
        <v/>
      </c>
      <c r="I1279" s="16" t="str">
        <f t="shared" si="19"/>
        <v/>
      </c>
      <c r="J1279" s="16"/>
      <c r="K1279" s="6" t="str">
        <f>IF(B1279="","",IFERROR(AVERAGEIFS($I$4:$I1279,$B$4:$B1279,B1279,$I$4:$I1279,"&gt;"&amp;0),""))</f>
        <v/>
      </c>
      <c r="L1279" s="16" t="str">
        <f>IF(B1279="","",IF(ISNA(MATCH(B1279,Client_List!$B:$B,0)),"⚠ NOT FOUND","✓"))</f>
        <v/>
      </c>
    </row>
    <row r="1280" spans="1:12" ht="14" customHeight="1" x14ac:dyDescent="0.2">
      <c r="A1280" s="59"/>
      <c r="B1280" s="18"/>
      <c r="C1280" s="19" t="str">
        <f>IF(B1280="","",IFERROR(INDEX(Client_List!$C:$C,MATCH(B1280,Client_List!$B:$B,0)),""))</f>
        <v/>
      </c>
      <c r="D1280" s="19" t="str">
        <f>IF(B1280="","",IFERROR(INDEX(Client_List!$D:$D,MATCH(B1280,Client_List!$B:$B,0)),""))</f>
        <v/>
      </c>
      <c r="E1280" s="19" t="str">
        <f>IF(B1280="","",IFERROR(INDEX(Client_List!$K:$K,MATCH(B1280,Client_List!$B:$B,0)),""))</f>
        <v/>
      </c>
      <c r="F1280" s="19" t="str">
        <f>IF(B1280="","",IFERROR(INDEX(Client_List!$J:$J,MATCH(B1280,Client_List!$B:$B,0)),""))</f>
        <v/>
      </c>
      <c r="G1280" s="19"/>
      <c r="H1280" s="19" t="str">
        <f>IF(B1280="","",IFERROR(A1280-LOOKUP(2,1/($B$4:$B1279=B1280),$A$4:$A1279),""))</f>
        <v/>
      </c>
      <c r="I1280" s="19" t="str">
        <f t="shared" si="19"/>
        <v/>
      </c>
      <c r="J1280" s="19"/>
      <c r="K1280" s="6" t="str">
        <f>IF(B1280="","",IFERROR(AVERAGEIFS($I$4:$I1280,$B$4:$B1280,B1280,$I$4:$I1280,"&gt;"&amp;0),""))</f>
        <v/>
      </c>
      <c r="L1280" s="19" t="str">
        <f>IF(B1280="","",IF(ISNA(MATCH(B1280,Client_List!$B:$B,0)),"⚠ NOT FOUND","✓"))</f>
        <v/>
      </c>
    </row>
    <row r="1281" spans="1:12" ht="14" customHeight="1" x14ac:dyDescent="0.2">
      <c r="A1281" s="58"/>
      <c r="B1281" s="15"/>
      <c r="C1281" s="16" t="str">
        <f>IF(B1281="","",IFERROR(INDEX(Client_List!$C:$C,MATCH(B1281,Client_List!$B:$B,0)),""))</f>
        <v/>
      </c>
      <c r="D1281" s="16" t="str">
        <f>IF(B1281="","",IFERROR(INDEX(Client_List!$D:$D,MATCH(B1281,Client_List!$B:$B,0)),""))</f>
        <v/>
      </c>
      <c r="E1281" s="16" t="str">
        <f>IF(B1281="","",IFERROR(INDEX(Client_List!$K:$K,MATCH(B1281,Client_List!$B:$B,0)),""))</f>
        <v/>
      </c>
      <c r="F1281" s="16" t="str">
        <f>IF(B1281="","",IFERROR(INDEX(Client_List!$J:$J,MATCH(B1281,Client_List!$B:$B,0)),""))</f>
        <v/>
      </c>
      <c r="G1281" s="16"/>
      <c r="H1281" s="16" t="str">
        <f>IF(B1281="","",IFERROR(A1281-LOOKUP(2,1/($B$4:$B1280=B1281),$A$4:$A1280),""))</f>
        <v/>
      </c>
      <c r="I1281" s="16" t="str">
        <f t="shared" si="19"/>
        <v/>
      </c>
      <c r="J1281" s="16"/>
      <c r="K1281" s="6" t="str">
        <f>IF(B1281="","",IFERROR(AVERAGEIFS($I$4:$I1281,$B$4:$B1281,B1281,$I$4:$I1281,"&gt;"&amp;0),""))</f>
        <v/>
      </c>
      <c r="L1281" s="16" t="str">
        <f>IF(B1281="","",IF(ISNA(MATCH(B1281,Client_List!$B:$B,0)),"⚠ NOT FOUND","✓"))</f>
        <v/>
      </c>
    </row>
    <row r="1282" spans="1:12" ht="14" customHeight="1" x14ac:dyDescent="0.2">
      <c r="A1282" s="59"/>
      <c r="B1282" s="18"/>
      <c r="C1282" s="19" t="str">
        <f>IF(B1282="","",IFERROR(INDEX(Client_List!$C:$C,MATCH(B1282,Client_List!$B:$B,0)),""))</f>
        <v/>
      </c>
      <c r="D1282" s="19" t="str">
        <f>IF(B1282="","",IFERROR(INDEX(Client_List!$D:$D,MATCH(B1282,Client_List!$B:$B,0)),""))</f>
        <v/>
      </c>
      <c r="E1282" s="19" t="str">
        <f>IF(B1282="","",IFERROR(INDEX(Client_List!$K:$K,MATCH(B1282,Client_List!$B:$B,0)),""))</f>
        <v/>
      </c>
      <c r="F1282" s="19" t="str">
        <f>IF(B1282="","",IFERROR(INDEX(Client_List!$J:$J,MATCH(B1282,Client_List!$B:$B,0)),""))</f>
        <v/>
      </c>
      <c r="G1282" s="19"/>
      <c r="H1282" s="19" t="str">
        <f>IF(B1282="","",IFERROR(A1282-LOOKUP(2,1/($B$4:$B1281=B1282),$A$4:$A1281),""))</f>
        <v/>
      </c>
      <c r="I1282" s="19" t="str">
        <f t="shared" si="19"/>
        <v/>
      </c>
      <c r="J1282" s="19"/>
      <c r="K1282" s="6" t="str">
        <f>IF(B1282="","",IFERROR(AVERAGEIFS($I$4:$I1282,$B$4:$B1282,B1282,$I$4:$I1282,"&gt;"&amp;0),""))</f>
        <v/>
      </c>
      <c r="L1282" s="19" t="str">
        <f>IF(B1282="","",IF(ISNA(MATCH(B1282,Client_List!$B:$B,0)),"⚠ NOT FOUND","✓"))</f>
        <v/>
      </c>
    </row>
    <row r="1283" spans="1:12" ht="14" customHeight="1" x14ac:dyDescent="0.2">
      <c r="A1283" s="58"/>
      <c r="B1283" s="15"/>
      <c r="C1283" s="16" t="str">
        <f>IF(B1283="","",IFERROR(INDEX(Client_List!$C:$C,MATCH(B1283,Client_List!$B:$B,0)),""))</f>
        <v/>
      </c>
      <c r="D1283" s="16" t="str">
        <f>IF(B1283="","",IFERROR(INDEX(Client_List!$D:$D,MATCH(B1283,Client_List!$B:$B,0)),""))</f>
        <v/>
      </c>
      <c r="E1283" s="16" t="str">
        <f>IF(B1283="","",IFERROR(INDEX(Client_List!$K:$K,MATCH(B1283,Client_List!$B:$B,0)),""))</f>
        <v/>
      </c>
      <c r="F1283" s="16" t="str">
        <f>IF(B1283="","",IFERROR(INDEX(Client_List!$J:$J,MATCH(B1283,Client_List!$B:$B,0)),""))</f>
        <v/>
      </c>
      <c r="G1283" s="16"/>
      <c r="H1283" s="16" t="str">
        <f>IF(B1283="","",IFERROR(A1283-LOOKUP(2,1/($B$4:$B1282=B1283),$A$4:$A1282),""))</f>
        <v/>
      </c>
      <c r="I1283" s="16" t="str">
        <f t="shared" si="19"/>
        <v/>
      </c>
      <c r="J1283" s="16"/>
      <c r="K1283" s="6" t="str">
        <f>IF(B1283="","",IFERROR(AVERAGEIFS($I$4:$I1283,$B$4:$B1283,B1283,$I$4:$I1283,"&gt;"&amp;0),""))</f>
        <v/>
      </c>
      <c r="L1283" s="16" t="str">
        <f>IF(B1283="","",IF(ISNA(MATCH(B1283,Client_List!$B:$B,0)),"⚠ NOT FOUND","✓"))</f>
        <v/>
      </c>
    </row>
    <row r="1284" spans="1:12" ht="14" customHeight="1" x14ac:dyDescent="0.2">
      <c r="A1284" s="59"/>
      <c r="B1284" s="18"/>
      <c r="C1284" s="19" t="str">
        <f>IF(B1284="","",IFERROR(INDEX(Client_List!$C:$C,MATCH(B1284,Client_List!$B:$B,0)),""))</f>
        <v/>
      </c>
      <c r="D1284" s="19" t="str">
        <f>IF(B1284="","",IFERROR(INDEX(Client_List!$D:$D,MATCH(B1284,Client_List!$B:$B,0)),""))</f>
        <v/>
      </c>
      <c r="E1284" s="19" t="str">
        <f>IF(B1284="","",IFERROR(INDEX(Client_List!$K:$K,MATCH(B1284,Client_List!$B:$B,0)),""))</f>
        <v/>
      </c>
      <c r="F1284" s="19" t="str">
        <f>IF(B1284="","",IFERROR(INDEX(Client_List!$J:$J,MATCH(B1284,Client_List!$B:$B,0)),""))</f>
        <v/>
      </c>
      <c r="G1284" s="19"/>
      <c r="H1284" s="19" t="str">
        <f>IF(B1284="","",IFERROR(A1284-LOOKUP(2,1/($B$4:$B1283=B1284),$A$4:$A1283),""))</f>
        <v/>
      </c>
      <c r="I1284" s="19" t="str">
        <f t="shared" ref="I1284:I1347" si="20">IF(B1284="","",IFERROR(G1284/H1284,""))</f>
        <v/>
      </c>
      <c r="J1284" s="19"/>
      <c r="K1284" s="6" t="str">
        <f>IF(B1284="","",IFERROR(AVERAGEIFS($I$4:$I1284,$B$4:$B1284,B1284,$I$4:$I1284,"&gt;"&amp;0),""))</f>
        <v/>
      </c>
      <c r="L1284" s="19" t="str">
        <f>IF(B1284="","",IF(ISNA(MATCH(B1284,Client_List!$B:$B,0)),"⚠ NOT FOUND","✓"))</f>
        <v/>
      </c>
    </row>
    <row r="1285" spans="1:12" ht="14" customHeight="1" x14ac:dyDescent="0.2">
      <c r="A1285" s="58"/>
      <c r="B1285" s="15"/>
      <c r="C1285" s="16" t="str">
        <f>IF(B1285="","",IFERROR(INDEX(Client_List!$C:$C,MATCH(B1285,Client_List!$B:$B,0)),""))</f>
        <v/>
      </c>
      <c r="D1285" s="16" t="str">
        <f>IF(B1285="","",IFERROR(INDEX(Client_List!$D:$D,MATCH(B1285,Client_List!$B:$B,0)),""))</f>
        <v/>
      </c>
      <c r="E1285" s="16" t="str">
        <f>IF(B1285="","",IFERROR(INDEX(Client_List!$K:$K,MATCH(B1285,Client_List!$B:$B,0)),""))</f>
        <v/>
      </c>
      <c r="F1285" s="16" t="str">
        <f>IF(B1285="","",IFERROR(INDEX(Client_List!$J:$J,MATCH(B1285,Client_List!$B:$B,0)),""))</f>
        <v/>
      </c>
      <c r="G1285" s="16"/>
      <c r="H1285" s="16" t="str">
        <f>IF(B1285="","",IFERROR(A1285-LOOKUP(2,1/($B$4:$B1284=B1285),$A$4:$A1284),""))</f>
        <v/>
      </c>
      <c r="I1285" s="16" t="str">
        <f t="shared" si="20"/>
        <v/>
      </c>
      <c r="J1285" s="16"/>
      <c r="K1285" s="6" t="str">
        <f>IF(B1285="","",IFERROR(AVERAGEIFS($I$4:$I1285,$B$4:$B1285,B1285,$I$4:$I1285,"&gt;"&amp;0),""))</f>
        <v/>
      </c>
      <c r="L1285" s="16" t="str">
        <f>IF(B1285="","",IF(ISNA(MATCH(B1285,Client_List!$B:$B,0)),"⚠ NOT FOUND","✓"))</f>
        <v/>
      </c>
    </row>
    <row r="1286" spans="1:12" ht="14" customHeight="1" x14ac:dyDescent="0.2">
      <c r="A1286" s="59"/>
      <c r="B1286" s="18"/>
      <c r="C1286" s="19" t="str">
        <f>IF(B1286="","",IFERROR(INDEX(Client_List!$C:$C,MATCH(B1286,Client_List!$B:$B,0)),""))</f>
        <v/>
      </c>
      <c r="D1286" s="19" t="str">
        <f>IF(B1286="","",IFERROR(INDEX(Client_List!$D:$D,MATCH(B1286,Client_List!$B:$B,0)),""))</f>
        <v/>
      </c>
      <c r="E1286" s="19" t="str">
        <f>IF(B1286="","",IFERROR(INDEX(Client_List!$K:$K,MATCH(B1286,Client_List!$B:$B,0)),""))</f>
        <v/>
      </c>
      <c r="F1286" s="19" t="str">
        <f>IF(B1286="","",IFERROR(INDEX(Client_List!$J:$J,MATCH(B1286,Client_List!$B:$B,0)),""))</f>
        <v/>
      </c>
      <c r="G1286" s="19"/>
      <c r="H1286" s="19" t="str">
        <f>IF(B1286="","",IFERROR(A1286-LOOKUP(2,1/($B$4:$B1285=B1286),$A$4:$A1285),""))</f>
        <v/>
      </c>
      <c r="I1286" s="19" t="str">
        <f t="shared" si="20"/>
        <v/>
      </c>
      <c r="J1286" s="19"/>
      <c r="K1286" s="6" t="str">
        <f>IF(B1286="","",IFERROR(AVERAGEIFS($I$4:$I1286,$B$4:$B1286,B1286,$I$4:$I1286,"&gt;"&amp;0),""))</f>
        <v/>
      </c>
      <c r="L1286" s="19" t="str">
        <f>IF(B1286="","",IF(ISNA(MATCH(B1286,Client_List!$B:$B,0)),"⚠ NOT FOUND","✓"))</f>
        <v/>
      </c>
    </row>
    <row r="1287" spans="1:12" ht="14" customHeight="1" x14ac:dyDescent="0.2">
      <c r="A1287" s="58"/>
      <c r="B1287" s="15"/>
      <c r="C1287" s="16" t="str">
        <f>IF(B1287="","",IFERROR(INDEX(Client_List!$C:$C,MATCH(B1287,Client_List!$B:$B,0)),""))</f>
        <v/>
      </c>
      <c r="D1287" s="16" t="str">
        <f>IF(B1287="","",IFERROR(INDEX(Client_List!$D:$D,MATCH(B1287,Client_List!$B:$B,0)),""))</f>
        <v/>
      </c>
      <c r="E1287" s="16" t="str">
        <f>IF(B1287="","",IFERROR(INDEX(Client_List!$K:$K,MATCH(B1287,Client_List!$B:$B,0)),""))</f>
        <v/>
      </c>
      <c r="F1287" s="16" t="str">
        <f>IF(B1287="","",IFERROR(INDEX(Client_List!$J:$J,MATCH(B1287,Client_List!$B:$B,0)),""))</f>
        <v/>
      </c>
      <c r="G1287" s="16"/>
      <c r="H1287" s="16" t="str">
        <f>IF(B1287="","",IFERROR(A1287-LOOKUP(2,1/($B$4:$B1286=B1287),$A$4:$A1286),""))</f>
        <v/>
      </c>
      <c r="I1287" s="16" t="str">
        <f t="shared" si="20"/>
        <v/>
      </c>
      <c r="J1287" s="16"/>
      <c r="K1287" s="6" t="str">
        <f>IF(B1287="","",IFERROR(AVERAGEIFS($I$4:$I1287,$B$4:$B1287,B1287,$I$4:$I1287,"&gt;"&amp;0),""))</f>
        <v/>
      </c>
      <c r="L1287" s="16" t="str">
        <f>IF(B1287="","",IF(ISNA(MATCH(B1287,Client_List!$B:$B,0)),"⚠ NOT FOUND","✓"))</f>
        <v/>
      </c>
    </row>
    <row r="1288" spans="1:12" ht="14" customHeight="1" x14ac:dyDescent="0.2">
      <c r="A1288" s="59"/>
      <c r="B1288" s="18"/>
      <c r="C1288" s="19" t="str">
        <f>IF(B1288="","",IFERROR(INDEX(Client_List!$C:$C,MATCH(B1288,Client_List!$B:$B,0)),""))</f>
        <v/>
      </c>
      <c r="D1288" s="19" t="str">
        <f>IF(B1288="","",IFERROR(INDEX(Client_List!$D:$D,MATCH(B1288,Client_List!$B:$B,0)),""))</f>
        <v/>
      </c>
      <c r="E1288" s="19" t="str">
        <f>IF(B1288="","",IFERROR(INDEX(Client_List!$K:$K,MATCH(B1288,Client_List!$B:$B,0)),""))</f>
        <v/>
      </c>
      <c r="F1288" s="19" t="str">
        <f>IF(B1288="","",IFERROR(INDEX(Client_List!$J:$J,MATCH(B1288,Client_List!$B:$B,0)),""))</f>
        <v/>
      </c>
      <c r="G1288" s="19"/>
      <c r="H1288" s="19" t="str">
        <f>IF(B1288="","",IFERROR(A1288-LOOKUP(2,1/($B$4:$B1287=B1288),$A$4:$A1287),""))</f>
        <v/>
      </c>
      <c r="I1288" s="19" t="str">
        <f t="shared" si="20"/>
        <v/>
      </c>
      <c r="J1288" s="19"/>
      <c r="K1288" s="6" t="str">
        <f>IF(B1288="","",IFERROR(AVERAGEIFS($I$4:$I1288,$B$4:$B1288,B1288,$I$4:$I1288,"&gt;"&amp;0),""))</f>
        <v/>
      </c>
      <c r="L1288" s="19" t="str">
        <f>IF(B1288="","",IF(ISNA(MATCH(B1288,Client_List!$B:$B,0)),"⚠ NOT FOUND","✓"))</f>
        <v/>
      </c>
    </row>
    <row r="1289" spans="1:12" ht="14" customHeight="1" x14ac:dyDescent="0.2">
      <c r="A1289" s="58"/>
      <c r="B1289" s="15"/>
      <c r="C1289" s="16" t="str">
        <f>IF(B1289="","",IFERROR(INDEX(Client_List!$C:$C,MATCH(B1289,Client_List!$B:$B,0)),""))</f>
        <v/>
      </c>
      <c r="D1289" s="16" t="str">
        <f>IF(B1289="","",IFERROR(INDEX(Client_List!$D:$D,MATCH(B1289,Client_List!$B:$B,0)),""))</f>
        <v/>
      </c>
      <c r="E1289" s="16" t="str">
        <f>IF(B1289="","",IFERROR(INDEX(Client_List!$K:$K,MATCH(B1289,Client_List!$B:$B,0)),""))</f>
        <v/>
      </c>
      <c r="F1289" s="16" t="str">
        <f>IF(B1289="","",IFERROR(INDEX(Client_List!$J:$J,MATCH(B1289,Client_List!$B:$B,0)),""))</f>
        <v/>
      </c>
      <c r="G1289" s="16"/>
      <c r="H1289" s="16" t="str">
        <f>IF(B1289="","",IFERROR(A1289-LOOKUP(2,1/($B$4:$B1288=B1289),$A$4:$A1288),""))</f>
        <v/>
      </c>
      <c r="I1289" s="16" t="str">
        <f t="shared" si="20"/>
        <v/>
      </c>
      <c r="J1289" s="16"/>
      <c r="K1289" s="6" t="str">
        <f>IF(B1289="","",IFERROR(AVERAGEIFS($I$4:$I1289,$B$4:$B1289,B1289,$I$4:$I1289,"&gt;"&amp;0),""))</f>
        <v/>
      </c>
      <c r="L1289" s="16" t="str">
        <f>IF(B1289="","",IF(ISNA(MATCH(B1289,Client_List!$B:$B,0)),"⚠ NOT FOUND","✓"))</f>
        <v/>
      </c>
    </row>
    <row r="1290" spans="1:12" ht="14" customHeight="1" x14ac:dyDescent="0.2">
      <c r="A1290" s="59"/>
      <c r="B1290" s="18"/>
      <c r="C1290" s="19" t="str">
        <f>IF(B1290="","",IFERROR(INDEX(Client_List!$C:$C,MATCH(B1290,Client_List!$B:$B,0)),""))</f>
        <v/>
      </c>
      <c r="D1290" s="19" t="str">
        <f>IF(B1290="","",IFERROR(INDEX(Client_List!$D:$D,MATCH(B1290,Client_List!$B:$B,0)),""))</f>
        <v/>
      </c>
      <c r="E1290" s="19" t="str">
        <f>IF(B1290="","",IFERROR(INDEX(Client_List!$K:$K,MATCH(B1290,Client_List!$B:$B,0)),""))</f>
        <v/>
      </c>
      <c r="F1290" s="19" t="str">
        <f>IF(B1290="","",IFERROR(INDEX(Client_List!$J:$J,MATCH(B1290,Client_List!$B:$B,0)),""))</f>
        <v/>
      </c>
      <c r="G1290" s="19"/>
      <c r="H1290" s="19" t="str">
        <f>IF(B1290="","",IFERROR(A1290-LOOKUP(2,1/($B$4:$B1289=B1290),$A$4:$A1289),""))</f>
        <v/>
      </c>
      <c r="I1290" s="19" t="str">
        <f t="shared" si="20"/>
        <v/>
      </c>
      <c r="J1290" s="19"/>
      <c r="K1290" s="6" t="str">
        <f>IF(B1290="","",IFERROR(AVERAGEIFS($I$4:$I1290,$B$4:$B1290,B1290,$I$4:$I1290,"&gt;"&amp;0),""))</f>
        <v/>
      </c>
      <c r="L1290" s="19" t="str">
        <f>IF(B1290="","",IF(ISNA(MATCH(B1290,Client_List!$B:$B,0)),"⚠ NOT FOUND","✓"))</f>
        <v/>
      </c>
    </row>
    <row r="1291" spans="1:12" ht="14" customHeight="1" x14ac:dyDescent="0.2">
      <c r="A1291" s="58"/>
      <c r="B1291" s="15"/>
      <c r="C1291" s="16" t="str">
        <f>IF(B1291="","",IFERROR(INDEX(Client_List!$C:$C,MATCH(B1291,Client_List!$B:$B,0)),""))</f>
        <v/>
      </c>
      <c r="D1291" s="16" t="str">
        <f>IF(B1291="","",IFERROR(INDEX(Client_List!$D:$D,MATCH(B1291,Client_List!$B:$B,0)),""))</f>
        <v/>
      </c>
      <c r="E1291" s="16" t="str">
        <f>IF(B1291="","",IFERROR(INDEX(Client_List!$K:$K,MATCH(B1291,Client_List!$B:$B,0)),""))</f>
        <v/>
      </c>
      <c r="F1291" s="16" t="str">
        <f>IF(B1291="","",IFERROR(INDEX(Client_List!$J:$J,MATCH(B1291,Client_List!$B:$B,0)),""))</f>
        <v/>
      </c>
      <c r="G1291" s="16"/>
      <c r="H1291" s="16" t="str">
        <f>IF(B1291="","",IFERROR(A1291-LOOKUP(2,1/($B$4:$B1290=B1291),$A$4:$A1290),""))</f>
        <v/>
      </c>
      <c r="I1291" s="16" t="str">
        <f t="shared" si="20"/>
        <v/>
      </c>
      <c r="J1291" s="16"/>
      <c r="K1291" s="6" t="str">
        <f>IF(B1291="","",IFERROR(AVERAGEIFS($I$4:$I1291,$B$4:$B1291,B1291,$I$4:$I1291,"&gt;"&amp;0),""))</f>
        <v/>
      </c>
      <c r="L1291" s="16" t="str">
        <f>IF(B1291="","",IF(ISNA(MATCH(B1291,Client_List!$B:$B,0)),"⚠ NOT FOUND","✓"))</f>
        <v/>
      </c>
    </row>
    <row r="1292" spans="1:12" ht="14" customHeight="1" x14ac:dyDescent="0.2">
      <c r="A1292" s="59"/>
      <c r="B1292" s="18"/>
      <c r="C1292" s="19" t="str">
        <f>IF(B1292="","",IFERROR(INDEX(Client_List!$C:$C,MATCH(B1292,Client_List!$B:$B,0)),""))</f>
        <v/>
      </c>
      <c r="D1292" s="19" t="str">
        <f>IF(B1292="","",IFERROR(INDEX(Client_List!$D:$D,MATCH(B1292,Client_List!$B:$B,0)),""))</f>
        <v/>
      </c>
      <c r="E1292" s="19" t="str">
        <f>IF(B1292="","",IFERROR(INDEX(Client_List!$K:$K,MATCH(B1292,Client_List!$B:$B,0)),""))</f>
        <v/>
      </c>
      <c r="F1292" s="19" t="str">
        <f>IF(B1292="","",IFERROR(INDEX(Client_List!$J:$J,MATCH(B1292,Client_List!$B:$B,0)),""))</f>
        <v/>
      </c>
      <c r="G1292" s="19"/>
      <c r="H1292" s="19" t="str">
        <f>IF(B1292="","",IFERROR(A1292-LOOKUP(2,1/($B$4:$B1291=B1292),$A$4:$A1291),""))</f>
        <v/>
      </c>
      <c r="I1292" s="19" t="str">
        <f t="shared" si="20"/>
        <v/>
      </c>
      <c r="J1292" s="19"/>
      <c r="K1292" s="6" t="str">
        <f>IF(B1292="","",IFERROR(AVERAGEIFS($I$4:$I1292,$B$4:$B1292,B1292,$I$4:$I1292,"&gt;"&amp;0),""))</f>
        <v/>
      </c>
      <c r="L1292" s="19" t="str">
        <f>IF(B1292="","",IF(ISNA(MATCH(B1292,Client_List!$B:$B,0)),"⚠ NOT FOUND","✓"))</f>
        <v/>
      </c>
    </row>
    <row r="1293" spans="1:12" ht="14" customHeight="1" x14ac:dyDescent="0.2">
      <c r="A1293" s="58"/>
      <c r="B1293" s="15"/>
      <c r="C1293" s="16" t="str">
        <f>IF(B1293="","",IFERROR(INDEX(Client_List!$C:$C,MATCH(B1293,Client_List!$B:$B,0)),""))</f>
        <v/>
      </c>
      <c r="D1293" s="16" t="str">
        <f>IF(B1293="","",IFERROR(INDEX(Client_List!$D:$D,MATCH(B1293,Client_List!$B:$B,0)),""))</f>
        <v/>
      </c>
      <c r="E1293" s="16" t="str">
        <f>IF(B1293="","",IFERROR(INDEX(Client_List!$K:$K,MATCH(B1293,Client_List!$B:$B,0)),""))</f>
        <v/>
      </c>
      <c r="F1293" s="16" t="str">
        <f>IF(B1293="","",IFERROR(INDEX(Client_List!$J:$J,MATCH(B1293,Client_List!$B:$B,0)),""))</f>
        <v/>
      </c>
      <c r="G1293" s="16"/>
      <c r="H1293" s="16" t="str">
        <f>IF(B1293="","",IFERROR(A1293-LOOKUP(2,1/($B$4:$B1292=B1293),$A$4:$A1292),""))</f>
        <v/>
      </c>
      <c r="I1293" s="16" t="str">
        <f t="shared" si="20"/>
        <v/>
      </c>
      <c r="J1293" s="16"/>
      <c r="K1293" s="6" t="str">
        <f>IF(B1293="","",IFERROR(AVERAGEIFS($I$4:$I1293,$B$4:$B1293,B1293,$I$4:$I1293,"&gt;"&amp;0),""))</f>
        <v/>
      </c>
      <c r="L1293" s="16" t="str">
        <f>IF(B1293="","",IF(ISNA(MATCH(B1293,Client_List!$B:$B,0)),"⚠ NOT FOUND","✓"))</f>
        <v/>
      </c>
    </row>
    <row r="1294" spans="1:12" ht="14" customHeight="1" x14ac:dyDescent="0.2">
      <c r="A1294" s="59"/>
      <c r="B1294" s="18"/>
      <c r="C1294" s="19" t="str">
        <f>IF(B1294="","",IFERROR(INDEX(Client_List!$C:$C,MATCH(B1294,Client_List!$B:$B,0)),""))</f>
        <v/>
      </c>
      <c r="D1294" s="19" t="str">
        <f>IF(B1294="","",IFERROR(INDEX(Client_List!$D:$D,MATCH(B1294,Client_List!$B:$B,0)),""))</f>
        <v/>
      </c>
      <c r="E1294" s="19" t="str">
        <f>IF(B1294="","",IFERROR(INDEX(Client_List!$K:$K,MATCH(B1294,Client_List!$B:$B,0)),""))</f>
        <v/>
      </c>
      <c r="F1294" s="19" t="str">
        <f>IF(B1294="","",IFERROR(INDEX(Client_List!$J:$J,MATCH(B1294,Client_List!$B:$B,0)),""))</f>
        <v/>
      </c>
      <c r="G1294" s="19"/>
      <c r="H1294" s="19" t="str">
        <f>IF(B1294="","",IFERROR(A1294-LOOKUP(2,1/($B$4:$B1293=B1294),$A$4:$A1293),""))</f>
        <v/>
      </c>
      <c r="I1294" s="19" t="str">
        <f t="shared" si="20"/>
        <v/>
      </c>
      <c r="J1294" s="19"/>
      <c r="K1294" s="6" t="str">
        <f>IF(B1294="","",IFERROR(AVERAGEIFS($I$4:$I1294,$B$4:$B1294,B1294,$I$4:$I1294,"&gt;"&amp;0),""))</f>
        <v/>
      </c>
      <c r="L1294" s="19" t="str">
        <f>IF(B1294="","",IF(ISNA(MATCH(B1294,Client_List!$B:$B,0)),"⚠ NOT FOUND","✓"))</f>
        <v/>
      </c>
    </row>
    <row r="1295" spans="1:12" ht="14" customHeight="1" x14ac:dyDescent="0.2">
      <c r="A1295" s="58"/>
      <c r="B1295" s="15"/>
      <c r="C1295" s="16" t="str">
        <f>IF(B1295="","",IFERROR(INDEX(Client_List!$C:$C,MATCH(B1295,Client_List!$B:$B,0)),""))</f>
        <v/>
      </c>
      <c r="D1295" s="16" t="str">
        <f>IF(B1295="","",IFERROR(INDEX(Client_List!$D:$D,MATCH(B1295,Client_List!$B:$B,0)),""))</f>
        <v/>
      </c>
      <c r="E1295" s="16" t="str">
        <f>IF(B1295="","",IFERROR(INDEX(Client_List!$K:$K,MATCH(B1295,Client_List!$B:$B,0)),""))</f>
        <v/>
      </c>
      <c r="F1295" s="16" t="str">
        <f>IF(B1295="","",IFERROR(INDEX(Client_List!$J:$J,MATCH(B1295,Client_List!$B:$B,0)),""))</f>
        <v/>
      </c>
      <c r="G1295" s="16"/>
      <c r="H1295" s="16" t="str">
        <f>IF(B1295="","",IFERROR(A1295-LOOKUP(2,1/($B$4:$B1294=B1295),$A$4:$A1294),""))</f>
        <v/>
      </c>
      <c r="I1295" s="16" t="str">
        <f t="shared" si="20"/>
        <v/>
      </c>
      <c r="J1295" s="16"/>
      <c r="K1295" s="6" t="str">
        <f>IF(B1295="","",IFERROR(AVERAGEIFS($I$4:$I1295,$B$4:$B1295,B1295,$I$4:$I1295,"&gt;"&amp;0),""))</f>
        <v/>
      </c>
      <c r="L1295" s="16" t="str">
        <f>IF(B1295="","",IF(ISNA(MATCH(B1295,Client_List!$B:$B,0)),"⚠ NOT FOUND","✓"))</f>
        <v/>
      </c>
    </row>
    <row r="1296" spans="1:12" ht="14" customHeight="1" x14ac:dyDescent="0.2">
      <c r="A1296" s="59"/>
      <c r="B1296" s="18"/>
      <c r="C1296" s="19" t="str">
        <f>IF(B1296="","",IFERROR(INDEX(Client_List!$C:$C,MATCH(B1296,Client_List!$B:$B,0)),""))</f>
        <v/>
      </c>
      <c r="D1296" s="19" t="str">
        <f>IF(B1296="","",IFERROR(INDEX(Client_List!$D:$D,MATCH(B1296,Client_List!$B:$B,0)),""))</f>
        <v/>
      </c>
      <c r="E1296" s="19" t="str">
        <f>IF(B1296="","",IFERROR(INDEX(Client_List!$K:$K,MATCH(B1296,Client_List!$B:$B,0)),""))</f>
        <v/>
      </c>
      <c r="F1296" s="19" t="str">
        <f>IF(B1296="","",IFERROR(INDEX(Client_List!$J:$J,MATCH(B1296,Client_List!$B:$B,0)),""))</f>
        <v/>
      </c>
      <c r="G1296" s="19"/>
      <c r="H1296" s="19" t="str">
        <f>IF(B1296="","",IFERROR(A1296-LOOKUP(2,1/($B$4:$B1295=B1296),$A$4:$A1295),""))</f>
        <v/>
      </c>
      <c r="I1296" s="19" t="str">
        <f t="shared" si="20"/>
        <v/>
      </c>
      <c r="J1296" s="19"/>
      <c r="K1296" s="6" t="str">
        <f>IF(B1296="","",IFERROR(AVERAGEIFS($I$4:$I1296,$B$4:$B1296,B1296,$I$4:$I1296,"&gt;"&amp;0),""))</f>
        <v/>
      </c>
      <c r="L1296" s="19" t="str">
        <f>IF(B1296="","",IF(ISNA(MATCH(B1296,Client_List!$B:$B,0)),"⚠ NOT FOUND","✓"))</f>
        <v/>
      </c>
    </row>
    <row r="1297" spans="1:12" ht="14" customHeight="1" x14ac:dyDescent="0.2">
      <c r="A1297" s="58"/>
      <c r="B1297" s="15"/>
      <c r="C1297" s="16" t="str">
        <f>IF(B1297="","",IFERROR(INDEX(Client_List!$C:$C,MATCH(B1297,Client_List!$B:$B,0)),""))</f>
        <v/>
      </c>
      <c r="D1297" s="16" t="str">
        <f>IF(B1297="","",IFERROR(INDEX(Client_List!$D:$D,MATCH(B1297,Client_List!$B:$B,0)),""))</f>
        <v/>
      </c>
      <c r="E1297" s="16" t="str">
        <f>IF(B1297="","",IFERROR(INDEX(Client_List!$K:$K,MATCH(B1297,Client_List!$B:$B,0)),""))</f>
        <v/>
      </c>
      <c r="F1297" s="16" t="str">
        <f>IF(B1297="","",IFERROR(INDEX(Client_List!$J:$J,MATCH(B1297,Client_List!$B:$B,0)),""))</f>
        <v/>
      </c>
      <c r="G1297" s="16"/>
      <c r="H1297" s="16" t="str">
        <f>IF(B1297="","",IFERROR(A1297-LOOKUP(2,1/($B$4:$B1296=B1297),$A$4:$A1296),""))</f>
        <v/>
      </c>
      <c r="I1297" s="16" t="str">
        <f t="shared" si="20"/>
        <v/>
      </c>
      <c r="J1297" s="16"/>
      <c r="K1297" s="6" t="str">
        <f>IF(B1297="","",IFERROR(AVERAGEIFS($I$4:$I1297,$B$4:$B1297,B1297,$I$4:$I1297,"&gt;"&amp;0),""))</f>
        <v/>
      </c>
      <c r="L1297" s="16" t="str">
        <f>IF(B1297="","",IF(ISNA(MATCH(B1297,Client_List!$B:$B,0)),"⚠ NOT FOUND","✓"))</f>
        <v/>
      </c>
    </row>
    <row r="1298" spans="1:12" ht="14" customHeight="1" x14ac:dyDescent="0.2">
      <c r="A1298" s="59"/>
      <c r="B1298" s="18"/>
      <c r="C1298" s="19" t="str">
        <f>IF(B1298="","",IFERROR(INDEX(Client_List!$C:$C,MATCH(B1298,Client_List!$B:$B,0)),""))</f>
        <v/>
      </c>
      <c r="D1298" s="19" t="str">
        <f>IF(B1298="","",IFERROR(INDEX(Client_List!$D:$D,MATCH(B1298,Client_List!$B:$B,0)),""))</f>
        <v/>
      </c>
      <c r="E1298" s="19" t="str">
        <f>IF(B1298="","",IFERROR(INDEX(Client_List!$K:$K,MATCH(B1298,Client_List!$B:$B,0)),""))</f>
        <v/>
      </c>
      <c r="F1298" s="19" t="str">
        <f>IF(B1298="","",IFERROR(INDEX(Client_List!$J:$J,MATCH(B1298,Client_List!$B:$B,0)),""))</f>
        <v/>
      </c>
      <c r="G1298" s="19"/>
      <c r="H1298" s="19" t="str">
        <f>IF(B1298="","",IFERROR(A1298-LOOKUP(2,1/($B$4:$B1297=B1298),$A$4:$A1297),""))</f>
        <v/>
      </c>
      <c r="I1298" s="19" t="str">
        <f t="shared" si="20"/>
        <v/>
      </c>
      <c r="J1298" s="19"/>
      <c r="K1298" s="6" t="str">
        <f>IF(B1298="","",IFERROR(AVERAGEIFS($I$4:$I1298,$B$4:$B1298,B1298,$I$4:$I1298,"&gt;"&amp;0),""))</f>
        <v/>
      </c>
      <c r="L1298" s="19" t="str">
        <f>IF(B1298="","",IF(ISNA(MATCH(B1298,Client_List!$B:$B,0)),"⚠ NOT FOUND","✓"))</f>
        <v/>
      </c>
    </row>
    <row r="1299" spans="1:12" ht="14" customHeight="1" x14ac:dyDescent="0.2">
      <c r="A1299" s="58"/>
      <c r="B1299" s="15"/>
      <c r="C1299" s="16" t="str">
        <f>IF(B1299="","",IFERROR(INDEX(Client_List!$C:$C,MATCH(B1299,Client_List!$B:$B,0)),""))</f>
        <v/>
      </c>
      <c r="D1299" s="16" t="str">
        <f>IF(B1299="","",IFERROR(INDEX(Client_List!$D:$D,MATCH(B1299,Client_List!$B:$B,0)),""))</f>
        <v/>
      </c>
      <c r="E1299" s="16" t="str">
        <f>IF(B1299="","",IFERROR(INDEX(Client_List!$K:$K,MATCH(B1299,Client_List!$B:$B,0)),""))</f>
        <v/>
      </c>
      <c r="F1299" s="16" t="str">
        <f>IF(B1299="","",IFERROR(INDEX(Client_List!$J:$J,MATCH(B1299,Client_List!$B:$B,0)),""))</f>
        <v/>
      </c>
      <c r="G1299" s="16"/>
      <c r="H1299" s="16" t="str">
        <f>IF(B1299="","",IFERROR(A1299-LOOKUP(2,1/($B$4:$B1298=B1299),$A$4:$A1298),""))</f>
        <v/>
      </c>
      <c r="I1299" s="16" t="str">
        <f t="shared" si="20"/>
        <v/>
      </c>
      <c r="J1299" s="16"/>
      <c r="K1299" s="6" t="str">
        <f>IF(B1299="","",IFERROR(AVERAGEIFS($I$4:$I1299,$B$4:$B1299,B1299,$I$4:$I1299,"&gt;"&amp;0),""))</f>
        <v/>
      </c>
      <c r="L1299" s="16" t="str">
        <f>IF(B1299="","",IF(ISNA(MATCH(B1299,Client_List!$B:$B,0)),"⚠ NOT FOUND","✓"))</f>
        <v/>
      </c>
    </row>
    <row r="1300" spans="1:12" ht="14" customHeight="1" x14ac:dyDescent="0.2">
      <c r="A1300" s="59"/>
      <c r="B1300" s="18"/>
      <c r="C1300" s="19" t="str">
        <f>IF(B1300="","",IFERROR(INDEX(Client_List!$C:$C,MATCH(B1300,Client_List!$B:$B,0)),""))</f>
        <v/>
      </c>
      <c r="D1300" s="19" t="str">
        <f>IF(B1300="","",IFERROR(INDEX(Client_List!$D:$D,MATCH(B1300,Client_List!$B:$B,0)),""))</f>
        <v/>
      </c>
      <c r="E1300" s="19" t="str">
        <f>IF(B1300="","",IFERROR(INDEX(Client_List!$K:$K,MATCH(B1300,Client_List!$B:$B,0)),""))</f>
        <v/>
      </c>
      <c r="F1300" s="19" t="str">
        <f>IF(B1300="","",IFERROR(INDEX(Client_List!$J:$J,MATCH(B1300,Client_List!$B:$B,0)),""))</f>
        <v/>
      </c>
      <c r="G1300" s="19"/>
      <c r="H1300" s="19" t="str">
        <f>IF(B1300="","",IFERROR(A1300-LOOKUP(2,1/($B$4:$B1299=B1300),$A$4:$A1299),""))</f>
        <v/>
      </c>
      <c r="I1300" s="19" t="str">
        <f t="shared" si="20"/>
        <v/>
      </c>
      <c r="J1300" s="19"/>
      <c r="K1300" s="6" t="str">
        <f>IF(B1300="","",IFERROR(AVERAGEIFS($I$4:$I1300,$B$4:$B1300,B1300,$I$4:$I1300,"&gt;"&amp;0),""))</f>
        <v/>
      </c>
      <c r="L1300" s="19" t="str">
        <f>IF(B1300="","",IF(ISNA(MATCH(B1300,Client_List!$B:$B,0)),"⚠ NOT FOUND","✓"))</f>
        <v/>
      </c>
    </row>
    <row r="1301" spans="1:12" ht="14" customHeight="1" x14ac:dyDescent="0.2">
      <c r="A1301" s="58"/>
      <c r="B1301" s="15"/>
      <c r="C1301" s="16" t="str">
        <f>IF(B1301="","",IFERROR(INDEX(Client_List!$C:$C,MATCH(B1301,Client_List!$B:$B,0)),""))</f>
        <v/>
      </c>
      <c r="D1301" s="16" t="str">
        <f>IF(B1301="","",IFERROR(INDEX(Client_List!$D:$D,MATCH(B1301,Client_List!$B:$B,0)),""))</f>
        <v/>
      </c>
      <c r="E1301" s="16" t="str">
        <f>IF(B1301="","",IFERROR(INDEX(Client_List!$K:$K,MATCH(B1301,Client_List!$B:$B,0)),""))</f>
        <v/>
      </c>
      <c r="F1301" s="16" t="str">
        <f>IF(B1301="","",IFERROR(INDEX(Client_List!$J:$J,MATCH(B1301,Client_List!$B:$B,0)),""))</f>
        <v/>
      </c>
      <c r="G1301" s="16"/>
      <c r="H1301" s="16" t="str">
        <f>IF(B1301="","",IFERROR(A1301-LOOKUP(2,1/($B$4:$B1300=B1301),$A$4:$A1300),""))</f>
        <v/>
      </c>
      <c r="I1301" s="16" t="str">
        <f t="shared" si="20"/>
        <v/>
      </c>
      <c r="J1301" s="16"/>
      <c r="K1301" s="6" t="str">
        <f>IF(B1301="","",IFERROR(AVERAGEIFS($I$4:$I1301,$B$4:$B1301,B1301,$I$4:$I1301,"&gt;"&amp;0),""))</f>
        <v/>
      </c>
      <c r="L1301" s="16" t="str">
        <f>IF(B1301="","",IF(ISNA(MATCH(B1301,Client_List!$B:$B,0)),"⚠ NOT FOUND","✓"))</f>
        <v/>
      </c>
    </row>
    <row r="1302" spans="1:12" ht="14" customHeight="1" x14ac:dyDescent="0.2">
      <c r="A1302" s="59"/>
      <c r="B1302" s="18"/>
      <c r="C1302" s="19" t="str">
        <f>IF(B1302="","",IFERROR(INDEX(Client_List!$C:$C,MATCH(B1302,Client_List!$B:$B,0)),""))</f>
        <v/>
      </c>
      <c r="D1302" s="19" t="str">
        <f>IF(B1302="","",IFERROR(INDEX(Client_List!$D:$D,MATCH(B1302,Client_List!$B:$B,0)),""))</f>
        <v/>
      </c>
      <c r="E1302" s="19" t="str">
        <f>IF(B1302="","",IFERROR(INDEX(Client_List!$K:$K,MATCH(B1302,Client_List!$B:$B,0)),""))</f>
        <v/>
      </c>
      <c r="F1302" s="19" t="str">
        <f>IF(B1302="","",IFERROR(INDEX(Client_List!$J:$J,MATCH(B1302,Client_List!$B:$B,0)),""))</f>
        <v/>
      </c>
      <c r="G1302" s="19"/>
      <c r="H1302" s="19" t="str">
        <f>IF(B1302="","",IFERROR(A1302-LOOKUP(2,1/($B$4:$B1301=B1302),$A$4:$A1301),""))</f>
        <v/>
      </c>
      <c r="I1302" s="19" t="str">
        <f t="shared" si="20"/>
        <v/>
      </c>
      <c r="J1302" s="19"/>
      <c r="K1302" s="6" t="str">
        <f>IF(B1302="","",IFERROR(AVERAGEIFS($I$4:$I1302,$B$4:$B1302,B1302,$I$4:$I1302,"&gt;"&amp;0),""))</f>
        <v/>
      </c>
      <c r="L1302" s="19" t="str">
        <f>IF(B1302="","",IF(ISNA(MATCH(B1302,Client_List!$B:$B,0)),"⚠ NOT FOUND","✓"))</f>
        <v/>
      </c>
    </row>
    <row r="1303" spans="1:12" ht="14" customHeight="1" x14ac:dyDescent="0.2">
      <c r="A1303" s="58"/>
      <c r="B1303" s="15"/>
      <c r="C1303" s="16" t="str">
        <f>IF(B1303="","",IFERROR(INDEX(Client_List!$C:$C,MATCH(B1303,Client_List!$B:$B,0)),""))</f>
        <v/>
      </c>
      <c r="D1303" s="16" t="str">
        <f>IF(B1303="","",IFERROR(INDEX(Client_List!$D:$D,MATCH(B1303,Client_List!$B:$B,0)),""))</f>
        <v/>
      </c>
      <c r="E1303" s="16" t="str">
        <f>IF(B1303="","",IFERROR(INDEX(Client_List!$K:$K,MATCH(B1303,Client_List!$B:$B,0)),""))</f>
        <v/>
      </c>
      <c r="F1303" s="16" t="str">
        <f>IF(B1303="","",IFERROR(INDEX(Client_List!$J:$J,MATCH(B1303,Client_List!$B:$B,0)),""))</f>
        <v/>
      </c>
      <c r="G1303" s="16"/>
      <c r="H1303" s="16" t="str">
        <f>IF(B1303="","",IFERROR(A1303-LOOKUP(2,1/($B$4:$B1302=B1303),$A$4:$A1302),""))</f>
        <v/>
      </c>
      <c r="I1303" s="16" t="str">
        <f t="shared" si="20"/>
        <v/>
      </c>
      <c r="J1303" s="16"/>
      <c r="K1303" s="6" t="str">
        <f>IF(B1303="","",IFERROR(AVERAGEIFS($I$4:$I1303,$B$4:$B1303,B1303,$I$4:$I1303,"&gt;"&amp;0),""))</f>
        <v/>
      </c>
      <c r="L1303" s="16" t="str">
        <f>IF(B1303="","",IF(ISNA(MATCH(B1303,Client_List!$B:$B,0)),"⚠ NOT FOUND","✓"))</f>
        <v/>
      </c>
    </row>
    <row r="1304" spans="1:12" ht="14" customHeight="1" x14ac:dyDescent="0.2">
      <c r="A1304" s="59"/>
      <c r="B1304" s="18"/>
      <c r="C1304" s="19" t="str">
        <f>IF(B1304="","",IFERROR(INDEX(Client_List!$C:$C,MATCH(B1304,Client_List!$B:$B,0)),""))</f>
        <v/>
      </c>
      <c r="D1304" s="19" t="str">
        <f>IF(B1304="","",IFERROR(INDEX(Client_List!$D:$D,MATCH(B1304,Client_List!$B:$B,0)),""))</f>
        <v/>
      </c>
      <c r="E1304" s="19" t="str">
        <f>IF(B1304="","",IFERROR(INDEX(Client_List!$K:$K,MATCH(B1304,Client_List!$B:$B,0)),""))</f>
        <v/>
      </c>
      <c r="F1304" s="19" t="str">
        <f>IF(B1304="","",IFERROR(INDEX(Client_List!$J:$J,MATCH(B1304,Client_List!$B:$B,0)),""))</f>
        <v/>
      </c>
      <c r="G1304" s="19"/>
      <c r="H1304" s="19" t="str">
        <f>IF(B1304="","",IFERROR(A1304-LOOKUP(2,1/($B$4:$B1303=B1304),$A$4:$A1303),""))</f>
        <v/>
      </c>
      <c r="I1304" s="19" t="str">
        <f t="shared" si="20"/>
        <v/>
      </c>
      <c r="J1304" s="19"/>
      <c r="K1304" s="6" t="str">
        <f>IF(B1304="","",IFERROR(AVERAGEIFS($I$4:$I1304,$B$4:$B1304,B1304,$I$4:$I1304,"&gt;"&amp;0),""))</f>
        <v/>
      </c>
      <c r="L1304" s="19" t="str">
        <f>IF(B1304="","",IF(ISNA(MATCH(B1304,Client_List!$B:$B,0)),"⚠ NOT FOUND","✓"))</f>
        <v/>
      </c>
    </row>
    <row r="1305" spans="1:12" ht="14" customHeight="1" x14ac:dyDescent="0.2">
      <c r="A1305" s="58"/>
      <c r="B1305" s="15"/>
      <c r="C1305" s="16" t="str">
        <f>IF(B1305="","",IFERROR(INDEX(Client_List!$C:$C,MATCH(B1305,Client_List!$B:$B,0)),""))</f>
        <v/>
      </c>
      <c r="D1305" s="16" t="str">
        <f>IF(B1305="","",IFERROR(INDEX(Client_List!$D:$D,MATCH(B1305,Client_List!$B:$B,0)),""))</f>
        <v/>
      </c>
      <c r="E1305" s="16" t="str">
        <f>IF(B1305="","",IFERROR(INDEX(Client_List!$K:$K,MATCH(B1305,Client_List!$B:$B,0)),""))</f>
        <v/>
      </c>
      <c r="F1305" s="16" t="str">
        <f>IF(B1305="","",IFERROR(INDEX(Client_List!$J:$J,MATCH(B1305,Client_List!$B:$B,0)),""))</f>
        <v/>
      </c>
      <c r="G1305" s="16"/>
      <c r="H1305" s="16" t="str">
        <f>IF(B1305="","",IFERROR(A1305-LOOKUP(2,1/($B$4:$B1304=B1305),$A$4:$A1304),""))</f>
        <v/>
      </c>
      <c r="I1305" s="16" t="str">
        <f t="shared" si="20"/>
        <v/>
      </c>
      <c r="J1305" s="16"/>
      <c r="K1305" s="6" t="str">
        <f>IF(B1305="","",IFERROR(AVERAGEIFS($I$4:$I1305,$B$4:$B1305,B1305,$I$4:$I1305,"&gt;"&amp;0),""))</f>
        <v/>
      </c>
      <c r="L1305" s="16" t="str">
        <f>IF(B1305="","",IF(ISNA(MATCH(B1305,Client_List!$B:$B,0)),"⚠ NOT FOUND","✓"))</f>
        <v/>
      </c>
    </row>
    <row r="1306" spans="1:12" ht="14" customHeight="1" x14ac:dyDescent="0.2">
      <c r="A1306" s="59"/>
      <c r="B1306" s="18"/>
      <c r="C1306" s="19" t="str">
        <f>IF(B1306="","",IFERROR(INDEX(Client_List!$C:$C,MATCH(B1306,Client_List!$B:$B,0)),""))</f>
        <v/>
      </c>
      <c r="D1306" s="19" t="str">
        <f>IF(B1306="","",IFERROR(INDEX(Client_List!$D:$D,MATCH(B1306,Client_List!$B:$B,0)),""))</f>
        <v/>
      </c>
      <c r="E1306" s="19" t="str">
        <f>IF(B1306="","",IFERROR(INDEX(Client_List!$K:$K,MATCH(B1306,Client_List!$B:$B,0)),""))</f>
        <v/>
      </c>
      <c r="F1306" s="19" t="str">
        <f>IF(B1306="","",IFERROR(INDEX(Client_List!$J:$J,MATCH(B1306,Client_List!$B:$B,0)),""))</f>
        <v/>
      </c>
      <c r="G1306" s="19"/>
      <c r="H1306" s="19" t="str">
        <f>IF(B1306="","",IFERROR(A1306-LOOKUP(2,1/($B$4:$B1305=B1306),$A$4:$A1305),""))</f>
        <v/>
      </c>
      <c r="I1306" s="19" t="str">
        <f t="shared" si="20"/>
        <v/>
      </c>
      <c r="J1306" s="19"/>
      <c r="K1306" s="6" t="str">
        <f>IF(B1306="","",IFERROR(AVERAGEIFS($I$4:$I1306,$B$4:$B1306,B1306,$I$4:$I1306,"&gt;"&amp;0),""))</f>
        <v/>
      </c>
      <c r="L1306" s="19" t="str">
        <f>IF(B1306="","",IF(ISNA(MATCH(B1306,Client_List!$B:$B,0)),"⚠ NOT FOUND","✓"))</f>
        <v/>
      </c>
    </row>
    <row r="1307" spans="1:12" ht="14" customHeight="1" x14ac:dyDescent="0.2">
      <c r="A1307" s="58"/>
      <c r="B1307" s="15"/>
      <c r="C1307" s="16" t="str">
        <f>IF(B1307="","",IFERROR(INDEX(Client_List!$C:$C,MATCH(B1307,Client_List!$B:$B,0)),""))</f>
        <v/>
      </c>
      <c r="D1307" s="16" t="str">
        <f>IF(B1307="","",IFERROR(INDEX(Client_List!$D:$D,MATCH(B1307,Client_List!$B:$B,0)),""))</f>
        <v/>
      </c>
      <c r="E1307" s="16" t="str">
        <f>IF(B1307="","",IFERROR(INDEX(Client_List!$K:$K,MATCH(B1307,Client_List!$B:$B,0)),""))</f>
        <v/>
      </c>
      <c r="F1307" s="16" t="str">
        <f>IF(B1307="","",IFERROR(INDEX(Client_List!$J:$J,MATCH(B1307,Client_List!$B:$B,0)),""))</f>
        <v/>
      </c>
      <c r="G1307" s="16"/>
      <c r="H1307" s="16" t="str">
        <f>IF(B1307="","",IFERROR(A1307-LOOKUP(2,1/($B$4:$B1306=B1307),$A$4:$A1306),""))</f>
        <v/>
      </c>
      <c r="I1307" s="16" t="str">
        <f t="shared" si="20"/>
        <v/>
      </c>
      <c r="J1307" s="16"/>
      <c r="K1307" s="6" t="str">
        <f>IF(B1307="","",IFERROR(AVERAGEIFS($I$4:$I1307,$B$4:$B1307,B1307,$I$4:$I1307,"&gt;"&amp;0),""))</f>
        <v/>
      </c>
      <c r="L1307" s="16" t="str">
        <f>IF(B1307="","",IF(ISNA(MATCH(B1307,Client_List!$B:$B,0)),"⚠ NOT FOUND","✓"))</f>
        <v/>
      </c>
    </row>
    <row r="1308" spans="1:12" ht="14" customHeight="1" x14ac:dyDescent="0.2">
      <c r="A1308" s="59"/>
      <c r="B1308" s="18"/>
      <c r="C1308" s="19" t="str">
        <f>IF(B1308="","",IFERROR(INDEX(Client_List!$C:$C,MATCH(B1308,Client_List!$B:$B,0)),""))</f>
        <v/>
      </c>
      <c r="D1308" s="19" t="str">
        <f>IF(B1308="","",IFERROR(INDEX(Client_List!$D:$D,MATCH(B1308,Client_List!$B:$B,0)),""))</f>
        <v/>
      </c>
      <c r="E1308" s="19" t="str">
        <f>IF(B1308="","",IFERROR(INDEX(Client_List!$K:$K,MATCH(B1308,Client_List!$B:$B,0)),""))</f>
        <v/>
      </c>
      <c r="F1308" s="19" t="str">
        <f>IF(B1308="","",IFERROR(INDEX(Client_List!$J:$J,MATCH(B1308,Client_List!$B:$B,0)),""))</f>
        <v/>
      </c>
      <c r="G1308" s="19"/>
      <c r="H1308" s="19" t="str">
        <f>IF(B1308="","",IFERROR(A1308-LOOKUP(2,1/($B$4:$B1307=B1308),$A$4:$A1307),""))</f>
        <v/>
      </c>
      <c r="I1308" s="19" t="str">
        <f t="shared" si="20"/>
        <v/>
      </c>
      <c r="J1308" s="19"/>
      <c r="K1308" s="6" t="str">
        <f>IF(B1308="","",IFERROR(AVERAGEIFS($I$4:$I1308,$B$4:$B1308,B1308,$I$4:$I1308,"&gt;"&amp;0),""))</f>
        <v/>
      </c>
      <c r="L1308" s="19" t="str">
        <f>IF(B1308="","",IF(ISNA(MATCH(B1308,Client_List!$B:$B,0)),"⚠ NOT FOUND","✓"))</f>
        <v/>
      </c>
    </row>
    <row r="1309" spans="1:12" ht="14" customHeight="1" x14ac:dyDescent="0.2">
      <c r="A1309" s="58"/>
      <c r="B1309" s="15"/>
      <c r="C1309" s="16" t="str">
        <f>IF(B1309="","",IFERROR(INDEX(Client_List!$C:$C,MATCH(B1309,Client_List!$B:$B,0)),""))</f>
        <v/>
      </c>
      <c r="D1309" s="16" t="str">
        <f>IF(B1309="","",IFERROR(INDEX(Client_List!$D:$D,MATCH(B1309,Client_List!$B:$B,0)),""))</f>
        <v/>
      </c>
      <c r="E1309" s="16" t="str">
        <f>IF(B1309="","",IFERROR(INDEX(Client_List!$K:$K,MATCH(B1309,Client_List!$B:$B,0)),""))</f>
        <v/>
      </c>
      <c r="F1309" s="16" t="str">
        <f>IF(B1309="","",IFERROR(INDEX(Client_List!$J:$J,MATCH(B1309,Client_List!$B:$B,0)),""))</f>
        <v/>
      </c>
      <c r="G1309" s="16"/>
      <c r="H1309" s="16" t="str">
        <f>IF(B1309="","",IFERROR(A1309-LOOKUP(2,1/($B$4:$B1308=B1309),$A$4:$A1308),""))</f>
        <v/>
      </c>
      <c r="I1309" s="16" t="str">
        <f t="shared" si="20"/>
        <v/>
      </c>
      <c r="J1309" s="16"/>
      <c r="K1309" s="6" t="str">
        <f>IF(B1309="","",IFERROR(AVERAGEIFS($I$4:$I1309,$B$4:$B1309,B1309,$I$4:$I1309,"&gt;"&amp;0),""))</f>
        <v/>
      </c>
      <c r="L1309" s="16" t="str">
        <f>IF(B1309="","",IF(ISNA(MATCH(B1309,Client_List!$B:$B,0)),"⚠ NOT FOUND","✓"))</f>
        <v/>
      </c>
    </row>
    <row r="1310" spans="1:12" ht="14" customHeight="1" x14ac:dyDescent="0.2">
      <c r="A1310" s="59"/>
      <c r="B1310" s="18"/>
      <c r="C1310" s="19" t="str">
        <f>IF(B1310="","",IFERROR(INDEX(Client_List!$C:$C,MATCH(B1310,Client_List!$B:$B,0)),""))</f>
        <v/>
      </c>
      <c r="D1310" s="19" t="str">
        <f>IF(B1310="","",IFERROR(INDEX(Client_List!$D:$D,MATCH(B1310,Client_List!$B:$B,0)),""))</f>
        <v/>
      </c>
      <c r="E1310" s="19" t="str">
        <f>IF(B1310="","",IFERROR(INDEX(Client_List!$K:$K,MATCH(B1310,Client_List!$B:$B,0)),""))</f>
        <v/>
      </c>
      <c r="F1310" s="19" t="str">
        <f>IF(B1310="","",IFERROR(INDEX(Client_List!$J:$J,MATCH(B1310,Client_List!$B:$B,0)),""))</f>
        <v/>
      </c>
      <c r="G1310" s="19"/>
      <c r="H1310" s="19" t="str">
        <f>IF(B1310="","",IFERROR(A1310-LOOKUP(2,1/($B$4:$B1309=B1310),$A$4:$A1309),""))</f>
        <v/>
      </c>
      <c r="I1310" s="19" t="str">
        <f t="shared" si="20"/>
        <v/>
      </c>
      <c r="J1310" s="19"/>
      <c r="K1310" s="6" t="str">
        <f>IF(B1310="","",IFERROR(AVERAGEIFS($I$4:$I1310,$B$4:$B1310,B1310,$I$4:$I1310,"&gt;"&amp;0),""))</f>
        <v/>
      </c>
      <c r="L1310" s="19" t="str">
        <f>IF(B1310="","",IF(ISNA(MATCH(B1310,Client_List!$B:$B,0)),"⚠ NOT FOUND","✓"))</f>
        <v/>
      </c>
    </row>
    <row r="1311" spans="1:12" ht="14" customHeight="1" x14ac:dyDescent="0.2">
      <c r="A1311" s="58"/>
      <c r="B1311" s="15"/>
      <c r="C1311" s="16" t="str">
        <f>IF(B1311="","",IFERROR(INDEX(Client_List!$C:$C,MATCH(B1311,Client_List!$B:$B,0)),""))</f>
        <v/>
      </c>
      <c r="D1311" s="16" t="str">
        <f>IF(B1311="","",IFERROR(INDEX(Client_List!$D:$D,MATCH(B1311,Client_List!$B:$B,0)),""))</f>
        <v/>
      </c>
      <c r="E1311" s="16" t="str">
        <f>IF(B1311="","",IFERROR(INDEX(Client_List!$K:$K,MATCH(B1311,Client_List!$B:$B,0)),""))</f>
        <v/>
      </c>
      <c r="F1311" s="16" t="str">
        <f>IF(B1311="","",IFERROR(INDEX(Client_List!$J:$J,MATCH(B1311,Client_List!$B:$B,0)),""))</f>
        <v/>
      </c>
      <c r="G1311" s="16"/>
      <c r="H1311" s="16" t="str">
        <f>IF(B1311="","",IFERROR(A1311-LOOKUP(2,1/($B$4:$B1310=B1311),$A$4:$A1310),""))</f>
        <v/>
      </c>
      <c r="I1311" s="16" t="str">
        <f t="shared" si="20"/>
        <v/>
      </c>
      <c r="J1311" s="16"/>
      <c r="K1311" s="6" t="str">
        <f>IF(B1311="","",IFERROR(AVERAGEIFS($I$4:$I1311,$B$4:$B1311,B1311,$I$4:$I1311,"&gt;"&amp;0),""))</f>
        <v/>
      </c>
      <c r="L1311" s="16" t="str">
        <f>IF(B1311="","",IF(ISNA(MATCH(B1311,Client_List!$B:$B,0)),"⚠ NOT FOUND","✓"))</f>
        <v/>
      </c>
    </row>
    <row r="1312" spans="1:12" ht="14" customHeight="1" x14ac:dyDescent="0.2">
      <c r="A1312" s="59"/>
      <c r="B1312" s="18"/>
      <c r="C1312" s="19" t="str">
        <f>IF(B1312="","",IFERROR(INDEX(Client_List!$C:$C,MATCH(B1312,Client_List!$B:$B,0)),""))</f>
        <v/>
      </c>
      <c r="D1312" s="19" t="str">
        <f>IF(B1312="","",IFERROR(INDEX(Client_List!$D:$D,MATCH(B1312,Client_List!$B:$B,0)),""))</f>
        <v/>
      </c>
      <c r="E1312" s="19" t="str">
        <f>IF(B1312="","",IFERROR(INDEX(Client_List!$K:$K,MATCH(B1312,Client_List!$B:$B,0)),""))</f>
        <v/>
      </c>
      <c r="F1312" s="19" t="str">
        <f>IF(B1312="","",IFERROR(INDEX(Client_List!$J:$J,MATCH(B1312,Client_List!$B:$B,0)),""))</f>
        <v/>
      </c>
      <c r="G1312" s="19"/>
      <c r="H1312" s="19" t="str">
        <f>IF(B1312="","",IFERROR(A1312-LOOKUP(2,1/($B$4:$B1311=B1312),$A$4:$A1311),""))</f>
        <v/>
      </c>
      <c r="I1312" s="19" t="str">
        <f t="shared" si="20"/>
        <v/>
      </c>
      <c r="J1312" s="19"/>
      <c r="K1312" s="6" t="str">
        <f>IF(B1312="","",IFERROR(AVERAGEIFS($I$4:$I1312,$B$4:$B1312,B1312,$I$4:$I1312,"&gt;"&amp;0),""))</f>
        <v/>
      </c>
      <c r="L1312" s="19" t="str">
        <f>IF(B1312="","",IF(ISNA(MATCH(B1312,Client_List!$B:$B,0)),"⚠ NOT FOUND","✓"))</f>
        <v/>
      </c>
    </row>
    <row r="1313" spans="1:12" ht="14" customHeight="1" x14ac:dyDescent="0.2">
      <c r="A1313" s="58"/>
      <c r="B1313" s="15"/>
      <c r="C1313" s="16" t="str">
        <f>IF(B1313="","",IFERROR(INDEX(Client_List!$C:$C,MATCH(B1313,Client_List!$B:$B,0)),""))</f>
        <v/>
      </c>
      <c r="D1313" s="16" t="str">
        <f>IF(B1313="","",IFERROR(INDEX(Client_List!$D:$D,MATCH(B1313,Client_List!$B:$B,0)),""))</f>
        <v/>
      </c>
      <c r="E1313" s="16" t="str">
        <f>IF(B1313="","",IFERROR(INDEX(Client_List!$K:$K,MATCH(B1313,Client_List!$B:$B,0)),""))</f>
        <v/>
      </c>
      <c r="F1313" s="16" t="str">
        <f>IF(B1313="","",IFERROR(INDEX(Client_List!$J:$J,MATCH(B1313,Client_List!$B:$B,0)),""))</f>
        <v/>
      </c>
      <c r="G1313" s="16"/>
      <c r="H1313" s="16" t="str">
        <f>IF(B1313="","",IFERROR(A1313-LOOKUP(2,1/($B$4:$B1312=B1313),$A$4:$A1312),""))</f>
        <v/>
      </c>
      <c r="I1313" s="16" t="str">
        <f t="shared" si="20"/>
        <v/>
      </c>
      <c r="J1313" s="16"/>
      <c r="K1313" s="6" t="str">
        <f>IF(B1313="","",IFERROR(AVERAGEIFS($I$4:$I1313,$B$4:$B1313,B1313,$I$4:$I1313,"&gt;"&amp;0),""))</f>
        <v/>
      </c>
      <c r="L1313" s="16" t="str">
        <f>IF(B1313="","",IF(ISNA(MATCH(B1313,Client_List!$B:$B,0)),"⚠ NOT FOUND","✓"))</f>
        <v/>
      </c>
    </row>
    <row r="1314" spans="1:12" ht="14" customHeight="1" x14ac:dyDescent="0.2">
      <c r="A1314" s="59"/>
      <c r="B1314" s="18"/>
      <c r="C1314" s="19" t="str">
        <f>IF(B1314="","",IFERROR(INDEX(Client_List!$C:$C,MATCH(B1314,Client_List!$B:$B,0)),""))</f>
        <v/>
      </c>
      <c r="D1314" s="19" t="str">
        <f>IF(B1314="","",IFERROR(INDEX(Client_List!$D:$D,MATCH(B1314,Client_List!$B:$B,0)),""))</f>
        <v/>
      </c>
      <c r="E1314" s="19" t="str">
        <f>IF(B1314="","",IFERROR(INDEX(Client_List!$K:$K,MATCH(B1314,Client_List!$B:$B,0)),""))</f>
        <v/>
      </c>
      <c r="F1314" s="19" t="str">
        <f>IF(B1314="","",IFERROR(INDEX(Client_List!$J:$J,MATCH(B1314,Client_List!$B:$B,0)),""))</f>
        <v/>
      </c>
      <c r="G1314" s="19"/>
      <c r="H1314" s="19" t="str">
        <f>IF(B1314="","",IFERROR(A1314-LOOKUP(2,1/($B$4:$B1313=B1314),$A$4:$A1313),""))</f>
        <v/>
      </c>
      <c r="I1314" s="19" t="str">
        <f t="shared" si="20"/>
        <v/>
      </c>
      <c r="J1314" s="19"/>
      <c r="K1314" s="6" t="str">
        <f>IF(B1314="","",IFERROR(AVERAGEIFS($I$4:$I1314,$B$4:$B1314,B1314,$I$4:$I1314,"&gt;"&amp;0),""))</f>
        <v/>
      </c>
      <c r="L1314" s="19" t="str">
        <f>IF(B1314="","",IF(ISNA(MATCH(B1314,Client_List!$B:$B,0)),"⚠ NOT FOUND","✓"))</f>
        <v/>
      </c>
    </row>
    <row r="1315" spans="1:12" ht="14" customHeight="1" x14ac:dyDescent="0.2">
      <c r="A1315" s="58"/>
      <c r="B1315" s="15"/>
      <c r="C1315" s="16" t="str">
        <f>IF(B1315="","",IFERROR(INDEX(Client_List!$C:$C,MATCH(B1315,Client_List!$B:$B,0)),""))</f>
        <v/>
      </c>
      <c r="D1315" s="16" t="str">
        <f>IF(B1315="","",IFERROR(INDEX(Client_List!$D:$D,MATCH(B1315,Client_List!$B:$B,0)),""))</f>
        <v/>
      </c>
      <c r="E1315" s="16" t="str">
        <f>IF(B1315="","",IFERROR(INDEX(Client_List!$K:$K,MATCH(B1315,Client_List!$B:$B,0)),""))</f>
        <v/>
      </c>
      <c r="F1315" s="16" t="str">
        <f>IF(B1315="","",IFERROR(INDEX(Client_List!$J:$J,MATCH(B1315,Client_List!$B:$B,0)),""))</f>
        <v/>
      </c>
      <c r="G1315" s="16"/>
      <c r="H1315" s="16" t="str">
        <f>IF(B1315="","",IFERROR(A1315-LOOKUP(2,1/($B$4:$B1314=B1315),$A$4:$A1314),""))</f>
        <v/>
      </c>
      <c r="I1315" s="16" t="str">
        <f t="shared" si="20"/>
        <v/>
      </c>
      <c r="J1315" s="16"/>
      <c r="K1315" s="6" t="str">
        <f>IF(B1315="","",IFERROR(AVERAGEIFS($I$4:$I1315,$B$4:$B1315,B1315,$I$4:$I1315,"&gt;"&amp;0),""))</f>
        <v/>
      </c>
      <c r="L1315" s="16" t="str">
        <f>IF(B1315="","",IF(ISNA(MATCH(B1315,Client_List!$B:$B,0)),"⚠ NOT FOUND","✓"))</f>
        <v/>
      </c>
    </row>
    <row r="1316" spans="1:12" ht="14" customHeight="1" x14ac:dyDescent="0.2">
      <c r="A1316" s="59"/>
      <c r="B1316" s="18"/>
      <c r="C1316" s="19" t="str">
        <f>IF(B1316="","",IFERROR(INDEX(Client_List!$C:$C,MATCH(B1316,Client_List!$B:$B,0)),""))</f>
        <v/>
      </c>
      <c r="D1316" s="19" t="str">
        <f>IF(B1316="","",IFERROR(INDEX(Client_List!$D:$D,MATCH(B1316,Client_List!$B:$B,0)),""))</f>
        <v/>
      </c>
      <c r="E1316" s="19" t="str">
        <f>IF(B1316="","",IFERROR(INDEX(Client_List!$K:$K,MATCH(B1316,Client_List!$B:$B,0)),""))</f>
        <v/>
      </c>
      <c r="F1316" s="19" t="str">
        <f>IF(B1316="","",IFERROR(INDEX(Client_List!$J:$J,MATCH(B1316,Client_List!$B:$B,0)),""))</f>
        <v/>
      </c>
      <c r="G1316" s="19"/>
      <c r="H1316" s="19" t="str">
        <f>IF(B1316="","",IFERROR(A1316-LOOKUP(2,1/($B$4:$B1315=B1316),$A$4:$A1315),""))</f>
        <v/>
      </c>
      <c r="I1316" s="19" t="str">
        <f t="shared" si="20"/>
        <v/>
      </c>
      <c r="J1316" s="19"/>
      <c r="K1316" s="6" t="str">
        <f>IF(B1316="","",IFERROR(AVERAGEIFS($I$4:$I1316,$B$4:$B1316,B1316,$I$4:$I1316,"&gt;"&amp;0),""))</f>
        <v/>
      </c>
      <c r="L1316" s="19" t="str">
        <f>IF(B1316="","",IF(ISNA(MATCH(B1316,Client_List!$B:$B,0)),"⚠ NOT FOUND","✓"))</f>
        <v/>
      </c>
    </row>
    <row r="1317" spans="1:12" ht="14" customHeight="1" x14ac:dyDescent="0.2">
      <c r="A1317" s="58"/>
      <c r="B1317" s="15"/>
      <c r="C1317" s="16" t="str">
        <f>IF(B1317="","",IFERROR(INDEX(Client_List!$C:$C,MATCH(B1317,Client_List!$B:$B,0)),""))</f>
        <v/>
      </c>
      <c r="D1317" s="16" t="str">
        <f>IF(B1317="","",IFERROR(INDEX(Client_List!$D:$D,MATCH(B1317,Client_List!$B:$B,0)),""))</f>
        <v/>
      </c>
      <c r="E1317" s="16" t="str">
        <f>IF(B1317="","",IFERROR(INDEX(Client_List!$K:$K,MATCH(B1317,Client_List!$B:$B,0)),""))</f>
        <v/>
      </c>
      <c r="F1317" s="16" t="str">
        <f>IF(B1317="","",IFERROR(INDEX(Client_List!$J:$J,MATCH(B1317,Client_List!$B:$B,0)),""))</f>
        <v/>
      </c>
      <c r="G1317" s="16"/>
      <c r="H1317" s="16" t="str">
        <f>IF(B1317="","",IFERROR(A1317-LOOKUP(2,1/($B$4:$B1316=B1317),$A$4:$A1316),""))</f>
        <v/>
      </c>
      <c r="I1317" s="16" t="str">
        <f t="shared" si="20"/>
        <v/>
      </c>
      <c r="J1317" s="16"/>
      <c r="K1317" s="6" t="str">
        <f>IF(B1317="","",IFERROR(AVERAGEIFS($I$4:$I1317,$B$4:$B1317,B1317,$I$4:$I1317,"&gt;"&amp;0),""))</f>
        <v/>
      </c>
      <c r="L1317" s="16" t="str">
        <f>IF(B1317="","",IF(ISNA(MATCH(B1317,Client_List!$B:$B,0)),"⚠ NOT FOUND","✓"))</f>
        <v/>
      </c>
    </row>
    <row r="1318" spans="1:12" ht="14" customHeight="1" x14ac:dyDescent="0.2">
      <c r="A1318" s="59"/>
      <c r="B1318" s="18"/>
      <c r="C1318" s="19" t="str">
        <f>IF(B1318="","",IFERROR(INDEX(Client_List!$C:$C,MATCH(B1318,Client_List!$B:$B,0)),""))</f>
        <v/>
      </c>
      <c r="D1318" s="19" t="str">
        <f>IF(B1318="","",IFERROR(INDEX(Client_List!$D:$D,MATCH(B1318,Client_List!$B:$B,0)),""))</f>
        <v/>
      </c>
      <c r="E1318" s="19" t="str">
        <f>IF(B1318="","",IFERROR(INDEX(Client_List!$K:$K,MATCH(B1318,Client_List!$B:$B,0)),""))</f>
        <v/>
      </c>
      <c r="F1318" s="19" t="str">
        <f>IF(B1318="","",IFERROR(INDEX(Client_List!$J:$J,MATCH(B1318,Client_List!$B:$B,0)),""))</f>
        <v/>
      </c>
      <c r="G1318" s="19"/>
      <c r="H1318" s="19" t="str">
        <f>IF(B1318="","",IFERROR(A1318-LOOKUP(2,1/($B$4:$B1317=B1318),$A$4:$A1317),""))</f>
        <v/>
      </c>
      <c r="I1318" s="19" t="str">
        <f t="shared" si="20"/>
        <v/>
      </c>
      <c r="J1318" s="19"/>
      <c r="K1318" s="6" t="str">
        <f>IF(B1318="","",IFERROR(AVERAGEIFS($I$4:$I1318,$B$4:$B1318,B1318,$I$4:$I1318,"&gt;"&amp;0),""))</f>
        <v/>
      </c>
      <c r="L1318" s="19" t="str">
        <f>IF(B1318="","",IF(ISNA(MATCH(B1318,Client_List!$B:$B,0)),"⚠ NOT FOUND","✓"))</f>
        <v/>
      </c>
    </row>
    <row r="1319" spans="1:12" ht="14" customHeight="1" x14ac:dyDescent="0.2">
      <c r="A1319" s="58"/>
      <c r="B1319" s="15"/>
      <c r="C1319" s="16" t="str">
        <f>IF(B1319="","",IFERROR(INDEX(Client_List!$C:$C,MATCH(B1319,Client_List!$B:$B,0)),""))</f>
        <v/>
      </c>
      <c r="D1319" s="16" t="str">
        <f>IF(B1319="","",IFERROR(INDEX(Client_List!$D:$D,MATCH(B1319,Client_List!$B:$B,0)),""))</f>
        <v/>
      </c>
      <c r="E1319" s="16" t="str">
        <f>IF(B1319="","",IFERROR(INDEX(Client_List!$K:$K,MATCH(B1319,Client_List!$B:$B,0)),""))</f>
        <v/>
      </c>
      <c r="F1319" s="16" t="str">
        <f>IF(B1319="","",IFERROR(INDEX(Client_List!$J:$J,MATCH(B1319,Client_List!$B:$B,0)),""))</f>
        <v/>
      </c>
      <c r="G1319" s="16"/>
      <c r="H1319" s="16" t="str">
        <f>IF(B1319="","",IFERROR(A1319-LOOKUP(2,1/($B$4:$B1318=B1319),$A$4:$A1318),""))</f>
        <v/>
      </c>
      <c r="I1319" s="16" t="str">
        <f t="shared" si="20"/>
        <v/>
      </c>
      <c r="J1319" s="16"/>
      <c r="K1319" s="6" t="str">
        <f>IF(B1319="","",IFERROR(AVERAGEIFS($I$4:$I1319,$B$4:$B1319,B1319,$I$4:$I1319,"&gt;"&amp;0),""))</f>
        <v/>
      </c>
      <c r="L1319" s="16" t="str">
        <f>IF(B1319="","",IF(ISNA(MATCH(B1319,Client_List!$B:$B,0)),"⚠ NOT FOUND","✓"))</f>
        <v/>
      </c>
    </row>
    <row r="1320" spans="1:12" ht="14" customHeight="1" x14ac:dyDescent="0.2">
      <c r="A1320" s="59"/>
      <c r="B1320" s="18"/>
      <c r="C1320" s="19" t="str">
        <f>IF(B1320="","",IFERROR(INDEX(Client_List!$C:$C,MATCH(B1320,Client_List!$B:$B,0)),""))</f>
        <v/>
      </c>
      <c r="D1320" s="19" t="str">
        <f>IF(B1320="","",IFERROR(INDEX(Client_List!$D:$D,MATCH(B1320,Client_List!$B:$B,0)),""))</f>
        <v/>
      </c>
      <c r="E1320" s="19" t="str">
        <f>IF(B1320="","",IFERROR(INDEX(Client_List!$K:$K,MATCH(B1320,Client_List!$B:$B,0)),""))</f>
        <v/>
      </c>
      <c r="F1320" s="19" t="str">
        <f>IF(B1320="","",IFERROR(INDEX(Client_List!$J:$J,MATCH(B1320,Client_List!$B:$B,0)),""))</f>
        <v/>
      </c>
      <c r="G1320" s="19"/>
      <c r="H1320" s="19" t="str">
        <f>IF(B1320="","",IFERROR(A1320-LOOKUP(2,1/($B$4:$B1319=B1320),$A$4:$A1319),""))</f>
        <v/>
      </c>
      <c r="I1320" s="19" t="str">
        <f t="shared" si="20"/>
        <v/>
      </c>
      <c r="J1320" s="19"/>
      <c r="K1320" s="6" t="str">
        <f>IF(B1320="","",IFERROR(AVERAGEIFS($I$4:$I1320,$B$4:$B1320,B1320,$I$4:$I1320,"&gt;"&amp;0),""))</f>
        <v/>
      </c>
      <c r="L1320" s="19" t="str">
        <f>IF(B1320="","",IF(ISNA(MATCH(B1320,Client_List!$B:$B,0)),"⚠ NOT FOUND","✓"))</f>
        <v/>
      </c>
    </row>
    <row r="1321" spans="1:12" ht="14" customHeight="1" x14ac:dyDescent="0.2">
      <c r="A1321" s="58"/>
      <c r="B1321" s="15"/>
      <c r="C1321" s="16" t="str">
        <f>IF(B1321="","",IFERROR(INDEX(Client_List!$C:$C,MATCH(B1321,Client_List!$B:$B,0)),""))</f>
        <v/>
      </c>
      <c r="D1321" s="16" t="str">
        <f>IF(B1321="","",IFERROR(INDEX(Client_List!$D:$D,MATCH(B1321,Client_List!$B:$B,0)),""))</f>
        <v/>
      </c>
      <c r="E1321" s="16" t="str">
        <f>IF(B1321="","",IFERROR(INDEX(Client_List!$K:$K,MATCH(B1321,Client_List!$B:$B,0)),""))</f>
        <v/>
      </c>
      <c r="F1321" s="16" t="str">
        <f>IF(B1321="","",IFERROR(INDEX(Client_List!$J:$J,MATCH(B1321,Client_List!$B:$B,0)),""))</f>
        <v/>
      </c>
      <c r="G1321" s="16"/>
      <c r="H1321" s="16" t="str">
        <f>IF(B1321="","",IFERROR(A1321-LOOKUP(2,1/($B$4:$B1320=B1321),$A$4:$A1320),""))</f>
        <v/>
      </c>
      <c r="I1321" s="16" t="str">
        <f t="shared" si="20"/>
        <v/>
      </c>
      <c r="J1321" s="16"/>
      <c r="K1321" s="6" t="str">
        <f>IF(B1321="","",IFERROR(AVERAGEIFS($I$4:$I1321,$B$4:$B1321,B1321,$I$4:$I1321,"&gt;"&amp;0),""))</f>
        <v/>
      </c>
      <c r="L1321" s="16" t="str">
        <f>IF(B1321="","",IF(ISNA(MATCH(B1321,Client_List!$B:$B,0)),"⚠ NOT FOUND","✓"))</f>
        <v/>
      </c>
    </row>
    <row r="1322" spans="1:12" ht="14" customHeight="1" x14ac:dyDescent="0.2">
      <c r="A1322" s="59"/>
      <c r="B1322" s="18"/>
      <c r="C1322" s="19" t="str">
        <f>IF(B1322="","",IFERROR(INDEX(Client_List!$C:$C,MATCH(B1322,Client_List!$B:$B,0)),""))</f>
        <v/>
      </c>
      <c r="D1322" s="19" t="str">
        <f>IF(B1322="","",IFERROR(INDEX(Client_List!$D:$D,MATCH(B1322,Client_List!$B:$B,0)),""))</f>
        <v/>
      </c>
      <c r="E1322" s="19" t="str">
        <f>IF(B1322="","",IFERROR(INDEX(Client_List!$K:$K,MATCH(B1322,Client_List!$B:$B,0)),""))</f>
        <v/>
      </c>
      <c r="F1322" s="19" t="str">
        <f>IF(B1322="","",IFERROR(INDEX(Client_List!$J:$J,MATCH(B1322,Client_List!$B:$B,0)),""))</f>
        <v/>
      </c>
      <c r="G1322" s="19"/>
      <c r="H1322" s="19" t="str">
        <f>IF(B1322="","",IFERROR(A1322-LOOKUP(2,1/($B$4:$B1321=B1322),$A$4:$A1321),""))</f>
        <v/>
      </c>
      <c r="I1322" s="19" t="str">
        <f t="shared" si="20"/>
        <v/>
      </c>
      <c r="J1322" s="19"/>
      <c r="K1322" s="6" t="str">
        <f>IF(B1322="","",IFERROR(AVERAGEIFS($I$4:$I1322,$B$4:$B1322,B1322,$I$4:$I1322,"&gt;"&amp;0),""))</f>
        <v/>
      </c>
      <c r="L1322" s="19" t="str">
        <f>IF(B1322="","",IF(ISNA(MATCH(B1322,Client_List!$B:$B,0)),"⚠ NOT FOUND","✓"))</f>
        <v/>
      </c>
    </row>
    <row r="1323" spans="1:12" ht="14" customHeight="1" x14ac:dyDescent="0.2">
      <c r="A1323" s="58"/>
      <c r="B1323" s="15"/>
      <c r="C1323" s="16" t="str">
        <f>IF(B1323="","",IFERROR(INDEX(Client_List!$C:$C,MATCH(B1323,Client_List!$B:$B,0)),""))</f>
        <v/>
      </c>
      <c r="D1323" s="16" t="str">
        <f>IF(B1323="","",IFERROR(INDEX(Client_List!$D:$D,MATCH(B1323,Client_List!$B:$B,0)),""))</f>
        <v/>
      </c>
      <c r="E1323" s="16" t="str">
        <f>IF(B1323="","",IFERROR(INDEX(Client_List!$K:$K,MATCH(B1323,Client_List!$B:$B,0)),""))</f>
        <v/>
      </c>
      <c r="F1323" s="16" t="str">
        <f>IF(B1323="","",IFERROR(INDEX(Client_List!$J:$J,MATCH(B1323,Client_List!$B:$B,0)),""))</f>
        <v/>
      </c>
      <c r="G1323" s="16"/>
      <c r="H1323" s="16" t="str">
        <f>IF(B1323="","",IFERROR(A1323-LOOKUP(2,1/($B$4:$B1322=B1323),$A$4:$A1322),""))</f>
        <v/>
      </c>
      <c r="I1323" s="16" t="str">
        <f t="shared" si="20"/>
        <v/>
      </c>
      <c r="J1323" s="16"/>
      <c r="K1323" s="6" t="str">
        <f>IF(B1323="","",IFERROR(AVERAGEIFS($I$4:$I1323,$B$4:$B1323,B1323,$I$4:$I1323,"&gt;"&amp;0),""))</f>
        <v/>
      </c>
      <c r="L1323" s="16" t="str">
        <f>IF(B1323="","",IF(ISNA(MATCH(B1323,Client_List!$B:$B,0)),"⚠ NOT FOUND","✓"))</f>
        <v/>
      </c>
    </row>
    <row r="1324" spans="1:12" ht="14" customHeight="1" x14ac:dyDescent="0.2">
      <c r="A1324" s="59"/>
      <c r="B1324" s="18"/>
      <c r="C1324" s="19" t="str">
        <f>IF(B1324="","",IFERROR(INDEX(Client_List!$C:$C,MATCH(B1324,Client_List!$B:$B,0)),""))</f>
        <v/>
      </c>
      <c r="D1324" s="19" t="str">
        <f>IF(B1324="","",IFERROR(INDEX(Client_List!$D:$D,MATCH(B1324,Client_List!$B:$B,0)),""))</f>
        <v/>
      </c>
      <c r="E1324" s="19" t="str">
        <f>IF(B1324="","",IFERROR(INDEX(Client_List!$K:$K,MATCH(B1324,Client_List!$B:$B,0)),""))</f>
        <v/>
      </c>
      <c r="F1324" s="19" t="str">
        <f>IF(B1324="","",IFERROR(INDEX(Client_List!$J:$J,MATCH(B1324,Client_List!$B:$B,0)),""))</f>
        <v/>
      </c>
      <c r="G1324" s="19"/>
      <c r="H1324" s="19" t="str">
        <f>IF(B1324="","",IFERROR(A1324-LOOKUP(2,1/($B$4:$B1323=B1324),$A$4:$A1323),""))</f>
        <v/>
      </c>
      <c r="I1324" s="19" t="str">
        <f t="shared" si="20"/>
        <v/>
      </c>
      <c r="J1324" s="19"/>
      <c r="K1324" s="6" t="str">
        <f>IF(B1324="","",IFERROR(AVERAGEIFS($I$4:$I1324,$B$4:$B1324,B1324,$I$4:$I1324,"&gt;"&amp;0),""))</f>
        <v/>
      </c>
      <c r="L1324" s="19" t="str">
        <f>IF(B1324="","",IF(ISNA(MATCH(B1324,Client_List!$B:$B,0)),"⚠ NOT FOUND","✓"))</f>
        <v/>
      </c>
    </row>
    <row r="1325" spans="1:12" ht="14" customHeight="1" x14ac:dyDescent="0.2">
      <c r="A1325" s="58"/>
      <c r="B1325" s="15"/>
      <c r="C1325" s="16" t="str">
        <f>IF(B1325="","",IFERROR(INDEX(Client_List!$C:$C,MATCH(B1325,Client_List!$B:$B,0)),""))</f>
        <v/>
      </c>
      <c r="D1325" s="16" t="str">
        <f>IF(B1325="","",IFERROR(INDEX(Client_List!$D:$D,MATCH(B1325,Client_List!$B:$B,0)),""))</f>
        <v/>
      </c>
      <c r="E1325" s="16" t="str">
        <f>IF(B1325="","",IFERROR(INDEX(Client_List!$K:$K,MATCH(B1325,Client_List!$B:$B,0)),""))</f>
        <v/>
      </c>
      <c r="F1325" s="16" t="str">
        <f>IF(B1325="","",IFERROR(INDEX(Client_List!$J:$J,MATCH(B1325,Client_List!$B:$B,0)),""))</f>
        <v/>
      </c>
      <c r="G1325" s="16"/>
      <c r="H1325" s="16" t="str">
        <f>IF(B1325="","",IFERROR(A1325-LOOKUP(2,1/($B$4:$B1324=B1325),$A$4:$A1324),""))</f>
        <v/>
      </c>
      <c r="I1325" s="16" t="str">
        <f t="shared" si="20"/>
        <v/>
      </c>
      <c r="J1325" s="16"/>
      <c r="K1325" s="6" t="str">
        <f>IF(B1325="","",IFERROR(AVERAGEIFS($I$4:$I1325,$B$4:$B1325,B1325,$I$4:$I1325,"&gt;"&amp;0),""))</f>
        <v/>
      </c>
      <c r="L1325" s="16" t="str">
        <f>IF(B1325="","",IF(ISNA(MATCH(B1325,Client_List!$B:$B,0)),"⚠ NOT FOUND","✓"))</f>
        <v/>
      </c>
    </row>
    <row r="1326" spans="1:12" ht="14" customHeight="1" x14ac:dyDescent="0.2">
      <c r="A1326" s="59"/>
      <c r="B1326" s="18"/>
      <c r="C1326" s="19" t="str">
        <f>IF(B1326="","",IFERROR(INDEX(Client_List!$C:$C,MATCH(B1326,Client_List!$B:$B,0)),""))</f>
        <v/>
      </c>
      <c r="D1326" s="19" t="str">
        <f>IF(B1326="","",IFERROR(INDEX(Client_List!$D:$D,MATCH(B1326,Client_List!$B:$B,0)),""))</f>
        <v/>
      </c>
      <c r="E1326" s="19" t="str">
        <f>IF(B1326="","",IFERROR(INDEX(Client_List!$K:$K,MATCH(B1326,Client_List!$B:$B,0)),""))</f>
        <v/>
      </c>
      <c r="F1326" s="19" t="str">
        <f>IF(B1326="","",IFERROR(INDEX(Client_List!$J:$J,MATCH(B1326,Client_List!$B:$B,0)),""))</f>
        <v/>
      </c>
      <c r="G1326" s="19"/>
      <c r="H1326" s="19" t="str">
        <f>IF(B1326="","",IFERROR(A1326-LOOKUP(2,1/($B$4:$B1325=B1326),$A$4:$A1325),""))</f>
        <v/>
      </c>
      <c r="I1326" s="19" t="str">
        <f t="shared" si="20"/>
        <v/>
      </c>
      <c r="J1326" s="19"/>
      <c r="K1326" s="6" t="str">
        <f>IF(B1326="","",IFERROR(AVERAGEIFS($I$4:$I1326,$B$4:$B1326,B1326,$I$4:$I1326,"&gt;"&amp;0),""))</f>
        <v/>
      </c>
      <c r="L1326" s="19" t="str">
        <f>IF(B1326="","",IF(ISNA(MATCH(B1326,Client_List!$B:$B,0)),"⚠ NOT FOUND","✓"))</f>
        <v/>
      </c>
    </row>
    <row r="1327" spans="1:12" ht="14" customHeight="1" x14ac:dyDescent="0.2">
      <c r="A1327" s="58"/>
      <c r="B1327" s="15"/>
      <c r="C1327" s="16" t="str">
        <f>IF(B1327="","",IFERROR(INDEX(Client_List!$C:$C,MATCH(B1327,Client_List!$B:$B,0)),""))</f>
        <v/>
      </c>
      <c r="D1327" s="16" t="str">
        <f>IF(B1327="","",IFERROR(INDEX(Client_List!$D:$D,MATCH(B1327,Client_List!$B:$B,0)),""))</f>
        <v/>
      </c>
      <c r="E1327" s="16" t="str">
        <f>IF(B1327="","",IFERROR(INDEX(Client_List!$K:$K,MATCH(B1327,Client_List!$B:$B,0)),""))</f>
        <v/>
      </c>
      <c r="F1327" s="16" t="str">
        <f>IF(B1327="","",IFERROR(INDEX(Client_List!$J:$J,MATCH(B1327,Client_List!$B:$B,0)),""))</f>
        <v/>
      </c>
      <c r="G1327" s="16"/>
      <c r="H1327" s="16" t="str">
        <f>IF(B1327="","",IFERROR(A1327-LOOKUP(2,1/($B$4:$B1326=B1327),$A$4:$A1326),""))</f>
        <v/>
      </c>
      <c r="I1327" s="16" t="str">
        <f t="shared" si="20"/>
        <v/>
      </c>
      <c r="J1327" s="16"/>
      <c r="K1327" s="6" t="str">
        <f>IF(B1327="","",IFERROR(AVERAGEIFS($I$4:$I1327,$B$4:$B1327,B1327,$I$4:$I1327,"&gt;"&amp;0),""))</f>
        <v/>
      </c>
      <c r="L1327" s="16" t="str">
        <f>IF(B1327="","",IF(ISNA(MATCH(B1327,Client_List!$B:$B,0)),"⚠ NOT FOUND","✓"))</f>
        <v/>
      </c>
    </row>
    <row r="1328" spans="1:12" ht="14" customHeight="1" x14ac:dyDescent="0.2">
      <c r="A1328" s="59"/>
      <c r="B1328" s="18"/>
      <c r="C1328" s="19" t="str">
        <f>IF(B1328="","",IFERROR(INDEX(Client_List!$C:$C,MATCH(B1328,Client_List!$B:$B,0)),""))</f>
        <v/>
      </c>
      <c r="D1328" s="19" t="str">
        <f>IF(B1328="","",IFERROR(INDEX(Client_List!$D:$D,MATCH(B1328,Client_List!$B:$B,0)),""))</f>
        <v/>
      </c>
      <c r="E1328" s="19" t="str">
        <f>IF(B1328="","",IFERROR(INDEX(Client_List!$K:$K,MATCH(B1328,Client_List!$B:$B,0)),""))</f>
        <v/>
      </c>
      <c r="F1328" s="19" t="str">
        <f>IF(B1328="","",IFERROR(INDEX(Client_List!$J:$J,MATCH(B1328,Client_List!$B:$B,0)),""))</f>
        <v/>
      </c>
      <c r="G1328" s="19"/>
      <c r="H1328" s="19" t="str">
        <f>IF(B1328="","",IFERROR(A1328-LOOKUP(2,1/($B$4:$B1327=B1328),$A$4:$A1327),""))</f>
        <v/>
      </c>
      <c r="I1328" s="19" t="str">
        <f t="shared" si="20"/>
        <v/>
      </c>
      <c r="J1328" s="19"/>
      <c r="K1328" s="6" t="str">
        <f>IF(B1328="","",IFERROR(AVERAGEIFS($I$4:$I1328,$B$4:$B1328,B1328,$I$4:$I1328,"&gt;"&amp;0),""))</f>
        <v/>
      </c>
      <c r="L1328" s="19" t="str">
        <f>IF(B1328="","",IF(ISNA(MATCH(B1328,Client_List!$B:$B,0)),"⚠ NOT FOUND","✓"))</f>
        <v/>
      </c>
    </row>
    <row r="1329" spans="1:12" ht="14" customHeight="1" x14ac:dyDescent="0.2">
      <c r="A1329" s="58"/>
      <c r="B1329" s="15"/>
      <c r="C1329" s="16" t="str">
        <f>IF(B1329="","",IFERROR(INDEX(Client_List!$C:$C,MATCH(B1329,Client_List!$B:$B,0)),""))</f>
        <v/>
      </c>
      <c r="D1329" s="16" t="str">
        <f>IF(B1329="","",IFERROR(INDEX(Client_List!$D:$D,MATCH(B1329,Client_List!$B:$B,0)),""))</f>
        <v/>
      </c>
      <c r="E1329" s="16" t="str">
        <f>IF(B1329="","",IFERROR(INDEX(Client_List!$K:$K,MATCH(B1329,Client_List!$B:$B,0)),""))</f>
        <v/>
      </c>
      <c r="F1329" s="16" t="str">
        <f>IF(B1329="","",IFERROR(INDEX(Client_List!$J:$J,MATCH(B1329,Client_List!$B:$B,0)),""))</f>
        <v/>
      </c>
      <c r="G1329" s="16"/>
      <c r="H1329" s="16" t="str">
        <f>IF(B1329="","",IFERROR(A1329-LOOKUP(2,1/($B$4:$B1328=B1329),$A$4:$A1328),""))</f>
        <v/>
      </c>
      <c r="I1329" s="16" t="str">
        <f t="shared" si="20"/>
        <v/>
      </c>
      <c r="J1329" s="16"/>
      <c r="K1329" s="6" t="str">
        <f>IF(B1329="","",IFERROR(AVERAGEIFS($I$4:$I1329,$B$4:$B1329,B1329,$I$4:$I1329,"&gt;"&amp;0),""))</f>
        <v/>
      </c>
      <c r="L1329" s="16" t="str">
        <f>IF(B1329="","",IF(ISNA(MATCH(B1329,Client_List!$B:$B,0)),"⚠ NOT FOUND","✓"))</f>
        <v/>
      </c>
    </row>
    <row r="1330" spans="1:12" ht="14" customHeight="1" x14ac:dyDescent="0.2">
      <c r="A1330" s="59"/>
      <c r="B1330" s="18"/>
      <c r="C1330" s="19" t="str">
        <f>IF(B1330="","",IFERROR(INDEX(Client_List!$C:$C,MATCH(B1330,Client_List!$B:$B,0)),""))</f>
        <v/>
      </c>
      <c r="D1330" s="19" t="str">
        <f>IF(B1330="","",IFERROR(INDEX(Client_List!$D:$D,MATCH(B1330,Client_List!$B:$B,0)),""))</f>
        <v/>
      </c>
      <c r="E1330" s="19" t="str">
        <f>IF(B1330="","",IFERROR(INDEX(Client_List!$K:$K,MATCH(B1330,Client_List!$B:$B,0)),""))</f>
        <v/>
      </c>
      <c r="F1330" s="19" t="str">
        <f>IF(B1330="","",IFERROR(INDEX(Client_List!$J:$J,MATCH(B1330,Client_List!$B:$B,0)),""))</f>
        <v/>
      </c>
      <c r="G1330" s="19"/>
      <c r="H1330" s="19" t="str">
        <f>IF(B1330="","",IFERROR(A1330-LOOKUP(2,1/($B$4:$B1329=B1330),$A$4:$A1329),""))</f>
        <v/>
      </c>
      <c r="I1330" s="19" t="str">
        <f t="shared" si="20"/>
        <v/>
      </c>
      <c r="J1330" s="19"/>
      <c r="K1330" s="6" t="str">
        <f>IF(B1330="","",IFERROR(AVERAGEIFS($I$4:$I1330,$B$4:$B1330,B1330,$I$4:$I1330,"&gt;"&amp;0),""))</f>
        <v/>
      </c>
      <c r="L1330" s="19" t="str">
        <f>IF(B1330="","",IF(ISNA(MATCH(B1330,Client_List!$B:$B,0)),"⚠ NOT FOUND","✓"))</f>
        <v/>
      </c>
    </row>
    <row r="1331" spans="1:12" ht="14" customHeight="1" x14ac:dyDescent="0.2">
      <c r="A1331" s="58"/>
      <c r="B1331" s="15"/>
      <c r="C1331" s="16" t="str">
        <f>IF(B1331="","",IFERROR(INDEX(Client_List!$C:$C,MATCH(B1331,Client_List!$B:$B,0)),""))</f>
        <v/>
      </c>
      <c r="D1331" s="16" t="str">
        <f>IF(B1331="","",IFERROR(INDEX(Client_List!$D:$D,MATCH(B1331,Client_List!$B:$B,0)),""))</f>
        <v/>
      </c>
      <c r="E1331" s="16" t="str">
        <f>IF(B1331="","",IFERROR(INDEX(Client_List!$K:$K,MATCH(B1331,Client_List!$B:$B,0)),""))</f>
        <v/>
      </c>
      <c r="F1331" s="16" t="str">
        <f>IF(B1331="","",IFERROR(INDEX(Client_List!$J:$J,MATCH(B1331,Client_List!$B:$B,0)),""))</f>
        <v/>
      </c>
      <c r="G1331" s="16"/>
      <c r="H1331" s="16" t="str">
        <f>IF(B1331="","",IFERROR(A1331-LOOKUP(2,1/($B$4:$B1330=B1331),$A$4:$A1330),""))</f>
        <v/>
      </c>
      <c r="I1331" s="16" t="str">
        <f t="shared" si="20"/>
        <v/>
      </c>
      <c r="J1331" s="16"/>
      <c r="K1331" s="6" t="str">
        <f>IF(B1331="","",IFERROR(AVERAGEIFS($I$4:$I1331,$B$4:$B1331,B1331,$I$4:$I1331,"&gt;"&amp;0),""))</f>
        <v/>
      </c>
      <c r="L1331" s="16" t="str">
        <f>IF(B1331="","",IF(ISNA(MATCH(B1331,Client_List!$B:$B,0)),"⚠ NOT FOUND","✓"))</f>
        <v/>
      </c>
    </row>
    <row r="1332" spans="1:12" ht="14" customHeight="1" x14ac:dyDescent="0.2">
      <c r="A1332" s="59"/>
      <c r="B1332" s="18"/>
      <c r="C1332" s="19" t="str">
        <f>IF(B1332="","",IFERROR(INDEX(Client_List!$C:$C,MATCH(B1332,Client_List!$B:$B,0)),""))</f>
        <v/>
      </c>
      <c r="D1332" s="19" t="str">
        <f>IF(B1332="","",IFERROR(INDEX(Client_List!$D:$D,MATCH(B1332,Client_List!$B:$B,0)),""))</f>
        <v/>
      </c>
      <c r="E1332" s="19" t="str">
        <f>IF(B1332="","",IFERROR(INDEX(Client_List!$K:$K,MATCH(B1332,Client_List!$B:$B,0)),""))</f>
        <v/>
      </c>
      <c r="F1332" s="19" t="str">
        <f>IF(B1332="","",IFERROR(INDEX(Client_List!$J:$J,MATCH(B1332,Client_List!$B:$B,0)),""))</f>
        <v/>
      </c>
      <c r="G1332" s="19"/>
      <c r="H1332" s="19" t="str">
        <f>IF(B1332="","",IFERROR(A1332-LOOKUP(2,1/($B$4:$B1331=B1332),$A$4:$A1331),""))</f>
        <v/>
      </c>
      <c r="I1332" s="19" t="str">
        <f t="shared" si="20"/>
        <v/>
      </c>
      <c r="J1332" s="19"/>
      <c r="K1332" s="6" t="str">
        <f>IF(B1332="","",IFERROR(AVERAGEIFS($I$4:$I1332,$B$4:$B1332,B1332,$I$4:$I1332,"&gt;"&amp;0),""))</f>
        <v/>
      </c>
      <c r="L1332" s="19" t="str">
        <f>IF(B1332="","",IF(ISNA(MATCH(B1332,Client_List!$B:$B,0)),"⚠ NOT FOUND","✓"))</f>
        <v/>
      </c>
    </row>
    <row r="1333" spans="1:12" ht="14" customHeight="1" x14ac:dyDescent="0.2">
      <c r="A1333" s="58"/>
      <c r="B1333" s="15"/>
      <c r="C1333" s="16" t="str">
        <f>IF(B1333="","",IFERROR(INDEX(Client_List!$C:$C,MATCH(B1333,Client_List!$B:$B,0)),""))</f>
        <v/>
      </c>
      <c r="D1333" s="16" t="str">
        <f>IF(B1333="","",IFERROR(INDEX(Client_List!$D:$D,MATCH(B1333,Client_List!$B:$B,0)),""))</f>
        <v/>
      </c>
      <c r="E1333" s="16" t="str">
        <f>IF(B1333="","",IFERROR(INDEX(Client_List!$K:$K,MATCH(B1333,Client_List!$B:$B,0)),""))</f>
        <v/>
      </c>
      <c r="F1333" s="16" t="str">
        <f>IF(B1333="","",IFERROR(INDEX(Client_List!$J:$J,MATCH(B1333,Client_List!$B:$B,0)),""))</f>
        <v/>
      </c>
      <c r="G1333" s="16"/>
      <c r="H1333" s="16" t="str">
        <f>IF(B1333="","",IFERROR(A1333-LOOKUP(2,1/($B$4:$B1332=B1333),$A$4:$A1332),""))</f>
        <v/>
      </c>
      <c r="I1333" s="16" t="str">
        <f t="shared" si="20"/>
        <v/>
      </c>
      <c r="J1333" s="16"/>
      <c r="K1333" s="6" t="str">
        <f>IF(B1333="","",IFERROR(AVERAGEIFS($I$4:$I1333,$B$4:$B1333,B1333,$I$4:$I1333,"&gt;"&amp;0),""))</f>
        <v/>
      </c>
      <c r="L1333" s="16" t="str">
        <f>IF(B1333="","",IF(ISNA(MATCH(B1333,Client_List!$B:$B,0)),"⚠ NOT FOUND","✓"))</f>
        <v/>
      </c>
    </row>
    <row r="1334" spans="1:12" ht="14" customHeight="1" x14ac:dyDescent="0.2">
      <c r="A1334" s="59"/>
      <c r="B1334" s="18"/>
      <c r="C1334" s="19" t="str">
        <f>IF(B1334="","",IFERROR(INDEX(Client_List!$C:$C,MATCH(B1334,Client_List!$B:$B,0)),""))</f>
        <v/>
      </c>
      <c r="D1334" s="19" t="str">
        <f>IF(B1334="","",IFERROR(INDEX(Client_List!$D:$D,MATCH(B1334,Client_List!$B:$B,0)),""))</f>
        <v/>
      </c>
      <c r="E1334" s="19" t="str">
        <f>IF(B1334="","",IFERROR(INDEX(Client_List!$K:$K,MATCH(B1334,Client_List!$B:$B,0)),""))</f>
        <v/>
      </c>
      <c r="F1334" s="19" t="str">
        <f>IF(B1334="","",IFERROR(INDEX(Client_List!$J:$J,MATCH(B1334,Client_List!$B:$B,0)),""))</f>
        <v/>
      </c>
      <c r="G1334" s="19"/>
      <c r="H1334" s="19" t="str">
        <f>IF(B1334="","",IFERROR(A1334-LOOKUP(2,1/($B$4:$B1333=B1334),$A$4:$A1333),""))</f>
        <v/>
      </c>
      <c r="I1334" s="19" t="str">
        <f t="shared" si="20"/>
        <v/>
      </c>
      <c r="J1334" s="19"/>
      <c r="K1334" s="6" t="str">
        <f>IF(B1334="","",IFERROR(AVERAGEIFS($I$4:$I1334,$B$4:$B1334,B1334,$I$4:$I1334,"&gt;"&amp;0),""))</f>
        <v/>
      </c>
      <c r="L1334" s="19" t="str">
        <f>IF(B1334="","",IF(ISNA(MATCH(B1334,Client_List!$B:$B,0)),"⚠ NOT FOUND","✓"))</f>
        <v/>
      </c>
    </row>
    <row r="1335" spans="1:12" ht="14" customHeight="1" x14ac:dyDescent="0.2">
      <c r="A1335" s="58"/>
      <c r="B1335" s="15"/>
      <c r="C1335" s="16" t="str">
        <f>IF(B1335="","",IFERROR(INDEX(Client_List!$C:$C,MATCH(B1335,Client_List!$B:$B,0)),""))</f>
        <v/>
      </c>
      <c r="D1335" s="16" t="str">
        <f>IF(B1335="","",IFERROR(INDEX(Client_List!$D:$D,MATCH(B1335,Client_List!$B:$B,0)),""))</f>
        <v/>
      </c>
      <c r="E1335" s="16" t="str">
        <f>IF(B1335="","",IFERROR(INDEX(Client_List!$K:$K,MATCH(B1335,Client_List!$B:$B,0)),""))</f>
        <v/>
      </c>
      <c r="F1335" s="16" t="str">
        <f>IF(B1335="","",IFERROR(INDEX(Client_List!$J:$J,MATCH(B1335,Client_List!$B:$B,0)),""))</f>
        <v/>
      </c>
      <c r="G1335" s="16"/>
      <c r="H1335" s="16" t="str">
        <f>IF(B1335="","",IFERROR(A1335-LOOKUP(2,1/($B$4:$B1334=B1335),$A$4:$A1334),""))</f>
        <v/>
      </c>
      <c r="I1335" s="16" t="str">
        <f t="shared" si="20"/>
        <v/>
      </c>
      <c r="J1335" s="16"/>
      <c r="K1335" s="6" t="str">
        <f>IF(B1335="","",IFERROR(AVERAGEIFS($I$4:$I1335,$B$4:$B1335,B1335,$I$4:$I1335,"&gt;"&amp;0),""))</f>
        <v/>
      </c>
      <c r="L1335" s="16" t="str">
        <f>IF(B1335="","",IF(ISNA(MATCH(B1335,Client_List!$B:$B,0)),"⚠ NOT FOUND","✓"))</f>
        <v/>
      </c>
    </row>
    <row r="1336" spans="1:12" ht="14" customHeight="1" x14ac:dyDescent="0.2">
      <c r="A1336" s="59"/>
      <c r="B1336" s="18"/>
      <c r="C1336" s="19" t="str">
        <f>IF(B1336="","",IFERROR(INDEX(Client_List!$C:$C,MATCH(B1336,Client_List!$B:$B,0)),""))</f>
        <v/>
      </c>
      <c r="D1336" s="19" t="str">
        <f>IF(B1336="","",IFERROR(INDEX(Client_List!$D:$D,MATCH(B1336,Client_List!$B:$B,0)),""))</f>
        <v/>
      </c>
      <c r="E1336" s="19" t="str">
        <f>IF(B1336="","",IFERROR(INDEX(Client_List!$K:$K,MATCH(B1336,Client_List!$B:$B,0)),""))</f>
        <v/>
      </c>
      <c r="F1336" s="19" t="str">
        <f>IF(B1336="","",IFERROR(INDEX(Client_List!$J:$J,MATCH(B1336,Client_List!$B:$B,0)),""))</f>
        <v/>
      </c>
      <c r="G1336" s="19"/>
      <c r="H1336" s="19" t="str">
        <f>IF(B1336="","",IFERROR(A1336-LOOKUP(2,1/($B$4:$B1335=B1336),$A$4:$A1335),""))</f>
        <v/>
      </c>
      <c r="I1336" s="19" t="str">
        <f t="shared" si="20"/>
        <v/>
      </c>
      <c r="J1336" s="19"/>
      <c r="K1336" s="6" t="str">
        <f>IF(B1336="","",IFERROR(AVERAGEIFS($I$4:$I1336,$B$4:$B1336,B1336,$I$4:$I1336,"&gt;"&amp;0),""))</f>
        <v/>
      </c>
      <c r="L1336" s="19" t="str">
        <f>IF(B1336="","",IF(ISNA(MATCH(B1336,Client_List!$B:$B,0)),"⚠ NOT FOUND","✓"))</f>
        <v/>
      </c>
    </row>
    <row r="1337" spans="1:12" ht="14" customHeight="1" x14ac:dyDescent="0.2">
      <c r="A1337" s="58"/>
      <c r="B1337" s="15"/>
      <c r="C1337" s="16" t="str">
        <f>IF(B1337="","",IFERROR(INDEX(Client_List!$C:$C,MATCH(B1337,Client_List!$B:$B,0)),""))</f>
        <v/>
      </c>
      <c r="D1337" s="16" t="str">
        <f>IF(B1337="","",IFERROR(INDEX(Client_List!$D:$D,MATCH(B1337,Client_List!$B:$B,0)),""))</f>
        <v/>
      </c>
      <c r="E1337" s="16" t="str">
        <f>IF(B1337="","",IFERROR(INDEX(Client_List!$K:$K,MATCH(B1337,Client_List!$B:$B,0)),""))</f>
        <v/>
      </c>
      <c r="F1337" s="16" t="str">
        <f>IF(B1337="","",IFERROR(INDEX(Client_List!$J:$J,MATCH(B1337,Client_List!$B:$B,0)),""))</f>
        <v/>
      </c>
      <c r="G1337" s="16"/>
      <c r="H1337" s="16" t="str">
        <f>IF(B1337="","",IFERROR(A1337-LOOKUP(2,1/($B$4:$B1336=B1337),$A$4:$A1336),""))</f>
        <v/>
      </c>
      <c r="I1337" s="16" t="str">
        <f t="shared" si="20"/>
        <v/>
      </c>
      <c r="J1337" s="16"/>
      <c r="K1337" s="6" t="str">
        <f>IF(B1337="","",IFERROR(AVERAGEIFS($I$4:$I1337,$B$4:$B1337,B1337,$I$4:$I1337,"&gt;"&amp;0),""))</f>
        <v/>
      </c>
      <c r="L1337" s="16" t="str">
        <f>IF(B1337="","",IF(ISNA(MATCH(B1337,Client_List!$B:$B,0)),"⚠ NOT FOUND","✓"))</f>
        <v/>
      </c>
    </row>
    <row r="1338" spans="1:12" ht="14" customHeight="1" x14ac:dyDescent="0.2">
      <c r="A1338" s="59"/>
      <c r="B1338" s="18"/>
      <c r="C1338" s="19" t="str">
        <f>IF(B1338="","",IFERROR(INDEX(Client_List!$C:$C,MATCH(B1338,Client_List!$B:$B,0)),""))</f>
        <v/>
      </c>
      <c r="D1338" s="19" t="str">
        <f>IF(B1338="","",IFERROR(INDEX(Client_List!$D:$D,MATCH(B1338,Client_List!$B:$B,0)),""))</f>
        <v/>
      </c>
      <c r="E1338" s="19" t="str">
        <f>IF(B1338="","",IFERROR(INDEX(Client_List!$K:$K,MATCH(B1338,Client_List!$B:$B,0)),""))</f>
        <v/>
      </c>
      <c r="F1338" s="19" t="str">
        <f>IF(B1338="","",IFERROR(INDEX(Client_List!$J:$J,MATCH(B1338,Client_List!$B:$B,0)),""))</f>
        <v/>
      </c>
      <c r="G1338" s="19"/>
      <c r="H1338" s="19" t="str">
        <f>IF(B1338="","",IFERROR(A1338-LOOKUP(2,1/($B$4:$B1337=B1338),$A$4:$A1337),""))</f>
        <v/>
      </c>
      <c r="I1338" s="19" t="str">
        <f t="shared" si="20"/>
        <v/>
      </c>
      <c r="J1338" s="19"/>
      <c r="K1338" s="6" t="str">
        <f>IF(B1338="","",IFERROR(AVERAGEIFS($I$4:$I1338,$B$4:$B1338,B1338,$I$4:$I1338,"&gt;"&amp;0),""))</f>
        <v/>
      </c>
      <c r="L1338" s="19" t="str">
        <f>IF(B1338="","",IF(ISNA(MATCH(B1338,Client_List!$B:$B,0)),"⚠ NOT FOUND","✓"))</f>
        <v/>
      </c>
    </row>
    <row r="1339" spans="1:12" ht="14" customHeight="1" x14ac:dyDescent="0.2">
      <c r="A1339" s="58"/>
      <c r="B1339" s="15"/>
      <c r="C1339" s="16" t="str">
        <f>IF(B1339="","",IFERROR(INDEX(Client_List!$C:$C,MATCH(B1339,Client_List!$B:$B,0)),""))</f>
        <v/>
      </c>
      <c r="D1339" s="16" t="str">
        <f>IF(B1339="","",IFERROR(INDEX(Client_List!$D:$D,MATCH(B1339,Client_List!$B:$B,0)),""))</f>
        <v/>
      </c>
      <c r="E1339" s="16" t="str">
        <f>IF(B1339="","",IFERROR(INDEX(Client_List!$K:$K,MATCH(B1339,Client_List!$B:$B,0)),""))</f>
        <v/>
      </c>
      <c r="F1339" s="16" t="str">
        <f>IF(B1339="","",IFERROR(INDEX(Client_List!$J:$J,MATCH(B1339,Client_List!$B:$B,0)),""))</f>
        <v/>
      </c>
      <c r="G1339" s="16"/>
      <c r="H1339" s="16" t="str">
        <f>IF(B1339="","",IFERROR(A1339-LOOKUP(2,1/($B$4:$B1338=B1339),$A$4:$A1338),""))</f>
        <v/>
      </c>
      <c r="I1339" s="16" t="str">
        <f t="shared" si="20"/>
        <v/>
      </c>
      <c r="J1339" s="16"/>
      <c r="K1339" s="6" t="str">
        <f>IF(B1339="","",IFERROR(AVERAGEIFS($I$4:$I1339,$B$4:$B1339,B1339,$I$4:$I1339,"&gt;"&amp;0),""))</f>
        <v/>
      </c>
      <c r="L1339" s="16" t="str">
        <f>IF(B1339="","",IF(ISNA(MATCH(B1339,Client_List!$B:$B,0)),"⚠ NOT FOUND","✓"))</f>
        <v/>
      </c>
    </row>
    <row r="1340" spans="1:12" ht="14" customHeight="1" x14ac:dyDescent="0.2">
      <c r="A1340" s="59"/>
      <c r="B1340" s="18"/>
      <c r="C1340" s="19" t="str">
        <f>IF(B1340="","",IFERROR(INDEX(Client_List!$C:$C,MATCH(B1340,Client_List!$B:$B,0)),""))</f>
        <v/>
      </c>
      <c r="D1340" s="19" t="str">
        <f>IF(B1340="","",IFERROR(INDEX(Client_List!$D:$D,MATCH(B1340,Client_List!$B:$B,0)),""))</f>
        <v/>
      </c>
      <c r="E1340" s="19" t="str">
        <f>IF(B1340="","",IFERROR(INDEX(Client_List!$K:$K,MATCH(B1340,Client_List!$B:$B,0)),""))</f>
        <v/>
      </c>
      <c r="F1340" s="19" t="str">
        <f>IF(B1340="","",IFERROR(INDEX(Client_List!$J:$J,MATCH(B1340,Client_List!$B:$B,0)),""))</f>
        <v/>
      </c>
      <c r="G1340" s="19"/>
      <c r="H1340" s="19" t="str">
        <f>IF(B1340="","",IFERROR(A1340-LOOKUP(2,1/($B$4:$B1339=B1340),$A$4:$A1339),""))</f>
        <v/>
      </c>
      <c r="I1340" s="19" t="str">
        <f t="shared" si="20"/>
        <v/>
      </c>
      <c r="J1340" s="19"/>
      <c r="K1340" s="6" t="str">
        <f>IF(B1340="","",IFERROR(AVERAGEIFS($I$4:$I1340,$B$4:$B1340,B1340,$I$4:$I1340,"&gt;"&amp;0),""))</f>
        <v/>
      </c>
      <c r="L1340" s="19" t="str">
        <f>IF(B1340="","",IF(ISNA(MATCH(B1340,Client_List!$B:$B,0)),"⚠ NOT FOUND","✓"))</f>
        <v/>
      </c>
    </row>
    <row r="1341" spans="1:12" ht="14" customHeight="1" x14ac:dyDescent="0.2">
      <c r="A1341" s="58"/>
      <c r="B1341" s="15"/>
      <c r="C1341" s="16" t="str">
        <f>IF(B1341="","",IFERROR(INDEX(Client_List!$C:$C,MATCH(B1341,Client_List!$B:$B,0)),""))</f>
        <v/>
      </c>
      <c r="D1341" s="16" t="str">
        <f>IF(B1341="","",IFERROR(INDEX(Client_List!$D:$D,MATCH(B1341,Client_List!$B:$B,0)),""))</f>
        <v/>
      </c>
      <c r="E1341" s="16" t="str">
        <f>IF(B1341="","",IFERROR(INDEX(Client_List!$K:$K,MATCH(B1341,Client_List!$B:$B,0)),""))</f>
        <v/>
      </c>
      <c r="F1341" s="16" t="str">
        <f>IF(B1341="","",IFERROR(INDEX(Client_List!$J:$J,MATCH(B1341,Client_List!$B:$B,0)),""))</f>
        <v/>
      </c>
      <c r="G1341" s="16"/>
      <c r="H1341" s="16" t="str">
        <f>IF(B1341="","",IFERROR(A1341-LOOKUP(2,1/($B$4:$B1340=B1341),$A$4:$A1340),""))</f>
        <v/>
      </c>
      <c r="I1341" s="16" t="str">
        <f t="shared" si="20"/>
        <v/>
      </c>
      <c r="J1341" s="16"/>
      <c r="K1341" s="6" t="str">
        <f>IF(B1341="","",IFERROR(AVERAGEIFS($I$4:$I1341,$B$4:$B1341,B1341,$I$4:$I1341,"&gt;"&amp;0),""))</f>
        <v/>
      </c>
      <c r="L1341" s="16" t="str">
        <f>IF(B1341="","",IF(ISNA(MATCH(B1341,Client_List!$B:$B,0)),"⚠ NOT FOUND","✓"))</f>
        <v/>
      </c>
    </row>
    <row r="1342" spans="1:12" ht="14" customHeight="1" x14ac:dyDescent="0.2">
      <c r="A1342" s="59"/>
      <c r="B1342" s="18"/>
      <c r="C1342" s="19" t="str">
        <f>IF(B1342="","",IFERROR(INDEX(Client_List!$C:$C,MATCH(B1342,Client_List!$B:$B,0)),""))</f>
        <v/>
      </c>
      <c r="D1342" s="19" t="str">
        <f>IF(B1342="","",IFERROR(INDEX(Client_List!$D:$D,MATCH(B1342,Client_List!$B:$B,0)),""))</f>
        <v/>
      </c>
      <c r="E1342" s="19" t="str">
        <f>IF(B1342="","",IFERROR(INDEX(Client_List!$K:$K,MATCH(B1342,Client_List!$B:$B,0)),""))</f>
        <v/>
      </c>
      <c r="F1342" s="19" t="str">
        <f>IF(B1342="","",IFERROR(INDEX(Client_List!$J:$J,MATCH(B1342,Client_List!$B:$B,0)),""))</f>
        <v/>
      </c>
      <c r="G1342" s="19"/>
      <c r="H1342" s="19" t="str">
        <f>IF(B1342="","",IFERROR(A1342-LOOKUP(2,1/($B$4:$B1341=B1342),$A$4:$A1341),""))</f>
        <v/>
      </c>
      <c r="I1342" s="19" t="str">
        <f t="shared" si="20"/>
        <v/>
      </c>
      <c r="J1342" s="19"/>
      <c r="K1342" s="6" t="str">
        <f>IF(B1342="","",IFERROR(AVERAGEIFS($I$4:$I1342,$B$4:$B1342,B1342,$I$4:$I1342,"&gt;"&amp;0),""))</f>
        <v/>
      </c>
      <c r="L1342" s="19" t="str">
        <f>IF(B1342="","",IF(ISNA(MATCH(B1342,Client_List!$B:$B,0)),"⚠ NOT FOUND","✓"))</f>
        <v/>
      </c>
    </row>
    <row r="1343" spans="1:12" ht="14" customHeight="1" x14ac:dyDescent="0.2">
      <c r="A1343" s="58"/>
      <c r="B1343" s="15"/>
      <c r="C1343" s="16" t="str">
        <f>IF(B1343="","",IFERROR(INDEX(Client_List!$C:$C,MATCH(B1343,Client_List!$B:$B,0)),""))</f>
        <v/>
      </c>
      <c r="D1343" s="16" t="str">
        <f>IF(B1343="","",IFERROR(INDEX(Client_List!$D:$D,MATCH(B1343,Client_List!$B:$B,0)),""))</f>
        <v/>
      </c>
      <c r="E1343" s="16" t="str">
        <f>IF(B1343="","",IFERROR(INDEX(Client_List!$K:$K,MATCH(B1343,Client_List!$B:$B,0)),""))</f>
        <v/>
      </c>
      <c r="F1343" s="16" t="str">
        <f>IF(B1343="","",IFERROR(INDEX(Client_List!$J:$J,MATCH(B1343,Client_List!$B:$B,0)),""))</f>
        <v/>
      </c>
      <c r="G1343" s="16"/>
      <c r="H1343" s="16" t="str">
        <f>IF(B1343="","",IFERROR(A1343-LOOKUP(2,1/($B$4:$B1342=B1343),$A$4:$A1342),""))</f>
        <v/>
      </c>
      <c r="I1343" s="16" t="str">
        <f t="shared" si="20"/>
        <v/>
      </c>
      <c r="J1343" s="16"/>
      <c r="K1343" s="6" t="str">
        <f>IF(B1343="","",IFERROR(AVERAGEIFS($I$4:$I1343,$B$4:$B1343,B1343,$I$4:$I1343,"&gt;"&amp;0),""))</f>
        <v/>
      </c>
      <c r="L1343" s="16" t="str">
        <f>IF(B1343="","",IF(ISNA(MATCH(B1343,Client_List!$B:$B,0)),"⚠ NOT FOUND","✓"))</f>
        <v/>
      </c>
    </row>
    <row r="1344" spans="1:12" ht="14" customHeight="1" x14ac:dyDescent="0.2">
      <c r="A1344" s="59"/>
      <c r="B1344" s="18"/>
      <c r="C1344" s="19" t="str">
        <f>IF(B1344="","",IFERROR(INDEX(Client_List!$C:$C,MATCH(B1344,Client_List!$B:$B,0)),""))</f>
        <v/>
      </c>
      <c r="D1344" s="19" t="str">
        <f>IF(B1344="","",IFERROR(INDEX(Client_List!$D:$D,MATCH(B1344,Client_List!$B:$B,0)),""))</f>
        <v/>
      </c>
      <c r="E1344" s="19" t="str">
        <f>IF(B1344="","",IFERROR(INDEX(Client_List!$K:$K,MATCH(B1344,Client_List!$B:$B,0)),""))</f>
        <v/>
      </c>
      <c r="F1344" s="19" t="str">
        <f>IF(B1344="","",IFERROR(INDEX(Client_List!$J:$J,MATCH(B1344,Client_List!$B:$B,0)),""))</f>
        <v/>
      </c>
      <c r="G1344" s="19"/>
      <c r="H1344" s="19" t="str">
        <f>IF(B1344="","",IFERROR(A1344-LOOKUP(2,1/($B$4:$B1343=B1344),$A$4:$A1343),""))</f>
        <v/>
      </c>
      <c r="I1344" s="19" t="str">
        <f t="shared" si="20"/>
        <v/>
      </c>
      <c r="J1344" s="19"/>
      <c r="K1344" s="6" t="str">
        <f>IF(B1344="","",IFERROR(AVERAGEIFS($I$4:$I1344,$B$4:$B1344,B1344,$I$4:$I1344,"&gt;"&amp;0),""))</f>
        <v/>
      </c>
      <c r="L1344" s="19" t="str">
        <f>IF(B1344="","",IF(ISNA(MATCH(B1344,Client_List!$B:$B,0)),"⚠ NOT FOUND","✓"))</f>
        <v/>
      </c>
    </row>
    <row r="1345" spans="1:12" ht="14" customHeight="1" x14ac:dyDescent="0.2">
      <c r="A1345" s="58"/>
      <c r="B1345" s="15"/>
      <c r="C1345" s="16" t="str">
        <f>IF(B1345="","",IFERROR(INDEX(Client_List!$C:$C,MATCH(B1345,Client_List!$B:$B,0)),""))</f>
        <v/>
      </c>
      <c r="D1345" s="16" t="str">
        <f>IF(B1345="","",IFERROR(INDEX(Client_List!$D:$D,MATCH(B1345,Client_List!$B:$B,0)),""))</f>
        <v/>
      </c>
      <c r="E1345" s="16" t="str">
        <f>IF(B1345="","",IFERROR(INDEX(Client_List!$K:$K,MATCH(B1345,Client_List!$B:$B,0)),""))</f>
        <v/>
      </c>
      <c r="F1345" s="16" t="str">
        <f>IF(B1345="","",IFERROR(INDEX(Client_List!$J:$J,MATCH(B1345,Client_List!$B:$B,0)),""))</f>
        <v/>
      </c>
      <c r="G1345" s="16"/>
      <c r="H1345" s="16" t="str">
        <f>IF(B1345="","",IFERROR(A1345-LOOKUP(2,1/($B$4:$B1344=B1345),$A$4:$A1344),""))</f>
        <v/>
      </c>
      <c r="I1345" s="16" t="str">
        <f t="shared" si="20"/>
        <v/>
      </c>
      <c r="J1345" s="16"/>
      <c r="K1345" s="6" t="str">
        <f>IF(B1345="","",IFERROR(AVERAGEIFS($I$4:$I1345,$B$4:$B1345,B1345,$I$4:$I1345,"&gt;"&amp;0),""))</f>
        <v/>
      </c>
      <c r="L1345" s="16" t="str">
        <f>IF(B1345="","",IF(ISNA(MATCH(B1345,Client_List!$B:$B,0)),"⚠ NOT FOUND","✓"))</f>
        <v/>
      </c>
    </row>
    <row r="1346" spans="1:12" ht="14" customHeight="1" x14ac:dyDescent="0.2">
      <c r="A1346" s="59"/>
      <c r="B1346" s="18"/>
      <c r="C1346" s="19" t="str">
        <f>IF(B1346="","",IFERROR(INDEX(Client_List!$C:$C,MATCH(B1346,Client_List!$B:$B,0)),""))</f>
        <v/>
      </c>
      <c r="D1346" s="19" t="str">
        <f>IF(B1346="","",IFERROR(INDEX(Client_List!$D:$D,MATCH(B1346,Client_List!$B:$B,0)),""))</f>
        <v/>
      </c>
      <c r="E1346" s="19" t="str">
        <f>IF(B1346="","",IFERROR(INDEX(Client_List!$K:$K,MATCH(B1346,Client_List!$B:$B,0)),""))</f>
        <v/>
      </c>
      <c r="F1346" s="19" t="str">
        <f>IF(B1346="","",IFERROR(INDEX(Client_List!$J:$J,MATCH(B1346,Client_List!$B:$B,0)),""))</f>
        <v/>
      </c>
      <c r="G1346" s="19"/>
      <c r="H1346" s="19" t="str">
        <f>IF(B1346="","",IFERROR(A1346-LOOKUP(2,1/($B$4:$B1345=B1346),$A$4:$A1345),""))</f>
        <v/>
      </c>
      <c r="I1346" s="19" t="str">
        <f t="shared" si="20"/>
        <v/>
      </c>
      <c r="J1346" s="19"/>
      <c r="K1346" s="6" t="str">
        <f>IF(B1346="","",IFERROR(AVERAGEIFS($I$4:$I1346,$B$4:$B1346,B1346,$I$4:$I1346,"&gt;"&amp;0),""))</f>
        <v/>
      </c>
      <c r="L1346" s="19" t="str">
        <f>IF(B1346="","",IF(ISNA(MATCH(B1346,Client_List!$B:$B,0)),"⚠ NOT FOUND","✓"))</f>
        <v/>
      </c>
    </row>
    <row r="1347" spans="1:12" ht="14" customHeight="1" x14ac:dyDescent="0.2">
      <c r="A1347" s="58"/>
      <c r="B1347" s="15"/>
      <c r="C1347" s="16" t="str">
        <f>IF(B1347="","",IFERROR(INDEX(Client_List!$C:$C,MATCH(B1347,Client_List!$B:$B,0)),""))</f>
        <v/>
      </c>
      <c r="D1347" s="16" t="str">
        <f>IF(B1347="","",IFERROR(INDEX(Client_List!$D:$D,MATCH(B1347,Client_List!$B:$B,0)),""))</f>
        <v/>
      </c>
      <c r="E1347" s="16" t="str">
        <f>IF(B1347="","",IFERROR(INDEX(Client_List!$K:$K,MATCH(B1347,Client_List!$B:$B,0)),""))</f>
        <v/>
      </c>
      <c r="F1347" s="16" t="str">
        <f>IF(B1347="","",IFERROR(INDEX(Client_List!$J:$J,MATCH(B1347,Client_List!$B:$B,0)),""))</f>
        <v/>
      </c>
      <c r="G1347" s="16"/>
      <c r="H1347" s="16" t="str">
        <f>IF(B1347="","",IFERROR(A1347-LOOKUP(2,1/($B$4:$B1346=B1347),$A$4:$A1346),""))</f>
        <v/>
      </c>
      <c r="I1347" s="16" t="str">
        <f t="shared" si="20"/>
        <v/>
      </c>
      <c r="J1347" s="16"/>
      <c r="K1347" s="6" t="str">
        <f>IF(B1347="","",IFERROR(AVERAGEIFS($I$4:$I1347,$B$4:$B1347,B1347,$I$4:$I1347,"&gt;"&amp;0),""))</f>
        <v/>
      </c>
      <c r="L1347" s="16" t="str">
        <f>IF(B1347="","",IF(ISNA(MATCH(B1347,Client_List!$B:$B,0)),"⚠ NOT FOUND","✓"))</f>
        <v/>
      </c>
    </row>
    <row r="1348" spans="1:12" ht="14" customHeight="1" x14ac:dyDescent="0.2">
      <c r="A1348" s="59"/>
      <c r="B1348" s="18"/>
      <c r="C1348" s="19" t="str">
        <f>IF(B1348="","",IFERROR(INDEX(Client_List!$C:$C,MATCH(B1348,Client_List!$B:$B,0)),""))</f>
        <v/>
      </c>
      <c r="D1348" s="19" t="str">
        <f>IF(B1348="","",IFERROR(INDEX(Client_List!$D:$D,MATCH(B1348,Client_List!$B:$B,0)),""))</f>
        <v/>
      </c>
      <c r="E1348" s="19" t="str">
        <f>IF(B1348="","",IFERROR(INDEX(Client_List!$K:$K,MATCH(B1348,Client_List!$B:$B,0)),""))</f>
        <v/>
      </c>
      <c r="F1348" s="19" t="str">
        <f>IF(B1348="","",IFERROR(INDEX(Client_List!$J:$J,MATCH(B1348,Client_List!$B:$B,0)),""))</f>
        <v/>
      </c>
      <c r="G1348" s="19"/>
      <c r="H1348" s="19" t="str">
        <f>IF(B1348="","",IFERROR(A1348-LOOKUP(2,1/($B$4:$B1347=B1348),$A$4:$A1347),""))</f>
        <v/>
      </c>
      <c r="I1348" s="19" t="str">
        <f t="shared" ref="I1348:I1411" si="21">IF(B1348="","",IFERROR(G1348/H1348,""))</f>
        <v/>
      </c>
      <c r="J1348" s="19"/>
      <c r="K1348" s="6" t="str">
        <f>IF(B1348="","",IFERROR(AVERAGEIFS($I$4:$I1348,$B$4:$B1348,B1348,$I$4:$I1348,"&gt;"&amp;0),""))</f>
        <v/>
      </c>
      <c r="L1348" s="19" t="str">
        <f>IF(B1348="","",IF(ISNA(MATCH(B1348,Client_List!$B:$B,0)),"⚠ NOT FOUND","✓"))</f>
        <v/>
      </c>
    </row>
    <row r="1349" spans="1:12" ht="14" customHeight="1" x14ac:dyDescent="0.2">
      <c r="A1349" s="58"/>
      <c r="B1349" s="15"/>
      <c r="C1349" s="16" t="str">
        <f>IF(B1349="","",IFERROR(INDEX(Client_List!$C:$C,MATCH(B1349,Client_List!$B:$B,0)),""))</f>
        <v/>
      </c>
      <c r="D1349" s="16" t="str">
        <f>IF(B1349="","",IFERROR(INDEX(Client_List!$D:$D,MATCH(B1349,Client_List!$B:$B,0)),""))</f>
        <v/>
      </c>
      <c r="E1349" s="16" t="str">
        <f>IF(B1349="","",IFERROR(INDEX(Client_List!$K:$K,MATCH(B1349,Client_List!$B:$B,0)),""))</f>
        <v/>
      </c>
      <c r="F1349" s="16" t="str">
        <f>IF(B1349="","",IFERROR(INDEX(Client_List!$J:$J,MATCH(B1349,Client_List!$B:$B,0)),""))</f>
        <v/>
      </c>
      <c r="G1349" s="16"/>
      <c r="H1349" s="16" t="str">
        <f>IF(B1349="","",IFERROR(A1349-LOOKUP(2,1/($B$4:$B1348=B1349),$A$4:$A1348),""))</f>
        <v/>
      </c>
      <c r="I1349" s="16" t="str">
        <f t="shared" si="21"/>
        <v/>
      </c>
      <c r="J1349" s="16"/>
      <c r="K1349" s="6" t="str">
        <f>IF(B1349="","",IFERROR(AVERAGEIFS($I$4:$I1349,$B$4:$B1349,B1349,$I$4:$I1349,"&gt;"&amp;0),""))</f>
        <v/>
      </c>
      <c r="L1349" s="16" t="str">
        <f>IF(B1349="","",IF(ISNA(MATCH(B1349,Client_List!$B:$B,0)),"⚠ NOT FOUND","✓"))</f>
        <v/>
      </c>
    </row>
    <row r="1350" spans="1:12" ht="14" customHeight="1" x14ac:dyDescent="0.2">
      <c r="A1350" s="59"/>
      <c r="B1350" s="18"/>
      <c r="C1350" s="19" t="str">
        <f>IF(B1350="","",IFERROR(INDEX(Client_List!$C:$C,MATCH(B1350,Client_List!$B:$B,0)),""))</f>
        <v/>
      </c>
      <c r="D1350" s="19" t="str">
        <f>IF(B1350="","",IFERROR(INDEX(Client_List!$D:$D,MATCH(B1350,Client_List!$B:$B,0)),""))</f>
        <v/>
      </c>
      <c r="E1350" s="19" t="str">
        <f>IF(B1350="","",IFERROR(INDEX(Client_List!$K:$K,MATCH(B1350,Client_List!$B:$B,0)),""))</f>
        <v/>
      </c>
      <c r="F1350" s="19" t="str">
        <f>IF(B1350="","",IFERROR(INDEX(Client_List!$J:$J,MATCH(B1350,Client_List!$B:$B,0)),""))</f>
        <v/>
      </c>
      <c r="G1350" s="19"/>
      <c r="H1350" s="19" t="str">
        <f>IF(B1350="","",IFERROR(A1350-LOOKUP(2,1/($B$4:$B1349=B1350),$A$4:$A1349),""))</f>
        <v/>
      </c>
      <c r="I1350" s="19" t="str">
        <f t="shared" si="21"/>
        <v/>
      </c>
      <c r="J1350" s="19"/>
      <c r="K1350" s="6" t="str">
        <f>IF(B1350="","",IFERROR(AVERAGEIFS($I$4:$I1350,$B$4:$B1350,B1350,$I$4:$I1350,"&gt;"&amp;0),""))</f>
        <v/>
      </c>
      <c r="L1350" s="19" t="str">
        <f>IF(B1350="","",IF(ISNA(MATCH(B1350,Client_List!$B:$B,0)),"⚠ NOT FOUND","✓"))</f>
        <v/>
      </c>
    </row>
    <row r="1351" spans="1:12" ht="14" customHeight="1" x14ac:dyDescent="0.2">
      <c r="A1351" s="58"/>
      <c r="B1351" s="15"/>
      <c r="C1351" s="16" t="str">
        <f>IF(B1351="","",IFERROR(INDEX(Client_List!$C:$C,MATCH(B1351,Client_List!$B:$B,0)),""))</f>
        <v/>
      </c>
      <c r="D1351" s="16" t="str">
        <f>IF(B1351="","",IFERROR(INDEX(Client_List!$D:$D,MATCH(B1351,Client_List!$B:$B,0)),""))</f>
        <v/>
      </c>
      <c r="E1351" s="16" t="str">
        <f>IF(B1351="","",IFERROR(INDEX(Client_List!$K:$K,MATCH(B1351,Client_List!$B:$B,0)),""))</f>
        <v/>
      </c>
      <c r="F1351" s="16" t="str">
        <f>IF(B1351="","",IFERROR(INDEX(Client_List!$J:$J,MATCH(B1351,Client_List!$B:$B,0)),""))</f>
        <v/>
      </c>
      <c r="G1351" s="16"/>
      <c r="H1351" s="16" t="str">
        <f>IF(B1351="","",IFERROR(A1351-LOOKUP(2,1/($B$4:$B1350=B1351),$A$4:$A1350),""))</f>
        <v/>
      </c>
      <c r="I1351" s="16" t="str">
        <f t="shared" si="21"/>
        <v/>
      </c>
      <c r="J1351" s="16"/>
      <c r="K1351" s="6" t="str">
        <f>IF(B1351="","",IFERROR(AVERAGEIFS($I$4:$I1351,$B$4:$B1351,B1351,$I$4:$I1351,"&gt;"&amp;0),""))</f>
        <v/>
      </c>
      <c r="L1351" s="16" t="str">
        <f>IF(B1351="","",IF(ISNA(MATCH(B1351,Client_List!$B:$B,0)),"⚠ NOT FOUND","✓"))</f>
        <v/>
      </c>
    </row>
    <row r="1352" spans="1:12" ht="14" customHeight="1" x14ac:dyDescent="0.2">
      <c r="A1352" s="59"/>
      <c r="B1352" s="18"/>
      <c r="C1352" s="19" t="str">
        <f>IF(B1352="","",IFERROR(INDEX(Client_List!$C:$C,MATCH(B1352,Client_List!$B:$B,0)),""))</f>
        <v/>
      </c>
      <c r="D1352" s="19" t="str">
        <f>IF(B1352="","",IFERROR(INDEX(Client_List!$D:$D,MATCH(B1352,Client_List!$B:$B,0)),""))</f>
        <v/>
      </c>
      <c r="E1352" s="19" t="str">
        <f>IF(B1352="","",IFERROR(INDEX(Client_List!$K:$K,MATCH(B1352,Client_List!$B:$B,0)),""))</f>
        <v/>
      </c>
      <c r="F1352" s="19" t="str">
        <f>IF(B1352="","",IFERROR(INDEX(Client_List!$J:$J,MATCH(B1352,Client_List!$B:$B,0)),""))</f>
        <v/>
      </c>
      <c r="G1352" s="19"/>
      <c r="H1352" s="19" t="str">
        <f>IF(B1352="","",IFERROR(A1352-LOOKUP(2,1/($B$4:$B1351=B1352),$A$4:$A1351),""))</f>
        <v/>
      </c>
      <c r="I1352" s="19" t="str">
        <f t="shared" si="21"/>
        <v/>
      </c>
      <c r="J1352" s="19"/>
      <c r="K1352" s="6" t="str">
        <f>IF(B1352="","",IFERROR(AVERAGEIFS($I$4:$I1352,$B$4:$B1352,B1352,$I$4:$I1352,"&gt;"&amp;0),""))</f>
        <v/>
      </c>
      <c r="L1352" s="19" t="str">
        <f>IF(B1352="","",IF(ISNA(MATCH(B1352,Client_List!$B:$B,0)),"⚠ NOT FOUND","✓"))</f>
        <v/>
      </c>
    </row>
    <row r="1353" spans="1:12" ht="14" customHeight="1" x14ac:dyDescent="0.2">
      <c r="A1353" s="58"/>
      <c r="B1353" s="15"/>
      <c r="C1353" s="16" t="str">
        <f>IF(B1353="","",IFERROR(INDEX(Client_List!$C:$C,MATCH(B1353,Client_List!$B:$B,0)),""))</f>
        <v/>
      </c>
      <c r="D1353" s="16" t="str">
        <f>IF(B1353="","",IFERROR(INDEX(Client_List!$D:$D,MATCH(B1353,Client_List!$B:$B,0)),""))</f>
        <v/>
      </c>
      <c r="E1353" s="16" t="str">
        <f>IF(B1353="","",IFERROR(INDEX(Client_List!$K:$K,MATCH(B1353,Client_List!$B:$B,0)),""))</f>
        <v/>
      </c>
      <c r="F1353" s="16" t="str">
        <f>IF(B1353="","",IFERROR(INDEX(Client_List!$J:$J,MATCH(B1353,Client_List!$B:$B,0)),""))</f>
        <v/>
      </c>
      <c r="G1353" s="16"/>
      <c r="H1353" s="16" t="str">
        <f>IF(B1353="","",IFERROR(A1353-LOOKUP(2,1/($B$4:$B1352=B1353),$A$4:$A1352),""))</f>
        <v/>
      </c>
      <c r="I1353" s="16" t="str">
        <f t="shared" si="21"/>
        <v/>
      </c>
      <c r="J1353" s="16"/>
      <c r="K1353" s="6" t="str">
        <f>IF(B1353="","",IFERROR(AVERAGEIFS($I$4:$I1353,$B$4:$B1353,B1353,$I$4:$I1353,"&gt;"&amp;0),""))</f>
        <v/>
      </c>
      <c r="L1353" s="16" t="str">
        <f>IF(B1353="","",IF(ISNA(MATCH(B1353,Client_List!$B:$B,0)),"⚠ NOT FOUND","✓"))</f>
        <v/>
      </c>
    </row>
    <row r="1354" spans="1:12" ht="14" customHeight="1" x14ac:dyDescent="0.2">
      <c r="A1354" s="59"/>
      <c r="B1354" s="18"/>
      <c r="C1354" s="19" t="str">
        <f>IF(B1354="","",IFERROR(INDEX(Client_List!$C:$C,MATCH(B1354,Client_List!$B:$B,0)),""))</f>
        <v/>
      </c>
      <c r="D1354" s="19" t="str">
        <f>IF(B1354="","",IFERROR(INDEX(Client_List!$D:$D,MATCH(B1354,Client_List!$B:$B,0)),""))</f>
        <v/>
      </c>
      <c r="E1354" s="19" t="str">
        <f>IF(B1354="","",IFERROR(INDEX(Client_List!$K:$K,MATCH(B1354,Client_List!$B:$B,0)),""))</f>
        <v/>
      </c>
      <c r="F1354" s="19" t="str">
        <f>IF(B1354="","",IFERROR(INDEX(Client_List!$J:$J,MATCH(B1354,Client_List!$B:$B,0)),""))</f>
        <v/>
      </c>
      <c r="G1354" s="19"/>
      <c r="H1354" s="19" t="str">
        <f>IF(B1354="","",IFERROR(A1354-LOOKUP(2,1/($B$4:$B1353=B1354),$A$4:$A1353),""))</f>
        <v/>
      </c>
      <c r="I1354" s="19" t="str">
        <f t="shared" si="21"/>
        <v/>
      </c>
      <c r="J1354" s="19"/>
      <c r="K1354" s="6" t="str">
        <f>IF(B1354="","",IFERROR(AVERAGEIFS($I$4:$I1354,$B$4:$B1354,B1354,$I$4:$I1354,"&gt;"&amp;0),""))</f>
        <v/>
      </c>
      <c r="L1354" s="19" t="str">
        <f>IF(B1354="","",IF(ISNA(MATCH(B1354,Client_List!$B:$B,0)),"⚠ NOT FOUND","✓"))</f>
        <v/>
      </c>
    </row>
    <row r="1355" spans="1:12" ht="14" customHeight="1" x14ac:dyDescent="0.2">
      <c r="A1355" s="58"/>
      <c r="B1355" s="15"/>
      <c r="C1355" s="16" t="str">
        <f>IF(B1355="","",IFERROR(INDEX(Client_List!$C:$C,MATCH(B1355,Client_List!$B:$B,0)),""))</f>
        <v/>
      </c>
      <c r="D1355" s="16" t="str">
        <f>IF(B1355="","",IFERROR(INDEX(Client_List!$D:$D,MATCH(B1355,Client_List!$B:$B,0)),""))</f>
        <v/>
      </c>
      <c r="E1355" s="16" t="str">
        <f>IF(B1355="","",IFERROR(INDEX(Client_List!$K:$K,MATCH(B1355,Client_List!$B:$B,0)),""))</f>
        <v/>
      </c>
      <c r="F1355" s="16" t="str">
        <f>IF(B1355="","",IFERROR(INDEX(Client_List!$J:$J,MATCH(B1355,Client_List!$B:$B,0)),""))</f>
        <v/>
      </c>
      <c r="G1355" s="16"/>
      <c r="H1355" s="16" t="str">
        <f>IF(B1355="","",IFERROR(A1355-LOOKUP(2,1/($B$4:$B1354=B1355),$A$4:$A1354),""))</f>
        <v/>
      </c>
      <c r="I1355" s="16" t="str">
        <f t="shared" si="21"/>
        <v/>
      </c>
      <c r="J1355" s="16"/>
      <c r="K1355" s="6" t="str">
        <f>IF(B1355="","",IFERROR(AVERAGEIFS($I$4:$I1355,$B$4:$B1355,B1355,$I$4:$I1355,"&gt;"&amp;0),""))</f>
        <v/>
      </c>
      <c r="L1355" s="16" t="str">
        <f>IF(B1355="","",IF(ISNA(MATCH(B1355,Client_List!$B:$B,0)),"⚠ NOT FOUND","✓"))</f>
        <v/>
      </c>
    </row>
    <row r="1356" spans="1:12" ht="14" customHeight="1" x14ac:dyDescent="0.2">
      <c r="A1356" s="59"/>
      <c r="B1356" s="18"/>
      <c r="C1356" s="19" t="str">
        <f>IF(B1356="","",IFERROR(INDEX(Client_List!$C:$C,MATCH(B1356,Client_List!$B:$B,0)),""))</f>
        <v/>
      </c>
      <c r="D1356" s="19" t="str">
        <f>IF(B1356="","",IFERROR(INDEX(Client_List!$D:$D,MATCH(B1356,Client_List!$B:$B,0)),""))</f>
        <v/>
      </c>
      <c r="E1356" s="19" t="str">
        <f>IF(B1356="","",IFERROR(INDEX(Client_List!$K:$K,MATCH(B1356,Client_List!$B:$B,0)),""))</f>
        <v/>
      </c>
      <c r="F1356" s="19" t="str">
        <f>IF(B1356="","",IFERROR(INDEX(Client_List!$J:$J,MATCH(B1356,Client_List!$B:$B,0)),""))</f>
        <v/>
      </c>
      <c r="G1356" s="19"/>
      <c r="H1356" s="19" t="str">
        <f>IF(B1356="","",IFERROR(A1356-LOOKUP(2,1/($B$4:$B1355=B1356),$A$4:$A1355),""))</f>
        <v/>
      </c>
      <c r="I1356" s="19" t="str">
        <f t="shared" si="21"/>
        <v/>
      </c>
      <c r="J1356" s="19"/>
      <c r="K1356" s="6" t="str">
        <f>IF(B1356="","",IFERROR(AVERAGEIFS($I$4:$I1356,$B$4:$B1356,B1356,$I$4:$I1356,"&gt;"&amp;0),""))</f>
        <v/>
      </c>
      <c r="L1356" s="19" t="str">
        <f>IF(B1356="","",IF(ISNA(MATCH(B1356,Client_List!$B:$B,0)),"⚠ NOT FOUND","✓"))</f>
        <v/>
      </c>
    </row>
    <row r="1357" spans="1:12" ht="14" customHeight="1" x14ac:dyDescent="0.2">
      <c r="A1357" s="58"/>
      <c r="B1357" s="15"/>
      <c r="C1357" s="16" t="str">
        <f>IF(B1357="","",IFERROR(INDEX(Client_List!$C:$C,MATCH(B1357,Client_List!$B:$B,0)),""))</f>
        <v/>
      </c>
      <c r="D1357" s="16" t="str">
        <f>IF(B1357="","",IFERROR(INDEX(Client_List!$D:$D,MATCH(B1357,Client_List!$B:$B,0)),""))</f>
        <v/>
      </c>
      <c r="E1357" s="16" t="str">
        <f>IF(B1357="","",IFERROR(INDEX(Client_List!$K:$K,MATCH(B1357,Client_List!$B:$B,0)),""))</f>
        <v/>
      </c>
      <c r="F1357" s="16" t="str">
        <f>IF(B1357="","",IFERROR(INDEX(Client_List!$J:$J,MATCH(B1357,Client_List!$B:$B,0)),""))</f>
        <v/>
      </c>
      <c r="G1357" s="16"/>
      <c r="H1357" s="16" t="str">
        <f>IF(B1357="","",IFERROR(A1357-LOOKUP(2,1/($B$4:$B1356=B1357),$A$4:$A1356),""))</f>
        <v/>
      </c>
      <c r="I1357" s="16" t="str">
        <f t="shared" si="21"/>
        <v/>
      </c>
      <c r="J1357" s="16"/>
      <c r="K1357" s="6" t="str">
        <f>IF(B1357="","",IFERROR(AVERAGEIFS($I$4:$I1357,$B$4:$B1357,B1357,$I$4:$I1357,"&gt;"&amp;0),""))</f>
        <v/>
      </c>
      <c r="L1357" s="16" t="str">
        <f>IF(B1357="","",IF(ISNA(MATCH(B1357,Client_List!$B:$B,0)),"⚠ NOT FOUND","✓"))</f>
        <v/>
      </c>
    </row>
    <row r="1358" spans="1:12" ht="14" customHeight="1" x14ac:dyDescent="0.2">
      <c r="A1358" s="59"/>
      <c r="B1358" s="18"/>
      <c r="C1358" s="19" t="str">
        <f>IF(B1358="","",IFERROR(INDEX(Client_List!$C:$C,MATCH(B1358,Client_List!$B:$B,0)),""))</f>
        <v/>
      </c>
      <c r="D1358" s="19" t="str">
        <f>IF(B1358="","",IFERROR(INDEX(Client_List!$D:$D,MATCH(B1358,Client_List!$B:$B,0)),""))</f>
        <v/>
      </c>
      <c r="E1358" s="19" t="str">
        <f>IF(B1358="","",IFERROR(INDEX(Client_List!$K:$K,MATCH(B1358,Client_List!$B:$B,0)),""))</f>
        <v/>
      </c>
      <c r="F1358" s="19" t="str">
        <f>IF(B1358="","",IFERROR(INDEX(Client_List!$J:$J,MATCH(B1358,Client_List!$B:$B,0)),""))</f>
        <v/>
      </c>
      <c r="G1358" s="19"/>
      <c r="H1358" s="19" t="str">
        <f>IF(B1358="","",IFERROR(A1358-LOOKUP(2,1/($B$4:$B1357=B1358),$A$4:$A1357),""))</f>
        <v/>
      </c>
      <c r="I1358" s="19" t="str">
        <f t="shared" si="21"/>
        <v/>
      </c>
      <c r="J1358" s="19"/>
      <c r="K1358" s="6" t="str">
        <f>IF(B1358="","",IFERROR(AVERAGEIFS($I$4:$I1358,$B$4:$B1358,B1358,$I$4:$I1358,"&gt;"&amp;0),""))</f>
        <v/>
      </c>
      <c r="L1358" s="19" t="str">
        <f>IF(B1358="","",IF(ISNA(MATCH(B1358,Client_List!$B:$B,0)),"⚠ NOT FOUND","✓"))</f>
        <v/>
      </c>
    </row>
    <row r="1359" spans="1:12" ht="14" customHeight="1" x14ac:dyDescent="0.2">
      <c r="A1359" s="58"/>
      <c r="B1359" s="15"/>
      <c r="C1359" s="16" t="str">
        <f>IF(B1359="","",IFERROR(INDEX(Client_List!$C:$C,MATCH(B1359,Client_List!$B:$B,0)),""))</f>
        <v/>
      </c>
      <c r="D1359" s="16" t="str">
        <f>IF(B1359="","",IFERROR(INDEX(Client_List!$D:$D,MATCH(B1359,Client_List!$B:$B,0)),""))</f>
        <v/>
      </c>
      <c r="E1359" s="16" t="str">
        <f>IF(B1359="","",IFERROR(INDEX(Client_List!$K:$K,MATCH(B1359,Client_List!$B:$B,0)),""))</f>
        <v/>
      </c>
      <c r="F1359" s="16" t="str">
        <f>IF(B1359="","",IFERROR(INDEX(Client_List!$J:$J,MATCH(B1359,Client_List!$B:$B,0)),""))</f>
        <v/>
      </c>
      <c r="G1359" s="16"/>
      <c r="H1359" s="16" t="str">
        <f>IF(B1359="","",IFERROR(A1359-LOOKUP(2,1/($B$4:$B1358=B1359),$A$4:$A1358),""))</f>
        <v/>
      </c>
      <c r="I1359" s="16" t="str">
        <f t="shared" si="21"/>
        <v/>
      </c>
      <c r="J1359" s="16"/>
      <c r="K1359" s="6" t="str">
        <f>IF(B1359="","",IFERROR(AVERAGEIFS($I$4:$I1359,$B$4:$B1359,B1359,$I$4:$I1359,"&gt;"&amp;0),""))</f>
        <v/>
      </c>
      <c r="L1359" s="16" t="str">
        <f>IF(B1359="","",IF(ISNA(MATCH(B1359,Client_List!$B:$B,0)),"⚠ NOT FOUND","✓"))</f>
        <v/>
      </c>
    </row>
    <row r="1360" spans="1:12" ht="14" customHeight="1" x14ac:dyDescent="0.2">
      <c r="A1360" s="59"/>
      <c r="B1360" s="18"/>
      <c r="C1360" s="19" t="str">
        <f>IF(B1360="","",IFERROR(INDEX(Client_List!$C:$C,MATCH(B1360,Client_List!$B:$B,0)),""))</f>
        <v/>
      </c>
      <c r="D1360" s="19" t="str">
        <f>IF(B1360="","",IFERROR(INDEX(Client_List!$D:$D,MATCH(B1360,Client_List!$B:$B,0)),""))</f>
        <v/>
      </c>
      <c r="E1360" s="19" t="str">
        <f>IF(B1360="","",IFERROR(INDEX(Client_List!$K:$K,MATCH(B1360,Client_List!$B:$B,0)),""))</f>
        <v/>
      </c>
      <c r="F1360" s="19" t="str">
        <f>IF(B1360="","",IFERROR(INDEX(Client_List!$J:$J,MATCH(B1360,Client_List!$B:$B,0)),""))</f>
        <v/>
      </c>
      <c r="G1360" s="19"/>
      <c r="H1360" s="19" t="str">
        <f>IF(B1360="","",IFERROR(A1360-LOOKUP(2,1/($B$4:$B1359=B1360),$A$4:$A1359),""))</f>
        <v/>
      </c>
      <c r="I1360" s="19" t="str">
        <f t="shared" si="21"/>
        <v/>
      </c>
      <c r="J1360" s="19"/>
      <c r="K1360" s="6" t="str">
        <f>IF(B1360="","",IFERROR(AVERAGEIFS($I$4:$I1360,$B$4:$B1360,B1360,$I$4:$I1360,"&gt;"&amp;0),""))</f>
        <v/>
      </c>
      <c r="L1360" s="19" t="str">
        <f>IF(B1360="","",IF(ISNA(MATCH(B1360,Client_List!$B:$B,0)),"⚠ NOT FOUND","✓"))</f>
        <v/>
      </c>
    </row>
    <row r="1361" spans="1:12" ht="14" customHeight="1" x14ac:dyDescent="0.2">
      <c r="A1361" s="58"/>
      <c r="B1361" s="15"/>
      <c r="C1361" s="16" t="str">
        <f>IF(B1361="","",IFERROR(INDEX(Client_List!$C:$C,MATCH(B1361,Client_List!$B:$B,0)),""))</f>
        <v/>
      </c>
      <c r="D1361" s="16" t="str">
        <f>IF(B1361="","",IFERROR(INDEX(Client_List!$D:$D,MATCH(B1361,Client_List!$B:$B,0)),""))</f>
        <v/>
      </c>
      <c r="E1361" s="16" t="str">
        <f>IF(B1361="","",IFERROR(INDEX(Client_List!$K:$K,MATCH(B1361,Client_List!$B:$B,0)),""))</f>
        <v/>
      </c>
      <c r="F1361" s="16" t="str">
        <f>IF(B1361="","",IFERROR(INDEX(Client_List!$J:$J,MATCH(B1361,Client_List!$B:$B,0)),""))</f>
        <v/>
      </c>
      <c r="G1361" s="16"/>
      <c r="H1361" s="16" t="str">
        <f>IF(B1361="","",IFERROR(A1361-LOOKUP(2,1/($B$4:$B1360=B1361),$A$4:$A1360),""))</f>
        <v/>
      </c>
      <c r="I1361" s="16" t="str">
        <f t="shared" si="21"/>
        <v/>
      </c>
      <c r="J1361" s="16"/>
      <c r="K1361" s="6" t="str">
        <f>IF(B1361="","",IFERROR(AVERAGEIFS($I$4:$I1361,$B$4:$B1361,B1361,$I$4:$I1361,"&gt;"&amp;0),""))</f>
        <v/>
      </c>
      <c r="L1361" s="16" t="str">
        <f>IF(B1361="","",IF(ISNA(MATCH(B1361,Client_List!$B:$B,0)),"⚠ NOT FOUND","✓"))</f>
        <v/>
      </c>
    </row>
    <row r="1362" spans="1:12" ht="14" customHeight="1" x14ac:dyDescent="0.2">
      <c r="A1362" s="59"/>
      <c r="B1362" s="18"/>
      <c r="C1362" s="19" t="str">
        <f>IF(B1362="","",IFERROR(INDEX(Client_List!$C:$C,MATCH(B1362,Client_List!$B:$B,0)),""))</f>
        <v/>
      </c>
      <c r="D1362" s="19" t="str">
        <f>IF(B1362="","",IFERROR(INDEX(Client_List!$D:$D,MATCH(B1362,Client_List!$B:$B,0)),""))</f>
        <v/>
      </c>
      <c r="E1362" s="19" t="str">
        <f>IF(B1362="","",IFERROR(INDEX(Client_List!$K:$K,MATCH(B1362,Client_List!$B:$B,0)),""))</f>
        <v/>
      </c>
      <c r="F1362" s="19" t="str">
        <f>IF(B1362="","",IFERROR(INDEX(Client_List!$J:$J,MATCH(B1362,Client_List!$B:$B,0)),""))</f>
        <v/>
      </c>
      <c r="G1362" s="19"/>
      <c r="H1362" s="19" t="str">
        <f>IF(B1362="","",IFERROR(A1362-LOOKUP(2,1/($B$4:$B1361=B1362),$A$4:$A1361),""))</f>
        <v/>
      </c>
      <c r="I1362" s="19" t="str">
        <f t="shared" si="21"/>
        <v/>
      </c>
      <c r="J1362" s="19"/>
      <c r="K1362" s="6" t="str">
        <f>IF(B1362="","",IFERROR(AVERAGEIFS($I$4:$I1362,$B$4:$B1362,B1362,$I$4:$I1362,"&gt;"&amp;0),""))</f>
        <v/>
      </c>
      <c r="L1362" s="19" t="str">
        <f>IF(B1362="","",IF(ISNA(MATCH(B1362,Client_List!$B:$B,0)),"⚠ NOT FOUND","✓"))</f>
        <v/>
      </c>
    </row>
    <row r="1363" spans="1:12" ht="14" customHeight="1" x14ac:dyDescent="0.2">
      <c r="A1363" s="58"/>
      <c r="B1363" s="15"/>
      <c r="C1363" s="16" t="str">
        <f>IF(B1363="","",IFERROR(INDEX(Client_List!$C:$C,MATCH(B1363,Client_List!$B:$B,0)),""))</f>
        <v/>
      </c>
      <c r="D1363" s="16" t="str">
        <f>IF(B1363="","",IFERROR(INDEX(Client_List!$D:$D,MATCH(B1363,Client_List!$B:$B,0)),""))</f>
        <v/>
      </c>
      <c r="E1363" s="16" t="str">
        <f>IF(B1363="","",IFERROR(INDEX(Client_List!$K:$K,MATCH(B1363,Client_List!$B:$B,0)),""))</f>
        <v/>
      </c>
      <c r="F1363" s="16" t="str">
        <f>IF(B1363="","",IFERROR(INDEX(Client_List!$J:$J,MATCH(B1363,Client_List!$B:$B,0)),""))</f>
        <v/>
      </c>
      <c r="G1363" s="16"/>
      <c r="H1363" s="16" t="str">
        <f>IF(B1363="","",IFERROR(A1363-LOOKUP(2,1/($B$4:$B1362=B1363),$A$4:$A1362),""))</f>
        <v/>
      </c>
      <c r="I1363" s="16" t="str">
        <f t="shared" si="21"/>
        <v/>
      </c>
      <c r="J1363" s="16"/>
      <c r="K1363" s="6" t="str">
        <f>IF(B1363="","",IFERROR(AVERAGEIFS($I$4:$I1363,$B$4:$B1363,B1363,$I$4:$I1363,"&gt;"&amp;0),""))</f>
        <v/>
      </c>
      <c r="L1363" s="16" t="str">
        <f>IF(B1363="","",IF(ISNA(MATCH(B1363,Client_List!$B:$B,0)),"⚠ NOT FOUND","✓"))</f>
        <v/>
      </c>
    </row>
    <row r="1364" spans="1:12" ht="14" customHeight="1" x14ac:dyDescent="0.2">
      <c r="A1364" s="59"/>
      <c r="B1364" s="18"/>
      <c r="C1364" s="19" t="str">
        <f>IF(B1364="","",IFERROR(INDEX(Client_List!$C:$C,MATCH(B1364,Client_List!$B:$B,0)),""))</f>
        <v/>
      </c>
      <c r="D1364" s="19" t="str">
        <f>IF(B1364="","",IFERROR(INDEX(Client_List!$D:$D,MATCH(B1364,Client_List!$B:$B,0)),""))</f>
        <v/>
      </c>
      <c r="E1364" s="19" t="str">
        <f>IF(B1364="","",IFERROR(INDEX(Client_List!$K:$K,MATCH(B1364,Client_List!$B:$B,0)),""))</f>
        <v/>
      </c>
      <c r="F1364" s="19" t="str">
        <f>IF(B1364="","",IFERROR(INDEX(Client_List!$J:$J,MATCH(B1364,Client_List!$B:$B,0)),""))</f>
        <v/>
      </c>
      <c r="G1364" s="19"/>
      <c r="H1364" s="19" t="str">
        <f>IF(B1364="","",IFERROR(A1364-LOOKUP(2,1/($B$4:$B1363=B1364),$A$4:$A1363),""))</f>
        <v/>
      </c>
      <c r="I1364" s="19" t="str">
        <f t="shared" si="21"/>
        <v/>
      </c>
      <c r="J1364" s="19"/>
      <c r="K1364" s="6" t="str">
        <f>IF(B1364="","",IFERROR(AVERAGEIFS($I$4:$I1364,$B$4:$B1364,B1364,$I$4:$I1364,"&gt;"&amp;0),""))</f>
        <v/>
      </c>
      <c r="L1364" s="19" t="str">
        <f>IF(B1364="","",IF(ISNA(MATCH(B1364,Client_List!$B:$B,0)),"⚠ NOT FOUND","✓"))</f>
        <v/>
      </c>
    </row>
    <row r="1365" spans="1:12" ht="14" customHeight="1" x14ac:dyDescent="0.2">
      <c r="A1365" s="58"/>
      <c r="B1365" s="15"/>
      <c r="C1365" s="16" t="str">
        <f>IF(B1365="","",IFERROR(INDEX(Client_List!$C:$C,MATCH(B1365,Client_List!$B:$B,0)),""))</f>
        <v/>
      </c>
      <c r="D1365" s="16" t="str">
        <f>IF(B1365="","",IFERROR(INDEX(Client_List!$D:$D,MATCH(B1365,Client_List!$B:$B,0)),""))</f>
        <v/>
      </c>
      <c r="E1365" s="16" t="str">
        <f>IF(B1365="","",IFERROR(INDEX(Client_List!$K:$K,MATCH(B1365,Client_List!$B:$B,0)),""))</f>
        <v/>
      </c>
      <c r="F1365" s="16" t="str">
        <f>IF(B1365="","",IFERROR(INDEX(Client_List!$J:$J,MATCH(B1365,Client_List!$B:$B,0)),""))</f>
        <v/>
      </c>
      <c r="G1365" s="16"/>
      <c r="H1365" s="16" t="str">
        <f>IF(B1365="","",IFERROR(A1365-LOOKUP(2,1/($B$4:$B1364=B1365),$A$4:$A1364),""))</f>
        <v/>
      </c>
      <c r="I1365" s="16" t="str">
        <f t="shared" si="21"/>
        <v/>
      </c>
      <c r="J1365" s="16"/>
      <c r="K1365" s="6" t="str">
        <f>IF(B1365="","",IFERROR(AVERAGEIFS($I$4:$I1365,$B$4:$B1365,B1365,$I$4:$I1365,"&gt;"&amp;0),""))</f>
        <v/>
      </c>
      <c r="L1365" s="16" t="str">
        <f>IF(B1365="","",IF(ISNA(MATCH(B1365,Client_List!$B:$B,0)),"⚠ NOT FOUND","✓"))</f>
        <v/>
      </c>
    </row>
    <row r="1366" spans="1:12" ht="14" customHeight="1" x14ac:dyDescent="0.2">
      <c r="A1366" s="59"/>
      <c r="B1366" s="18"/>
      <c r="C1366" s="19" t="str">
        <f>IF(B1366="","",IFERROR(INDEX(Client_List!$C:$C,MATCH(B1366,Client_List!$B:$B,0)),""))</f>
        <v/>
      </c>
      <c r="D1366" s="19" t="str">
        <f>IF(B1366="","",IFERROR(INDEX(Client_List!$D:$D,MATCH(B1366,Client_List!$B:$B,0)),""))</f>
        <v/>
      </c>
      <c r="E1366" s="19" t="str">
        <f>IF(B1366="","",IFERROR(INDEX(Client_List!$K:$K,MATCH(B1366,Client_List!$B:$B,0)),""))</f>
        <v/>
      </c>
      <c r="F1366" s="19" t="str">
        <f>IF(B1366="","",IFERROR(INDEX(Client_List!$J:$J,MATCH(B1366,Client_List!$B:$B,0)),""))</f>
        <v/>
      </c>
      <c r="G1366" s="19"/>
      <c r="H1366" s="19" t="str">
        <f>IF(B1366="","",IFERROR(A1366-LOOKUP(2,1/($B$4:$B1365=B1366),$A$4:$A1365),""))</f>
        <v/>
      </c>
      <c r="I1366" s="19" t="str">
        <f t="shared" si="21"/>
        <v/>
      </c>
      <c r="J1366" s="19"/>
      <c r="K1366" s="6" t="str">
        <f>IF(B1366="","",IFERROR(AVERAGEIFS($I$4:$I1366,$B$4:$B1366,B1366,$I$4:$I1366,"&gt;"&amp;0),""))</f>
        <v/>
      </c>
      <c r="L1366" s="19" t="str">
        <f>IF(B1366="","",IF(ISNA(MATCH(B1366,Client_List!$B:$B,0)),"⚠ NOT FOUND","✓"))</f>
        <v/>
      </c>
    </row>
    <row r="1367" spans="1:12" ht="14" customHeight="1" x14ac:dyDescent="0.2">
      <c r="A1367" s="58"/>
      <c r="B1367" s="15"/>
      <c r="C1367" s="16" t="str">
        <f>IF(B1367="","",IFERROR(INDEX(Client_List!$C:$C,MATCH(B1367,Client_List!$B:$B,0)),""))</f>
        <v/>
      </c>
      <c r="D1367" s="16" t="str">
        <f>IF(B1367="","",IFERROR(INDEX(Client_List!$D:$D,MATCH(B1367,Client_List!$B:$B,0)),""))</f>
        <v/>
      </c>
      <c r="E1367" s="16" t="str">
        <f>IF(B1367="","",IFERROR(INDEX(Client_List!$K:$K,MATCH(B1367,Client_List!$B:$B,0)),""))</f>
        <v/>
      </c>
      <c r="F1367" s="16" t="str">
        <f>IF(B1367="","",IFERROR(INDEX(Client_List!$J:$J,MATCH(B1367,Client_List!$B:$B,0)),""))</f>
        <v/>
      </c>
      <c r="G1367" s="16"/>
      <c r="H1367" s="16" t="str">
        <f>IF(B1367="","",IFERROR(A1367-LOOKUP(2,1/($B$4:$B1366=B1367),$A$4:$A1366),""))</f>
        <v/>
      </c>
      <c r="I1367" s="16" t="str">
        <f t="shared" si="21"/>
        <v/>
      </c>
      <c r="J1367" s="16"/>
      <c r="K1367" s="6" t="str">
        <f>IF(B1367="","",IFERROR(AVERAGEIFS($I$4:$I1367,$B$4:$B1367,B1367,$I$4:$I1367,"&gt;"&amp;0),""))</f>
        <v/>
      </c>
      <c r="L1367" s="16" t="str">
        <f>IF(B1367="","",IF(ISNA(MATCH(B1367,Client_List!$B:$B,0)),"⚠ NOT FOUND","✓"))</f>
        <v/>
      </c>
    </row>
    <row r="1368" spans="1:12" ht="14" customHeight="1" x14ac:dyDescent="0.2">
      <c r="A1368" s="59"/>
      <c r="B1368" s="18"/>
      <c r="C1368" s="19" t="str">
        <f>IF(B1368="","",IFERROR(INDEX(Client_List!$C:$C,MATCH(B1368,Client_List!$B:$B,0)),""))</f>
        <v/>
      </c>
      <c r="D1368" s="19" t="str">
        <f>IF(B1368="","",IFERROR(INDEX(Client_List!$D:$D,MATCH(B1368,Client_List!$B:$B,0)),""))</f>
        <v/>
      </c>
      <c r="E1368" s="19" t="str">
        <f>IF(B1368="","",IFERROR(INDEX(Client_List!$K:$K,MATCH(B1368,Client_List!$B:$B,0)),""))</f>
        <v/>
      </c>
      <c r="F1368" s="19" t="str">
        <f>IF(B1368="","",IFERROR(INDEX(Client_List!$J:$J,MATCH(B1368,Client_List!$B:$B,0)),""))</f>
        <v/>
      </c>
      <c r="G1368" s="19"/>
      <c r="H1368" s="19" t="str">
        <f>IF(B1368="","",IFERROR(A1368-LOOKUP(2,1/($B$4:$B1367=B1368),$A$4:$A1367),""))</f>
        <v/>
      </c>
      <c r="I1368" s="19" t="str">
        <f t="shared" si="21"/>
        <v/>
      </c>
      <c r="J1368" s="19"/>
      <c r="K1368" s="6" t="str">
        <f>IF(B1368="","",IFERROR(AVERAGEIFS($I$4:$I1368,$B$4:$B1368,B1368,$I$4:$I1368,"&gt;"&amp;0),""))</f>
        <v/>
      </c>
      <c r="L1368" s="19" t="str">
        <f>IF(B1368="","",IF(ISNA(MATCH(B1368,Client_List!$B:$B,0)),"⚠ NOT FOUND","✓"))</f>
        <v/>
      </c>
    </row>
    <row r="1369" spans="1:12" ht="14" customHeight="1" x14ac:dyDescent="0.2">
      <c r="A1369" s="58"/>
      <c r="B1369" s="15"/>
      <c r="C1369" s="16" t="str">
        <f>IF(B1369="","",IFERROR(INDEX(Client_List!$C:$C,MATCH(B1369,Client_List!$B:$B,0)),""))</f>
        <v/>
      </c>
      <c r="D1369" s="16" t="str">
        <f>IF(B1369="","",IFERROR(INDEX(Client_List!$D:$D,MATCH(B1369,Client_List!$B:$B,0)),""))</f>
        <v/>
      </c>
      <c r="E1369" s="16" t="str">
        <f>IF(B1369="","",IFERROR(INDEX(Client_List!$K:$K,MATCH(B1369,Client_List!$B:$B,0)),""))</f>
        <v/>
      </c>
      <c r="F1369" s="16" t="str">
        <f>IF(B1369="","",IFERROR(INDEX(Client_List!$J:$J,MATCH(B1369,Client_List!$B:$B,0)),""))</f>
        <v/>
      </c>
      <c r="G1369" s="16"/>
      <c r="H1369" s="16" t="str">
        <f>IF(B1369="","",IFERROR(A1369-LOOKUP(2,1/($B$4:$B1368=B1369),$A$4:$A1368),""))</f>
        <v/>
      </c>
      <c r="I1369" s="16" t="str">
        <f t="shared" si="21"/>
        <v/>
      </c>
      <c r="J1369" s="16"/>
      <c r="K1369" s="6" t="str">
        <f>IF(B1369="","",IFERROR(AVERAGEIFS($I$4:$I1369,$B$4:$B1369,B1369,$I$4:$I1369,"&gt;"&amp;0),""))</f>
        <v/>
      </c>
      <c r="L1369" s="16" t="str">
        <f>IF(B1369="","",IF(ISNA(MATCH(B1369,Client_List!$B:$B,0)),"⚠ NOT FOUND","✓"))</f>
        <v/>
      </c>
    </row>
    <row r="1370" spans="1:12" ht="14" customHeight="1" x14ac:dyDescent="0.2">
      <c r="A1370" s="59"/>
      <c r="B1370" s="18"/>
      <c r="C1370" s="19" t="str">
        <f>IF(B1370="","",IFERROR(INDEX(Client_List!$C:$C,MATCH(B1370,Client_List!$B:$B,0)),""))</f>
        <v/>
      </c>
      <c r="D1370" s="19" t="str">
        <f>IF(B1370="","",IFERROR(INDEX(Client_List!$D:$D,MATCH(B1370,Client_List!$B:$B,0)),""))</f>
        <v/>
      </c>
      <c r="E1370" s="19" t="str">
        <f>IF(B1370="","",IFERROR(INDEX(Client_List!$K:$K,MATCH(B1370,Client_List!$B:$B,0)),""))</f>
        <v/>
      </c>
      <c r="F1370" s="19" t="str">
        <f>IF(B1370="","",IFERROR(INDEX(Client_List!$J:$J,MATCH(B1370,Client_List!$B:$B,0)),""))</f>
        <v/>
      </c>
      <c r="G1370" s="19"/>
      <c r="H1370" s="19" t="str">
        <f>IF(B1370="","",IFERROR(A1370-LOOKUP(2,1/($B$4:$B1369=B1370),$A$4:$A1369),""))</f>
        <v/>
      </c>
      <c r="I1370" s="19" t="str">
        <f t="shared" si="21"/>
        <v/>
      </c>
      <c r="J1370" s="19"/>
      <c r="K1370" s="6" t="str">
        <f>IF(B1370="","",IFERROR(AVERAGEIFS($I$4:$I1370,$B$4:$B1370,B1370,$I$4:$I1370,"&gt;"&amp;0),""))</f>
        <v/>
      </c>
      <c r="L1370" s="19" t="str">
        <f>IF(B1370="","",IF(ISNA(MATCH(B1370,Client_List!$B:$B,0)),"⚠ NOT FOUND","✓"))</f>
        <v/>
      </c>
    </row>
    <row r="1371" spans="1:12" ht="14" customHeight="1" x14ac:dyDescent="0.2">
      <c r="A1371" s="58"/>
      <c r="B1371" s="15"/>
      <c r="C1371" s="16" t="str">
        <f>IF(B1371="","",IFERROR(INDEX(Client_List!$C:$C,MATCH(B1371,Client_List!$B:$B,0)),""))</f>
        <v/>
      </c>
      <c r="D1371" s="16" t="str">
        <f>IF(B1371="","",IFERROR(INDEX(Client_List!$D:$D,MATCH(B1371,Client_List!$B:$B,0)),""))</f>
        <v/>
      </c>
      <c r="E1371" s="16" t="str">
        <f>IF(B1371="","",IFERROR(INDEX(Client_List!$K:$K,MATCH(B1371,Client_List!$B:$B,0)),""))</f>
        <v/>
      </c>
      <c r="F1371" s="16" t="str">
        <f>IF(B1371="","",IFERROR(INDEX(Client_List!$J:$J,MATCH(B1371,Client_List!$B:$B,0)),""))</f>
        <v/>
      </c>
      <c r="G1371" s="16"/>
      <c r="H1371" s="16" t="str">
        <f>IF(B1371="","",IFERROR(A1371-LOOKUP(2,1/($B$4:$B1370=B1371),$A$4:$A1370),""))</f>
        <v/>
      </c>
      <c r="I1371" s="16" t="str">
        <f t="shared" si="21"/>
        <v/>
      </c>
      <c r="J1371" s="16"/>
      <c r="K1371" s="6" t="str">
        <f>IF(B1371="","",IFERROR(AVERAGEIFS($I$4:$I1371,$B$4:$B1371,B1371,$I$4:$I1371,"&gt;"&amp;0),""))</f>
        <v/>
      </c>
      <c r="L1371" s="16" t="str">
        <f>IF(B1371="","",IF(ISNA(MATCH(B1371,Client_List!$B:$B,0)),"⚠ NOT FOUND","✓"))</f>
        <v/>
      </c>
    </row>
    <row r="1372" spans="1:12" ht="14" customHeight="1" x14ac:dyDescent="0.2">
      <c r="A1372" s="59"/>
      <c r="B1372" s="18"/>
      <c r="C1372" s="19" t="str">
        <f>IF(B1372="","",IFERROR(INDEX(Client_List!$C:$C,MATCH(B1372,Client_List!$B:$B,0)),""))</f>
        <v/>
      </c>
      <c r="D1372" s="19" t="str">
        <f>IF(B1372="","",IFERROR(INDEX(Client_List!$D:$D,MATCH(B1372,Client_List!$B:$B,0)),""))</f>
        <v/>
      </c>
      <c r="E1372" s="19" t="str">
        <f>IF(B1372="","",IFERROR(INDEX(Client_List!$K:$K,MATCH(B1372,Client_List!$B:$B,0)),""))</f>
        <v/>
      </c>
      <c r="F1372" s="19" t="str">
        <f>IF(B1372="","",IFERROR(INDEX(Client_List!$J:$J,MATCH(B1372,Client_List!$B:$B,0)),""))</f>
        <v/>
      </c>
      <c r="G1372" s="19"/>
      <c r="H1372" s="19" t="str">
        <f>IF(B1372="","",IFERROR(A1372-LOOKUP(2,1/($B$4:$B1371=B1372),$A$4:$A1371),""))</f>
        <v/>
      </c>
      <c r="I1372" s="19" t="str">
        <f t="shared" si="21"/>
        <v/>
      </c>
      <c r="J1372" s="19"/>
      <c r="K1372" s="6" t="str">
        <f>IF(B1372="","",IFERROR(AVERAGEIFS($I$4:$I1372,$B$4:$B1372,B1372,$I$4:$I1372,"&gt;"&amp;0),""))</f>
        <v/>
      </c>
      <c r="L1372" s="19" t="str">
        <f>IF(B1372="","",IF(ISNA(MATCH(B1372,Client_List!$B:$B,0)),"⚠ NOT FOUND","✓"))</f>
        <v/>
      </c>
    </row>
    <row r="1373" spans="1:12" ht="14" customHeight="1" x14ac:dyDescent="0.2">
      <c r="A1373" s="58"/>
      <c r="B1373" s="15"/>
      <c r="C1373" s="16" t="str">
        <f>IF(B1373="","",IFERROR(INDEX(Client_List!$C:$C,MATCH(B1373,Client_List!$B:$B,0)),""))</f>
        <v/>
      </c>
      <c r="D1373" s="16" t="str">
        <f>IF(B1373="","",IFERROR(INDEX(Client_List!$D:$D,MATCH(B1373,Client_List!$B:$B,0)),""))</f>
        <v/>
      </c>
      <c r="E1373" s="16" t="str">
        <f>IF(B1373="","",IFERROR(INDEX(Client_List!$K:$K,MATCH(B1373,Client_List!$B:$B,0)),""))</f>
        <v/>
      </c>
      <c r="F1373" s="16" t="str">
        <f>IF(B1373="","",IFERROR(INDEX(Client_List!$J:$J,MATCH(B1373,Client_List!$B:$B,0)),""))</f>
        <v/>
      </c>
      <c r="G1373" s="16"/>
      <c r="H1373" s="16" t="str">
        <f>IF(B1373="","",IFERROR(A1373-LOOKUP(2,1/($B$4:$B1372=B1373),$A$4:$A1372),""))</f>
        <v/>
      </c>
      <c r="I1373" s="16" t="str">
        <f t="shared" si="21"/>
        <v/>
      </c>
      <c r="J1373" s="16"/>
      <c r="K1373" s="6" t="str">
        <f>IF(B1373="","",IFERROR(AVERAGEIFS($I$4:$I1373,$B$4:$B1373,B1373,$I$4:$I1373,"&gt;"&amp;0),""))</f>
        <v/>
      </c>
      <c r="L1373" s="16" t="str">
        <f>IF(B1373="","",IF(ISNA(MATCH(B1373,Client_List!$B:$B,0)),"⚠ NOT FOUND","✓"))</f>
        <v/>
      </c>
    </row>
    <row r="1374" spans="1:12" ht="14" customHeight="1" x14ac:dyDescent="0.2">
      <c r="A1374" s="59"/>
      <c r="B1374" s="18"/>
      <c r="C1374" s="19" t="str">
        <f>IF(B1374="","",IFERROR(INDEX(Client_List!$C:$C,MATCH(B1374,Client_List!$B:$B,0)),""))</f>
        <v/>
      </c>
      <c r="D1374" s="19" t="str">
        <f>IF(B1374="","",IFERROR(INDEX(Client_List!$D:$D,MATCH(B1374,Client_List!$B:$B,0)),""))</f>
        <v/>
      </c>
      <c r="E1374" s="19" t="str">
        <f>IF(B1374="","",IFERROR(INDEX(Client_List!$K:$K,MATCH(B1374,Client_List!$B:$B,0)),""))</f>
        <v/>
      </c>
      <c r="F1374" s="19" t="str">
        <f>IF(B1374="","",IFERROR(INDEX(Client_List!$J:$J,MATCH(B1374,Client_List!$B:$B,0)),""))</f>
        <v/>
      </c>
      <c r="G1374" s="19"/>
      <c r="H1374" s="19" t="str">
        <f>IF(B1374="","",IFERROR(A1374-LOOKUP(2,1/($B$4:$B1373=B1374),$A$4:$A1373),""))</f>
        <v/>
      </c>
      <c r="I1374" s="19" t="str">
        <f t="shared" si="21"/>
        <v/>
      </c>
      <c r="J1374" s="19"/>
      <c r="K1374" s="6" t="str">
        <f>IF(B1374="","",IFERROR(AVERAGEIFS($I$4:$I1374,$B$4:$B1374,B1374,$I$4:$I1374,"&gt;"&amp;0),""))</f>
        <v/>
      </c>
      <c r="L1374" s="19" t="str">
        <f>IF(B1374="","",IF(ISNA(MATCH(B1374,Client_List!$B:$B,0)),"⚠ NOT FOUND","✓"))</f>
        <v/>
      </c>
    </row>
    <row r="1375" spans="1:12" ht="14" customHeight="1" x14ac:dyDescent="0.2">
      <c r="A1375" s="58"/>
      <c r="B1375" s="15"/>
      <c r="C1375" s="16" t="str">
        <f>IF(B1375="","",IFERROR(INDEX(Client_List!$C:$C,MATCH(B1375,Client_List!$B:$B,0)),""))</f>
        <v/>
      </c>
      <c r="D1375" s="16" t="str">
        <f>IF(B1375="","",IFERROR(INDEX(Client_List!$D:$D,MATCH(B1375,Client_List!$B:$B,0)),""))</f>
        <v/>
      </c>
      <c r="E1375" s="16" t="str">
        <f>IF(B1375="","",IFERROR(INDEX(Client_List!$K:$K,MATCH(B1375,Client_List!$B:$B,0)),""))</f>
        <v/>
      </c>
      <c r="F1375" s="16" t="str">
        <f>IF(B1375="","",IFERROR(INDEX(Client_List!$J:$J,MATCH(B1375,Client_List!$B:$B,0)),""))</f>
        <v/>
      </c>
      <c r="G1375" s="16"/>
      <c r="H1375" s="16" t="str">
        <f>IF(B1375="","",IFERROR(A1375-LOOKUP(2,1/($B$4:$B1374=B1375),$A$4:$A1374),""))</f>
        <v/>
      </c>
      <c r="I1375" s="16" t="str">
        <f t="shared" si="21"/>
        <v/>
      </c>
      <c r="J1375" s="16"/>
      <c r="K1375" s="6" t="str">
        <f>IF(B1375="","",IFERROR(AVERAGEIFS($I$4:$I1375,$B$4:$B1375,B1375,$I$4:$I1375,"&gt;"&amp;0),""))</f>
        <v/>
      </c>
      <c r="L1375" s="16" t="str">
        <f>IF(B1375="","",IF(ISNA(MATCH(B1375,Client_List!$B:$B,0)),"⚠ NOT FOUND","✓"))</f>
        <v/>
      </c>
    </row>
    <row r="1376" spans="1:12" ht="14" customHeight="1" x14ac:dyDescent="0.2">
      <c r="A1376" s="59"/>
      <c r="B1376" s="18"/>
      <c r="C1376" s="19" t="str">
        <f>IF(B1376="","",IFERROR(INDEX(Client_List!$C:$C,MATCH(B1376,Client_List!$B:$B,0)),""))</f>
        <v/>
      </c>
      <c r="D1376" s="19" t="str">
        <f>IF(B1376="","",IFERROR(INDEX(Client_List!$D:$D,MATCH(B1376,Client_List!$B:$B,0)),""))</f>
        <v/>
      </c>
      <c r="E1376" s="19" t="str">
        <f>IF(B1376="","",IFERROR(INDEX(Client_List!$K:$K,MATCH(B1376,Client_List!$B:$B,0)),""))</f>
        <v/>
      </c>
      <c r="F1376" s="19" t="str">
        <f>IF(B1376="","",IFERROR(INDEX(Client_List!$J:$J,MATCH(B1376,Client_List!$B:$B,0)),""))</f>
        <v/>
      </c>
      <c r="G1376" s="19"/>
      <c r="H1376" s="19" t="str">
        <f>IF(B1376="","",IFERROR(A1376-LOOKUP(2,1/($B$4:$B1375=B1376),$A$4:$A1375),""))</f>
        <v/>
      </c>
      <c r="I1376" s="19" t="str">
        <f t="shared" si="21"/>
        <v/>
      </c>
      <c r="J1376" s="19"/>
      <c r="K1376" s="6" t="str">
        <f>IF(B1376="","",IFERROR(AVERAGEIFS($I$4:$I1376,$B$4:$B1376,B1376,$I$4:$I1376,"&gt;"&amp;0),""))</f>
        <v/>
      </c>
      <c r="L1376" s="19" t="str">
        <f>IF(B1376="","",IF(ISNA(MATCH(B1376,Client_List!$B:$B,0)),"⚠ NOT FOUND","✓"))</f>
        <v/>
      </c>
    </row>
    <row r="1377" spans="1:12" ht="14" customHeight="1" x14ac:dyDescent="0.2">
      <c r="A1377" s="58"/>
      <c r="B1377" s="15"/>
      <c r="C1377" s="16" t="str">
        <f>IF(B1377="","",IFERROR(INDEX(Client_List!$C:$C,MATCH(B1377,Client_List!$B:$B,0)),""))</f>
        <v/>
      </c>
      <c r="D1377" s="16" t="str">
        <f>IF(B1377="","",IFERROR(INDEX(Client_List!$D:$D,MATCH(B1377,Client_List!$B:$B,0)),""))</f>
        <v/>
      </c>
      <c r="E1377" s="16" t="str">
        <f>IF(B1377="","",IFERROR(INDEX(Client_List!$K:$K,MATCH(B1377,Client_List!$B:$B,0)),""))</f>
        <v/>
      </c>
      <c r="F1377" s="16" t="str">
        <f>IF(B1377="","",IFERROR(INDEX(Client_List!$J:$J,MATCH(B1377,Client_List!$B:$B,0)),""))</f>
        <v/>
      </c>
      <c r="G1377" s="16"/>
      <c r="H1377" s="16" t="str">
        <f>IF(B1377="","",IFERROR(A1377-LOOKUP(2,1/($B$4:$B1376=B1377),$A$4:$A1376),""))</f>
        <v/>
      </c>
      <c r="I1377" s="16" t="str">
        <f t="shared" si="21"/>
        <v/>
      </c>
      <c r="J1377" s="16"/>
      <c r="K1377" s="6" t="str">
        <f>IF(B1377="","",IFERROR(AVERAGEIFS($I$4:$I1377,$B$4:$B1377,B1377,$I$4:$I1377,"&gt;"&amp;0),""))</f>
        <v/>
      </c>
      <c r="L1377" s="16" t="str">
        <f>IF(B1377="","",IF(ISNA(MATCH(B1377,Client_List!$B:$B,0)),"⚠ NOT FOUND","✓"))</f>
        <v/>
      </c>
    </row>
    <row r="1378" spans="1:12" ht="14" customHeight="1" x14ac:dyDescent="0.2">
      <c r="A1378" s="59"/>
      <c r="B1378" s="18"/>
      <c r="C1378" s="19" t="str">
        <f>IF(B1378="","",IFERROR(INDEX(Client_List!$C:$C,MATCH(B1378,Client_List!$B:$B,0)),""))</f>
        <v/>
      </c>
      <c r="D1378" s="19" t="str">
        <f>IF(B1378="","",IFERROR(INDEX(Client_List!$D:$D,MATCH(B1378,Client_List!$B:$B,0)),""))</f>
        <v/>
      </c>
      <c r="E1378" s="19" t="str">
        <f>IF(B1378="","",IFERROR(INDEX(Client_List!$K:$K,MATCH(B1378,Client_List!$B:$B,0)),""))</f>
        <v/>
      </c>
      <c r="F1378" s="19" t="str">
        <f>IF(B1378="","",IFERROR(INDEX(Client_List!$J:$J,MATCH(B1378,Client_List!$B:$B,0)),""))</f>
        <v/>
      </c>
      <c r="G1378" s="19"/>
      <c r="H1378" s="19" t="str">
        <f>IF(B1378="","",IFERROR(A1378-LOOKUP(2,1/($B$4:$B1377=B1378),$A$4:$A1377),""))</f>
        <v/>
      </c>
      <c r="I1378" s="19" t="str">
        <f t="shared" si="21"/>
        <v/>
      </c>
      <c r="J1378" s="19"/>
      <c r="K1378" s="6" t="str">
        <f>IF(B1378="","",IFERROR(AVERAGEIFS($I$4:$I1378,$B$4:$B1378,B1378,$I$4:$I1378,"&gt;"&amp;0),""))</f>
        <v/>
      </c>
      <c r="L1378" s="19" t="str">
        <f>IF(B1378="","",IF(ISNA(MATCH(B1378,Client_List!$B:$B,0)),"⚠ NOT FOUND","✓"))</f>
        <v/>
      </c>
    </row>
    <row r="1379" spans="1:12" ht="14" customHeight="1" x14ac:dyDescent="0.2">
      <c r="A1379" s="58"/>
      <c r="B1379" s="15"/>
      <c r="C1379" s="16" t="str">
        <f>IF(B1379="","",IFERROR(INDEX(Client_List!$C:$C,MATCH(B1379,Client_List!$B:$B,0)),""))</f>
        <v/>
      </c>
      <c r="D1379" s="16" t="str">
        <f>IF(B1379="","",IFERROR(INDEX(Client_List!$D:$D,MATCH(B1379,Client_List!$B:$B,0)),""))</f>
        <v/>
      </c>
      <c r="E1379" s="16" t="str">
        <f>IF(B1379="","",IFERROR(INDEX(Client_List!$K:$K,MATCH(B1379,Client_List!$B:$B,0)),""))</f>
        <v/>
      </c>
      <c r="F1379" s="16" t="str">
        <f>IF(B1379="","",IFERROR(INDEX(Client_List!$J:$J,MATCH(B1379,Client_List!$B:$B,0)),""))</f>
        <v/>
      </c>
      <c r="G1379" s="16"/>
      <c r="H1379" s="16" t="str">
        <f>IF(B1379="","",IFERROR(A1379-LOOKUP(2,1/($B$4:$B1378=B1379),$A$4:$A1378),""))</f>
        <v/>
      </c>
      <c r="I1379" s="16" t="str">
        <f t="shared" si="21"/>
        <v/>
      </c>
      <c r="J1379" s="16"/>
      <c r="K1379" s="6" t="str">
        <f>IF(B1379="","",IFERROR(AVERAGEIFS($I$4:$I1379,$B$4:$B1379,B1379,$I$4:$I1379,"&gt;"&amp;0),""))</f>
        <v/>
      </c>
      <c r="L1379" s="16" t="str">
        <f>IF(B1379="","",IF(ISNA(MATCH(B1379,Client_List!$B:$B,0)),"⚠ NOT FOUND","✓"))</f>
        <v/>
      </c>
    </row>
    <row r="1380" spans="1:12" ht="14" customHeight="1" x14ac:dyDescent="0.2">
      <c r="A1380" s="59"/>
      <c r="B1380" s="18"/>
      <c r="C1380" s="19" t="str">
        <f>IF(B1380="","",IFERROR(INDEX(Client_List!$C:$C,MATCH(B1380,Client_List!$B:$B,0)),""))</f>
        <v/>
      </c>
      <c r="D1380" s="19" t="str">
        <f>IF(B1380="","",IFERROR(INDEX(Client_List!$D:$D,MATCH(B1380,Client_List!$B:$B,0)),""))</f>
        <v/>
      </c>
      <c r="E1380" s="19" t="str">
        <f>IF(B1380="","",IFERROR(INDEX(Client_List!$K:$K,MATCH(B1380,Client_List!$B:$B,0)),""))</f>
        <v/>
      </c>
      <c r="F1380" s="19" t="str">
        <f>IF(B1380="","",IFERROR(INDEX(Client_List!$J:$J,MATCH(B1380,Client_List!$B:$B,0)),""))</f>
        <v/>
      </c>
      <c r="G1380" s="19"/>
      <c r="H1380" s="19" t="str">
        <f>IF(B1380="","",IFERROR(A1380-LOOKUP(2,1/($B$4:$B1379=B1380),$A$4:$A1379),""))</f>
        <v/>
      </c>
      <c r="I1380" s="19" t="str">
        <f t="shared" si="21"/>
        <v/>
      </c>
      <c r="J1380" s="19"/>
      <c r="K1380" s="6" t="str">
        <f>IF(B1380="","",IFERROR(AVERAGEIFS($I$4:$I1380,$B$4:$B1380,B1380,$I$4:$I1380,"&gt;"&amp;0),""))</f>
        <v/>
      </c>
      <c r="L1380" s="19" t="str">
        <f>IF(B1380="","",IF(ISNA(MATCH(B1380,Client_List!$B:$B,0)),"⚠ NOT FOUND","✓"))</f>
        <v/>
      </c>
    </row>
    <row r="1381" spans="1:12" ht="14" customHeight="1" x14ac:dyDescent="0.2">
      <c r="A1381" s="58"/>
      <c r="B1381" s="15"/>
      <c r="C1381" s="16" t="str">
        <f>IF(B1381="","",IFERROR(INDEX(Client_List!$C:$C,MATCH(B1381,Client_List!$B:$B,0)),""))</f>
        <v/>
      </c>
      <c r="D1381" s="16" t="str">
        <f>IF(B1381="","",IFERROR(INDEX(Client_List!$D:$D,MATCH(B1381,Client_List!$B:$B,0)),""))</f>
        <v/>
      </c>
      <c r="E1381" s="16" t="str">
        <f>IF(B1381="","",IFERROR(INDEX(Client_List!$K:$K,MATCH(B1381,Client_List!$B:$B,0)),""))</f>
        <v/>
      </c>
      <c r="F1381" s="16" t="str">
        <f>IF(B1381="","",IFERROR(INDEX(Client_List!$J:$J,MATCH(B1381,Client_List!$B:$B,0)),""))</f>
        <v/>
      </c>
      <c r="G1381" s="16"/>
      <c r="H1381" s="16" t="str">
        <f>IF(B1381="","",IFERROR(A1381-LOOKUP(2,1/($B$4:$B1380=B1381),$A$4:$A1380),""))</f>
        <v/>
      </c>
      <c r="I1381" s="16" t="str">
        <f t="shared" si="21"/>
        <v/>
      </c>
      <c r="J1381" s="16"/>
      <c r="K1381" s="6" t="str">
        <f>IF(B1381="","",IFERROR(AVERAGEIFS($I$4:$I1381,$B$4:$B1381,B1381,$I$4:$I1381,"&gt;"&amp;0),""))</f>
        <v/>
      </c>
      <c r="L1381" s="16" t="str">
        <f>IF(B1381="","",IF(ISNA(MATCH(B1381,Client_List!$B:$B,0)),"⚠ NOT FOUND","✓"))</f>
        <v/>
      </c>
    </row>
    <row r="1382" spans="1:12" ht="14" customHeight="1" x14ac:dyDescent="0.2">
      <c r="A1382" s="59"/>
      <c r="B1382" s="18"/>
      <c r="C1382" s="19" t="str">
        <f>IF(B1382="","",IFERROR(INDEX(Client_List!$C:$C,MATCH(B1382,Client_List!$B:$B,0)),""))</f>
        <v/>
      </c>
      <c r="D1382" s="19" t="str">
        <f>IF(B1382="","",IFERROR(INDEX(Client_List!$D:$D,MATCH(B1382,Client_List!$B:$B,0)),""))</f>
        <v/>
      </c>
      <c r="E1382" s="19" t="str">
        <f>IF(B1382="","",IFERROR(INDEX(Client_List!$K:$K,MATCH(B1382,Client_List!$B:$B,0)),""))</f>
        <v/>
      </c>
      <c r="F1382" s="19" t="str">
        <f>IF(B1382="","",IFERROR(INDEX(Client_List!$J:$J,MATCH(B1382,Client_List!$B:$B,0)),""))</f>
        <v/>
      </c>
      <c r="G1382" s="19"/>
      <c r="H1382" s="19" t="str">
        <f>IF(B1382="","",IFERROR(A1382-LOOKUP(2,1/($B$4:$B1381=B1382),$A$4:$A1381),""))</f>
        <v/>
      </c>
      <c r="I1382" s="19" t="str">
        <f t="shared" si="21"/>
        <v/>
      </c>
      <c r="J1382" s="19"/>
      <c r="K1382" s="6" t="str">
        <f>IF(B1382="","",IFERROR(AVERAGEIFS($I$4:$I1382,$B$4:$B1382,B1382,$I$4:$I1382,"&gt;"&amp;0),""))</f>
        <v/>
      </c>
      <c r="L1382" s="19" t="str">
        <f>IF(B1382="","",IF(ISNA(MATCH(B1382,Client_List!$B:$B,0)),"⚠ NOT FOUND","✓"))</f>
        <v/>
      </c>
    </row>
    <row r="1383" spans="1:12" ht="14" customHeight="1" x14ac:dyDescent="0.2">
      <c r="A1383" s="58"/>
      <c r="B1383" s="15"/>
      <c r="C1383" s="16" t="str">
        <f>IF(B1383="","",IFERROR(INDEX(Client_List!$C:$C,MATCH(B1383,Client_List!$B:$B,0)),""))</f>
        <v/>
      </c>
      <c r="D1383" s="16" t="str">
        <f>IF(B1383="","",IFERROR(INDEX(Client_List!$D:$D,MATCH(B1383,Client_List!$B:$B,0)),""))</f>
        <v/>
      </c>
      <c r="E1383" s="16" t="str">
        <f>IF(B1383="","",IFERROR(INDEX(Client_List!$K:$K,MATCH(B1383,Client_List!$B:$B,0)),""))</f>
        <v/>
      </c>
      <c r="F1383" s="16" t="str">
        <f>IF(B1383="","",IFERROR(INDEX(Client_List!$J:$J,MATCH(B1383,Client_List!$B:$B,0)),""))</f>
        <v/>
      </c>
      <c r="G1383" s="16"/>
      <c r="H1383" s="16" t="str">
        <f>IF(B1383="","",IFERROR(A1383-LOOKUP(2,1/($B$4:$B1382=B1383),$A$4:$A1382),""))</f>
        <v/>
      </c>
      <c r="I1383" s="16" t="str">
        <f t="shared" si="21"/>
        <v/>
      </c>
      <c r="J1383" s="16"/>
      <c r="K1383" s="6" t="str">
        <f>IF(B1383="","",IFERROR(AVERAGEIFS($I$4:$I1383,$B$4:$B1383,B1383,$I$4:$I1383,"&gt;"&amp;0),""))</f>
        <v/>
      </c>
      <c r="L1383" s="16" t="str">
        <f>IF(B1383="","",IF(ISNA(MATCH(B1383,Client_List!$B:$B,0)),"⚠ NOT FOUND","✓"))</f>
        <v/>
      </c>
    </row>
    <row r="1384" spans="1:12" ht="14" customHeight="1" x14ac:dyDescent="0.2">
      <c r="A1384" s="59"/>
      <c r="B1384" s="18"/>
      <c r="C1384" s="19" t="str">
        <f>IF(B1384="","",IFERROR(INDEX(Client_List!$C:$C,MATCH(B1384,Client_List!$B:$B,0)),""))</f>
        <v/>
      </c>
      <c r="D1384" s="19" t="str">
        <f>IF(B1384="","",IFERROR(INDEX(Client_List!$D:$D,MATCH(B1384,Client_List!$B:$B,0)),""))</f>
        <v/>
      </c>
      <c r="E1384" s="19" t="str">
        <f>IF(B1384="","",IFERROR(INDEX(Client_List!$K:$K,MATCH(B1384,Client_List!$B:$B,0)),""))</f>
        <v/>
      </c>
      <c r="F1384" s="19" t="str">
        <f>IF(B1384="","",IFERROR(INDEX(Client_List!$J:$J,MATCH(B1384,Client_List!$B:$B,0)),""))</f>
        <v/>
      </c>
      <c r="G1384" s="19"/>
      <c r="H1384" s="19" t="str">
        <f>IF(B1384="","",IFERROR(A1384-LOOKUP(2,1/($B$4:$B1383=B1384),$A$4:$A1383),""))</f>
        <v/>
      </c>
      <c r="I1384" s="19" t="str">
        <f t="shared" si="21"/>
        <v/>
      </c>
      <c r="J1384" s="19"/>
      <c r="K1384" s="6" t="str">
        <f>IF(B1384="","",IFERROR(AVERAGEIFS($I$4:$I1384,$B$4:$B1384,B1384,$I$4:$I1384,"&gt;"&amp;0),""))</f>
        <v/>
      </c>
      <c r="L1384" s="19" t="str">
        <f>IF(B1384="","",IF(ISNA(MATCH(B1384,Client_List!$B:$B,0)),"⚠ NOT FOUND","✓"))</f>
        <v/>
      </c>
    </row>
    <row r="1385" spans="1:12" ht="14" customHeight="1" x14ac:dyDescent="0.2">
      <c r="A1385" s="58"/>
      <c r="B1385" s="15"/>
      <c r="C1385" s="16" t="str">
        <f>IF(B1385="","",IFERROR(INDEX(Client_List!$C:$C,MATCH(B1385,Client_List!$B:$B,0)),""))</f>
        <v/>
      </c>
      <c r="D1385" s="16" t="str">
        <f>IF(B1385="","",IFERROR(INDEX(Client_List!$D:$D,MATCH(B1385,Client_List!$B:$B,0)),""))</f>
        <v/>
      </c>
      <c r="E1385" s="16" t="str">
        <f>IF(B1385="","",IFERROR(INDEX(Client_List!$K:$K,MATCH(B1385,Client_List!$B:$B,0)),""))</f>
        <v/>
      </c>
      <c r="F1385" s="16" t="str">
        <f>IF(B1385="","",IFERROR(INDEX(Client_List!$J:$J,MATCH(B1385,Client_List!$B:$B,0)),""))</f>
        <v/>
      </c>
      <c r="G1385" s="16"/>
      <c r="H1385" s="16" t="str">
        <f>IF(B1385="","",IFERROR(A1385-LOOKUP(2,1/($B$4:$B1384=B1385),$A$4:$A1384),""))</f>
        <v/>
      </c>
      <c r="I1385" s="16" t="str">
        <f t="shared" si="21"/>
        <v/>
      </c>
      <c r="J1385" s="16"/>
      <c r="K1385" s="6" t="str">
        <f>IF(B1385="","",IFERROR(AVERAGEIFS($I$4:$I1385,$B$4:$B1385,B1385,$I$4:$I1385,"&gt;"&amp;0),""))</f>
        <v/>
      </c>
      <c r="L1385" s="16" t="str">
        <f>IF(B1385="","",IF(ISNA(MATCH(B1385,Client_List!$B:$B,0)),"⚠ NOT FOUND","✓"))</f>
        <v/>
      </c>
    </row>
    <row r="1386" spans="1:12" ht="14" customHeight="1" x14ac:dyDescent="0.2">
      <c r="A1386" s="59"/>
      <c r="B1386" s="18"/>
      <c r="C1386" s="19" t="str">
        <f>IF(B1386="","",IFERROR(INDEX(Client_List!$C:$C,MATCH(B1386,Client_List!$B:$B,0)),""))</f>
        <v/>
      </c>
      <c r="D1386" s="19" t="str">
        <f>IF(B1386="","",IFERROR(INDEX(Client_List!$D:$D,MATCH(B1386,Client_List!$B:$B,0)),""))</f>
        <v/>
      </c>
      <c r="E1386" s="19" t="str">
        <f>IF(B1386="","",IFERROR(INDEX(Client_List!$K:$K,MATCH(B1386,Client_List!$B:$B,0)),""))</f>
        <v/>
      </c>
      <c r="F1386" s="19" t="str">
        <f>IF(B1386="","",IFERROR(INDEX(Client_List!$J:$J,MATCH(B1386,Client_List!$B:$B,0)),""))</f>
        <v/>
      </c>
      <c r="G1386" s="19"/>
      <c r="H1386" s="19" t="str">
        <f>IF(B1386="","",IFERROR(A1386-LOOKUP(2,1/($B$4:$B1385=B1386),$A$4:$A1385),""))</f>
        <v/>
      </c>
      <c r="I1386" s="19" t="str">
        <f t="shared" si="21"/>
        <v/>
      </c>
      <c r="J1386" s="19"/>
      <c r="K1386" s="6" t="str">
        <f>IF(B1386="","",IFERROR(AVERAGEIFS($I$4:$I1386,$B$4:$B1386,B1386,$I$4:$I1386,"&gt;"&amp;0),""))</f>
        <v/>
      </c>
      <c r="L1386" s="19" t="str">
        <f>IF(B1386="","",IF(ISNA(MATCH(B1386,Client_List!$B:$B,0)),"⚠ NOT FOUND","✓"))</f>
        <v/>
      </c>
    </row>
    <row r="1387" spans="1:12" ht="14" customHeight="1" x14ac:dyDescent="0.2">
      <c r="A1387" s="58"/>
      <c r="B1387" s="15"/>
      <c r="C1387" s="16" t="str">
        <f>IF(B1387="","",IFERROR(INDEX(Client_List!$C:$C,MATCH(B1387,Client_List!$B:$B,0)),""))</f>
        <v/>
      </c>
      <c r="D1387" s="16" t="str">
        <f>IF(B1387="","",IFERROR(INDEX(Client_List!$D:$D,MATCH(B1387,Client_List!$B:$B,0)),""))</f>
        <v/>
      </c>
      <c r="E1387" s="16" t="str">
        <f>IF(B1387="","",IFERROR(INDEX(Client_List!$K:$K,MATCH(B1387,Client_List!$B:$B,0)),""))</f>
        <v/>
      </c>
      <c r="F1387" s="16" t="str">
        <f>IF(B1387="","",IFERROR(INDEX(Client_List!$J:$J,MATCH(B1387,Client_List!$B:$B,0)),""))</f>
        <v/>
      </c>
      <c r="G1387" s="16"/>
      <c r="H1387" s="16" t="str">
        <f>IF(B1387="","",IFERROR(A1387-LOOKUP(2,1/($B$4:$B1386=B1387),$A$4:$A1386),""))</f>
        <v/>
      </c>
      <c r="I1387" s="16" t="str">
        <f t="shared" si="21"/>
        <v/>
      </c>
      <c r="J1387" s="16"/>
      <c r="K1387" s="6" t="str">
        <f>IF(B1387="","",IFERROR(AVERAGEIFS($I$4:$I1387,$B$4:$B1387,B1387,$I$4:$I1387,"&gt;"&amp;0),""))</f>
        <v/>
      </c>
      <c r="L1387" s="16" t="str">
        <f>IF(B1387="","",IF(ISNA(MATCH(B1387,Client_List!$B:$B,0)),"⚠ NOT FOUND","✓"))</f>
        <v/>
      </c>
    </row>
    <row r="1388" spans="1:12" ht="14" customHeight="1" x14ac:dyDescent="0.2">
      <c r="A1388" s="59"/>
      <c r="B1388" s="18"/>
      <c r="C1388" s="19" t="str">
        <f>IF(B1388="","",IFERROR(INDEX(Client_List!$C:$C,MATCH(B1388,Client_List!$B:$B,0)),""))</f>
        <v/>
      </c>
      <c r="D1388" s="19" t="str">
        <f>IF(B1388="","",IFERROR(INDEX(Client_List!$D:$D,MATCH(B1388,Client_List!$B:$B,0)),""))</f>
        <v/>
      </c>
      <c r="E1388" s="19" t="str">
        <f>IF(B1388="","",IFERROR(INDEX(Client_List!$K:$K,MATCH(B1388,Client_List!$B:$B,0)),""))</f>
        <v/>
      </c>
      <c r="F1388" s="19" t="str">
        <f>IF(B1388="","",IFERROR(INDEX(Client_List!$J:$J,MATCH(B1388,Client_List!$B:$B,0)),""))</f>
        <v/>
      </c>
      <c r="G1388" s="19"/>
      <c r="H1388" s="19" t="str">
        <f>IF(B1388="","",IFERROR(A1388-LOOKUP(2,1/($B$4:$B1387=B1388),$A$4:$A1387),""))</f>
        <v/>
      </c>
      <c r="I1388" s="19" t="str">
        <f t="shared" si="21"/>
        <v/>
      </c>
      <c r="J1388" s="19"/>
      <c r="K1388" s="6" t="str">
        <f>IF(B1388="","",IFERROR(AVERAGEIFS($I$4:$I1388,$B$4:$B1388,B1388,$I$4:$I1388,"&gt;"&amp;0),""))</f>
        <v/>
      </c>
      <c r="L1388" s="19" t="str">
        <f>IF(B1388="","",IF(ISNA(MATCH(B1388,Client_List!$B:$B,0)),"⚠ NOT FOUND","✓"))</f>
        <v/>
      </c>
    </row>
    <row r="1389" spans="1:12" ht="14" customHeight="1" x14ac:dyDescent="0.2">
      <c r="A1389" s="58"/>
      <c r="B1389" s="15"/>
      <c r="C1389" s="16" t="str">
        <f>IF(B1389="","",IFERROR(INDEX(Client_List!$C:$C,MATCH(B1389,Client_List!$B:$B,0)),""))</f>
        <v/>
      </c>
      <c r="D1389" s="16" t="str">
        <f>IF(B1389="","",IFERROR(INDEX(Client_List!$D:$D,MATCH(B1389,Client_List!$B:$B,0)),""))</f>
        <v/>
      </c>
      <c r="E1389" s="16" t="str">
        <f>IF(B1389="","",IFERROR(INDEX(Client_List!$K:$K,MATCH(B1389,Client_List!$B:$B,0)),""))</f>
        <v/>
      </c>
      <c r="F1389" s="16" t="str">
        <f>IF(B1389="","",IFERROR(INDEX(Client_List!$J:$J,MATCH(B1389,Client_List!$B:$B,0)),""))</f>
        <v/>
      </c>
      <c r="G1389" s="16"/>
      <c r="H1389" s="16" t="str">
        <f>IF(B1389="","",IFERROR(A1389-LOOKUP(2,1/($B$4:$B1388=B1389),$A$4:$A1388),""))</f>
        <v/>
      </c>
      <c r="I1389" s="16" t="str">
        <f t="shared" si="21"/>
        <v/>
      </c>
      <c r="J1389" s="16"/>
      <c r="K1389" s="6" t="str">
        <f>IF(B1389="","",IFERROR(AVERAGEIFS($I$4:$I1389,$B$4:$B1389,B1389,$I$4:$I1389,"&gt;"&amp;0),""))</f>
        <v/>
      </c>
      <c r="L1389" s="16" t="str">
        <f>IF(B1389="","",IF(ISNA(MATCH(B1389,Client_List!$B:$B,0)),"⚠ NOT FOUND","✓"))</f>
        <v/>
      </c>
    </row>
    <row r="1390" spans="1:12" ht="14" customHeight="1" x14ac:dyDescent="0.2">
      <c r="A1390" s="59"/>
      <c r="B1390" s="18"/>
      <c r="C1390" s="19" t="str">
        <f>IF(B1390="","",IFERROR(INDEX(Client_List!$C:$C,MATCH(B1390,Client_List!$B:$B,0)),""))</f>
        <v/>
      </c>
      <c r="D1390" s="19" t="str">
        <f>IF(B1390="","",IFERROR(INDEX(Client_List!$D:$D,MATCH(B1390,Client_List!$B:$B,0)),""))</f>
        <v/>
      </c>
      <c r="E1390" s="19" t="str">
        <f>IF(B1390="","",IFERROR(INDEX(Client_List!$K:$K,MATCH(B1390,Client_List!$B:$B,0)),""))</f>
        <v/>
      </c>
      <c r="F1390" s="19" t="str">
        <f>IF(B1390="","",IFERROR(INDEX(Client_List!$J:$J,MATCH(B1390,Client_List!$B:$B,0)),""))</f>
        <v/>
      </c>
      <c r="G1390" s="19"/>
      <c r="H1390" s="19" t="str">
        <f>IF(B1390="","",IFERROR(A1390-LOOKUP(2,1/($B$4:$B1389=B1390),$A$4:$A1389),""))</f>
        <v/>
      </c>
      <c r="I1390" s="19" t="str">
        <f t="shared" si="21"/>
        <v/>
      </c>
      <c r="J1390" s="19"/>
      <c r="K1390" s="6" t="str">
        <f>IF(B1390="","",IFERROR(AVERAGEIFS($I$4:$I1390,$B$4:$B1390,B1390,$I$4:$I1390,"&gt;"&amp;0),""))</f>
        <v/>
      </c>
      <c r="L1390" s="19" t="str">
        <f>IF(B1390="","",IF(ISNA(MATCH(B1390,Client_List!$B:$B,0)),"⚠ NOT FOUND","✓"))</f>
        <v/>
      </c>
    </row>
    <row r="1391" spans="1:12" ht="14" customHeight="1" x14ac:dyDescent="0.2">
      <c r="A1391" s="58"/>
      <c r="B1391" s="15"/>
      <c r="C1391" s="16" t="str">
        <f>IF(B1391="","",IFERROR(INDEX(Client_List!$C:$C,MATCH(B1391,Client_List!$B:$B,0)),""))</f>
        <v/>
      </c>
      <c r="D1391" s="16" t="str">
        <f>IF(B1391="","",IFERROR(INDEX(Client_List!$D:$D,MATCH(B1391,Client_List!$B:$B,0)),""))</f>
        <v/>
      </c>
      <c r="E1391" s="16" t="str">
        <f>IF(B1391="","",IFERROR(INDEX(Client_List!$K:$K,MATCH(B1391,Client_List!$B:$B,0)),""))</f>
        <v/>
      </c>
      <c r="F1391" s="16" t="str">
        <f>IF(B1391="","",IFERROR(INDEX(Client_List!$J:$J,MATCH(B1391,Client_List!$B:$B,0)),""))</f>
        <v/>
      </c>
      <c r="G1391" s="16"/>
      <c r="H1391" s="16" t="str">
        <f>IF(B1391="","",IFERROR(A1391-LOOKUP(2,1/($B$4:$B1390=B1391),$A$4:$A1390),""))</f>
        <v/>
      </c>
      <c r="I1391" s="16" t="str">
        <f t="shared" si="21"/>
        <v/>
      </c>
      <c r="J1391" s="16"/>
      <c r="K1391" s="6" t="str">
        <f>IF(B1391="","",IFERROR(AVERAGEIFS($I$4:$I1391,$B$4:$B1391,B1391,$I$4:$I1391,"&gt;"&amp;0),""))</f>
        <v/>
      </c>
      <c r="L1391" s="16" t="str">
        <f>IF(B1391="","",IF(ISNA(MATCH(B1391,Client_List!$B:$B,0)),"⚠ NOT FOUND","✓"))</f>
        <v/>
      </c>
    </row>
    <row r="1392" spans="1:12" ht="14" customHeight="1" x14ac:dyDescent="0.2">
      <c r="A1392" s="59"/>
      <c r="B1392" s="18"/>
      <c r="C1392" s="19" t="str">
        <f>IF(B1392="","",IFERROR(INDEX(Client_List!$C:$C,MATCH(B1392,Client_List!$B:$B,0)),""))</f>
        <v/>
      </c>
      <c r="D1392" s="19" t="str">
        <f>IF(B1392="","",IFERROR(INDEX(Client_List!$D:$D,MATCH(B1392,Client_List!$B:$B,0)),""))</f>
        <v/>
      </c>
      <c r="E1392" s="19" t="str">
        <f>IF(B1392="","",IFERROR(INDEX(Client_List!$K:$K,MATCH(B1392,Client_List!$B:$B,0)),""))</f>
        <v/>
      </c>
      <c r="F1392" s="19" t="str">
        <f>IF(B1392="","",IFERROR(INDEX(Client_List!$J:$J,MATCH(B1392,Client_List!$B:$B,0)),""))</f>
        <v/>
      </c>
      <c r="G1392" s="19"/>
      <c r="H1392" s="19" t="str">
        <f>IF(B1392="","",IFERROR(A1392-LOOKUP(2,1/($B$4:$B1391=B1392),$A$4:$A1391),""))</f>
        <v/>
      </c>
      <c r="I1392" s="19" t="str">
        <f t="shared" si="21"/>
        <v/>
      </c>
      <c r="J1392" s="19"/>
      <c r="K1392" s="6" t="str">
        <f>IF(B1392="","",IFERROR(AVERAGEIFS($I$4:$I1392,$B$4:$B1392,B1392,$I$4:$I1392,"&gt;"&amp;0),""))</f>
        <v/>
      </c>
      <c r="L1392" s="19" t="str">
        <f>IF(B1392="","",IF(ISNA(MATCH(B1392,Client_List!$B:$B,0)),"⚠ NOT FOUND","✓"))</f>
        <v/>
      </c>
    </row>
    <row r="1393" spans="1:12" ht="14" customHeight="1" x14ac:dyDescent="0.2">
      <c r="A1393" s="58"/>
      <c r="B1393" s="15"/>
      <c r="C1393" s="16" t="str">
        <f>IF(B1393="","",IFERROR(INDEX(Client_List!$C:$C,MATCH(B1393,Client_List!$B:$B,0)),""))</f>
        <v/>
      </c>
      <c r="D1393" s="16" t="str">
        <f>IF(B1393="","",IFERROR(INDEX(Client_List!$D:$D,MATCH(B1393,Client_List!$B:$B,0)),""))</f>
        <v/>
      </c>
      <c r="E1393" s="16" t="str">
        <f>IF(B1393="","",IFERROR(INDEX(Client_List!$K:$K,MATCH(B1393,Client_List!$B:$B,0)),""))</f>
        <v/>
      </c>
      <c r="F1393" s="16" t="str">
        <f>IF(B1393="","",IFERROR(INDEX(Client_List!$J:$J,MATCH(B1393,Client_List!$B:$B,0)),""))</f>
        <v/>
      </c>
      <c r="G1393" s="16"/>
      <c r="H1393" s="16" t="str">
        <f>IF(B1393="","",IFERROR(A1393-LOOKUP(2,1/($B$4:$B1392=B1393),$A$4:$A1392),""))</f>
        <v/>
      </c>
      <c r="I1393" s="16" t="str">
        <f t="shared" si="21"/>
        <v/>
      </c>
      <c r="J1393" s="16"/>
      <c r="K1393" s="6" t="str">
        <f>IF(B1393="","",IFERROR(AVERAGEIFS($I$4:$I1393,$B$4:$B1393,B1393,$I$4:$I1393,"&gt;"&amp;0),""))</f>
        <v/>
      </c>
      <c r="L1393" s="16" t="str">
        <f>IF(B1393="","",IF(ISNA(MATCH(B1393,Client_List!$B:$B,0)),"⚠ NOT FOUND","✓"))</f>
        <v/>
      </c>
    </row>
    <row r="1394" spans="1:12" ht="14" customHeight="1" x14ac:dyDescent="0.2">
      <c r="A1394" s="59"/>
      <c r="B1394" s="18"/>
      <c r="C1394" s="19" t="str">
        <f>IF(B1394="","",IFERROR(INDEX(Client_List!$C:$C,MATCH(B1394,Client_List!$B:$B,0)),""))</f>
        <v/>
      </c>
      <c r="D1394" s="19" t="str">
        <f>IF(B1394="","",IFERROR(INDEX(Client_List!$D:$D,MATCH(B1394,Client_List!$B:$B,0)),""))</f>
        <v/>
      </c>
      <c r="E1394" s="19" t="str">
        <f>IF(B1394="","",IFERROR(INDEX(Client_List!$K:$K,MATCH(B1394,Client_List!$B:$B,0)),""))</f>
        <v/>
      </c>
      <c r="F1394" s="19" t="str">
        <f>IF(B1394="","",IFERROR(INDEX(Client_List!$J:$J,MATCH(B1394,Client_List!$B:$B,0)),""))</f>
        <v/>
      </c>
      <c r="G1394" s="19"/>
      <c r="H1394" s="19" t="str">
        <f>IF(B1394="","",IFERROR(A1394-LOOKUP(2,1/($B$4:$B1393=B1394),$A$4:$A1393),""))</f>
        <v/>
      </c>
      <c r="I1394" s="19" t="str">
        <f t="shared" si="21"/>
        <v/>
      </c>
      <c r="J1394" s="19"/>
      <c r="K1394" s="6" t="str">
        <f>IF(B1394="","",IFERROR(AVERAGEIFS($I$4:$I1394,$B$4:$B1394,B1394,$I$4:$I1394,"&gt;"&amp;0),""))</f>
        <v/>
      </c>
      <c r="L1394" s="19" t="str">
        <f>IF(B1394="","",IF(ISNA(MATCH(B1394,Client_List!$B:$B,0)),"⚠ NOT FOUND","✓"))</f>
        <v/>
      </c>
    </row>
    <row r="1395" spans="1:12" ht="14" customHeight="1" x14ac:dyDescent="0.2">
      <c r="A1395" s="58"/>
      <c r="B1395" s="15"/>
      <c r="C1395" s="16" t="str">
        <f>IF(B1395="","",IFERROR(INDEX(Client_List!$C:$C,MATCH(B1395,Client_List!$B:$B,0)),""))</f>
        <v/>
      </c>
      <c r="D1395" s="16" t="str">
        <f>IF(B1395="","",IFERROR(INDEX(Client_List!$D:$D,MATCH(B1395,Client_List!$B:$B,0)),""))</f>
        <v/>
      </c>
      <c r="E1395" s="16" t="str">
        <f>IF(B1395="","",IFERROR(INDEX(Client_List!$K:$K,MATCH(B1395,Client_List!$B:$B,0)),""))</f>
        <v/>
      </c>
      <c r="F1395" s="16" t="str">
        <f>IF(B1395="","",IFERROR(INDEX(Client_List!$J:$J,MATCH(B1395,Client_List!$B:$B,0)),""))</f>
        <v/>
      </c>
      <c r="G1395" s="16"/>
      <c r="H1395" s="16" t="str">
        <f>IF(B1395="","",IFERROR(A1395-LOOKUP(2,1/($B$4:$B1394=B1395),$A$4:$A1394),""))</f>
        <v/>
      </c>
      <c r="I1395" s="16" t="str">
        <f t="shared" si="21"/>
        <v/>
      </c>
      <c r="J1395" s="16"/>
      <c r="K1395" s="6" t="str">
        <f>IF(B1395="","",IFERROR(AVERAGEIFS($I$4:$I1395,$B$4:$B1395,B1395,$I$4:$I1395,"&gt;"&amp;0),""))</f>
        <v/>
      </c>
      <c r="L1395" s="16" t="str">
        <f>IF(B1395="","",IF(ISNA(MATCH(B1395,Client_List!$B:$B,0)),"⚠ NOT FOUND","✓"))</f>
        <v/>
      </c>
    </row>
    <row r="1396" spans="1:12" ht="14" customHeight="1" x14ac:dyDescent="0.2">
      <c r="A1396" s="59"/>
      <c r="B1396" s="18"/>
      <c r="C1396" s="19" t="str">
        <f>IF(B1396="","",IFERROR(INDEX(Client_List!$C:$C,MATCH(B1396,Client_List!$B:$B,0)),""))</f>
        <v/>
      </c>
      <c r="D1396" s="19" t="str">
        <f>IF(B1396="","",IFERROR(INDEX(Client_List!$D:$D,MATCH(B1396,Client_List!$B:$B,0)),""))</f>
        <v/>
      </c>
      <c r="E1396" s="19" t="str">
        <f>IF(B1396="","",IFERROR(INDEX(Client_List!$K:$K,MATCH(B1396,Client_List!$B:$B,0)),""))</f>
        <v/>
      </c>
      <c r="F1396" s="19" t="str">
        <f>IF(B1396="","",IFERROR(INDEX(Client_List!$J:$J,MATCH(B1396,Client_List!$B:$B,0)),""))</f>
        <v/>
      </c>
      <c r="G1396" s="19"/>
      <c r="H1396" s="19" t="str">
        <f>IF(B1396="","",IFERROR(A1396-LOOKUP(2,1/($B$4:$B1395=B1396),$A$4:$A1395),""))</f>
        <v/>
      </c>
      <c r="I1396" s="19" t="str">
        <f t="shared" si="21"/>
        <v/>
      </c>
      <c r="J1396" s="19"/>
      <c r="K1396" s="6" t="str">
        <f>IF(B1396="","",IFERROR(AVERAGEIFS($I$4:$I1396,$B$4:$B1396,B1396,$I$4:$I1396,"&gt;"&amp;0),""))</f>
        <v/>
      </c>
      <c r="L1396" s="19" t="str">
        <f>IF(B1396="","",IF(ISNA(MATCH(B1396,Client_List!$B:$B,0)),"⚠ NOT FOUND","✓"))</f>
        <v/>
      </c>
    </row>
    <row r="1397" spans="1:12" ht="14" customHeight="1" x14ac:dyDescent="0.2">
      <c r="A1397" s="58"/>
      <c r="B1397" s="15"/>
      <c r="C1397" s="16" t="str">
        <f>IF(B1397="","",IFERROR(INDEX(Client_List!$C:$C,MATCH(B1397,Client_List!$B:$B,0)),""))</f>
        <v/>
      </c>
      <c r="D1397" s="16" t="str">
        <f>IF(B1397="","",IFERROR(INDEX(Client_List!$D:$D,MATCH(B1397,Client_List!$B:$B,0)),""))</f>
        <v/>
      </c>
      <c r="E1397" s="16" t="str">
        <f>IF(B1397="","",IFERROR(INDEX(Client_List!$K:$K,MATCH(B1397,Client_List!$B:$B,0)),""))</f>
        <v/>
      </c>
      <c r="F1397" s="16" t="str">
        <f>IF(B1397="","",IFERROR(INDEX(Client_List!$J:$J,MATCH(B1397,Client_List!$B:$B,0)),""))</f>
        <v/>
      </c>
      <c r="G1397" s="16"/>
      <c r="H1397" s="16" t="str">
        <f>IF(B1397="","",IFERROR(A1397-LOOKUP(2,1/($B$4:$B1396=B1397),$A$4:$A1396),""))</f>
        <v/>
      </c>
      <c r="I1397" s="16" t="str">
        <f t="shared" si="21"/>
        <v/>
      </c>
      <c r="J1397" s="16"/>
      <c r="K1397" s="6" t="str">
        <f>IF(B1397="","",IFERROR(AVERAGEIFS($I$4:$I1397,$B$4:$B1397,B1397,$I$4:$I1397,"&gt;"&amp;0),""))</f>
        <v/>
      </c>
      <c r="L1397" s="16" t="str">
        <f>IF(B1397="","",IF(ISNA(MATCH(B1397,Client_List!$B:$B,0)),"⚠ NOT FOUND","✓"))</f>
        <v/>
      </c>
    </row>
    <row r="1398" spans="1:12" ht="14" customHeight="1" x14ac:dyDescent="0.2">
      <c r="A1398" s="59"/>
      <c r="B1398" s="18"/>
      <c r="C1398" s="19" t="str">
        <f>IF(B1398="","",IFERROR(INDEX(Client_List!$C:$C,MATCH(B1398,Client_List!$B:$B,0)),""))</f>
        <v/>
      </c>
      <c r="D1398" s="19" t="str">
        <f>IF(B1398="","",IFERROR(INDEX(Client_List!$D:$D,MATCH(B1398,Client_List!$B:$B,0)),""))</f>
        <v/>
      </c>
      <c r="E1398" s="19" t="str">
        <f>IF(B1398="","",IFERROR(INDEX(Client_List!$K:$K,MATCH(B1398,Client_List!$B:$B,0)),""))</f>
        <v/>
      </c>
      <c r="F1398" s="19" t="str">
        <f>IF(B1398="","",IFERROR(INDEX(Client_List!$J:$J,MATCH(B1398,Client_List!$B:$B,0)),""))</f>
        <v/>
      </c>
      <c r="G1398" s="19"/>
      <c r="H1398" s="19" t="str">
        <f>IF(B1398="","",IFERROR(A1398-LOOKUP(2,1/($B$4:$B1397=B1398),$A$4:$A1397),""))</f>
        <v/>
      </c>
      <c r="I1398" s="19" t="str">
        <f t="shared" si="21"/>
        <v/>
      </c>
      <c r="J1398" s="19"/>
      <c r="K1398" s="6" t="str">
        <f>IF(B1398="","",IFERROR(AVERAGEIFS($I$4:$I1398,$B$4:$B1398,B1398,$I$4:$I1398,"&gt;"&amp;0),""))</f>
        <v/>
      </c>
      <c r="L1398" s="19" t="str">
        <f>IF(B1398="","",IF(ISNA(MATCH(B1398,Client_List!$B:$B,0)),"⚠ NOT FOUND","✓"))</f>
        <v/>
      </c>
    </row>
    <row r="1399" spans="1:12" ht="14" customHeight="1" x14ac:dyDescent="0.2">
      <c r="A1399" s="58"/>
      <c r="B1399" s="15"/>
      <c r="C1399" s="16" t="str">
        <f>IF(B1399="","",IFERROR(INDEX(Client_List!$C:$C,MATCH(B1399,Client_List!$B:$B,0)),""))</f>
        <v/>
      </c>
      <c r="D1399" s="16" t="str">
        <f>IF(B1399="","",IFERROR(INDEX(Client_List!$D:$D,MATCH(B1399,Client_List!$B:$B,0)),""))</f>
        <v/>
      </c>
      <c r="E1399" s="16" t="str">
        <f>IF(B1399="","",IFERROR(INDEX(Client_List!$K:$K,MATCH(B1399,Client_List!$B:$B,0)),""))</f>
        <v/>
      </c>
      <c r="F1399" s="16" t="str">
        <f>IF(B1399="","",IFERROR(INDEX(Client_List!$J:$J,MATCH(B1399,Client_List!$B:$B,0)),""))</f>
        <v/>
      </c>
      <c r="G1399" s="16"/>
      <c r="H1399" s="16" t="str">
        <f>IF(B1399="","",IFERROR(A1399-LOOKUP(2,1/($B$4:$B1398=B1399),$A$4:$A1398),""))</f>
        <v/>
      </c>
      <c r="I1399" s="16" t="str">
        <f t="shared" si="21"/>
        <v/>
      </c>
      <c r="J1399" s="16"/>
      <c r="K1399" s="6" t="str">
        <f>IF(B1399="","",IFERROR(AVERAGEIFS($I$4:$I1399,$B$4:$B1399,B1399,$I$4:$I1399,"&gt;"&amp;0),""))</f>
        <v/>
      </c>
      <c r="L1399" s="16" t="str">
        <f>IF(B1399="","",IF(ISNA(MATCH(B1399,Client_List!$B:$B,0)),"⚠ NOT FOUND","✓"))</f>
        <v/>
      </c>
    </row>
    <row r="1400" spans="1:12" ht="14" customHeight="1" x14ac:dyDescent="0.2">
      <c r="A1400" s="59"/>
      <c r="B1400" s="18"/>
      <c r="C1400" s="19" t="str">
        <f>IF(B1400="","",IFERROR(INDEX(Client_List!$C:$C,MATCH(B1400,Client_List!$B:$B,0)),""))</f>
        <v/>
      </c>
      <c r="D1400" s="19" t="str">
        <f>IF(B1400="","",IFERROR(INDEX(Client_List!$D:$D,MATCH(B1400,Client_List!$B:$B,0)),""))</f>
        <v/>
      </c>
      <c r="E1400" s="19" t="str">
        <f>IF(B1400="","",IFERROR(INDEX(Client_List!$K:$K,MATCH(B1400,Client_List!$B:$B,0)),""))</f>
        <v/>
      </c>
      <c r="F1400" s="19" t="str">
        <f>IF(B1400="","",IFERROR(INDEX(Client_List!$J:$J,MATCH(B1400,Client_List!$B:$B,0)),""))</f>
        <v/>
      </c>
      <c r="G1400" s="19"/>
      <c r="H1400" s="19" t="str">
        <f>IF(B1400="","",IFERROR(A1400-LOOKUP(2,1/($B$4:$B1399=B1400),$A$4:$A1399),""))</f>
        <v/>
      </c>
      <c r="I1400" s="19" t="str">
        <f t="shared" si="21"/>
        <v/>
      </c>
      <c r="J1400" s="19"/>
      <c r="K1400" s="6" t="str">
        <f>IF(B1400="","",IFERROR(AVERAGEIFS($I$4:$I1400,$B$4:$B1400,B1400,$I$4:$I1400,"&gt;"&amp;0),""))</f>
        <v/>
      </c>
      <c r="L1400" s="19" t="str">
        <f>IF(B1400="","",IF(ISNA(MATCH(B1400,Client_List!$B:$B,0)),"⚠ NOT FOUND","✓"))</f>
        <v/>
      </c>
    </row>
    <row r="1401" spans="1:12" ht="14" customHeight="1" x14ac:dyDescent="0.2">
      <c r="A1401" s="58"/>
      <c r="B1401" s="15"/>
      <c r="C1401" s="16" t="str">
        <f>IF(B1401="","",IFERROR(INDEX(Client_List!$C:$C,MATCH(B1401,Client_List!$B:$B,0)),""))</f>
        <v/>
      </c>
      <c r="D1401" s="16" t="str">
        <f>IF(B1401="","",IFERROR(INDEX(Client_List!$D:$D,MATCH(B1401,Client_List!$B:$B,0)),""))</f>
        <v/>
      </c>
      <c r="E1401" s="16" t="str">
        <f>IF(B1401="","",IFERROR(INDEX(Client_List!$K:$K,MATCH(B1401,Client_List!$B:$B,0)),""))</f>
        <v/>
      </c>
      <c r="F1401" s="16" t="str">
        <f>IF(B1401="","",IFERROR(INDEX(Client_List!$J:$J,MATCH(B1401,Client_List!$B:$B,0)),""))</f>
        <v/>
      </c>
      <c r="G1401" s="16"/>
      <c r="H1401" s="16" t="str">
        <f>IF(B1401="","",IFERROR(A1401-LOOKUP(2,1/($B$4:$B1400=B1401),$A$4:$A1400),""))</f>
        <v/>
      </c>
      <c r="I1401" s="16" t="str">
        <f t="shared" si="21"/>
        <v/>
      </c>
      <c r="J1401" s="16"/>
      <c r="K1401" s="6" t="str">
        <f>IF(B1401="","",IFERROR(AVERAGEIFS($I$4:$I1401,$B$4:$B1401,B1401,$I$4:$I1401,"&gt;"&amp;0),""))</f>
        <v/>
      </c>
      <c r="L1401" s="16" t="str">
        <f>IF(B1401="","",IF(ISNA(MATCH(B1401,Client_List!$B:$B,0)),"⚠ NOT FOUND","✓"))</f>
        <v/>
      </c>
    </row>
    <row r="1402" spans="1:12" ht="14" customHeight="1" x14ac:dyDescent="0.2">
      <c r="A1402" s="59"/>
      <c r="B1402" s="18"/>
      <c r="C1402" s="19" t="str">
        <f>IF(B1402="","",IFERROR(INDEX(Client_List!$C:$C,MATCH(B1402,Client_List!$B:$B,0)),""))</f>
        <v/>
      </c>
      <c r="D1402" s="19" t="str">
        <f>IF(B1402="","",IFERROR(INDEX(Client_List!$D:$D,MATCH(B1402,Client_List!$B:$B,0)),""))</f>
        <v/>
      </c>
      <c r="E1402" s="19" t="str">
        <f>IF(B1402="","",IFERROR(INDEX(Client_List!$K:$K,MATCH(B1402,Client_List!$B:$B,0)),""))</f>
        <v/>
      </c>
      <c r="F1402" s="19" t="str">
        <f>IF(B1402="","",IFERROR(INDEX(Client_List!$J:$J,MATCH(B1402,Client_List!$B:$B,0)),""))</f>
        <v/>
      </c>
      <c r="G1402" s="19"/>
      <c r="H1402" s="19" t="str">
        <f>IF(B1402="","",IFERROR(A1402-LOOKUP(2,1/($B$4:$B1401=B1402),$A$4:$A1401),""))</f>
        <v/>
      </c>
      <c r="I1402" s="19" t="str">
        <f t="shared" si="21"/>
        <v/>
      </c>
      <c r="J1402" s="19"/>
      <c r="K1402" s="6" t="str">
        <f>IF(B1402="","",IFERROR(AVERAGEIFS($I$4:$I1402,$B$4:$B1402,B1402,$I$4:$I1402,"&gt;"&amp;0),""))</f>
        <v/>
      </c>
      <c r="L1402" s="19" t="str">
        <f>IF(B1402="","",IF(ISNA(MATCH(B1402,Client_List!$B:$B,0)),"⚠ NOT FOUND","✓"))</f>
        <v/>
      </c>
    </row>
    <row r="1403" spans="1:12" ht="14" customHeight="1" x14ac:dyDescent="0.2">
      <c r="A1403" s="58"/>
      <c r="B1403" s="15"/>
      <c r="C1403" s="16" t="str">
        <f>IF(B1403="","",IFERROR(INDEX(Client_List!$C:$C,MATCH(B1403,Client_List!$B:$B,0)),""))</f>
        <v/>
      </c>
      <c r="D1403" s="16" t="str">
        <f>IF(B1403="","",IFERROR(INDEX(Client_List!$D:$D,MATCH(B1403,Client_List!$B:$B,0)),""))</f>
        <v/>
      </c>
      <c r="E1403" s="16" t="str">
        <f>IF(B1403="","",IFERROR(INDEX(Client_List!$K:$K,MATCH(B1403,Client_List!$B:$B,0)),""))</f>
        <v/>
      </c>
      <c r="F1403" s="16" t="str">
        <f>IF(B1403="","",IFERROR(INDEX(Client_List!$J:$J,MATCH(B1403,Client_List!$B:$B,0)),""))</f>
        <v/>
      </c>
      <c r="G1403" s="16"/>
      <c r="H1403" s="16" t="str">
        <f>IF(B1403="","",IFERROR(A1403-LOOKUP(2,1/($B$4:$B1402=B1403),$A$4:$A1402),""))</f>
        <v/>
      </c>
      <c r="I1403" s="16" t="str">
        <f t="shared" si="21"/>
        <v/>
      </c>
      <c r="J1403" s="16"/>
      <c r="K1403" s="6" t="str">
        <f>IF(B1403="","",IFERROR(AVERAGEIFS($I$4:$I1403,$B$4:$B1403,B1403,$I$4:$I1403,"&gt;"&amp;0),""))</f>
        <v/>
      </c>
      <c r="L1403" s="16" t="str">
        <f>IF(B1403="","",IF(ISNA(MATCH(B1403,Client_List!$B:$B,0)),"⚠ NOT FOUND","✓"))</f>
        <v/>
      </c>
    </row>
    <row r="1404" spans="1:12" ht="14" customHeight="1" x14ac:dyDescent="0.2">
      <c r="A1404" s="59"/>
      <c r="B1404" s="18"/>
      <c r="C1404" s="19" t="str">
        <f>IF(B1404="","",IFERROR(INDEX(Client_List!$C:$C,MATCH(B1404,Client_List!$B:$B,0)),""))</f>
        <v/>
      </c>
      <c r="D1404" s="19" t="str">
        <f>IF(B1404="","",IFERROR(INDEX(Client_List!$D:$D,MATCH(B1404,Client_List!$B:$B,0)),""))</f>
        <v/>
      </c>
      <c r="E1404" s="19" t="str">
        <f>IF(B1404="","",IFERROR(INDEX(Client_List!$K:$K,MATCH(B1404,Client_List!$B:$B,0)),""))</f>
        <v/>
      </c>
      <c r="F1404" s="19" t="str">
        <f>IF(B1404="","",IFERROR(INDEX(Client_List!$J:$J,MATCH(B1404,Client_List!$B:$B,0)),""))</f>
        <v/>
      </c>
      <c r="G1404" s="19"/>
      <c r="H1404" s="19" t="str">
        <f>IF(B1404="","",IFERROR(A1404-LOOKUP(2,1/($B$4:$B1403=B1404),$A$4:$A1403),""))</f>
        <v/>
      </c>
      <c r="I1404" s="19" t="str">
        <f t="shared" si="21"/>
        <v/>
      </c>
      <c r="J1404" s="19"/>
      <c r="K1404" s="6" t="str">
        <f>IF(B1404="","",IFERROR(AVERAGEIFS($I$4:$I1404,$B$4:$B1404,B1404,$I$4:$I1404,"&gt;"&amp;0),""))</f>
        <v/>
      </c>
      <c r="L1404" s="19" t="str">
        <f>IF(B1404="","",IF(ISNA(MATCH(B1404,Client_List!$B:$B,0)),"⚠ NOT FOUND","✓"))</f>
        <v/>
      </c>
    </row>
    <row r="1405" spans="1:12" ht="14" customHeight="1" x14ac:dyDescent="0.2">
      <c r="A1405" s="58"/>
      <c r="B1405" s="15"/>
      <c r="C1405" s="16" t="str">
        <f>IF(B1405="","",IFERROR(INDEX(Client_List!$C:$C,MATCH(B1405,Client_List!$B:$B,0)),""))</f>
        <v/>
      </c>
      <c r="D1405" s="16" t="str">
        <f>IF(B1405="","",IFERROR(INDEX(Client_List!$D:$D,MATCH(B1405,Client_List!$B:$B,0)),""))</f>
        <v/>
      </c>
      <c r="E1405" s="16" t="str">
        <f>IF(B1405="","",IFERROR(INDEX(Client_List!$K:$K,MATCH(B1405,Client_List!$B:$B,0)),""))</f>
        <v/>
      </c>
      <c r="F1405" s="16" t="str">
        <f>IF(B1405="","",IFERROR(INDEX(Client_List!$J:$J,MATCH(B1405,Client_List!$B:$B,0)),""))</f>
        <v/>
      </c>
      <c r="G1405" s="16"/>
      <c r="H1405" s="16" t="str">
        <f>IF(B1405="","",IFERROR(A1405-LOOKUP(2,1/($B$4:$B1404=B1405),$A$4:$A1404),""))</f>
        <v/>
      </c>
      <c r="I1405" s="16" t="str">
        <f t="shared" si="21"/>
        <v/>
      </c>
      <c r="J1405" s="16"/>
      <c r="K1405" s="6" t="str">
        <f>IF(B1405="","",IFERROR(AVERAGEIFS($I$4:$I1405,$B$4:$B1405,B1405,$I$4:$I1405,"&gt;"&amp;0),""))</f>
        <v/>
      </c>
      <c r="L1405" s="16" t="str">
        <f>IF(B1405="","",IF(ISNA(MATCH(B1405,Client_List!$B:$B,0)),"⚠ NOT FOUND","✓"))</f>
        <v/>
      </c>
    </row>
    <row r="1406" spans="1:12" ht="14" customHeight="1" x14ac:dyDescent="0.2">
      <c r="A1406" s="59"/>
      <c r="B1406" s="18"/>
      <c r="C1406" s="19" t="str">
        <f>IF(B1406="","",IFERROR(INDEX(Client_List!$C:$C,MATCH(B1406,Client_List!$B:$B,0)),""))</f>
        <v/>
      </c>
      <c r="D1406" s="19" t="str">
        <f>IF(B1406="","",IFERROR(INDEX(Client_List!$D:$D,MATCH(B1406,Client_List!$B:$B,0)),""))</f>
        <v/>
      </c>
      <c r="E1406" s="19" t="str">
        <f>IF(B1406="","",IFERROR(INDEX(Client_List!$K:$K,MATCH(B1406,Client_List!$B:$B,0)),""))</f>
        <v/>
      </c>
      <c r="F1406" s="19" t="str">
        <f>IF(B1406="","",IFERROR(INDEX(Client_List!$J:$J,MATCH(B1406,Client_List!$B:$B,0)),""))</f>
        <v/>
      </c>
      <c r="G1406" s="19"/>
      <c r="H1406" s="19" t="str">
        <f>IF(B1406="","",IFERROR(A1406-LOOKUP(2,1/($B$4:$B1405=B1406),$A$4:$A1405),""))</f>
        <v/>
      </c>
      <c r="I1406" s="19" t="str">
        <f t="shared" si="21"/>
        <v/>
      </c>
      <c r="J1406" s="19"/>
      <c r="K1406" s="6" t="str">
        <f>IF(B1406="","",IFERROR(AVERAGEIFS($I$4:$I1406,$B$4:$B1406,B1406,$I$4:$I1406,"&gt;"&amp;0),""))</f>
        <v/>
      </c>
      <c r="L1406" s="19" t="str">
        <f>IF(B1406="","",IF(ISNA(MATCH(B1406,Client_List!$B:$B,0)),"⚠ NOT FOUND","✓"))</f>
        <v/>
      </c>
    </row>
    <row r="1407" spans="1:12" ht="14" customHeight="1" x14ac:dyDescent="0.2">
      <c r="A1407" s="58"/>
      <c r="B1407" s="15"/>
      <c r="C1407" s="16" t="str">
        <f>IF(B1407="","",IFERROR(INDEX(Client_List!$C:$C,MATCH(B1407,Client_List!$B:$B,0)),""))</f>
        <v/>
      </c>
      <c r="D1407" s="16" t="str">
        <f>IF(B1407="","",IFERROR(INDEX(Client_List!$D:$D,MATCH(B1407,Client_List!$B:$B,0)),""))</f>
        <v/>
      </c>
      <c r="E1407" s="16" t="str">
        <f>IF(B1407="","",IFERROR(INDEX(Client_List!$K:$K,MATCH(B1407,Client_List!$B:$B,0)),""))</f>
        <v/>
      </c>
      <c r="F1407" s="16" t="str">
        <f>IF(B1407="","",IFERROR(INDEX(Client_List!$J:$J,MATCH(B1407,Client_List!$B:$B,0)),""))</f>
        <v/>
      </c>
      <c r="G1407" s="16"/>
      <c r="H1407" s="16" t="str">
        <f>IF(B1407="","",IFERROR(A1407-LOOKUP(2,1/($B$4:$B1406=B1407),$A$4:$A1406),""))</f>
        <v/>
      </c>
      <c r="I1407" s="16" t="str">
        <f t="shared" si="21"/>
        <v/>
      </c>
      <c r="J1407" s="16"/>
      <c r="K1407" s="6" t="str">
        <f>IF(B1407="","",IFERROR(AVERAGEIFS($I$4:$I1407,$B$4:$B1407,B1407,$I$4:$I1407,"&gt;"&amp;0),""))</f>
        <v/>
      </c>
      <c r="L1407" s="16" t="str">
        <f>IF(B1407="","",IF(ISNA(MATCH(B1407,Client_List!$B:$B,0)),"⚠ NOT FOUND","✓"))</f>
        <v/>
      </c>
    </row>
    <row r="1408" spans="1:12" ht="14" customHeight="1" x14ac:dyDescent="0.2">
      <c r="A1408" s="59"/>
      <c r="B1408" s="18"/>
      <c r="C1408" s="19" t="str">
        <f>IF(B1408="","",IFERROR(INDEX(Client_List!$C:$C,MATCH(B1408,Client_List!$B:$B,0)),""))</f>
        <v/>
      </c>
      <c r="D1408" s="19" t="str">
        <f>IF(B1408="","",IFERROR(INDEX(Client_List!$D:$D,MATCH(B1408,Client_List!$B:$B,0)),""))</f>
        <v/>
      </c>
      <c r="E1408" s="19" t="str">
        <f>IF(B1408="","",IFERROR(INDEX(Client_List!$K:$K,MATCH(B1408,Client_List!$B:$B,0)),""))</f>
        <v/>
      </c>
      <c r="F1408" s="19" t="str">
        <f>IF(B1408="","",IFERROR(INDEX(Client_List!$J:$J,MATCH(B1408,Client_List!$B:$B,0)),""))</f>
        <v/>
      </c>
      <c r="G1408" s="19"/>
      <c r="H1408" s="19" t="str">
        <f>IF(B1408="","",IFERROR(A1408-LOOKUP(2,1/($B$4:$B1407=B1408),$A$4:$A1407),""))</f>
        <v/>
      </c>
      <c r="I1408" s="19" t="str">
        <f t="shared" si="21"/>
        <v/>
      </c>
      <c r="J1408" s="19"/>
      <c r="K1408" s="6" t="str">
        <f>IF(B1408="","",IFERROR(AVERAGEIFS($I$4:$I1408,$B$4:$B1408,B1408,$I$4:$I1408,"&gt;"&amp;0),""))</f>
        <v/>
      </c>
      <c r="L1408" s="19" t="str">
        <f>IF(B1408="","",IF(ISNA(MATCH(B1408,Client_List!$B:$B,0)),"⚠ NOT FOUND","✓"))</f>
        <v/>
      </c>
    </row>
    <row r="1409" spans="1:12" ht="14" customHeight="1" x14ac:dyDescent="0.2">
      <c r="A1409" s="58"/>
      <c r="B1409" s="15"/>
      <c r="C1409" s="16" t="str">
        <f>IF(B1409="","",IFERROR(INDEX(Client_List!$C:$C,MATCH(B1409,Client_List!$B:$B,0)),""))</f>
        <v/>
      </c>
      <c r="D1409" s="16" t="str">
        <f>IF(B1409="","",IFERROR(INDEX(Client_List!$D:$D,MATCH(B1409,Client_List!$B:$B,0)),""))</f>
        <v/>
      </c>
      <c r="E1409" s="16" t="str">
        <f>IF(B1409="","",IFERROR(INDEX(Client_List!$K:$K,MATCH(B1409,Client_List!$B:$B,0)),""))</f>
        <v/>
      </c>
      <c r="F1409" s="16" t="str">
        <f>IF(B1409="","",IFERROR(INDEX(Client_List!$J:$J,MATCH(B1409,Client_List!$B:$B,0)),""))</f>
        <v/>
      </c>
      <c r="G1409" s="16"/>
      <c r="H1409" s="16" t="str">
        <f>IF(B1409="","",IFERROR(A1409-LOOKUP(2,1/($B$4:$B1408=B1409),$A$4:$A1408),""))</f>
        <v/>
      </c>
      <c r="I1409" s="16" t="str">
        <f t="shared" si="21"/>
        <v/>
      </c>
      <c r="J1409" s="16"/>
      <c r="K1409" s="6" t="str">
        <f>IF(B1409="","",IFERROR(AVERAGEIFS($I$4:$I1409,$B$4:$B1409,B1409,$I$4:$I1409,"&gt;"&amp;0),""))</f>
        <v/>
      </c>
      <c r="L1409" s="16" t="str">
        <f>IF(B1409="","",IF(ISNA(MATCH(B1409,Client_List!$B:$B,0)),"⚠ NOT FOUND","✓"))</f>
        <v/>
      </c>
    </row>
    <row r="1410" spans="1:12" ht="14" customHeight="1" x14ac:dyDescent="0.2">
      <c r="A1410" s="59"/>
      <c r="B1410" s="18"/>
      <c r="C1410" s="19" t="str">
        <f>IF(B1410="","",IFERROR(INDEX(Client_List!$C:$C,MATCH(B1410,Client_List!$B:$B,0)),""))</f>
        <v/>
      </c>
      <c r="D1410" s="19" t="str">
        <f>IF(B1410="","",IFERROR(INDEX(Client_List!$D:$D,MATCH(B1410,Client_List!$B:$B,0)),""))</f>
        <v/>
      </c>
      <c r="E1410" s="19" t="str">
        <f>IF(B1410="","",IFERROR(INDEX(Client_List!$K:$K,MATCH(B1410,Client_List!$B:$B,0)),""))</f>
        <v/>
      </c>
      <c r="F1410" s="19" t="str">
        <f>IF(B1410="","",IFERROR(INDEX(Client_List!$J:$J,MATCH(B1410,Client_List!$B:$B,0)),""))</f>
        <v/>
      </c>
      <c r="G1410" s="19"/>
      <c r="H1410" s="19" t="str">
        <f>IF(B1410="","",IFERROR(A1410-LOOKUP(2,1/($B$4:$B1409=B1410),$A$4:$A1409),""))</f>
        <v/>
      </c>
      <c r="I1410" s="19" t="str">
        <f t="shared" si="21"/>
        <v/>
      </c>
      <c r="J1410" s="19"/>
      <c r="K1410" s="6" t="str">
        <f>IF(B1410="","",IFERROR(AVERAGEIFS($I$4:$I1410,$B$4:$B1410,B1410,$I$4:$I1410,"&gt;"&amp;0),""))</f>
        <v/>
      </c>
      <c r="L1410" s="19" t="str">
        <f>IF(B1410="","",IF(ISNA(MATCH(B1410,Client_List!$B:$B,0)),"⚠ NOT FOUND","✓"))</f>
        <v/>
      </c>
    </row>
    <row r="1411" spans="1:12" ht="14" customHeight="1" x14ac:dyDescent="0.2">
      <c r="A1411" s="58"/>
      <c r="B1411" s="15"/>
      <c r="C1411" s="16" t="str">
        <f>IF(B1411="","",IFERROR(INDEX(Client_List!$C:$C,MATCH(B1411,Client_List!$B:$B,0)),""))</f>
        <v/>
      </c>
      <c r="D1411" s="16" t="str">
        <f>IF(B1411="","",IFERROR(INDEX(Client_List!$D:$D,MATCH(B1411,Client_List!$B:$B,0)),""))</f>
        <v/>
      </c>
      <c r="E1411" s="16" t="str">
        <f>IF(B1411="","",IFERROR(INDEX(Client_List!$K:$K,MATCH(B1411,Client_List!$B:$B,0)),""))</f>
        <v/>
      </c>
      <c r="F1411" s="16" t="str">
        <f>IF(B1411="","",IFERROR(INDEX(Client_List!$J:$J,MATCH(B1411,Client_List!$B:$B,0)),""))</f>
        <v/>
      </c>
      <c r="G1411" s="16"/>
      <c r="H1411" s="16" t="str">
        <f>IF(B1411="","",IFERROR(A1411-LOOKUP(2,1/($B$4:$B1410=B1411),$A$4:$A1410),""))</f>
        <v/>
      </c>
      <c r="I1411" s="16" t="str">
        <f t="shared" si="21"/>
        <v/>
      </c>
      <c r="J1411" s="16"/>
      <c r="K1411" s="6" t="str">
        <f>IF(B1411="","",IFERROR(AVERAGEIFS($I$4:$I1411,$B$4:$B1411,B1411,$I$4:$I1411,"&gt;"&amp;0),""))</f>
        <v/>
      </c>
      <c r="L1411" s="16" t="str">
        <f>IF(B1411="","",IF(ISNA(MATCH(B1411,Client_List!$B:$B,0)),"⚠ NOT FOUND","✓"))</f>
        <v/>
      </c>
    </row>
    <row r="1412" spans="1:12" ht="14" customHeight="1" x14ac:dyDescent="0.2">
      <c r="A1412" s="59"/>
      <c r="B1412" s="18"/>
      <c r="C1412" s="19" t="str">
        <f>IF(B1412="","",IFERROR(INDEX(Client_List!$C:$C,MATCH(B1412,Client_List!$B:$B,0)),""))</f>
        <v/>
      </c>
      <c r="D1412" s="19" t="str">
        <f>IF(B1412="","",IFERROR(INDEX(Client_List!$D:$D,MATCH(B1412,Client_List!$B:$B,0)),""))</f>
        <v/>
      </c>
      <c r="E1412" s="19" t="str">
        <f>IF(B1412="","",IFERROR(INDEX(Client_List!$K:$K,MATCH(B1412,Client_List!$B:$B,0)),""))</f>
        <v/>
      </c>
      <c r="F1412" s="19" t="str">
        <f>IF(B1412="","",IFERROR(INDEX(Client_List!$J:$J,MATCH(B1412,Client_List!$B:$B,0)),""))</f>
        <v/>
      </c>
      <c r="G1412" s="19"/>
      <c r="H1412" s="19" t="str">
        <f>IF(B1412="","",IFERROR(A1412-LOOKUP(2,1/($B$4:$B1411=B1412),$A$4:$A1411),""))</f>
        <v/>
      </c>
      <c r="I1412" s="19" t="str">
        <f t="shared" ref="I1412:I1475" si="22">IF(B1412="","",IFERROR(G1412/H1412,""))</f>
        <v/>
      </c>
      <c r="J1412" s="19"/>
      <c r="K1412" s="6" t="str">
        <f>IF(B1412="","",IFERROR(AVERAGEIFS($I$4:$I1412,$B$4:$B1412,B1412,$I$4:$I1412,"&gt;"&amp;0),""))</f>
        <v/>
      </c>
      <c r="L1412" s="19" t="str">
        <f>IF(B1412="","",IF(ISNA(MATCH(B1412,Client_List!$B:$B,0)),"⚠ NOT FOUND","✓"))</f>
        <v/>
      </c>
    </row>
    <row r="1413" spans="1:12" ht="14" customHeight="1" x14ac:dyDescent="0.2">
      <c r="A1413" s="58"/>
      <c r="B1413" s="15"/>
      <c r="C1413" s="16" t="str">
        <f>IF(B1413="","",IFERROR(INDEX(Client_List!$C:$C,MATCH(B1413,Client_List!$B:$B,0)),""))</f>
        <v/>
      </c>
      <c r="D1413" s="16" t="str">
        <f>IF(B1413="","",IFERROR(INDEX(Client_List!$D:$D,MATCH(B1413,Client_List!$B:$B,0)),""))</f>
        <v/>
      </c>
      <c r="E1413" s="16" t="str">
        <f>IF(B1413="","",IFERROR(INDEX(Client_List!$K:$K,MATCH(B1413,Client_List!$B:$B,0)),""))</f>
        <v/>
      </c>
      <c r="F1413" s="16" t="str">
        <f>IF(B1413="","",IFERROR(INDEX(Client_List!$J:$J,MATCH(B1413,Client_List!$B:$B,0)),""))</f>
        <v/>
      </c>
      <c r="G1413" s="16"/>
      <c r="H1413" s="16" t="str">
        <f>IF(B1413="","",IFERROR(A1413-LOOKUP(2,1/($B$4:$B1412=B1413),$A$4:$A1412),""))</f>
        <v/>
      </c>
      <c r="I1413" s="16" t="str">
        <f t="shared" si="22"/>
        <v/>
      </c>
      <c r="J1413" s="16"/>
      <c r="K1413" s="6" t="str">
        <f>IF(B1413="","",IFERROR(AVERAGEIFS($I$4:$I1413,$B$4:$B1413,B1413,$I$4:$I1413,"&gt;"&amp;0),""))</f>
        <v/>
      </c>
      <c r="L1413" s="16" t="str">
        <f>IF(B1413="","",IF(ISNA(MATCH(B1413,Client_List!$B:$B,0)),"⚠ NOT FOUND","✓"))</f>
        <v/>
      </c>
    </row>
    <row r="1414" spans="1:12" ht="14" customHeight="1" x14ac:dyDescent="0.2">
      <c r="A1414" s="59"/>
      <c r="B1414" s="18"/>
      <c r="C1414" s="19" t="str">
        <f>IF(B1414="","",IFERROR(INDEX(Client_List!$C:$C,MATCH(B1414,Client_List!$B:$B,0)),""))</f>
        <v/>
      </c>
      <c r="D1414" s="19" t="str">
        <f>IF(B1414="","",IFERROR(INDEX(Client_List!$D:$D,MATCH(B1414,Client_List!$B:$B,0)),""))</f>
        <v/>
      </c>
      <c r="E1414" s="19" t="str">
        <f>IF(B1414="","",IFERROR(INDEX(Client_List!$K:$K,MATCH(B1414,Client_List!$B:$B,0)),""))</f>
        <v/>
      </c>
      <c r="F1414" s="19" t="str">
        <f>IF(B1414="","",IFERROR(INDEX(Client_List!$J:$J,MATCH(B1414,Client_List!$B:$B,0)),""))</f>
        <v/>
      </c>
      <c r="G1414" s="19"/>
      <c r="H1414" s="19" t="str">
        <f>IF(B1414="","",IFERROR(A1414-LOOKUP(2,1/($B$4:$B1413=B1414),$A$4:$A1413),""))</f>
        <v/>
      </c>
      <c r="I1414" s="19" t="str">
        <f t="shared" si="22"/>
        <v/>
      </c>
      <c r="J1414" s="19"/>
      <c r="K1414" s="6" t="str">
        <f>IF(B1414="","",IFERROR(AVERAGEIFS($I$4:$I1414,$B$4:$B1414,B1414,$I$4:$I1414,"&gt;"&amp;0),""))</f>
        <v/>
      </c>
      <c r="L1414" s="19" t="str">
        <f>IF(B1414="","",IF(ISNA(MATCH(B1414,Client_List!$B:$B,0)),"⚠ NOT FOUND","✓"))</f>
        <v/>
      </c>
    </row>
    <row r="1415" spans="1:12" ht="14" customHeight="1" x14ac:dyDescent="0.2">
      <c r="A1415" s="58"/>
      <c r="B1415" s="15"/>
      <c r="C1415" s="16" t="str">
        <f>IF(B1415="","",IFERROR(INDEX(Client_List!$C:$C,MATCH(B1415,Client_List!$B:$B,0)),""))</f>
        <v/>
      </c>
      <c r="D1415" s="16" t="str">
        <f>IF(B1415="","",IFERROR(INDEX(Client_List!$D:$D,MATCH(B1415,Client_List!$B:$B,0)),""))</f>
        <v/>
      </c>
      <c r="E1415" s="16" t="str">
        <f>IF(B1415="","",IFERROR(INDEX(Client_List!$K:$K,MATCH(B1415,Client_List!$B:$B,0)),""))</f>
        <v/>
      </c>
      <c r="F1415" s="16" t="str">
        <f>IF(B1415="","",IFERROR(INDEX(Client_List!$J:$J,MATCH(B1415,Client_List!$B:$B,0)),""))</f>
        <v/>
      </c>
      <c r="G1415" s="16"/>
      <c r="H1415" s="16" t="str">
        <f>IF(B1415="","",IFERROR(A1415-LOOKUP(2,1/($B$4:$B1414=B1415),$A$4:$A1414),""))</f>
        <v/>
      </c>
      <c r="I1415" s="16" t="str">
        <f t="shared" si="22"/>
        <v/>
      </c>
      <c r="J1415" s="16"/>
      <c r="K1415" s="6" t="str">
        <f>IF(B1415="","",IFERROR(AVERAGEIFS($I$4:$I1415,$B$4:$B1415,B1415,$I$4:$I1415,"&gt;"&amp;0),""))</f>
        <v/>
      </c>
      <c r="L1415" s="16" t="str">
        <f>IF(B1415="","",IF(ISNA(MATCH(B1415,Client_List!$B:$B,0)),"⚠ NOT FOUND","✓"))</f>
        <v/>
      </c>
    </row>
    <row r="1416" spans="1:12" ht="14" customHeight="1" x14ac:dyDescent="0.2">
      <c r="A1416" s="59"/>
      <c r="B1416" s="18"/>
      <c r="C1416" s="19" t="str">
        <f>IF(B1416="","",IFERROR(INDEX(Client_List!$C:$C,MATCH(B1416,Client_List!$B:$B,0)),""))</f>
        <v/>
      </c>
      <c r="D1416" s="19" t="str">
        <f>IF(B1416="","",IFERROR(INDEX(Client_List!$D:$D,MATCH(B1416,Client_List!$B:$B,0)),""))</f>
        <v/>
      </c>
      <c r="E1416" s="19" t="str">
        <f>IF(B1416="","",IFERROR(INDEX(Client_List!$K:$K,MATCH(B1416,Client_List!$B:$B,0)),""))</f>
        <v/>
      </c>
      <c r="F1416" s="19" t="str">
        <f>IF(B1416="","",IFERROR(INDEX(Client_List!$J:$J,MATCH(B1416,Client_List!$B:$B,0)),""))</f>
        <v/>
      </c>
      <c r="G1416" s="19"/>
      <c r="H1416" s="19" t="str">
        <f>IF(B1416="","",IFERROR(A1416-LOOKUP(2,1/($B$4:$B1415=B1416),$A$4:$A1415),""))</f>
        <v/>
      </c>
      <c r="I1416" s="19" t="str">
        <f t="shared" si="22"/>
        <v/>
      </c>
      <c r="J1416" s="19"/>
      <c r="K1416" s="6" t="str">
        <f>IF(B1416="","",IFERROR(AVERAGEIFS($I$4:$I1416,$B$4:$B1416,B1416,$I$4:$I1416,"&gt;"&amp;0),""))</f>
        <v/>
      </c>
      <c r="L1416" s="19" t="str">
        <f>IF(B1416="","",IF(ISNA(MATCH(B1416,Client_List!$B:$B,0)),"⚠ NOT FOUND","✓"))</f>
        <v/>
      </c>
    </row>
    <row r="1417" spans="1:12" ht="14" customHeight="1" x14ac:dyDescent="0.2">
      <c r="A1417" s="58"/>
      <c r="B1417" s="15"/>
      <c r="C1417" s="16" t="str">
        <f>IF(B1417="","",IFERROR(INDEX(Client_List!$C:$C,MATCH(B1417,Client_List!$B:$B,0)),""))</f>
        <v/>
      </c>
      <c r="D1417" s="16" t="str">
        <f>IF(B1417="","",IFERROR(INDEX(Client_List!$D:$D,MATCH(B1417,Client_List!$B:$B,0)),""))</f>
        <v/>
      </c>
      <c r="E1417" s="16" t="str">
        <f>IF(B1417="","",IFERROR(INDEX(Client_List!$K:$K,MATCH(B1417,Client_List!$B:$B,0)),""))</f>
        <v/>
      </c>
      <c r="F1417" s="16" t="str">
        <f>IF(B1417="","",IFERROR(INDEX(Client_List!$J:$J,MATCH(B1417,Client_List!$B:$B,0)),""))</f>
        <v/>
      </c>
      <c r="G1417" s="16"/>
      <c r="H1417" s="16" t="str">
        <f>IF(B1417="","",IFERROR(A1417-LOOKUP(2,1/($B$4:$B1416=B1417),$A$4:$A1416),""))</f>
        <v/>
      </c>
      <c r="I1417" s="16" t="str">
        <f t="shared" si="22"/>
        <v/>
      </c>
      <c r="J1417" s="16"/>
      <c r="K1417" s="6" t="str">
        <f>IF(B1417="","",IFERROR(AVERAGEIFS($I$4:$I1417,$B$4:$B1417,B1417,$I$4:$I1417,"&gt;"&amp;0),""))</f>
        <v/>
      </c>
      <c r="L1417" s="16" t="str">
        <f>IF(B1417="","",IF(ISNA(MATCH(B1417,Client_List!$B:$B,0)),"⚠ NOT FOUND","✓"))</f>
        <v/>
      </c>
    </row>
    <row r="1418" spans="1:12" ht="14" customHeight="1" x14ac:dyDescent="0.2">
      <c r="A1418" s="59"/>
      <c r="B1418" s="18"/>
      <c r="C1418" s="19" t="str">
        <f>IF(B1418="","",IFERROR(INDEX(Client_List!$C:$C,MATCH(B1418,Client_List!$B:$B,0)),""))</f>
        <v/>
      </c>
      <c r="D1418" s="19" t="str">
        <f>IF(B1418="","",IFERROR(INDEX(Client_List!$D:$D,MATCH(B1418,Client_List!$B:$B,0)),""))</f>
        <v/>
      </c>
      <c r="E1418" s="19" t="str">
        <f>IF(B1418="","",IFERROR(INDEX(Client_List!$K:$K,MATCH(B1418,Client_List!$B:$B,0)),""))</f>
        <v/>
      </c>
      <c r="F1418" s="19" t="str">
        <f>IF(B1418="","",IFERROR(INDEX(Client_List!$J:$J,MATCH(B1418,Client_List!$B:$B,0)),""))</f>
        <v/>
      </c>
      <c r="G1418" s="19"/>
      <c r="H1418" s="19" t="str">
        <f>IF(B1418="","",IFERROR(A1418-LOOKUP(2,1/($B$4:$B1417=B1418),$A$4:$A1417),""))</f>
        <v/>
      </c>
      <c r="I1418" s="19" t="str">
        <f t="shared" si="22"/>
        <v/>
      </c>
      <c r="J1418" s="19"/>
      <c r="K1418" s="6" t="str">
        <f>IF(B1418="","",IFERROR(AVERAGEIFS($I$4:$I1418,$B$4:$B1418,B1418,$I$4:$I1418,"&gt;"&amp;0),""))</f>
        <v/>
      </c>
      <c r="L1418" s="19" t="str">
        <f>IF(B1418="","",IF(ISNA(MATCH(B1418,Client_List!$B:$B,0)),"⚠ NOT FOUND","✓"))</f>
        <v/>
      </c>
    </row>
    <row r="1419" spans="1:12" ht="14" customHeight="1" x14ac:dyDescent="0.2">
      <c r="A1419" s="58"/>
      <c r="B1419" s="15"/>
      <c r="C1419" s="16" t="str">
        <f>IF(B1419="","",IFERROR(INDEX(Client_List!$C:$C,MATCH(B1419,Client_List!$B:$B,0)),""))</f>
        <v/>
      </c>
      <c r="D1419" s="16" t="str">
        <f>IF(B1419="","",IFERROR(INDEX(Client_List!$D:$D,MATCH(B1419,Client_List!$B:$B,0)),""))</f>
        <v/>
      </c>
      <c r="E1419" s="16" t="str">
        <f>IF(B1419="","",IFERROR(INDEX(Client_List!$K:$K,MATCH(B1419,Client_List!$B:$B,0)),""))</f>
        <v/>
      </c>
      <c r="F1419" s="16" t="str">
        <f>IF(B1419="","",IFERROR(INDEX(Client_List!$J:$J,MATCH(B1419,Client_List!$B:$B,0)),""))</f>
        <v/>
      </c>
      <c r="G1419" s="16"/>
      <c r="H1419" s="16" t="str">
        <f>IF(B1419="","",IFERROR(A1419-LOOKUP(2,1/($B$4:$B1418=B1419),$A$4:$A1418),""))</f>
        <v/>
      </c>
      <c r="I1419" s="16" t="str">
        <f t="shared" si="22"/>
        <v/>
      </c>
      <c r="J1419" s="16"/>
      <c r="K1419" s="6" t="str">
        <f>IF(B1419="","",IFERROR(AVERAGEIFS($I$4:$I1419,$B$4:$B1419,B1419,$I$4:$I1419,"&gt;"&amp;0),""))</f>
        <v/>
      </c>
      <c r="L1419" s="16" t="str">
        <f>IF(B1419="","",IF(ISNA(MATCH(B1419,Client_List!$B:$B,0)),"⚠ NOT FOUND","✓"))</f>
        <v/>
      </c>
    </row>
    <row r="1420" spans="1:12" ht="14" customHeight="1" x14ac:dyDescent="0.2">
      <c r="A1420" s="59"/>
      <c r="B1420" s="18"/>
      <c r="C1420" s="19" t="str">
        <f>IF(B1420="","",IFERROR(INDEX(Client_List!$C:$C,MATCH(B1420,Client_List!$B:$B,0)),""))</f>
        <v/>
      </c>
      <c r="D1420" s="19" t="str">
        <f>IF(B1420="","",IFERROR(INDEX(Client_List!$D:$D,MATCH(B1420,Client_List!$B:$B,0)),""))</f>
        <v/>
      </c>
      <c r="E1420" s="19" t="str">
        <f>IF(B1420="","",IFERROR(INDEX(Client_List!$K:$K,MATCH(B1420,Client_List!$B:$B,0)),""))</f>
        <v/>
      </c>
      <c r="F1420" s="19" t="str">
        <f>IF(B1420="","",IFERROR(INDEX(Client_List!$J:$J,MATCH(B1420,Client_List!$B:$B,0)),""))</f>
        <v/>
      </c>
      <c r="G1420" s="19"/>
      <c r="H1420" s="19" t="str">
        <f>IF(B1420="","",IFERROR(A1420-LOOKUP(2,1/($B$4:$B1419=B1420),$A$4:$A1419),""))</f>
        <v/>
      </c>
      <c r="I1420" s="19" t="str">
        <f t="shared" si="22"/>
        <v/>
      </c>
      <c r="J1420" s="19"/>
      <c r="K1420" s="6" t="str">
        <f>IF(B1420="","",IFERROR(AVERAGEIFS($I$4:$I1420,$B$4:$B1420,B1420,$I$4:$I1420,"&gt;"&amp;0),""))</f>
        <v/>
      </c>
      <c r="L1420" s="19" t="str">
        <f>IF(B1420="","",IF(ISNA(MATCH(B1420,Client_List!$B:$B,0)),"⚠ NOT FOUND","✓"))</f>
        <v/>
      </c>
    </row>
    <row r="1421" spans="1:12" ht="14" customHeight="1" x14ac:dyDescent="0.2">
      <c r="A1421" s="58"/>
      <c r="B1421" s="15"/>
      <c r="C1421" s="16" t="str">
        <f>IF(B1421="","",IFERROR(INDEX(Client_List!$C:$C,MATCH(B1421,Client_List!$B:$B,0)),""))</f>
        <v/>
      </c>
      <c r="D1421" s="16" t="str">
        <f>IF(B1421="","",IFERROR(INDEX(Client_List!$D:$D,MATCH(B1421,Client_List!$B:$B,0)),""))</f>
        <v/>
      </c>
      <c r="E1421" s="16" t="str">
        <f>IF(B1421="","",IFERROR(INDEX(Client_List!$K:$K,MATCH(B1421,Client_List!$B:$B,0)),""))</f>
        <v/>
      </c>
      <c r="F1421" s="16" t="str">
        <f>IF(B1421="","",IFERROR(INDEX(Client_List!$J:$J,MATCH(B1421,Client_List!$B:$B,0)),""))</f>
        <v/>
      </c>
      <c r="G1421" s="16"/>
      <c r="H1421" s="16" t="str">
        <f>IF(B1421="","",IFERROR(A1421-LOOKUP(2,1/($B$4:$B1420=B1421),$A$4:$A1420),""))</f>
        <v/>
      </c>
      <c r="I1421" s="16" t="str">
        <f t="shared" si="22"/>
        <v/>
      </c>
      <c r="J1421" s="16"/>
      <c r="K1421" s="6" t="str">
        <f>IF(B1421="","",IFERROR(AVERAGEIFS($I$4:$I1421,$B$4:$B1421,B1421,$I$4:$I1421,"&gt;"&amp;0),""))</f>
        <v/>
      </c>
      <c r="L1421" s="16" t="str">
        <f>IF(B1421="","",IF(ISNA(MATCH(B1421,Client_List!$B:$B,0)),"⚠ NOT FOUND","✓"))</f>
        <v/>
      </c>
    </row>
    <row r="1422" spans="1:12" ht="14" customHeight="1" x14ac:dyDescent="0.2">
      <c r="A1422" s="59"/>
      <c r="B1422" s="18"/>
      <c r="C1422" s="19" t="str">
        <f>IF(B1422="","",IFERROR(INDEX(Client_List!$C:$C,MATCH(B1422,Client_List!$B:$B,0)),""))</f>
        <v/>
      </c>
      <c r="D1422" s="19" t="str">
        <f>IF(B1422="","",IFERROR(INDEX(Client_List!$D:$D,MATCH(B1422,Client_List!$B:$B,0)),""))</f>
        <v/>
      </c>
      <c r="E1422" s="19" t="str">
        <f>IF(B1422="","",IFERROR(INDEX(Client_List!$K:$K,MATCH(B1422,Client_List!$B:$B,0)),""))</f>
        <v/>
      </c>
      <c r="F1422" s="19" t="str">
        <f>IF(B1422="","",IFERROR(INDEX(Client_List!$J:$J,MATCH(B1422,Client_List!$B:$B,0)),""))</f>
        <v/>
      </c>
      <c r="G1422" s="19"/>
      <c r="H1422" s="19" t="str">
        <f>IF(B1422="","",IFERROR(A1422-LOOKUP(2,1/($B$4:$B1421=B1422),$A$4:$A1421),""))</f>
        <v/>
      </c>
      <c r="I1422" s="19" t="str">
        <f t="shared" si="22"/>
        <v/>
      </c>
      <c r="J1422" s="19"/>
      <c r="K1422" s="6" t="str">
        <f>IF(B1422="","",IFERROR(AVERAGEIFS($I$4:$I1422,$B$4:$B1422,B1422,$I$4:$I1422,"&gt;"&amp;0),""))</f>
        <v/>
      </c>
      <c r="L1422" s="19" t="str">
        <f>IF(B1422="","",IF(ISNA(MATCH(B1422,Client_List!$B:$B,0)),"⚠ NOT FOUND","✓"))</f>
        <v/>
      </c>
    </row>
    <row r="1423" spans="1:12" ht="14" customHeight="1" x14ac:dyDescent="0.2">
      <c r="A1423" s="58"/>
      <c r="B1423" s="15"/>
      <c r="C1423" s="16" t="str">
        <f>IF(B1423="","",IFERROR(INDEX(Client_List!$C:$C,MATCH(B1423,Client_List!$B:$B,0)),""))</f>
        <v/>
      </c>
      <c r="D1423" s="16" t="str">
        <f>IF(B1423="","",IFERROR(INDEX(Client_List!$D:$D,MATCH(B1423,Client_List!$B:$B,0)),""))</f>
        <v/>
      </c>
      <c r="E1423" s="16" t="str">
        <f>IF(B1423="","",IFERROR(INDEX(Client_List!$K:$K,MATCH(B1423,Client_List!$B:$B,0)),""))</f>
        <v/>
      </c>
      <c r="F1423" s="16" t="str">
        <f>IF(B1423="","",IFERROR(INDEX(Client_List!$J:$J,MATCH(B1423,Client_List!$B:$B,0)),""))</f>
        <v/>
      </c>
      <c r="G1423" s="16"/>
      <c r="H1423" s="16" t="str">
        <f>IF(B1423="","",IFERROR(A1423-LOOKUP(2,1/($B$4:$B1422=B1423),$A$4:$A1422),""))</f>
        <v/>
      </c>
      <c r="I1423" s="16" t="str">
        <f t="shared" si="22"/>
        <v/>
      </c>
      <c r="J1423" s="16"/>
      <c r="K1423" s="6" t="str">
        <f>IF(B1423="","",IFERROR(AVERAGEIFS($I$4:$I1423,$B$4:$B1423,B1423,$I$4:$I1423,"&gt;"&amp;0),""))</f>
        <v/>
      </c>
      <c r="L1423" s="16" t="str">
        <f>IF(B1423="","",IF(ISNA(MATCH(B1423,Client_List!$B:$B,0)),"⚠ NOT FOUND","✓"))</f>
        <v/>
      </c>
    </row>
    <row r="1424" spans="1:12" ht="14" customHeight="1" x14ac:dyDescent="0.2">
      <c r="A1424" s="59"/>
      <c r="B1424" s="18"/>
      <c r="C1424" s="19" t="str">
        <f>IF(B1424="","",IFERROR(INDEX(Client_List!$C:$C,MATCH(B1424,Client_List!$B:$B,0)),""))</f>
        <v/>
      </c>
      <c r="D1424" s="19" t="str">
        <f>IF(B1424="","",IFERROR(INDEX(Client_List!$D:$D,MATCH(B1424,Client_List!$B:$B,0)),""))</f>
        <v/>
      </c>
      <c r="E1424" s="19" t="str">
        <f>IF(B1424="","",IFERROR(INDEX(Client_List!$K:$K,MATCH(B1424,Client_List!$B:$B,0)),""))</f>
        <v/>
      </c>
      <c r="F1424" s="19" t="str">
        <f>IF(B1424="","",IFERROR(INDEX(Client_List!$J:$J,MATCH(B1424,Client_List!$B:$B,0)),""))</f>
        <v/>
      </c>
      <c r="G1424" s="19"/>
      <c r="H1424" s="19" t="str">
        <f>IF(B1424="","",IFERROR(A1424-LOOKUP(2,1/($B$4:$B1423=B1424),$A$4:$A1423),""))</f>
        <v/>
      </c>
      <c r="I1424" s="19" t="str">
        <f t="shared" si="22"/>
        <v/>
      </c>
      <c r="J1424" s="19"/>
      <c r="K1424" s="6" t="str">
        <f>IF(B1424="","",IFERROR(AVERAGEIFS($I$4:$I1424,$B$4:$B1424,B1424,$I$4:$I1424,"&gt;"&amp;0),""))</f>
        <v/>
      </c>
      <c r="L1424" s="19" t="str">
        <f>IF(B1424="","",IF(ISNA(MATCH(B1424,Client_List!$B:$B,0)),"⚠ NOT FOUND","✓"))</f>
        <v/>
      </c>
    </row>
    <row r="1425" spans="1:12" ht="14" customHeight="1" x14ac:dyDescent="0.2">
      <c r="A1425" s="58"/>
      <c r="B1425" s="15"/>
      <c r="C1425" s="16" t="str">
        <f>IF(B1425="","",IFERROR(INDEX(Client_List!$C:$C,MATCH(B1425,Client_List!$B:$B,0)),""))</f>
        <v/>
      </c>
      <c r="D1425" s="16" t="str">
        <f>IF(B1425="","",IFERROR(INDEX(Client_List!$D:$D,MATCH(B1425,Client_List!$B:$B,0)),""))</f>
        <v/>
      </c>
      <c r="E1425" s="16" t="str">
        <f>IF(B1425="","",IFERROR(INDEX(Client_List!$K:$K,MATCH(B1425,Client_List!$B:$B,0)),""))</f>
        <v/>
      </c>
      <c r="F1425" s="16" t="str">
        <f>IF(B1425="","",IFERROR(INDEX(Client_List!$J:$J,MATCH(B1425,Client_List!$B:$B,0)),""))</f>
        <v/>
      </c>
      <c r="G1425" s="16"/>
      <c r="H1425" s="16" t="str">
        <f>IF(B1425="","",IFERROR(A1425-LOOKUP(2,1/($B$4:$B1424=B1425),$A$4:$A1424),""))</f>
        <v/>
      </c>
      <c r="I1425" s="16" t="str">
        <f t="shared" si="22"/>
        <v/>
      </c>
      <c r="J1425" s="16"/>
      <c r="K1425" s="6" t="str">
        <f>IF(B1425="","",IFERROR(AVERAGEIFS($I$4:$I1425,$B$4:$B1425,B1425,$I$4:$I1425,"&gt;"&amp;0),""))</f>
        <v/>
      </c>
      <c r="L1425" s="16" t="str">
        <f>IF(B1425="","",IF(ISNA(MATCH(B1425,Client_List!$B:$B,0)),"⚠ NOT FOUND","✓"))</f>
        <v/>
      </c>
    </row>
    <row r="1426" spans="1:12" ht="14" customHeight="1" x14ac:dyDescent="0.2">
      <c r="A1426" s="59"/>
      <c r="B1426" s="18"/>
      <c r="C1426" s="19" t="str">
        <f>IF(B1426="","",IFERROR(INDEX(Client_List!$C:$C,MATCH(B1426,Client_List!$B:$B,0)),""))</f>
        <v/>
      </c>
      <c r="D1426" s="19" t="str">
        <f>IF(B1426="","",IFERROR(INDEX(Client_List!$D:$D,MATCH(B1426,Client_List!$B:$B,0)),""))</f>
        <v/>
      </c>
      <c r="E1426" s="19" t="str">
        <f>IF(B1426="","",IFERROR(INDEX(Client_List!$K:$K,MATCH(B1426,Client_List!$B:$B,0)),""))</f>
        <v/>
      </c>
      <c r="F1426" s="19" t="str">
        <f>IF(B1426="","",IFERROR(INDEX(Client_List!$J:$J,MATCH(B1426,Client_List!$B:$B,0)),""))</f>
        <v/>
      </c>
      <c r="G1426" s="19"/>
      <c r="H1426" s="19" t="str">
        <f>IF(B1426="","",IFERROR(A1426-LOOKUP(2,1/($B$4:$B1425=B1426),$A$4:$A1425),""))</f>
        <v/>
      </c>
      <c r="I1426" s="19" t="str">
        <f t="shared" si="22"/>
        <v/>
      </c>
      <c r="J1426" s="19"/>
      <c r="K1426" s="6" t="str">
        <f>IF(B1426="","",IFERROR(AVERAGEIFS($I$4:$I1426,$B$4:$B1426,B1426,$I$4:$I1426,"&gt;"&amp;0),""))</f>
        <v/>
      </c>
      <c r="L1426" s="19" t="str">
        <f>IF(B1426="","",IF(ISNA(MATCH(B1426,Client_List!$B:$B,0)),"⚠ NOT FOUND","✓"))</f>
        <v/>
      </c>
    </row>
    <row r="1427" spans="1:12" ht="14" customHeight="1" x14ac:dyDescent="0.2">
      <c r="A1427" s="58"/>
      <c r="B1427" s="15"/>
      <c r="C1427" s="16" t="str">
        <f>IF(B1427="","",IFERROR(INDEX(Client_List!$C:$C,MATCH(B1427,Client_List!$B:$B,0)),""))</f>
        <v/>
      </c>
      <c r="D1427" s="16" t="str">
        <f>IF(B1427="","",IFERROR(INDEX(Client_List!$D:$D,MATCH(B1427,Client_List!$B:$B,0)),""))</f>
        <v/>
      </c>
      <c r="E1427" s="16" t="str">
        <f>IF(B1427="","",IFERROR(INDEX(Client_List!$K:$K,MATCH(B1427,Client_List!$B:$B,0)),""))</f>
        <v/>
      </c>
      <c r="F1427" s="16" t="str">
        <f>IF(B1427="","",IFERROR(INDEX(Client_List!$J:$J,MATCH(B1427,Client_List!$B:$B,0)),""))</f>
        <v/>
      </c>
      <c r="G1427" s="16"/>
      <c r="H1427" s="16" t="str">
        <f>IF(B1427="","",IFERROR(A1427-LOOKUP(2,1/($B$4:$B1426=B1427),$A$4:$A1426),""))</f>
        <v/>
      </c>
      <c r="I1427" s="16" t="str">
        <f t="shared" si="22"/>
        <v/>
      </c>
      <c r="J1427" s="16"/>
      <c r="K1427" s="6" t="str">
        <f>IF(B1427="","",IFERROR(AVERAGEIFS($I$4:$I1427,$B$4:$B1427,B1427,$I$4:$I1427,"&gt;"&amp;0),""))</f>
        <v/>
      </c>
      <c r="L1427" s="16" t="str">
        <f>IF(B1427="","",IF(ISNA(MATCH(B1427,Client_List!$B:$B,0)),"⚠ NOT FOUND","✓"))</f>
        <v/>
      </c>
    </row>
    <row r="1428" spans="1:12" ht="14" customHeight="1" x14ac:dyDescent="0.2">
      <c r="A1428" s="59"/>
      <c r="B1428" s="18"/>
      <c r="C1428" s="19" t="str">
        <f>IF(B1428="","",IFERROR(INDEX(Client_List!$C:$C,MATCH(B1428,Client_List!$B:$B,0)),""))</f>
        <v/>
      </c>
      <c r="D1428" s="19" t="str">
        <f>IF(B1428="","",IFERROR(INDEX(Client_List!$D:$D,MATCH(B1428,Client_List!$B:$B,0)),""))</f>
        <v/>
      </c>
      <c r="E1428" s="19" t="str">
        <f>IF(B1428="","",IFERROR(INDEX(Client_List!$K:$K,MATCH(B1428,Client_List!$B:$B,0)),""))</f>
        <v/>
      </c>
      <c r="F1428" s="19" t="str">
        <f>IF(B1428="","",IFERROR(INDEX(Client_List!$J:$J,MATCH(B1428,Client_List!$B:$B,0)),""))</f>
        <v/>
      </c>
      <c r="G1428" s="19"/>
      <c r="H1428" s="19" t="str">
        <f>IF(B1428="","",IFERROR(A1428-LOOKUP(2,1/($B$4:$B1427=B1428),$A$4:$A1427),""))</f>
        <v/>
      </c>
      <c r="I1428" s="19" t="str">
        <f t="shared" si="22"/>
        <v/>
      </c>
      <c r="J1428" s="19"/>
      <c r="K1428" s="6" t="str">
        <f>IF(B1428="","",IFERROR(AVERAGEIFS($I$4:$I1428,$B$4:$B1428,B1428,$I$4:$I1428,"&gt;"&amp;0),""))</f>
        <v/>
      </c>
      <c r="L1428" s="19" t="str">
        <f>IF(B1428="","",IF(ISNA(MATCH(B1428,Client_List!$B:$B,0)),"⚠ NOT FOUND","✓"))</f>
        <v/>
      </c>
    </row>
    <row r="1429" spans="1:12" ht="14" customHeight="1" x14ac:dyDescent="0.2">
      <c r="A1429" s="58"/>
      <c r="B1429" s="15"/>
      <c r="C1429" s="16" t="str">
        <f>IF(B1429="","",IFERROR(INDEX(Client_List!$C:$C,MATCH(B1429,Client_List!$B:$B,0)),""))</f>
        <v/>
      </c>
      <c r="D1429" s="16" t="str">
        <f>IF(B1429="","",IFERROR(INDEX(Client_List!$D:$D,MATCH(B1429,Client_List!$B:$B,0)),""))</f>
        <v/>
      </c>
      <c r="E1429" s="16" t="str">
        <f>IF(B1429="","",IFERROR(INDEX(Client_List!$K:$K,MATCH(B1429,Client_List!$B:$B,0)),""))</f>
        <v/>
      </c>
      <c r="F1429" s="16" t="str">
        <f>IF(B1429="","",IFERROR(INDEX(Client_List!$J:$J,MATCH(B1429,Client_List!$B:$B,0)),""))</f>
        <v/>
      </c>
      <c r="G1429" s="16"/>
      <c r="H1429" s="16" t="str">
        <f>IF(B1429="","",IFERROR(A1429-LOOKUP(2,1/($B$4:$B1428=B1429),$A$4:$A1428),""))</f>
        <v/>
      </c>
      <c r="I1429" s="16" t="str">
        <f t="shared" si="22"/>
        <v/>
      </c>
      <c r="J1429" s="16"/>
      <c r="K1429" s="6" t="str">
        <f>IF(B1429="","",IFERROR(AVERAGEIFS($I$4:$I1429,$B$4:$B1429,B1429,$I$4:$I1429,"&gt;"&amp;0),""))</f>
        <v/>
      </c>
      <c r="L1429" s="16" t="str">
        <f>IF(B1429="","",IF(ISNA(MATCH(B1429,Client_List!$B:$B,0)),"⚠ NOT FOUND","✓"))</f>
        <v/>
      </c>
    </row>
    <row r="1430" spans="1:12" ht="14" customHeight="1" x14ac:dyDescent="0.2">
      <c r="A1430" s="59"/>
      <c r="B1430" s="18"/>
      <c r="C1430" s="19" t="str">
        <f>IF(B1430="","",IFERROR(INDEX(Client_List!$C:$C,MATCH(B1430,Client_List!$B:$B,0)),""))</f>
        <v/>
      </c>
      <c r="D1430" s="19" t="str">
        <f>IF(B1430="","",IFERROR(INDEX(Client_List!$D:$D,MATCH(B1430,Client_List!$B:$B,0)),""))</f>
        <v/>
      </c>
      <c r="E1430" s="19" t="str">
        <f>IF(B1430="","",IFERROR(INDEX(Client_List!$K:$K,MATCH(B1430,Client_List!$B:$B,0)),""))</f>
        <v/>
      </c>
      <c r="F1430" s="19" t="str">
        <f>IF(B1430="","",IFERROR(INDEX(Client_List!$J:$J,MATCH(B1430,Client_List!$B:$B,0)),""))</f>
        <v/>
      </c>
      <c r="G1430" s="19"/>
      <c r="H1430" s="19" t="str">
        <f>IF(B1430="","",IFERROR(A1430-LOOKUP(2,1/($B$4:$B1429=B1430),$A$4:$A1429),""))</f>
        <v/>
      </c>
      <c r="I1430" s="19" t="str">
        <f t="shared" si="22"/>
        <v/>
      </c>
      <c r="J1430" s="19"/>
      <c r="K1430" s="6" t="str">
        <f>IF(B1430="","",IFERROR(AVERAGEIFS($I$4:$I1430,$B$4:$B1430,B1430,$I$4:$I1430,"&gt;"&amp;0),""))</f>
        <v/>
      </c>
      <c r="L1430" s="19" t="str">
        <f>IF(B1430="","",IF(ISNA(MATCH(B1430,Client_List!$B:$B,0)),"⚠ NOT FOUND","✓"))</f>
        <v/>
      </c>
    </row>
    <row r="1431" spans="1:12" ht="14" customHeight="1" x14ac:dyDescent="0.2">
      <c r="A1431" s="58"/>
      <c r="B1431" s="15"/>
      <c r="C1431" s="16" t="str">
        <f>IF(B1431="","",IFERROR(INDEX(Client_List!$C:$C,MATCH(B1431,Client_List!$B:$B,0)),""))</f>
        <v/>
      </c>
      <c r="D1431" s="16" t="str">
        <f>IF(B1431="","",IFERROR(INDEX(Client_List!$D:$D,MATCH(B1431,Client_List!$B:$B,0)),""))</f>
        <v/>
      </c>
      <c r="E1431" s="16" t="str">
        <f>IF(B1431="","",IFERROR(INDEX(Client_List!$K:$K,MATCH(B1431,Client_List!$B:$B,0)),""))</f>
        <v/>
      </c>
      <c r="F1431" s="16" t="str">
        <f>IF(B1431="","",IFERROR(INDEX(Client_List!$J:$J,MATCH(B1431,Client_List!$B:$B,0)),""))</f>
        <v/>
      </c>
      <c r="G1431" s="16"/>
      <c r="H1431" s="16" t="str">
        <f>IF(B1431="","",IFERROR(A1431-LOOKUP(2,1/($B$4:$B1430=B1431),$A$4:$A1430),""))</f>
        <v/>
      </c>
      <c r="I1431" s="16" t="str">
        <f t="shared" si="22"/>
        <v/>
      </c>
      <c r="J1431" s="16"/>
      <c r="K1431" s="6" t="str">
        <f>IF(B1431="","",IFERROR(AVERAGEIFS($I$4:$I1431,$B$4:$B1431,B1431,$I$4:$I1431,"&gt;"&amp;0),""))</f>
        <v/>
      </c>
      <c r="L1431" s="16" t="str">
        <f>IF(B1431="","",IF(ISNA(MATCH(B1431,Client_List!$B:$B,0)),"⚠ NOT FOUND","✓"))</f>
        <v/>
      </c>
    </row>
    <row r="1432" spans="1:12" ht="14" customHeight="1" x14ac:dyDescent="0.2">
      <c r="A1432" s="59"/>
      <c r="B1432" s="18"/>
      <c r="C1432" s="19" t="str">
        <f>IF(B1432="","",IFERROR(INDEX(Client_List!$C:$C,MATCH(B1432,Client_List!$B:$B,0)),""))</f>
        <v/>
      </c>
      <c r="D1432" s="19" t="str">
        <f>IF(B1432="","",IFERROR(INDEX(Client_List!$D:$D,MATCH(B1432,Client_List!$B:$B,0)),""))</f>
        <v/>
      </c>
      <c r="E1432" s="19" t="str">
        <f>IF(B1432="","",IFERROR(INDEX(Client_List!$K:$K,MATCH(B1432,Client_List!$B:$B,0)),""))</f>
        <v/>
      </c>
      <c r="F1432" s="19" t="str">
        <f>IF(B1432="","",IFERROR(INDEX(Client_List!$J:$J,MATCH(B1432,Client_List!$B:$B,0)),""))</f>
        <v/>
      </c>
      <c r="G1432" s="19"/>
      <c r="H1432" s="19" t="str">
        <f>IF(B1432="","",IFERROR(A1432-LOOKUP(2,1/($B$4:$B1431=B1432),$A$4:$A1431),""))</f>
        <v/>
      </c>
      <c r="I1432" s="19" t="str">
        <f t="shared" si="22"/>
        <v/>
      </c>
      <c r="J1432" s="19"/>
      <c r="K1432" s="6" t="str">
        <f>IF(B1432="","",IFERROR(AVERAGEIFS($I$4:$I1432,$B$4:$B1432,B1432,$I$4:$I1432,"&gt;"&amp;0),""))</f>
        <v/>
      </c>
      <c r="L1432" s="19" t="str">
        <f>IF(B1432="","",IF(ISNA(MATCH(B1432,Client_List!$B:$B,0)),"⚠ NOT FOUND","✓"))</f>
        <v/>
      </c>
    </row>
    <row r="1433" spans="1:12" ht="14" customHeight="1" x14ac:dyDescent="0.2">
      <c r="A1433" s="58"/>
      <c r="B1433" s="15"/>
      <c r="C1433" s="16" t="str">
        <f>IF(B1433="","",IFERROR(INDEX(Client_List!$C:$C,MATCH(B1433,Client_List!$B:$B,0)),""))</f>
        <v/>
      </c>
      <c r="D1433" s="16" t="str">
        <f>IF(B1433="","",IFERROR(INDEX(Client_List!$D:$D,MATCH(B1433,Client_List!$B:$B,0)),""))</f>
        <v/>
      </c>
      <c r="E1433" s="16" t="str">
        <f>IF(B1433="","",IFERROR(INDEX(Client_List!$K:$K,MATCH(B1433,Client_List!$B:$B,0)),""))</f>
        <v/>
      </c>
      <c r="F1433" s="16" t="str">
        <f>IF(B1433="","",IFERROR(INDEX(Client_List!$J:$J,MATCH(B1433,Client_List!$B:$B,0)),""))</f>
        <v/>
      </c>
      <c r="G1433" s="16"/>
      <c r="H1433" s="16" t="str">
        <f>IF(B1433="","",IFERROR(A1433-LOOKUP(2,1/($B$4:$B1432=B1433),$A$4:$A1432),""))</f>
        <v/>
      </c>
      <c r="I1433" s="16" t="str">
        <f t="shared" si="22"/>
        <v/>
      </c>
      <c r="J1433" s="16"/>
      <c r="K1433" s="6" t="str">
        <f>IF(B1433="","",IFERROR(AVERAGEIFS($I$4:$I1433,$B$4:$B1433,B1433,$I$4:$I1433,"&gt;"&amp;0),""))</f>
        <v/>
      </c>
      <c r="L1433" s="16" t="str">
        <f>IF(B1433="","",IF(ISNA(MATCH(B1433,Client_List!$B:$B,0)),"⚠ NOT FOUND","✓"))</f>
        <v/>
      </c>
    </row>
    <row r="1434" spans="1:12" ht="14" customHeight="1" x14ac:dyDescent="0.2">
      <c r="A1434" s="59"/>
      <c r="B1434" s="18"/>
      <c r="C1434" s="19" t="str">
        <f>IF(B1434="","",IFERROR(INDEX(Client_List!$C:$C,MATCH(B1434,Client_List!$B:$B,0)),""))</f>
        <v/>
      </c>
      <c r="D1434" s="19" t="str">
        <f>IF(B1434="","",IFERROR(INDEX(Client_List!$D:$D,MATCH(B1434,Client_List!$B:$B,0)),""))</f>
        <v/>
      </c>
      <c r="E1434" s="19" t="str">
        <f>IF(B1434="","",IFERROR(INDEX(Client_List!$K:$K,MATCH(B1434,Client_List!$B:$B,0)),""))</f>
        <v/>
      </c>
      <c r="F1434" s="19" t="str">
        <f>IF(B1434="","",IFERROR(INDEX(Client_List!$J:$J,MATCH(B1434,Client_List!$B:$B,0)),""))</f>
        <v/>
      </c>
      <c r="G1434" s="19"/>
      <c r="H1434" s="19" t="str">
        <f>IF(B1434="","",IFERROR(A1434-LOOKUP(2,1/($B$4:$B1433=B1434),$A$4:$A1433),""))</f>
        <v/>
      </c>
      <c r="I1434" s="19" t="str">
        <f t="shared" si="22"/>
        <v/>
      </c>
      <c r="J1434" s="19"/>
      <c r="K1434" s="6" t="str">
        <f>IF(B1434="","",IFERROR(AVERAGEIFS($I$4:$I1434,$B$4:$B1434,B1434,$I$4:$I1434,"&gt;"&amp;0),""))</f>
        <v/>
      </c>
      <c r="L1434" s="19" t="str">
        <f>IF(B1434="","",IF(ISNA(MATCH(B1434,Client_List!$B:$B,0)),"⚠ NOT FOUND","✓"))</f>
        <v/>
      </c>
    </row>
    <row r="1435" spans="1:12" ht="14" customHeight="1" x14ac:dyDescent="0.2">
      <c r="A1435" s="58"/>
      <c r="B1435" s="15"/>
      <c r="C1435" s="16" t="str">
        <f>IF(B1435="","",IFERROR(INDEX(Client_List!$C:$C,MATCH(B1435,Client_List!$B:$B,0)),""))</f>
        <v/>
      </c>
      <c r="D1435" s="16" t="str">
        <f>IF(B1435="","",IFERROR(INDEX(Client_List!$D:$D,MATCH(B1435,Client_List!$B:$B,0)),""))</f>
        <v/>
      </c>
      <c r="E1435" s="16" t="str">
        <f>IF(B1435="","",IFERROR(INDEX(Client_List!$K:$K,MATCH(B1435,Client_List!$B:$B,0)),""))</f>
        <v/>
      </c>
      <c r="F1435" s="16" t="str">
        <f>IF(B1435="","",IFERROR(INDEX(Client_List!$J:$J,MATCH(B1435,Client_List!$B:$B,0)),""))</f>
        <v/>
      </c>
      <c r="G1435" s="16"/>
      <c r="H1435" s="16" t="str">
        <f>IF(B1435="","",IFERROR(A1435-LOOKUP(2,1/($B$4:$B1434=B1435),$A$4:$A1434),""))</f>
        <v/>
      </c>
      <c r="I1435" s="16" t="str">
        <f t="shared" si="22"/>
        <v/>
      </c>
      <c r="J1435" s="16"/>
      <c r="K1435" s="6" t="str">
        <f>IF(B1435="","",IFERROR(AVERAGEIFS($I$4:$I1435,$B$4:$B1435,B1435,$I$4:$I1435,"&gt;"&amp;0),""))</f>
        <v/>
      </c>
      <c r="L1435" s="16" t="str">
        <f>IF(B1435="","",IF(ISNA(MATCH(B1435,Client_List!$B:$B,0)),"⚠ NOT FOUND","✓"))</f>
        <v/>
      </c>
    </row>
    <row r="1436" spans="1:12" ht="14" customHeight="1" x14ac:dyDescent="0.2">
      <c r="A1436" s="59"/>
      <c r="B1436" s="18"/>
      <c r="C1436" s="19" t="str">
        <f>IF(B1436="","",IFERROR(INDEX(Client_List!$C:$C,MATCH(B1436,Client_List!$B:$B,0)),""))</f>
        <v/>
      </c>
      <c r="D1436" s="19" t="str">
        <f>IF(B1436="","",IFERROR(INDEX(Client_List!$D:$D,MATCH(B1436,Client_List!$B:$B,0)),""))</f>
        <v/>
      </c>
      <c r="E1436" s="19" t="str">
        <f>IF(B1436="","",IFERROR(INDEX(Client_List!$K:$K,MATCH(B1436,Client_List!$B:$B,0)),""))</f>
        <v/>
      </c>
      <c r="F1436" s="19" t="str">
        <f>IF(B1436="","",IFERROR(INDEX(Client_List!$J:$J,MATCH(B1436,Client_List!$B:$B,0)),""))</f>
        <v/>
      </c>
      <c r="G1436" s="19"/>
      <c r="H1436" s="19" t="str">
        <f>IF(B1436="","",IFERROR(A1436-LOOKUP(2,1/($B$4:$B1435=B1436),$A$4:$A1435),""))</f>
        <v/>
      </c>
      <c r="I1436" s="19" t="str">
        <f t="shared" si="22"/>
        <v/>
      </c>
      <c r="J1436" s="19"/>
      <c r="K1436" s="6" t="str">
        <f>IF(B1436="","",IFERROR(AVERAGEIFS($I$4:$I1436,$B$4:$B1436,B1436,$I$4:$I1436,"&gt;"&amp;0),""))</f>
        <v/>
      </c>
      <c r="L1436" s="19" t="str">
        <f>IF(B1436="","",IF(ISNA(MATCH(B1436,Client_List!$B:$B,0)),"⚠ NOT FOUND","✓"))</f>
        <v/>
      </c>
    </row>
    <row r="1437" spans="1:12" ht="14" customHeight="1" x14ac:dyDescent="0.2">
      <c r="A1437" s="58"/>
      <c r="B1437" s="15"/>
      <c r="C1437" s="16" t="str">
        <f>IF(B1437="","",IFERROR(INDEX(Client_List!$C:$C,MATCH(B1437,Client_List!$B:$B,0)),""))</f>
        <v/>
      </c>
      <c r="D1437" s="16" t="str">
        <f>IF(B1437="","",IFERROR(INDEX(Client_List!$D:$D,MATCH(B1437,Client_List!$B:$B,0)),""))</f>
        <v/>
      </c>
      <c r="E1437" s="16" t="str">
        <f>IF(B1437="","",IFERROR(INDEX(Client_List!$K:$K,MATCH(B1437,Client_List!$B:$B,0)),""))</f>
        <v/>
      </c>
      <c r="F1437" s="16" t="str">
        <f>IF(B1437="","",IFERROR(INDEX(Client_List!$J:$J,MATCH(B1437,Client_List!$B:$B,0)),""))</f>
        <v/>
      </c>
      <c r="G1437" s="16"/>
      <c r="H1437" s="16" t="str">
        <f>IF(B1437="","",IFERROR(A1437-LOOKUP(2,1/($B$4:$B1436=B1437),$A$4:$A1436),""))</f>
        <v/>
      </c>
      <c r="I1437" s="16" t="str">
        <f t="shared" si="22"/>
        <v/>
      </c>
      <c r="J1437" s="16"/>
      <c r="K1437" s="6" t="str">
        <f>IF(B1437="","",IFERROR(AVERAGEIFS($I$4:$I1437,$B$4:$B1437,B1437,$I$4:$I1437,"&gt;"&amp;0),""))</f>
        <v/>
      </c>
      <c r="L1437" s="16" t="str">
        <f>IF(B1437="","",IF(ISNA(MATCH(B1437,Client_List!$B:$B,0)),"⚠ NOT FOUND","✓"))</f>
        <v/>
      </c>
    </row>
    <row r="1438" spans="1:12" ht="14" customHeight="1" x14ac:dyDescent="0.2">
      <c r="A1438" s="59"/>
      <c r="B1438" s="18"/>
      <c r="C1438" s="19" t="str">
        <f>IF(B1438="","",IFERROR(INDEX(Client_List!$C:$C,MATCH(B1438,Client_List!$B:$B,0)),""))</f>
        <v/>
      </c>
      <c r="D1438" s="19" t="str">
        <f>IF(B1438="","",IFERROR(INDEX(Client_List!$D:$D,MATCH(B1438,Client_List!$B:$B,0)),""))</f>
        <v/>
      </c>
      <c r="E1438" s="19" t="str">
        <f>IF(B1438="","",IFERROR(INDEX(Client_List!$K:$K,MATCH(B1438,Client_List!$B:$B,0)),""))</f>
        <v/>
      </c>
      <c r="F1438" s="19" t="str">
        <f>IF(B1438="","",IFERROR(INDEX(Client_List!$J:$J,MATCH(B1438,Client_List!$B:$B,0)),""))</f>
        <v/>
      </c>
      <c r="G1438" s="19"/>
      <c r="H1438" s="19" t="str">
        <f>IF(B1438="","",IFERROR(A1438-LOOKUP(2,1/($B$4:$B1437=B1438),$A$4:$A1437),""))</f>
        <v/>
      </c>
      <c r="I1438" s="19" t="str">
        <f t="shared" si="22"/>
        <v/>
      </c>
      <c r="J1438" s="19"/>
      <c r="K1438" s="6" t="str">
        <f>IF(B1438="","",IFERROR(AVERAGEIFS($I$4:$I1438,$B$4:$B1438,B1438,$I$4:$I1438,"&gt;"&amp;0),""))</f>
        <v/>
      </c>
      <c r="L1438" s="19" t="str">
        <f>IF(B1438="","",IF(ISNA(MATCH(B1438,Client_List!$B:$B,0)),"⚠ NOT FOUND","✓"))</f>
        <v/>
      </c>
    </row>
    <row r="1439" spans="1:12" ht="14" customHeight="1" x14ac:dyDescent="0.2">
      <c r="A1439" s="58"/>
      <c r="B1439" s="15"/>
      <c r="C1439" s="16" t="str">
        <f>IF(B1439="","",IFERROR(INDEX(Client_List!$C:$C,MATCH(B1439,Client_List!$B:$B,0)),""))</f>
        <v/>
      </c>
      <c r="D1439" s="16" t="str">
        <f>IF(B1439="","",IFERROR(INDEX(Client_List!$D:$D,MATCH(B1439,Client_List!$B:$B,0)),""))</f>
        <v/>
      </c>
      <c r="E1439" s="16" t="str">
        <f>IF(B1439="","",IFERROR(INDEX(Client_List!$K:$K,MATCH(B1439,Client_List!$B:$B,0)),""))</f>
        <v/>
      </c>
      <c r="F1439" s="16" t="str">
        <f>IF(B1439="","",IFERROR(INDEX(Client_List!$J:$J,MATCH(B1439,Client_List!$B:$B,0)),""))</f>
        <v/>
      </c>
      <c r="G1439" s="16"/>
      <c r="H1439" s="16" t="str">
        <f>IF(B1439="","",IFERROR(A1439-LOOKUP(2,1/($B$4:$B1438=B1439),$A$4:$A1438),""))</f>
        <v/>
      </c>
      <c r="I1439" s="16" t="str">
        <f t="shared" si="22"/>
        <v/>
      </c>
      <c r="J1439" s="16"/>
      <c r="K1439" s="6" t="str">
        <f>IF(B1439="","",IFERROR(AVERAGEIFS($I$4:$I1439,$B$4:$B1439,B1439,$I$4:$I1439,"&gt;"&amp;0),""))</f>
        <v/>
      </c>
      <c r="L1439" s="16" t="str">
        <f>IF(B1439="","",IF(ISNA(MATCH(B1439,Client_List!$B:$B,0)),"⚠ NOT FOUND","✓"))</f>
        <v/>
      </c>
    </row>
    <row r="1440" spans="1:12" ht="14" customHeight="1" x14ac:dyDescent="0.2">
      <c r="A1440" s="59"/>
      <c r="B1440" s="18"/>
      <c r="C1440" s="19" t="str">
        <f>IF(B1440="","",IFERROR(INDEX(Client_List!$C:$C,MATCH(B1440,Client_List!$B:$B,0)),""))</f>
        <v/>
      </c>
      <c r="D1440" s="19" t="str">
        <f>IF(B1440="","",IFERROR(INDEX(Client_List!$D:$D,MATCH(B1440,Client_List!$B:$B,0)),""))</f>
        <v/>
      </c>
      <c r="E1440" s="19" t="str">
        <f>IF(B1440="","",IFERROR(INDEX(Client_List!$K:$K,MATCH(B1440,Client_List!$B:$B,0)),""))</f>
        <v/>
      </c>
      <c r="F1440" s="19" t="str">
        <f>IF(B1440="","",IFERROR(INDEX(Client_List!$J:$J,MATCH(B1440,Client_List!$B:$B,0)),""))</f>
        <v/>
      </c>
      <c r="G1440" s="19"/>
      <c r="H1440" s="19" t="str">
        <f>IF(B1440="","",IFERROR(A1440-LOOKUP(2,1/($B$4:$B1439=B1440),$A$4:$A1439),""))</f>
        <v/>
      </c>
      <c r="I1440" s="19" t="str">
        <f t="shared" si="22"/>
        <v/>
      </c>
      <c r="J1440" s="19"/>
      <c r="K1440" s="6" t="str">
        <f>IF(B1440="","",IFERROR(AVERAGEIFS($I$4:$I1440,$B$4:$B1440,B1440,$I$4:$I1440,"&gt;"&amp;0),""))</f>
        <v/>
      </c>
      <c r="L1440" s="19" t="str">
        <f>IF(B1440="","",IF(ISNA(MATCH(B1440,Client_List!$B:$B,0)),"⚠ NOT FOUND","✓"))</f>
        <v/>
      </c>
    </row>
    <row r="1441" spans="1:12" ht="14" customHeight="1" x14ac:dyDescent="0.2">
      <c r="A1441" s="58"/>
      <c r="B1441" s="15"/>
      <c r="C1441" s="16" t="str">
        <f>IF(B1441="","",IFERROR(INDEX(Client_List!$C:$C,MATCH(B1441,Client_List!$B:$B,0)),""))</f>
        <v/>
      </c>
      <c r="D1441" s="16" t="str">
        <f>IF(B1441="","",IFERROR(INDEX(Client_List!$D:$D,MATCH(B1441,Client_List!$B:$B,0)),""))</f>
        <v/>
      </c>
      <c r="E1441" s="16" t="str">
        <f>IF(B1441="","",IFERROR(INDEX(Client_List!$K:$K,MATCH(B1441,Client_List!$B:$B,0)),""))</f>
        <v/>
      </c>
      <c r="F1441" s="16" t="str">
        <f>IF(B1441="","",IFERROR(INDEX(Client_List!$J:$J,MATCH(B1441,Client_List!$B:$B,0)),""))</f>
        <v/>
      </c>
      <c r="G1441" s="16"/>
      <c r="H1441" s="16" t="str">
        <f>IF(B1441="","",IFERROR(A1441-LOOKUP(2,1/($B$4:$B1440=B1441),$A$4:$A1440),""))</f>
        <v/>
      </c>
      <c r="I1441" s="16" t="str">
        <f t="shared" si="22"/>
        <v/>
      </c>
      <c r="J1441" s="16"/>
      <c r="K1441" s="6" t="str">
        <f>IF(B1441="","",IFERROR(AVERAGEIFS($I$4:$I1441,$B$4:$B1441,B1441,$I$4:$I1441,"&gt;"&amp;0),""))</f>
        <v/>
      </c>
      <c r="L1441" s="16" t="str">
        <f>IF(B1441="","",IF(ISNA(MATCH(B1441,Client_List!$B:$B,0)),"⚠ NOT FOUND","✓"))</f>
        <v/>
      </c>
    </row>
    <row r="1442" spans="1:12" ht="14" customHeight="1" x14ac:dyDescent="0.2">
      <c r="A1442" s="59"/>
      <c r="B1442" s="18"/>
      <c r="C1442" s="19" t="str">
        <f>IF(B1442="","",IFERROR(INDEX(Client_List!$C:$C,MATCH(B1442,Client_List!$B:$B,0)),""))</f>
        <v/>
      </c>
      <c r="D1442" s="19" t="str">
        <f>IF(B1442="","",IFERROR(INDEX(Client_List!$D:$D,MATCH(B1442,Client_List!$B:$B,0)),""))</f>
        <v/>
      </c>
      <c r="E1442" s="19" t="str">
        <f>IF(B1442="","",IFERROR(INDEX(Client_List!$K:$K,MATCH(B1442,Client_List!$B:$B,0)),""))</f>
        <v/>
      </c>
      <c r="F1442" s="19" t="str">
        <f>IF(B1442="","",IFERROR(INDEX(Client_List!$J:$J,MATCH(B1442,Client_List!$B:$B,0)),""))</f>
        <v/>
      </c>
      <c r="G1442" s="19"/>
      <c r="H1442" s="19" t="str">
        <f>IF(B1442="","",IFERROR(A1442-LOOKUP(2,1/($B$4:$B1441=B1442),$A$4:$A1441),""))</f>
        <v/>
      </c>
      <c r="I1442" s="19" t="str">
        <f t="shared" si="22"/>
        <v/>
      </c>
      <c r="J1442" s="19"/>
      <c r="K1442" s="6" t="str">
        <f>IF(B1442="","",IFERROR(AVERAGEIFS($I$4:$I1442,$B$4:$B1442,B1442,$I$4:$I1442,"&gt;"&amp;0),""))</f>
        <v/>
      </c>
      <c r="L1442" s="19" t="str">
        <f>IF(B1442="","",IF(ISNA(MATCH(B1442,Client_List!$B:$B,0)),"⚠ NOT FOUND","✓"))</f>
        <v/>
      </c>
    </row>
    <row r="1443" spans="1:12" ht="14" customHeight="1" x14ac:dyDescent="0.2">
      <c r="A1443" s="58"/>
      <c r="B1443" s="15"/>
      <c r="C1443" s="16" t="str">
        <f>IF(B1443="","",IFERROR(INDEX(Client_List!$C:$C,MATCH(B1443,Client_List!$B:$B,0)),""))</f>
        <v/>
      </c>
      <c r="D1443" s="16" t="str">
        <f>IF(B1443="","",IFERROR(INDEX(Client_List!$D:$D,MATCH(B1443,Client_List!$B:$B,0)),""))</f>
        <v/>
      </c>
      <c r="E1443" s="16" t="str">
        <f>IF(B1443="","",IFERROR(INDEX(Client_List!$K:$K,MATCH(B1443,Client_List!$B:$B,0)),""))</f>
        <v/>
      </c>
      <c r="F1443" s="16" t="str">
        <f>IF(B1443="","",IFERROR(INDEX(Client_List!$J:$J,MATCH(B1443,Client_List!$B:$B,0)),""))</f>
        <v/>
      </c>
      <c r="G1443" s="16"/>
      <c r="H1443" s="16" t="str">
        <f>IF(B1443="","",IFERROR(A1443-LOOKUP(2,1/($B$4:$B1442=B1443),$A$4:$A1442),""))</f>
        <v/>
      </c>
      <c r="I1443" s="16" t="str">
        <f t="shared" si="22"/>
        <v/>
      </c>
      <c r="J1443" s="16"/>
      <c r="K1443" s="6" t="str">
        <f>IF(B1443="","",IFERROR(AVERAGEIFS($I$4:$I1443,$B$4:$B1443,B1443,$I$4:$I1443,"&gt;"&amp;0),""))</f>
        <v/>
      </c>
      <c r="L1443" s="16" t="str">
        <f>IF(B1443="","",IF(ISNA(MATCH(B1443,Client_List!$B:$B,0)),"⚠ NOT FOUND","✓"))</f>
        <v/>
      </c>
    </row>
    <row r="1444" spans="1:12" ht="14" customHeight="1" x14ac:dyDescent="0.2">
      <c r="A1444" s="59"/>
      <c r="B1444" s="18"/>
      <c r="C1444" s="19" t="str">
        <f>IF(B1444="","",IFERROR(INDEX(Client_List!$C:$C,MATCH(B1444,Client_List!$B:$B,0)),""))</f>
        <v/>
      </c>
      <c r="D1444" s="19" t="str">
        <f>IF(B1444="","",IFERROR(INDEX(Client_List!$D:$D,MATCH(B1444,Client_List!$B:$B,0)),""))</f>
        <v/>
      </c>
      <c r="E1444" s="19" t="str">
        <f>IF(B1444="","",IFERROR(INDEX(Client_List!$K:$K,MATCH(B1444,Client_List!$B:$B,0)),""))</f>
        <v/>
      </c>
      <c r="F1444" s="19" t="str">
        <f>IF(B1444="","",IFERROR(INDEX(Client_List!$J:$J,MATCH(B1444,Client_List!$B:$B,0)),""))</f>
        <v/>
      </c>
      <c r="G1444" s="19"/>
      <c r="H1444" s="19" t="str">
        <f>IF(B1444="","",IFERROR(A1444-LOOKUP(2,1/($B$4:$B1443=B1444),$A$4:$A1443),""))</f>
        <v/>
      </c>
      <c r="I1444" s="19" t="str">
        <f t="shared" si="22"/>
        <v/>
      </c>
      <c r="J1444" s="19"/>
      <c r="K1444" s="6" t="str">
        <f>IF(B1444="","",IFERROR(AVERAGEIFS($I$4:$I1444,$B$4:$B1444,B1444,$I$4:$I1444,"&gt;"&amp;0),""))</f>
        <v/>
      </c>
      <c r="L1444" s="19" t="str">
        <f>IF(B1444="","",IF(ISNA(MATCH(B1444,Client_List!$B:$B,0)),"⚠ NOT FOUND","✓"))</f>
        <v/>
      </c>
    </row>
    <row r="1445" spans="1:12" ht="14" customHeight="1" x14ac:dyDescent="0.2">
      <c r="A1445" s="58"/>
      <c r="B1445" s="15"/>
      <c r="C1445" s="16" t="str">
        <f>IF(B1445="","",IFERROR(INDEX(Client_List!$C:$C,MATCH(B1445,Client_List!$B:$B,0)),""))</f>
        <v/>
      </c>
      <c r="D1445" s="16" t="str">
        <f>IF(B1445="","",IFERROR(INDEX(Client_List!$D:$D,MATCH(B1445,Client_List!$B:$B,0)),""))</f>
        <v/>
      </c>
      <c r="E1445" s="16" t="str">
        <f>IF(B1445="","",IFERROR(INDEX(Client_List!$K:$K,MATCH(B1445,Client_List!$B:$B,0)),""))</f>
        <v/>
      </c>
      <c r="F1445" s="16" t="str">
        <f>IF(B1445="","",IFERROR(INDEX(Client_List!$J:$J,MATCH(B1445,Client_List!$B:$B,0)),""))</f>
        <v/>
      </c>
      <c r="G1445" s="16"/>
      <c r="H1445" s="16" t="str">
        <f>IF(B1445="","",IFERROR(A1445-LOOKUP(2,1/($B$4:$B1444=B1445),$A$4:$A1444),""))</f>
        <v/>
      </c>
      <c r="I1445" s="16" t="str">
        <f t="shared" si="22"/>
        <v/>
      </c>
      <c r="J1445" s="16"/>
      <c r="K1445" s="6" t="str">
        <f>IF(B1445="","",IFERROR(AVERAGEIFS($I$4:$I1445,$B$4:$B1445,B1445,$I$4:$I1445,"&gt;"&amp;0),""))</f>
        <v/>
      </c>
      <c r="L1445" s="16" t="str">
        <f>IF(B1445="","",IF(ISNA(MATCH(B1445,Client_List!$B:$B,0)),"⚠ NOT FOUND","✓"))</f>
        <v/>
      </c>
    </row>
    <row r="1446" spans="1:12" ht="14" customHeight="1" x14ac:dyDescent="0.2">
      <c r="A1446" s="59"/>
      <c r="B1446" s="18"/>
      <c r="C1446" s="19" t="str">
        <f>IF(B1446="","",IFERROR(INDEX(Client_List!$C:$C,MATCH(B1446,Client_List!$B:$B,0)),""))</f>
        <v/>
      </c>
      <c r="D1446" s="19" t="str">
        <f>IF(B1446="","",IFERROR(INDEX(Client_List!$D:$D,MATCH(B1446,Client_List!$B:$B,0)),""))</f>
        <v/>
      </c>
      <c r="E1446" s="19" t="str">
        <f>IF(B1446="","",IFERROR(INDEX(Client_List!$K:$K,MATCH(B1446,Client_List!$B:$B,0)),""))</f>
        <v/>
      </c>
      <c r="F1446" s="19" t="str">
        <f>IF(B1446="","",IFERROR(INDEX(Client_List!$J:$J,MATCH(B1446,Client_List!$B:$B,0)),""))</f>
        <v/>
      </c>
      <c r="G1446" s="19"/>
      <c r="H1446" s="19" t="str">
        <f>IF(B1446="","",IFERROR(A1446-LOOKUP(2,1/($B$4:$B1445=B1446),$A$4:$A1445),""))</f>
        <v/>
      </c>
      <c r="I1446" s="19" t="str">
        <f t="shared" si="22"/>
        <v/>
      </c>
      <c r="J1446" s="19"/>
      <c r="K1446" s="6" t="str">
        <f>IF(B1446="","",IFERROR(AVERAGEIFS($I$4:$I1446,$B$4:$B1446,B1446,$I$4:$I1446,"&gt;"&amp;0),""))</f>
        <v/>
      </c>
      <c r="L1446" s="19" t="str">
        <f>IF(B1446="","",IF(ISNA(MATCH(B1446,Client_List!$B:$B,0)),"⚠ NOT FOUND","✓"))</f>
        <v/>
      </c>
    </row>
    <row r="1447" spans="1:12" ht="14" customHeight="1" x14ac:dyDescent="0.2">
      <c r="A1447" s="58"/>
      <c r="B1447" s="15"/>
      <c r="C1447" s="16" t="str">
        <f>IF(B1447="","",IFERROR(INDEX(Client_List!$C:$C,MATCH(B1447,Client_List!$B:$B,0)),""))</f>
        <v/>
      </c>
      <c r="D1447" s="16" t="str">
        <f>IF(B1447="","",IFERROR(INDEX(Client_List!$D:$D,MATCH(B1447,Client_List!$B:$B,0)),""))</f>
        <v/>
      </c>
      <c r="E1447" s="16" t="str">
        <f>IF(B1447="","",IFERROR(INDEX(Client_List!$K:$K,MATCH(B1447,Client_List!$B:$B,0)),""))</f>
        <v/>
      </c>
      <c r="F1447" s="16" t="str">
        <f>IF(B1447="","",IFERROR(INDEX(Client_List!$J:$J,MATCH(B1447,Client_List!$B:$B,0)),""))</f>
        <v/>
      </c>
      <c r="G1447" s="16"/>
      <c r="H1447" s="16" t="str">
        <f>IF(B1447="","",IFERROR(A1447-LOOKUP(2,1/($B$4:$B1446=B1447),$A$4:$A1446),""))</f>
        <v/>
      </c>
      <c r="I1447" s="16" t="str">
        <f t="shared" si="22"/>
        <v/>
      </c>
      <c r="J1447" s="16"/>
      <c r="K1447" s="6" t="str">
        <f>IF(B1447="","",IFERROR(AVERAGEIFS($I$4:$I1447,$B$4:$B1447,B1447,$I$4:$I1447,"&gt;"&amp;0),""))</f>
        <v/>
      </c>
      <c r="L1447" s="16" t="str">
        <f>IF(B1447="","",IF(ISNA(MATCH(B1447,Client_List!$B:$B,0)),"⚠ NOT FOUND","✓"))</f>
        <v/>
      </c>
    </row>
    <row r="1448" spans="1:12" ht="14" customHeight="1" x14ac:dyDescent="0.2">
      <c r="A1448" s="59"/>
      <c r="B1448" s="18"/>
      <c r="C1448" s="19" t="str">
        <f>IF(B1448="","",IFERROR(INDEX(Client_List!$C:$C,MATCH(B1448,Client_List!$B:$B,0)),""))</f>
        <v/>
      </c>
      <c r="D1448" s="19" t="str">
        <f>IF(B1448="","",IFERROR(INDEX(Client_List!$D:$D,MATCH(B1448,Client_List!$B:$B,0)),""))</f>
        <v/>
      </c>
      <c r="E1448" s="19" t="str">
        <f>IF(B1448="","",IFERROR(INDEX(Client_List!$K:$K,MATCH(B1448,Client_List!$B:$B,0)),""))</f>
        <v/>
      </c>
      <c r="F1448" s="19" t="str">
        <f>IF(B1448="","",IFERROR(INDEX(Client_List!$J:$J,MATCH(B1448,Client_List!$B:$B,0)),""))</f>
        <v/>
      </c>
      <c r="G1448" s="19"/>
      <c r="H1448" s="19" t="str">
        <f>IF(B1448="","",IFERROR(A1448-LOOKUP(2,1/($B$4:$B1447=B1448),$A$4:$A1447),""))</f>
        <v/>
      </c>
      <c r="I1448" s="19" t="str">
        <f t="shared" si="22"/>
        <v/>
      </c>
      <c r="J1448" s="19"/>
      <c r="K1448" s="6" t="str">
        <f>IF(B1448="","",IFERROR(AVERAGEIFS($I$4:$I1448,$B$4:$B1448,B1448,$I$4:$I1448,"&gt;"&amp;0),""))</f>
        <v/>
      </c>
      <c r="L1448" s="19" t="str">
        <f>IF(B1448="","",IF(ISNA(MATCH(B1448,Client_List!$B:$B,0)),"⚠ NOT FOUND","✓"))</f>
        <v/>
      </c>
    </row>
    <row r="1449" spans="1:12" ht="14" customHeight="1" x14ac:dyDescent="0.2">
      <c r="A1449" s="58"/>
      <c r="B1449" s="15"/>
      <c r="C1449" s="16" t="str">
        <f>IF(B1449="","",IFERROR(INDEX(Client_List!$C:$C,MATCH(B1449,Client_List!$B:$B,0)),""))</f>
        <v/>
      </c>
      <c r="D1449" s="16" t="str">
        <f>IF(B1449="","",IFERROR(INDEX(Client_List!$D:$D,MATCH(B1449,Client_List!$B:$B,0)),""))</f>
        <v/>
      </c>
      <c r="E1449" s="16" t="str">
        <f>IF(B1449="","",IFERROR(INDEX(Client_List!$K:$K,MATCH(B1449,Client_List!$B:$B,0)),""))</f>
        <v/>
      </c>
      <c r="F1449" s="16" t="str">
        <f>IF(B1449="","",IFERROR(INDEX(Client_List!$J:$J,MATCH(B1449,Client_List!$B:$B,0)),""))</f>
        <v/>
      </c>
      <c r="G1449" s="16"/>
      <c r="H1449" s="16" t="str">
        <f>IF(B1449="","",IFERROR(A1449-LOOKUP(2,1/($B$4:$B1448=B1449),$A$4:$A1448),""))</f>
        <v/>
      </c>
      <c r="I1449" s="16" t="str">
        <f t="shared" si="22"/>
        <v/>
      </c>
      <c r="J1449" s="16"/>
      <c r="K1449" s="6" t="str">
        <f>IF(B1449="","",IFERROR(AVERAGEIFS($I$4:$I1449,$B$4:$B1449,B1449,$I$4:$I1449,"&gt;"&amp;0),""))</f>
        <v/>
      </c>
      <c r="L1449" s="16" t="str">
        <f>IF(B1449="","",IF(ISNA(MATCH(B1449,Client_List!$B:$B,0)),"⚠ NOT FOUND","✓"))</f>
        <v/>
      </c>
    </row>
    <row r="1450" spans="1:12" ht="14" customHeight="1" x14ac:dyDescent="0.2">
      <c r="A1450" s="59"/>
      <c r="B1450" s="18"/>
      <c r="C1450" s="19" t="str">
        <f>IF(B1450="","",IFERROR(INDEX(Client_List!$C:$C,MATCH(B1450,Client_List!$B:$B,0)),""))</f>
        <v/>
      </c>
      <c r="D1450" s="19" t="str">
        <f>IF(B1450="","",IFERROR(INDEX(Client_List!$D:$D,MATCH(B1450,Client_List!$B:$B,0)),""))</f>
        <v/>
      </c>
      <c r="E1450" s="19" t="str">
        <f>IF(B1450="","",IFERROR(INDEX(Client_List!$K:$K,MATCH(B1450,Client_List!$B:$B,0)),""))</f>
        <v/>
      </c>
      <c r="F1450" s="19" t="str">
        <f>IF(B1450="","",IFERROR(INDEX(Client_List!$J:$J,MATCH(B1450,Client_List!$B:$B,0)),""))</f>
        <v/>
      </c>
      <c r="G1450" s="19"/>
      <c r="H1450" s="19" t="str">
        <f>IF(B1450="","",IFERROR(A1450-LOOKUP(2,1/($B$4:$B1449=B1450),$A$4:$A1449),""))</f>
        <v/>
      </c>
      <c r="I1450" s="19" t="str">
        <f t="shared" si="22"/>
        <v/>
      </c>
      <c r="J1450" s="19"/>
      <c r="K1450" s="6" t="str">
        <f>IF(B1450="","",IFERROR(AVERAGEIFS($I$4:$I1450,$B$4:$B1450,B1450,$I$4:$I1450,"&gt;"&amp;0),""))</f>
        <v/>
      </c>
      <c r="L1450" s="19" t="str">
        <f>IF(B1450="","",IF(ISNA(MATCH(B1450,Client_List!$B:$B,0)),"⚠ NOT FOUND","✓"))</f>
        <v/>
      </c>
    </row>
    <row r="1451" spans="1:12" ht="14" customHeight="1" x14ac:dyDescent="0.2">
      <c r="A1451" s="58"/>
      <c r="B1451" s="15"/>
      <c r="C1451" s="16" t="str">
        <f>IF(B1451="","",IFERROR(INDEX(Client_List!$C:$C,MATCH(B1451,Client_List!$B:$B,0)),""))</f>
        <v/>
      </c>
      <c r="D1451" s="16" t="str">
        <f>IF(B1451="","",IFERROR(INDEX(Client_List!$D:$D,MATCH(B1451,Client_List!$B:$B,0)),""))</f>
        <v/>
      </c>
      <c r="E1451" s="16" t="str">
        <f>IF(B1451="","",IFERROR(INDEX(Client_List!$K:$K,MATCH(B1451,Client_List!$B:$B,0)),""))</f>
        <v/>
      </c>
      <c r="F1451" s="16" t="str">
        <f>IF(B1451="","",IFERROR(INDEX(Client_List!$J:$J,MATCH(B1451,Client_List!$B:$B,0)),""))</f>
        <v/>
      </c>
      <c r="G1451" s="16"/>
      <c r="H1451" s="16" t="str">
        <f>IF(B1451="","",IFERROR(A1451-LOOKUP(2,1/($B$4:$B1450=B1451),$A$4:$A1450),""))</f>
        <v/>
      </c>
      <c r="I1451" s="16" t="str">
        <f t="shared" si="22"/>
        <v/>
      </c>
      <c r="J1451" s="16"/>
      <c r="K1451" s="6" t="str">
        <f>IF(B1451="","",IFERROR(AVERAGEIFS($I$4:$I1451,$B$4:$B1451,B1451,$I$4:$I1451,"&gt;"&amp;0),""))</f>
        <v/>
      </c>
      <c r="L1451" s="16" t="str">
        <f>IF(B1451="","",IF(ISNA(MATCH(B1451,Client_List!$B:$B,0)),"⚠ NOT FOUND","✓"))</f>
        <v/>
      </c>
    </row>
    <row r="1452" spans="1:12" ht="14" customHeight="1" x14ac:dyDescent="0.2">
      <c r="A1452" s="59"/>
      <c r="B1452" s="18"/>
      <c r="C1452" s="19" t="str">
        <f>IF(B1452="","",IFERROR(INDEX(Client_List!$C:$C,MATCH(B1452,Client_List!$B:$B,0)),""))</f>
        <v/>
      </c>
      <c r="D1452" s="19" t="str">
        <f>IF(B1452="","",IFERROR(INDEX(Client_List!$D:$D,MATCH(B1452,Client_List!$B:$B,0)),""))</f>
        <v/>
      </c>
      <c r="E1452" s="19" t="str">
        <f>IF(B1452="","",IFERROR(INDEX(Client_List!$K:$K,MATCH(B1452,Client_List!$B:$B,0)),""))</f>
        <v/>
      </c>
      <c r="F1452" s="19" t="str">
        <f>IF(B1452="","",IFERROR(INDEX(Client_List!$J:$J,MATCH(B1452,Client_List!$B:$B,0)),""))</f>
        <v/>
      </c>
      <c r="G1452" s="19"/>
      <c r="H1452" s="19" t="str">
        <f>IF(B1452="","",IFERROR(A1452-LOOKUP(2,1/($B$4:$B1451=B1452),$A$4:$A1451),""))</f>
        <v/>
      </c>
      <c r="I1452" s="19" t="str">
        <f t="shared" si="22"/>
        <v/>
      </c>
      <c r="J1452" s="19"/>
      <c r="K1452" s="6" t="str">
        <f>IF(B1452="","",IFERROR(AVERAGEIFS($I$4:$I1452,$B$4:$B1452,B1452,$I$4:$I1452,"&gt;"&amp;0),""))</f>
        <v/>
      </c>
      <c r="L1452" s="19" t="str">
        <f>IF(B1452="","",IF(ISNA(MATCH(B1452,Client_List!$B:$B,0)),"⚠ NOT FOUND","✓"))</f>
        <v/>
      </c>
    </row>
    <row r="1453" spans="1:12" ht="14" customHeight="1" x14ac:dyDescent="0.2">
      <c r="A1453" s="58"/>
      <c r="B1453" s="15"/>
      <c r="C1453" s="16" t="str">
        <f>IF(B1453="","",IFERROR(INDEX(Client_List!$C:$C,MATCH(B1453,Client_List!$B:$B,0)),""))</f>
        <v/>
      </c>
      <c r="D1453" s="16" t="str">
        <f>IF(B1453="","",IFERROR(INDEX(Client_List!$D:$D,MATCH(B1453,Client_List!$B:$B,0)),""))</f>
        <v/>
      </c>
      <c r="E1453" s="16" t="str">
        <f>IF(B1453="","",IFERROR(INDEX(Client_List!$K:$K,MATCH(B1453,Client_List!$B:$B,0)),""))</f>
        <v/>
      </c>
      <c r="F1453" s="16" t="str">
        <f>IF(B1453="","",IFERROR(INDEX(Client_List!$J:$J,MATCH(B1453,Client_List!$B:$B,0)),""))</f>
        <v/>
      </c>
      <c r="G1453" s="16"/>
      <c r="H1453" s="16" t="str">
        <f>IF(B1453="","",IFERROR(A1453-LOOKUP(2,1/($B$4:$B1452=B1453),$A$4:$A1452),""))</f>
        <v/>
      </c>
      <c r="I1453" s="16" t="str">
        <f t="shared" si="22"/>
        <v/>
      </c>
      <c r="J1453" s="16"/>
      <c r="K1453" s="6" t="str">
        <f>IF(B1453="","",IFERROR(AVERAGEIFS($I$4:$I1453,$B$4:$B1453,B1453,$I$4:$I1453,"&gt;"&amp;0),""))</f>
        <v/>
      </c>
      <c r="L1453" s="16" t="str">
        <f>IF(B1453="","",IF(ISNA(MATCH(B1453,Client_List!$B:$B,0)),"⚠ NOT FOUND","✓"))</f>
        <v/>
      </c>
    </row>
    <row r="1454" spans="1:12" ht="14" customHeight="1" x14ac:dyDescent="0.2">
      <c r="A1454" s="59"/>
      <c r="B1454" s="18"/>
      <c r="C1454" s="19" t="str">
        <f>IF(B1454="","",IFERROR(INDEX(Client_List!$C:$C,MATCH(B1454,Client_List!$B:$B,0)),""))</f>
        <v/>
      </c>
      <c r="D1454" s="19" t="str">
        <f>IF(B1454="","",IFERROR(INDEX(Client_List!$D:$D,MATCH(B1454,Client_List!$B:$B,0)),""))</f>
        <v/>
      </c>
      <c r="E1454" s="19" t="str">
        <f>IF(B1454="","",IFERROR(INDEX(Client_List!$K:$K,MATCH(B1454,Client_List!$B:$B,0)),""))</f>
        <v/>
      </c>
      <c r="F1454" s="19" t="str">
        <f>IF(B1454="","",IFERROR(INDEX(Client_List!$J:$J,MATCH(B1454,Client_List!$B:$B,0)),""))</f>
        <v/>
      </c>
      <c r="G1454" s="19"/>
      <c r="H1454" s="19" t="str">
        <f>IF(B1454="","",IFERROR(A1454-LOOKUP(2,1/($B$4:$B1453=B1454),$A$4:$A1453),""))</f>
        <v/>
      </c>
      <c r="I1454" s="19" t="str">
        <f t="shared" si="22"/>
        <v/>
      </c>
      <c r="J1454" s="19"/>
      <c r="K1454" s="6" t="str">
        <f>IF(B1454="","",IFERROR(AVERAGEIFS($I$4:$I1454,$B$4:$B1454,B1454,$I$4:$I1454,"&gt;"&amp;0),""))</f>
        <v/>
      </c>
      <c r="L1454" s="19" t="str">
        <f>IF(B1454="","",IF(ISNA(MATCH(B1454,Client_List!$B:$B,0)),"⚠ NOT FOUND","✓"))</f>
        <v/>
      </c>
    </row>
    <row r="1455" spans="1:12" ht="14" customHeight="1" x14ac:dyDescent="0.2">
      <c r="A1455" s="58"/>
      <c r="B1455" s="15"/>
      <c r="C1455" s="16" t="str">
        <f>IF(B1455="","",IFERROR(INDEX(Client_List!$C:$C,MATCH(B1455,Client_List!$B:$B,0)),""))</f>
        <v/>
      </c>
      <c r="D1455" s="16" t="str">
        <f>IF(B1455="","",IFERROR(INDEX(Client_List!$D:$D,MATCH(B1455,Client_List!$B:$B,0)),""))</f>
        <v/>
      </c>
      <c r="E1455" s="16" t="str">
        <f>IF(B1455="","",IFERROR(INDEX(Client_List!$K:$K,MATCH(B1455,Client_List!$B:$B,0)),""))</f>
        <v/>
      </c>
      <c r="F1455" s="16" t="str">
        <f>IF(B1455="","",IFERROR(INDEX(Client_List!$J:$J,MATCH(B1455,Client_List!$B:$B,0)),""))</f>
        <v/>
      </c>
      <c r="G1455" s="16"/>
      <c r="H1455" s="16" t="str">
        <f>IF(B1455="","",IFERROR(A1455-LOOKUP(2,1/($B$4:$B1454=B1455),$A$4:$A1454),""))</f>
        <v/>
      </c>
      <c r="I1455" s="16" t="str">
        <f t="shared" si="22"/>
        <v/>
      </c>
      <c r="J1455" s="16"/>
      <c r="K1455" s="6" t="str">
        <f>IF(B1455="","",IFERROR(AVERAGEIFS($I$4:$I1455,$B$4:$B1455,B1455,$I$4:$I1455,"&gt;"&amp;0),""))</f>
        <v/>
      </c>
      <c r="L1455" s="16" t="str">
        <f>IF(B1455="","",IF(ISNA(MATCH(B1455,Client_List!$B:$B,0)),"⚠ NOT FOUND","✓"))</f>
        <v/>
      </c>
    </row>
    <row r="1456" spans="1:12" ht="14" customHeight="1" x14ac:dyDescent="0.2">
      <c r="A1456" s="59"/>
      <c r="B1456" s="18"/>
      <c r="C1456" s="19" t="str">
        <f>IF(B1456="","",IFERROR(INDEX(Client_List!$C:$C,MATCH(B1456,Client_List!$B:$B,0)),""))</f>
        <v/>
      </c>
      <c r="D1456" s="19" t="str">
        <f>IF(B1456="","",IFERROR(INDEX(Client_List!$D:$D,MATCH(B1456,Client_List!$B:$B,0)),""))</f>
        <v/>
      </c>
      <c r="E1456" s="19" t="str">
        <f>IF(B1456="","",IFERROR(INDEX(Client_List!$K:$K,MATCH(B1456,Client_List!$B:$B,0)),""))</f>
        <v/>
      </c>
      <c r="F1456" s="19" t="str">
        <f>IF(B1456="","",IFERROR(INDEX(Client_List!$J:$J,MATCH(B1456,Client_List!$B:$B,0)),""))</f>
        <v/>
      </c>
      <c r="G1456" s="19"/>
      <c r="H1456" s="19" t="str">
        <f>IF(B1456="","",IFERROR(A1456-LOOKUP(2,1/($B$4:$B1455=B1456),$A$4:$A1455),""))</f>
        <v/>
      </c>
      <c r="I1456" s="19" t="str">
        <f t="shared" si="22"/>
        <v/>
      </c>
      <c r="J1456" s="19"/>
      <c r="K1456" s="6" t="str">
        <f>IF(B1456="","",IFERROR(AVERAGEIFS($I$4:$I1456,$B$4:$B1456,B1456,$I$4:$I1456,"&gt;"&amp;0),""))</f>
        <v/>
      </c>
      <c r="L1456" s="19" t="str">
        <f>IF(B1456="","",IF(ISNA(MATCH(B1456,Client_List!$B:$B,0)),"⚠ NOT FOUND","✓"))</f>
        <v/>
      </c>
    </row>
    <row r="1457" spans="1:12" ht="14" customHeight="1" x14ac:dyDescent="0.2">
      <c r="A1457" s="58"/>
      <c r="B1457" s="15"/>
      <c r="C1457" s="16" t="str">
        <f>IF(B1457="","",IFERROR(INDEX(Client_List!$C:$C,MATCH(B1457,Client_List!$B:$B,0)),""))</f>
        <v/>
      </c>
      <c r="D1457" s="16" t="str">
        <f>IF(B1457="","",IFERROR(INDEX(Client_List!$D:$D,MATCH(B1457,Client_List!$B:$B,0)),""))</f>
        <v/>
      </c>
      <c r="E1457" s="16" t="str">
        <f>IF(B1457="","",IFERROR(INDEX(Client_List!$K:$K,MATCH(B1457,Client_List!$B:$B,0)),""))</f>
        <v/>
      </c>
      <c r="F1457" s="16" t="str">
        <f>IF(B1457="","",IFERROR(INDEX(Client_List!$J:$J,MATCH(B1457,Client_List!$B:$B,0)),""))</f>
        <v/>
      </c>
      <c r="G1457" s="16"/>
      <c r="H1457" s="16" t="str">
        <f>IF(B1457="","",IFERROR(A1457-LOOKUP(2,1/($B$4:$B1456=B1457),$A$4:$A1456),""))</f>
        <v/>
      </c>
      <c r="I1457" s="16" t="str">
        <f t="shared" si="22"/>
        <v/>
      </c>
      <c r="J1457" s="16"/>
      <c r="K1457" s="6" t="str">
        <f>IF(B1457="","",IFERROR(AVERAGEIFS($I$4:$I1457,$B$4:$B1457,B1457,$I$4:$I1457,"&gt;"&amp;0),""))</f>
        <v/>
      </c>
      <c r="L1457" s="16" t="str">
        <f>IF(B1457="","",IF(ISNA(MATCH(B1457,Client_List!$B:$B,0)),"⚠ NOT FOUND","✓"))</f>
        <v/>
      </c>
    </row>
    <row r="1458" spans="1:12" ht="14" customHeight="1" x14ac:dyDescent="0.2">
      <c r="A1458" s="59"/>
      <c r="B1458" s="18"/>
      <c r="C1458" s="19" t="str">
        <f>IF(B1458="","",IFERROR(INDEX(Client_List!$C:$C,MATCH(B1458,Client_List!$B:$B,0)),""))</f>
        <v/>
      </c>
      <c r="D1458" s="19" t="str">
        <f>IF(B1458="","",IFERROR(INDEX(Client_List!$D:$D,MATCH(B1458,Client_List!$B:$B,0)),""))</f>
        <v/>
      </c>
      <c r="E1458" s="19" t="str">
        <f>IF(B1458="","",IFERROR(INDEX(Client_List!$K:$K,MATCH(B1458,Client_List!$B:$B,0)),""))</f>
        <v/>
      </c>
      <c r="F1458" s="19" t="str">
        <f>IF(B1458="","",IFERROR(INDEX(Client_List!$J:$J,MATCH(B1458,Client_List!$B:$B,0)),""))</f>
        <v/>
      </c>
      <c r="G1458" s="19"/>
      <c r="H1458" s="19" t="str">
        <f>IF(B1458="","",IFERROR(A1458-LOOKUP(2,1/($B$4:$B1457=B1458),$A$4:$A1457),""))</f>
        <v/>
      </c>
      <c r="I1458" s="19" t="str">
        <f t="shared" si="22"/>
        <v/>
      </c>
      <c r="J1458" s="19"/>
      <c r="K1458" s="6" t="str">
        <f>IF(B1458="","",IFERROR(AVERAGEIFS($I$4:$I1458,$B$4:$B1458,B1458,$I$4:$I1458,"&gt;"&amp;0),""))</f>
        <v/>
      </c>
      <c r="L1458" s="19" t="str">
        <f>IF(B1458="","",IF(ISNA(MATCH(B1458,Client_List!$B:$B,0)),"⚠ NOT FOUND","✓"))</f>
        <v/>
      </c>
    </row>
    <row r="1459" spans="1:12" ht="14" customHeight="1" x14ac:dyDescent="0.2">
      <c r="A1459" s="58"/>
      <c r="B1459" s="15"/>
      <c r="C1459" s="16" t="str">
        <f>IF(B1459="","",IFERROR(INDEX(Client_List!$C:$C,MATCH(B1459,Client_List!$B:$B,0)),""))</f>
        <v/>
      </c>
      <c r="D1459" s="16" t="str">
        <f>IF(B1459="","",IFERROR(INDEX(Client_List!$D:$D,MATCH(B1459,Client_List!$B:$B,0)),""))</f>
        <v/>
      </c>
      <c r="E1459" s="16" t="str">
        <f>IF(B1459="","",IFERROR(INDEX(Client_List!$K:$K,MATCH(B1459,Client_List!$B:$B,0)),""))</f>
        <v/>
      </c>
      <c r="F1459" s="16" t="str">
        <f>IF(B1459="","",IFERROR(INDEX(Client_List!$J:$J,MATCH(B1459,Client_List!$B:$B,0)),""))</f>
        <v/>
      </c>
      <c r="G1459" s="16"/>
      <c r="H1459" s="16" t="str">
        <f>IF(B1459="","",IFERROR(A1459-LOOKUP(2,1/($B$4:$B1458=B1459),$A$4:$A1458),""))</f>
        <v/>
      </c>
      <c r="I1459" s="16" t="str">
        <f t="shared" si="22"/>
        <v/>
      </c>
      <c r="J1459" s="16"/>
      <c r="K1459" s="6" t="str">
        <f>IF(B1459="","",IFERROR(AVERAGEIFS($I$4:$I1459,$B$4:$B1459,B1459,$I$4:$I1459,"&gt;"&amp;0),""))</f>
        <v/>
      </c>
      <c r="L1459" s="16" t="str">
        <f>IF(B1459="","",IF(ISNA(MATCH(B1459,Client_List!$B:$B,0)),"⚠ NOT FOUND","✓"))</f>
        <v/>
      </c>
    </row>
    <row r="1460" spans="1:12" ht="14" customHeight="1" x14ac:dyDescent="0.2">
      <c r="A1460" s="59"/>
      <c r="B1460" s="18"/>
      <c r="C1460" s="19" t="str">
        <f>IF(B1460="","",IFERROR(INDEX(Client_List!$C:$C,MATCH(B1460,Client_List!$B:$B,0)),""))</f>
        <v/>
      </c>
      <c r="D1460" s="19" t="str">
        <f>IF(B1460="","",IFERROR(INDEX(Client_List!$D:$D,MATCH(B1460,Client_List!$B:$B,0)),""))</f>
        <v/>
      </c>
      <c r="E1460" s="19" t="str">
        <f>IF(B1460="","",IFERROR(INDEX(Client_List!$K:$K,MATCH(B1460,Client_List!$B:$B,0)),""))</f>
        <v/>
      </c>
      <c r="F1460" s="19" t="str">
        <f>IF(B1460="","",IFERROR(INDEX(Client_List!$J:$J,MATCH(B1460,Client_List!$B:$B,0)),""))</f>
        <v/>
      </c>
      <c r="G1460" s="19"/>
      <c r="H1460" s="19" t="str">
        <f>IF(B1460="","",IFERROR(A1460-LOOKUP(2,1/($B$4:$B1459=B1460),$A$4:$A1459),""))</f>
        <v/>
      </c>
      <c r="I1460" s="19" t="str">
        <f t="shared" si="22"/>
        <v/>
      </c>
      <c r="J1460" s="19"/>
      <c r="K1460" s="6" t="str">
        <f>IF(B1460="","",IFERROR(AVERAGEIFS($I$4:$I1460,$B$4:$B1460,B1460,$I$4:$I1460,"&gt;"&amp;0),""))</f>
        <v/>
      </c>
      <c r="L1460" s="19" t="str">
        <f>IF(B1460="","",IF(ISNA(MATCH(B1460,Client_List!$B:$B,0)),"⚠ NOT FOUND","✓"))</f>
        <v/>
      </c>
    </row>
    <row r="1461" spans="1:12" ht="14" customHeight="1" x14ac:dyDescent="0.2">
      <c r="A1461" s="58"/>
      <c r="B1461" s="15"/>
      <c r="C1461" s="16" t="str">
        <f>IF(B1461="","",IFERROR(INDEX(Client_List!$C:$C,MATCH(B1461,Client_List!$B:$B,0)),""))</f>
        <v/>
      </c>
      <c r="D1461" s="16" t="str">
        <f>IF(B1461="","",IFERROR(INDEX(Client_List!$D:$D,MATCH(B1461,Client_List!$B:$B,0)),""))</f>
        <v/>
      </c>
      <c r="E1461" s="16" t="str">
        <f>IF(B1461="","",IFERROR(INDEX(Client_List!$K:$K,MATCH(B1461,Client_List!$B:$B,0)),""))</f>
        <v/>
      </c>
      <c r="F1461" s="16" t="str">
        <f>IF(B1461="","",IFERROR(INDEX(Client_List!$J:$J,MATCH(B1461,Client_List!$B:$B,0)),""))</f>
        <v/>
      </c>
      <c r="G1461" s="16"/>
      <c r="H1461" s="16" t="str">
        <f>IF(B1461="","",IFERROR(A1461-LOOKUP(2,1/($B$4:$B1460=B1461),$A$4:$A1460),""))</f>
        <v/>
      </c>
      <c r="I1461" s="16" t="str">
        <f t="shared" si="22"/>
        <v/>
      </c>
      <c r="J1461" s="16"/>
      <c r="K1461" s="6" t="str">
        <f>IF(B1461="","",IFERROR(AVERAGEIFS($I$4:$I1461,$B$4:$B1461,B1461,$I$4:$I1461,"&gt;"&amp;0),""))</f>
        <v/>
      </c>
      <c r="L1461" s="16" t="str">
        <f>IF(B1461="","",IF(ISNA(MATCH(B1461,Client_List!$B:$B,0)),"⚠ NOT FOUND","✓"))</f>
        <v/>
      </c>
    </row>
    <row r="1462" spans="1:12" ht="14" customHeight="1" x14ac:dyDescent="0.2">
      <c r="A1462" s="59"/>
      <c r="B1462" s="18"/>
      <c r="C1462" s="19" t="str">
        <f>IF(B1462="","",IFERROR(INDEX(Client_List!$C:$C,MATCH(B1462,Client_List!$B:$B,0)),""))</f>
        <v/>
      </c>
      <c r="D1462" s="19" t="str">
        <f>IF(B1462="","",IFERROR(INDEX(Client_List!$D:$D,MATCH(B1462,Client_List!$B:$B,0)),""))</f>
        <v/>
      </c>
      <c r="E1462" s="19" t="str">
        <f>IF(B1462="","",IFERROR(INDEX(Client_List!$K:$K,MATCH(B1462,Client_List!$B:$B,0)),""))</f>
        <v/>
      </c>
      <c r="F1462" s="19" t="str">
        <f>IF(B1462="","",IFERROR(INDEX(Client_List!$J:$J,MATCH(B1462,Client_List!$B:$B,0)),""))</f>
        <v/>
      </c>
      <c r="G1462" s="19"/>
      <c r="H1462" s="19" t="str">
        <f>IF(B1462="","",IFERROR(A1462-LOOKUP(2,1/($B$4:$B1461=B1462),$A$4:$A1461),""))</f>
        <v/>
      </c>
      <c r="I1462" s="19" t="str">
        <f t="shared" si="22"/>
        <v/>
      </c>
      <c r="J1462" s="19"/>
      <c r="K1462" s="6" t="str">
        <f>IF(B1462="","",IFERROR(AVERAGEIFS($I$4:$I1462,$B$4:$B1462,B1462,$I$4:$I1462,"&gt;"&amp;0),""))</f>
        <v/>
      </c>
      <c r="L1462" s="19" t="str">
        <f>IF(B1462="","",IF(ISNA(MATCH(B1462,Client_List!$B:$B,0)),"⚠ NOT FOUND","✓"))</f>
        <v/>
      </c>
    </row>
    <row r="1463" spans="1:12" ht="14" customHeight="1" x14ac:dyDescent="0.2">
      <c r="A1463" s="58"/>
      <c r="B1463" s="15"/>
      <c r="C1463" s="16" t="str">
        <f>IF(B1463="","",IFERROR(INDEX(Client_List!$C:$C,MATCH(B1463,Client_List!$B:$B,0)),""))</f>
        <v/>
      </c>
      <c r="D1463" s="16" t="str">
        <f>IF(B1463="","",IFERROR(INDEX(Client_List!$D:$D,MATCH(B1463,Client_List!$B:$B,0)),""))</f>
        <v/>
      </c>
      <c r="E1463" s="16" t="str">
        <f>IF(B1463="","",IFERROR(INDEX(Client_List!$K:$K,MATCH(B1463,Client_List!$B:$B,0)),""))</f>
        <v/>
      </c>
      <c r="F1463" s="16" t="str">
        <f>IF(B1463="","",IFERROR(INDEX(Client_List!$J:$J,MATCH(B1463,Client_List!$B:$B,0)),""))</f>
        <v/>
      </c>
      <c r="G1463" s="16"/>
      <c r="H1463" s="16" t="str">
        <f>IF(B1463="","",IFERROR(A1463-LOOKUP(2,1/($B$4:$B1462=B1463),$A$4:$A1462),""))</f>
        <v/>
      </c>
      <c r="I1463" s="16" t="str">
        <f t="shared" si="22"/>
        <v/>
      </c>
      <c r="J1463" s="16"/>
      <c r="K1463" s="6" t="str">
        <f>IF(B1463="","",IFERROR(AVERAGEIFS($I$4:$I1463,$B$4:$B1463,B1463,$I$4:$I1463,"&gt;"&amp;0),""))</f>
        <v/>
      </c>
      <c r="L1463" s="16" t="str">
        <f>IF(B1463="","",IF(ISNA(MATCH(B1463,Client_List!$B:$B,0)),"⚠ NOT FOUND","✓"))</f>
        <v/>
      </c>
    </row>
    <row r="1464" spans="1:12" ht="14" customHeight="1" x14ac:dyDescent="0.2">
      <c r="A1464" s="59"/>
      <c r="B1464" s="18"/>
      <c r="C1464" s="19" t="str">
        <f>IF(B1464="","",IFERROR(INDEX(Client_List!$C:$C,MATCH(B1464,Client_List!$B:$B,0)),""))</f>
        <v/>
      </c>
      <c r="D1464" s="19" t="str">
        <f>IF(B1464="","",IFERROR(INDEX(Client_List!$D:$D,MATCH(B1464,Client_List!$B:$B,0)),""))</f>
        <v/>
      </c>
      <c r="E1464" s="19" t="str">
        <f>IF(B1464="","",IFERROR(INDEX(Client_List!$K:$K,MATCH(B1464,Client_List!$B:$B,0)),""))</f>
        <v/>
      </c>
      <c r="F1464" s="19" t="str">
        <f>IF(B1464="","",IFERROR(INDEX(Client_List!$J:$J,MATCH(B1464,Client_List!$B:$B,0)),""))</f>
        <v/>
      </c>
      <c r="G1464" s="19"/>
      <c r="H1464" s="19" t="str">
        <f>IF(B1464="","",IFERROR(A1464-LOOKUP(2,1/($B$4:$B1463=B1464),$A$4:$A1463),""))</f>
        <v/>
      </c>
      <c r="I1464" s="19" t="str">
        <f t="shared" si="22"/>
        <v/>
      </c>
      <c r="J1464" s="19"/>
      <c r="K1464" s="6" t="str">
        <f>IF(B1464="","",IFERROR(AVERAGEIFS($I$4:$I1464,$B$4:$B1464,B1464,$I$4:$I1464,"&gt;"&amp;0),""))</f>
        <v/>
      </c>
      <c r="L1464" s="19" t="str">
        <f>IF(B1464="","",IF(ISNA(MATCH(B1464,Client_List!$B:$B,0)),"⚠ NOT FOUND","✓"))</f>
        <v/>
      </c>
    </row>
    <row r="1465" spans="1:12" ht="14" customHeight="1" x14ac:dyDescent="0.2">
      <c r="A1465" s="58"/>
      <c r="B1465" s="15"/>
      <c r="C1465" s="16" t="str">
        <f>IF(B1465="","",IFERROR(INDEX(Client_List!$C:$C,MATCH(B1465,Client_List!$B:$B,0)),""))</f>
        <v/>
      </c>
      <c r="D1465" s="16" t="str">
        <f>IF(B1465="","",IFERROR(INDEX(Client_List!$D:$D,MATCH(B1465,Client_List!$B:$B,0)),""))</f>
        <v/>
      </c>
      <c r="E1465" s="16" t="str">
        <f>IF(B1465="","",IFERROR(INDEX(Client_List!$K:$K,MATCH(B1465,Client_List!$B:$B,0)),""))</f>
        <v/>
      </c>
      <c r="F1465" s="16" t="str">
        <f>IF(B1465="","",IFERROR(INDEX(Client_List!$J:$J,MATCH(B1465,Client_List!$B:$B,0)),""))</f>
        <v/>
      </c>
      <c r="G1465" s="16"/>
      <c r="H1465" s="16" t="str">
        <f>IF(B1465="","",IFERROR(A1465-LOOKUP(2,1/($B$4:$B1464=B1465),$A$4:$A1464),""))</f>
        <v/>
      </c>
      <c r="I1465" s="16" t="str">
        <f t="shared" si="22"/>
        <v/>
      </c>
      <c r="J1465" s="16"/>
      <c r="K1465" s="6" t="str">
        <f>IF(B1465="","",IFERROR(AVERAGEIFS($I$4:$I1465,$B$4:$B1465,B1465,$I$4:$I1465,"&gt;"&amp;0),""))</f>
        <v/>
      </c>
      <c r="L1465" s="16" t="str">
        <f>IF(B1465="","",IF(ISNA(MATCH(B1465,Client_List!$B:$B,0)),"⚠ NOT FOUND","✓"))</f>
        <v/>
      </c>
    </row>
    <row r="1466" spans="1:12" ht="14" customHeight="1" x14ac:dyDescent="0.2">
      <c r="A1466" s="59"/>
      <c r="B1466" s="18"/>
      <c r="C1466" s="19" t="str">
        <f>IF(B1466="","",IFERROR(INDEX(Client_List!$C:$C,MATCH(B1466,Client_List!$B:$B,0)),""))</f>
        <v/>
      </c>
      <c r="D1466" s="19" t="str">
        <f>IF(B1466="","",IFERROR(INDEX(Client_List!$D:$D,MATCH(B1466,Client_List!$B:$B,0)),""))</f>
        <v/>
      </c>
      <c r="E1466" s="19" t="str">
        <f>IF(B1466="","",IFERROR(INDEX(Client_List!$K:$K,MATCH(B1466,Client_List!$B:$B,0)),""))</f>
        <v/>
      </c>
      <c r="F1466" s="19" t="str">
        <f>IF(B1466="","",IFERROR(INDEX(Client_List!$J:$J,MATCH(B1466,Client_List!$B:$B,0)),""))</f>
        <v/>
      </c>
      <c r="G1466" s="19"/>
      <c r="H1466" s="19" t="str">
        <f>IF(B1466="","",IFERROR(A1466-LOOKUP(2,1/($B$4:$B1465=B1466),$A$4:$A1465),""))</f>
        <v/>
      </c>
      <c r="I1466" s="19" t="str">
        <f t="shared" si="22"/>
        <v/>
      </c>
      <c r="J1466" s="19"/>
      <c r="K1466" s="6" t="str">
        <f>IF(B1466="","",IFERROR(AVERAGEIFS($I$4:$I1466,$B$4:$B1466,B1466,$I$4:$I1466,"&gt;"&amp;0),""))</f>
        <v/>
      </c>
      <c r="L1466" s="19" t="str">
        <f>IF(B1466="","",IF(ISNA(MATCH(B1466,Client_List!$B:$B,0)),"⚠ NOT FOUND","✓"))</f>
        <v/>
      </c>
    </row>
    <row r="1467" spans="1:12" ht="14" customHeight="1" x14ac:dyDescent="0.2">
      <c r="A1467" s="58"/>
      <c r="B1467" s="15"/>
      <c r="C1467" s="16" t="str">
        <f>IF(B1467="","",IFERROR(INDEX(Client_List!$C:$C,MATCH(B1467,Client_List!$B:$B,0)),""))</f>
        <v/>
      </c>
      <c r="D1467" s="16" t="str">
        <f>IF(B1467="","",IFERROR(INDEX(Client_List!$D:$D,MATCH(B1467,Client_List!$B:$B,0)),""))</f>
        <v/>
      </c>
      <c r="E1467" s="16" t="str">
        <f>IF(B1467="","",IFERROR(INDEX(Client_List!$K:$K,MATCH(B1467,Client_List!$B:$B,0)),""))</f>
        <v/>
      </c>
      <c r="F1467" s="16" t="str">
        <f>IF(B1467="","",IFERROR(INDEX(Client_List!$J:$J,MATCH(B1467,Client_List!$B:$B,0)),""))</f>
        <v/>
      </c>
      <c r="G1467" s="16"/>
      <c r="H1467" s="16" t="str">
        <f>IF(B1467="","",IFERROR(A1467-LOOKUP(2,1/($B$4:$B1466=B1467),$A$4:$A1466),""))</f>
        <v/>
      </c>
      <c r="I1467" s="16" t="str">
        <f t="shared" si="22"/>
        <v/>
      </c>
      <c r="J1467" s="16"/>
      <c r="K1467" s="6" t="str">
        <f>IF(B1467="","",IFERROR(AVERAGEIFS($I$4:$I1467,$B$4:$B1467,B1467,$I$4:$I1467,"&gt;"&amp;0),""))</f>
        <v/>
      </c>
      <c r="L1467" s="16" t="str">
        <f>IF(B1467="","",IF(ISNA(MATCH(B1467,Client_List!$B:$B,0)),"⚠ NOT FOUND","✓"))</f>
        <v/>
      </c>
    </row>
    <row r="1468" spans="1:12" ht="14" customHeight="1" x14ac:dyDescent="0.2">
      <c r="A1468" s="59"/>
      <c r="B1468" s="18"/>
      <c r="C1468" s="19" t="str">
        <f>IF(B1468="","",IFERROR(INDEX(Client_List!$C:$C,MATCH(B1468,Client_List!$B:$B,0)),""))</f>
        <v/>
      </c>
      <c r="D1468" s="19" t="str">
        <f>IF(B1468="","",IFERROR(INDEX(Client_List!$D:$D,MATCH(B1468,Client_List!$B:$B,0)),""))</f>
        <v/>
      </c>
      <c r="E1468" s="19" t="str">
        <f>IF(B1468="","",IFERROR(INDEX(Client_List!$K:$K,MATCH(B1468,Client_List!$B:$B,0)),""))</f>
        <v/>
      </c>
      <c r="F1468" s="19" t="str">
        <f>IF(B1468="","",IFERROR(INDEX(Client_List!$J:$J,MATCH(B1468,Client_List!$B:$B,0)),""))</f>
        <v/>
      </c>
      <c r="G1468" s="19"/>
      <c r="H1468" s="19" t="str">
        <f>IF(B1468="","",IFERROR(A1468-LOOKUP(2,1/($B$4:$B1467=B1468),$A$4:$A1467),""))</f>
        <v/>
      </c>
      <c r="I1468" s="19" t="str">
        <f t="shared" si="22"/>
        <v/>
      </c>
      <c r="J1468" s="19"/>
      <c r="K1468" s="6" t="str">
        <f>IF(B1468="","",IFERROR(AVERAGEIFS($I$4:$I1468,$B$4:$B1468,B1468,$I$4:$I1468,"&gt;"&amp;0),""))</f>
        <v/>
      </c>
      <c r="L1468" s="19" t="str">
        <f>IF(B1468="","",IF(ISNA(MATCH(B1468,Client_List!$B:$B,0)),"⚠ NOT FOUND","✓"))</f>
        <v/>
      </c>
    </row>
    <row r="1469" spans="1:12" ht="14" customHeight="1" x14ac:dyDescent="0.2">
      <c r="A1469" s="58"/>
      <c r="B1469" s="15"/>
      <c r="C1469" s="16" t="str">
        <f>IF(B1469="","",IFERROR(INDEX(Client_List!$C:$C,MATCH(B1469,Client_List!$B:$B,0)),""))</f>
        <v/>
      </c>
      <c r="D1469" s="16" t="str">
        <f>IF(B1469="","",IFERROR(INDEX(Client_List!$D:$D,MATCH(B1469,Client_List!$B:$B,0)),""))</f>
        <v/>
      </c>
      <c r="E1469" s="16" t="str">
        <f>IF(B1469="","",IFERROR(INDEX(Client_List!$K:$K,MATCH(B1469,Client_List!$B:$B,0)),""))</f>
        <v/>
      </c>
      <c r="F1469" s="16" t="str">
        <f>IF(B1469="","",IFERROR(INDEX(Client_List!$J:$J,MATCH(B1469,Client_List!$B:$B,0)),""))</f>
        <v/>
      </c>
      <c r="G1469" s="16"/>
      <c r="H1469" s="16" t="str">
        <f>IF(B1469="","",IFERROR(A1469-LOOKUP(2,1/($B$4:$B1468=B1469),$A$4:$A1468),""))</f>
        <v/>
      </c>
      <c r="I1469" s="16" t="str">
        <f t="shared" si="22"/>
        <v/>
      </c>
      <c r="J1469" s="16"/>
      <c r="K1469" s="6" t="str">
        <f>IF(B1469="","",IFERROR(AVERAGEIFS($I$4:$I1469,$B$4:$B1469,B1469,$I$4:$I1469,"&gt;"&amp;0),""))</f>
        <v/>
      </c>
      <c r="L1469" s="16" t="str">
        <f>IF(B1469="","",IF(ISNA(MATCH(B1469,Client_List!$B:$B,0)),"⚠ NOT FOUND","✓"))</f>
        <v/>
      </c>
    </row>
    <row r="1470" spans="1:12" ht="14" customHeight="1" x14ac:dyDescent="0.2">
      <c r="A1470" s="59"/>
      <c r="B1470" s="18"/>
      <c r="C1470" s="19" t="str">
        <f>IF(B1470="","",IFERROR(INDEX(Client_List!$C:$C,MATCH(B1470,Client_List!$B:$B,0)),""))</f>
        <v/>
      </c>
      <c r="D1470" s="19" t="str">
        <f>IF(B1470="","",IFERROR(INDEX(Client_List!$D:$D,MATCH(B1470,Client_List!$B:$B,0)),""))</f>
        <v/>
      </c>
      <c r="E1470" s="19" t="str">
        <f>IF(B1470="","",IFERROR(INDEX(Client_List!$K:$K,MATCH(B1470,Client_List!$B:$B,0)),""))</f>
        <v/>
      </c>
      <c r="F1470" s="19" t="str">
        <f>IF(B1470="","",IFERROR(INDEX(Client_List!$J:$J,MATCH(B1470,Client_List!$B:$B,0)),""))</f>
        <v/>
      </c>
      <c r="G1470" s="19"/>
      <c r="H1470" s="19" t="str">
        <f>IF(B1470="","",IFERROR(A1470-LOOKUP(2,1/($B$4:$B1469=B1470),$A$4:$A1469),""))</f>
        <v/>
      </c>
      <c r="I1470" s="19" t="str">
        <f t="shared" si="22"/>
        <v/>
      </c>
      <c r="J1470" s="19"/>
      <c r="K1470" s="6" t="str">
        <f>IF(B1470="","",IFERROR(AVERAGEIFS($I$4:$I1470,$B$4:$B1470,B1470,$I$4:$I1470,"&gt;"&amp;0),""))</f>
        <v/>
      </c>
      <c r="L1470" s="19" t="str">
        <f>IF(B1470="","",IF(ISNA(MATCH(B1470,Client_List!$B:$B,0)),"⚠ NOT FOUND","✓"))</f>
        <v/>
      </c>
    </row>
    <row r="1471" spans="1:12" ht="14" customHeight="1" x14ac:dyDescent="0.2">
      <c r="A1471" s="58"/>
      <c r="B1471" s="15"/>
      <c r="C1471" s="16" t="str">
        <f>IF(B1471="","",IFERROR(INDEX(Client_List!$C:$C,MATCH(B1471,Client_List!$B:$B,0)),""))</f>
        <v/>
      </c>
      <c r="D1471" s="16" t="str">
        <f>IF(B1471="","",IFERROR(INDEX(Client_List!$D:$D,MATCH(B1471,Client_List!$B:$B,0)),""))</f>
        <v/>
      </c>
      <c r="E1471" s="16" t="str">
        <f>IF(B1471="","",IFERROR(INDEX(Client_List!$K:$K,MATCH(B1471,Client_List!$B:$B,0)),""))</f>
        <v/>
      </c>
      <c r="F1471" s="16" t="str">
        <f>IF(B1471="","",IFERROR(INDEX(Client_List!$J:$J,MATCH(B1471,Client_List!$B:$B,0)),""))</f>
        <v/>
      </c>
      <c r="G1471" s="16"/>
      <c r="H1471" s="16" t="str">
        <f>IF(B1471="","",IFERROR(A1471-LOOKUP(2,1/($B$4:$B1470=B1471),$A$4:$A1470),""))</f>
        <v/>
      </c>
      <c r="I1471" s="16" t="str">
        <f t="shared" si="22"/>
        <v/>
      </c>
      <c r="J1471" s="16"/>
      <c r="K1471" s="6" t="str">
        <f>IF(B1471="","",IFERROR(AVERAGEIFS($I$4:$I1471,$B$4:$B1471,B1471,$I$4:$I1471,"&gt;"&amp;0),""))</f>
        <v/>
      </c>
      <c r="L1471" s="16" t="str">
        <f>IF(B1471="","",IF(ISNA(MATCH(B1471,Client_List!$B:$B,0)),"⚠ NOT FOUND","✓"))</f>
        <v/>
      </c>
    </row>
    <row r="1472" spans="1:12" ht="14" customHeight="1" x14ac:dyDescent="0.2">
      <c r="A1472" s="59"/>
      <c r="B1472" s="18"/>
      <c r="C1472" s="19" t="str">
        <f>IF(B1472="","",IFERROR(INDEX(Client_List!$C:$C,MATCH(B1472,Client_List!$B:$B,0)),""))</f>
        <v/>
      </c>
      <c r="D1472" s="19" t="str">
        <f>IF(B1472="","",IFERROR(INDEX(Client_List!$D:$D,MATCH(B1472,Client_List!$B:$B,0)),""))</f>
        <v/>
      </c>
      <c r="E1472" s="19" t="str">
        <f>IF(B1472="","",IFERROR(INDEX(Client_List!$K:$K,MATCH(B1472,Client_List!$B:$B,0)),""))</f>
        <v/>
      </c>
      <c r="F1472" s="19" t="str">
        <f>IF(B1472="","",IFERROR(INDEX(Client_List!$J:$J,MATCH(B1472,Client_List!$B:$B,0)),""))</f>
        <v/>
      </c>
      <c r="G1472" s="19"/>
      <c r="H1472" s="19" t="str">
        <f>IF(B1472="","",IFERROR(A1472-LOOKUP(2,1/($B$4:$B1471=B1472),$A$4:$A1471),""))</f>
        <v/>
      </c>
      <c r="I1472" s="19" t="str">
        <f t="shared" si="22"/>
        <v/>
      </c>
      <c r="J1472" s="19"/>
      <c r="K1472" s="6" t="str">
        <f>IF(B1472="","",IFERROR(AVERAGEIFS($I$4:$I1472,$B$4:$B1472,B1472,$I$4:$I1472,"&gt;"&amp;0),""))</f>
        <v/>
      </c>
      <c r="L1472" s="19" t="str">
        <f>IF(B1472="","",IF(ISNA(MATCH(B1472,Client_List!$B:$B,0)),"⚠ NOT FOUND","✓"))</f>
        <v/>
      </c>
    </row>
    <row r="1473" spans="1:12" ht="14" customHeight="1" x14ac:dyDescent="0.2">
      <c r="A1473" s="58"/>
      <c r="B1473" s="15"/>
      <c r="C1473" s="16" t="str">
        <f>IF(B1473="","",IFERROR(INDEX(Client_List!$C:$C,MATCH(B1473,Client_List!$B:$B,0)),""))</f>
        <v/>
      </c>
      <c r="D1473" s="16" t="str">
        <f>IF(B1473="","",IFERROR(INDEX(Client_List!$D:$D,MATCH(B1473,Client_List!$B:$B,0)),""))</f>
        <v/>
      </c>
      <c r="E1473" s="16" t="str">
        <f>IF(B1473="","",IFERROR(INDEX(Client_List!$K:$K,MATCH(B1473,Client_List!$B:$B,0)),""))</f>
        <v/>
      </c>
      <c r="F1473" s="16" t="str">
        <f>IF(B1473="","",IFERROR(INDEX(Client_List!$J:$J,MATCH(B1473,Client_List!$B:$B,0)),""))</f>
        <v/>
      </c>
      <c r="G1473" s="16"/>
      <c r="H1473" s="16" t="str">
        <f>IF(B1473="","",IFERROR(A1473-LOOKUP(2,1/($B$4:$B1472=B1473),$A$4:$A1472),""))</f>
        <v/>
      </c>
      <c r="I1473" s="16" t="str">
        <f t="shared" si="22"/>
        <v/>
      </c>
      <c r="J1473" s="16"/>
      <c r="K1473" s="6" t="str">
        <f>IF(B1473="","",IFERROR(AVERAGEIFS($I$4:$I1473,$B$4:$B1473,B1473,$I$4:$I1473,"&gt;"&amp;0),""))</f>
        <v/>
      </c>
      <c r="L1473" s="16" t="str">
        <f>IF(B1473="","",IF(ISNA(MATCH(B1473,Client_List!$B:$B,0)),"⚠ NOT FOUND","✓"))</f>
        <v/>
      </c>
    </row>
    <row r="1474" spans="1:12" ht="14" customHeight="1" x14ac:dyDescent="0.2">
      <c r="A1474" s="59"/>
      <c r="B1474" s="18"/>
      <c r="C1474" s="19" t="str">
        <f>IF(B1474="","",IFERROR(INDEX(Client_List!$C:$C,MATCH(B1474,Client_List!$B:$B,0)),""))</f>
        <v/>
      </c>
      <c r="D1474" s="19" t="str">
        <f>IF(B1474="","",IFERROR(INDEX(Client_List!$D:$D,MATCH(B1474,Client_List!$B:$B,0)),""))</f>
        <v/>
      </c>
      <c r="E1474" s="19" t="str">
        <f>IF(B1474="","",IFERROR(INDEX(Client_List!$K:$K,MATCH(B1474,Client_List!$B:$B,0)),""))</f>
        <v/>
      </c>
      <c r="F1474" s="19" t="str">
        <f>IF(B1474="","",IFERROR(INDEX(Client_List!$J:$J,MATCH(B1474,Client_List!$B:$B,0)),""))</f>
        <v/>
      </c>
      <c r="G1474" s="19"/>
      <c r="H1474" s="19" t="str">
        <f>IF(B1474="","",IFERROR(A1474-LOOKUP(2,1/($B$4:$B1473=B1474),$A$4:$A1473),""))</f>
        <v/>
      </c>
      <c r="I1474" s="19" t="str">
        <f t="shared" si="22"/>
        <v/>
      </c>
      <c r="J1474" s="19"/>
      <c r="K1474" s="6" t="str">
        <f>IF(B1474="","",IFERROR(AVERAGEIFS($I$4:$I1474,$B$4:$B1474,B1474,$I$4:$I1474,"&gt;"&amp;0),""))</f>
        <v/>
      </c>
      <c r="L1474" s="19" t="str">
        <f>IF(B1474="","",IF(ISNA(MATCH(B1474,Client_List!$B:$B,0)),"⚠ NOT FOUND","✓"))</f>
        <v/>
      </c>
    </row>
    <row r="1475" spans="1:12" ht="14" customHeight="1" x14ac:dyDescent="0.2">
      <c r="A1475" s="58"/>
      <c r="B1475" s="15"/>
      <c r="C1475" s="16" t="str">
        <f>IF(B1475="","",IFERROR(INDEX(Client_List!$C:$C,MATCH(B1475,Client_List!$B:$B,0)),""))</f>
        <v/>
      </c>
      <c r="D1475" s="16" t="str">
        <f>IF(B1475="","",IFERROR(INDEX(Client_List!$D:$D,MATCH(B1475,Client_List!$B:$B,0)),""))</f>
        <v/>
      </c>
      <c r="E1475" s="16" t="str">
        <f>IF(B1475="","",IFERROR(INDEX(Client_List!$K:$K,MATCH(B1475,Client_List!$B:$B,0)),""))</f>
        <v/>
      </c>
      <c r="F1475" s="16" t="str">
        <f>IF(B1475="","",IFERROR(INDEX(Client_List!$J:$J,MATCH(B1475,Client_List!$B:$B,0)),""))</f>
        <v/>
      </c>
      <c r="G1475" s="16"/>
      <c r="H1475" s="16" t="str">
        <f>IF(B1475="","",IFERROR(A1475-LOOKUP(2,1/($B$4:$B1474=B1475),$A$4:$A1474),""))</f>
        <v/>
      </c>
      <c r="I1475" s="16" t="str">
        <f t="shared" si="22"/>
        <v/>
      </c>
      <c r="J1475" s="16"/>
      <c r="K1475" s="6" t="str">
        <f>IF(B1475="","",IFERROR(AVERAGEIFS($I$4:$I1475,$B$4:$B1475,B1475,$I$4:$I1475,"&gt;"&amp;0),""))</f>
        <v/>
      </c>
      <c r="L1475" s="16" t="str">
        <f>IF(B1475="","",IF(ISNA(MATCH(B1475,Client_List!$B:$B,0)),"⚠ NOT FOUND","✓"))</f>
        <v/>
      </c>
    </row>
    <row r="1476" spans="1:12" ht="14" customHeight="1" x14ac:dyDescent="0.2">
      <c r="A1476" s="59"/>
      <c r="B1476" s="18"/>
      <c r="C1476" s="19" t="str">
        <f>IF(B1476="","",IFERROR(INDEX(Client_List!$C:$C,MATCH(B1476,Client_List!$B:$B,0)),""))</f>
        <v/>
      </c>
      <c r="D1476" s="19" t="str">
        <f>IF(B1476="","",IFERROR(INDEX(Client_List!$D:$D,MATCH(B1476,Client_List!$B:$B,0)),""))</f>
        <v/>
      </c>
      <c r="E1476" s="19" t="str">
        <f>IF(B1476="","",IFERROR(INDEX(Client_List!$K:$K,MATCH(B1476,Client_List!$B:$B,0)),""))</f>
        <v/>
      </c>
      <c r="F1476" s="19" t="str">
        <f>IF(B1476="","",IFERROR(INDEX(Client_List!$J:$J,MATCH(B1476,Client_List!$B:$B,0)),""))</f>
        <v/>
      </c>
      <c r="G1476" s="19"/>
      <c r="H1476" s="19" t="str">
        <f>IF(B1476="","",IFERROR(A1476-LOOKUP(2,1/($B$4:$B1475=B1476),$A$4:$A1475),""))</f>
        <v/>
      </c>
      <c r="I1476" s="19" t="str">
        <f t="shared" ref="I1476:I1539" si="23">IF(B1476="","",IFERROR(G1476/H1476,""))</f>
        <v/>
      </c>
      <c r="J1476" s="19"/>
      <c r="K1476" s="6" t="str">
        <f>IF(B1476="","",IFERROR(AVERAGEIFS($I$4:$I1476,$B$4:$B1476,B1476,$I$4:$I1476,"&gt;"&amp;0),""))</f>
        <v/>
      </c>
      <c r="L1476" s="19" t="str">
        <f>IF(B1476="","",IF(ISNA(MATCH(B1476,Client_List!$B:$B,0)),"⚠ NOT FOUND","✓"))</f>
        <v/>
      </c>
    </row>
    <row r="1477" spans="1:12" ht="14" customHeight="1" x14ac:dyDescent="0.2">
      <c r="A1477" s="58"/>
      <c r="B1477" s="15"/>
      <c r="C1477" s="16" t="str">
        <f>IF(B1477="","",IFERROR(INDEX(Client_List!$C:$C,MATCH(B1477,Client_List!$B:$B,0)),""))</f>
        <v/>
      </c>
      <c r="D1477" s="16" t="str">
        <f>IF(B1477="","",IFERROR(INDEX(Client_List!$D:$D,MATCH(B1477,Client_List!$B:$B,0)),""))</f>
        <v/>
      </c>
      <c r="E1477" s="16" t="str">
        <f>IF(B1477="","",IFERROR(INDEX(Client_List!$K:$K,MATCH(B1477,Client_List!$B:$B,0)),""))</f>
        <v/>
      </c>
      <c r="F1477" s="16" t="str">
        <f>IF(B1477="","",IFERROR(INDEX(Client_List!$J:$J,MATCH(B1477,Client_List!$B:$B,0)),""))</f>
        <v/>
      </c>
      <c r="G1477" s="16"/>
      <c r="H1477" s="16" t="str">
        <f>IF(B1477="","",IFERROR(A1477-LOOKUP(2,1/($B$4:$B1476=B1477),$A$4:$A1476),""))</f>
        <v/>
      </c>
      <c r="I1477" s="16" t="str">
        <f t="shared" si="23"/>
        <v/>
      </c>
      <c r="J1477" s="16"/>
      <c r="K1477" s="6" t="str">
        <f>IF(B1477="","",IFERROR(AVERAGEIFS($I$4:$I1477,$B$4:$B1477,B1477,$I$4:$I1477,"&gt;"&amp;0),""))</f>
        <v/>
      </c>
      <c r="L1477" s="16" t="str">
        <f>IF(B1477="","",IF(ISNA(MATCH(B1477,Client_List!$B:$B,0)),"⚠ NOT FOUND","✓"))</f>
        <v/>
      </c>
    </row>
    <row r="1478" spans="1:12" ht="14" customHeight="1" x14ac:dyDescent="0.2">
      <c r="A1478" s="59"/>
      <c r="B1478" s="18"/>
      <c r="C1478" s="19" t="str">
        <f>IF(B1478="","",IFERROR(INDEX(Client_List!$C:$C,MATCH(B1478,Client_List!$B:$B,0)),""))</f>
        <v/>
      </c>
      <c r="D1478" s="19" t="str">
        <f>IF(B1478="","",IFERROR(INDEX(Client_List!$D:$D,MATCH(B1478,Client_List!$B:$B,0)),""))</f>
        <v/>
      </c>
      <c r="E1478" s="19" t="str">
        <f>IF(B1478="","",IFERROR(INDEX(Client_List!$K:$K,MATCH(B1478,Client_List!$B:$B,0)),""))</f>
        <v/>
      </c>
      <c r="F1478" s="19" t="str">
        <f>IF(B1478="","",IFERROR(INDEX(Client_List!$J:$J,MATCH(B1478,Client_List!$B:$B,0)),""))</f>
        <v/>
      </c>
      <c r="G1478" s="19"/>
      <c r="H1478" s="19" t="str">
        <f>IF(B1478="","",IFERROR(A1478-LOOKUP(2,1/($B$4:$B1477=B1478),$A$4:$A1477),""))</f>
        <v/>
      </c>
      <c r="I1478" s="19" t="str">
        <f t="shared" si="23"/>
        <v/>
      </c>
      <c r="J1478" s="19"/>
      <c r="K1478" s="6" t="str">
        <f>IF(B1478="","",IFERROR(AVERAGEIFS($I$4:$I1478,$B$4:$B1478,B1478,$I$4:$I1478,"&gt;"&amp;0),""))</f>
        <v/>
      </c>
      <c r="L1478" s="19" t="str">
        <f>IF(B1478="","",IF(ISNA(MATCH(B1478,Client_List!$B:$B,0)),"⚠ NOT FOUND","✓"))</f>
        <v/>
      </c>
    </row>
    <row r="1479" spans="1:12" ht="14" customHeight="1" x14ac:dyDescent="0.2">
      <c r="A1479" s="58"/>
      <c r="B1479" s="15"/>
      <c r="C1479" s="16" t="str">
        <f>IF(B1479="","",IFERROR(INDEX(Client_List!$C:$C,MATCH(B1479,Client_List!$B:$B,0)),""))</f>
        <v/>
      </c>
      <c r="D1479" s="16" t="str">
        <f>IF(B1479="","",IFERROR(INDEX(Client_List!$D:$D,MATCH(B1479,Client_List!$B:$B,0)),""))</f>
        <v/>
      </c>
      <c r="E1479" s="16" t="str">
        <f>IF(B1479="","",IFERROR(INDEX(Client_List!$K:$K,MATCH(B1479,Client_List!$B:$B,0)),""))</f>
        <v/>
      </c>
      <c r="F1479" s="16" t="str">
        <f>IF(B1479="","",IFERROR(INDEX(Client_List!$J:$J,MATCH(B1479,Client_List!$B:$B,0)),""))</f>
        <v/>
      </c>
      <c r="G1479" s="16"/>
      <c r="H1479" s="16" t="str">
        <f>IF(B1479="","",IFERROR(A1479-LOOKUP(2,1/($B$4:$B1478=B1479),$A$4:$A1478),""))</f>
        <v/>
      </c>
      <c r="I1479" s="16" t="str">
        <f t="shared" si="23"/>
        <v/>
      </c>
      <c r="J1479" s="16"/>
      <c r="K1479" s="6" t="str">
        <f>IF(B1479="","",IFERROR(AVERAGEIFS($I$4:$I1479,$B$4:$B1479,B1479,$I$4:$I1479,"&gt;"&amp;0),""))</f>
        <v/>
      </c>
      <c r="L1479" s="16" t="str">
        <f>IF(B1479="","",IF(ISNA(MATCH(B1479,Client_List!$B:$B,0)),"⚠ NOT FOUND","✓"))</f>
        <v/>
      </c>
    </row>
    <row r="1480" spans="1:12" ht="14" customHeight="1" x14ac:dyDescent="0.2">
      <c r="A1480" s="59"/>
      <c r="B1480" s="18"/>
      <c r="C1480" s="19" t="str">
        <f>IF(B1480="","",IFERROR(INDEX(Client_List!$C:$C,MATCH(B1480,Client_List!$B:$B,0)),""))</f>
        <v/>
      </c>
      <c r="D1480" s="19" t="str">
        <f>IF(B1480="","",IFERROR(INDEX(Client_List!$D:$D,MATCH(B1480,Client_List!$B:$B,0)),""))</f>
        <v/>
      </c>
      <c r="E1480" s="19" t="str">
        <f>IF(B1480="","",IFERROR(INDEX(Client_List!$K:$K,MATCH(B1480,Client_List!$B:$B,0)),""))</f>
        <v/>
      </c>
      <c r="F1480" s="19" t="str">
        <f>IF(B1480="","",IFERROR(INDEX(Client_List!$J:$J,MATCH(B1480,Client_List!$B:$B,0)),""))</f>
        <v/>
      </c>
      <c r="G1480" s="19"/>
      <c r="H1480" s="19" t="str">
        <f>IF(B1480="","",IFERROR(A1480-LOOKUP(2,1/($B$4:$B1479=B1480),$A$4:$A1479),""))</f>
        <v/>
      </c>
      <c r="I1480" s="19" t="str">
        <f t="shared" si="23"/>
        <v/>
      </c>
      <c r="J1480" s="19"/>
      <c r="K1480" s="6" t="str">
        <f>IF(B1480="","",IFERROR(AVERAGEIFS($I$4:$I1480,$B$4:$B1480,B1480,$I$4:$I1480,"&gt;"&amp;0),""))</f>
        <v/>
      </c>
      <c r="L1480" s="19" t="str">
        <f>IF(B1480="","",IF(ISNA(MATCH(B1480,Client_List!$B:$B,0)),"⚠ NOT FOUND","✓"))</f>
        <v/>
      </c>
    </row>
    <row r="1481" spans="1:12" ht="14" customHeight="1" x14ac:dyDescent="0.2">
      <c r="A1481" s="58"/>
      <c r="B1481" s="15"/>
      <c r="C1481" s="16" t="str">
        <f>IF(B1481="","",IFERROR(INDEX(Client_List!$C:$C,MATCH(B1481,Client_List!$B:$B,0)),""))</f>
        <v/>
      </c>
      <c r="D1481" s="16" t="str">
        <f>IF(B1481="","",IFERROR(INDEX(Client_List!$D:$D,MATCH(B1481,Client_List!$B:$B,0)),""))</f>
        <v/>
      </c>
      <c r="E1481" s="16" t="str">
        <f>IF(B1481="","",IFERROR(INDEX(Client_List!$K:$K,MATCH(B1481,Client_List!$B:$B,0)),""))</f>
        <v/>
      </c>
      <c r="F1481" s="16" t="str">
        <f>IF(B1481="","",IFERROR(INDEX(Client_List!$J:$J,MATCH(B1481,Client_List!$B:$B,0)),""))</f>
        <v/>
      </c>
      <c r="G1481" s="16"/>
      <c r="H1481" s="16" t="str">
        <f>IF(B1481="","",IFERROR(A1481-LOOKUP(2,1/($B$4:$B1480=B1481),$A$4:$A1480),""))</f>
        <v/>
      </c>
      <c r="I1481" s="16" t="str">
        <f t="shared" si="23"/>
        <v/>
      </c>
      <c r="J1481" s="16"/>
      <c r="K1481" s="6" t="str">
        <f>IF(B1481="","",IFERROR(AVERAGEIFS($I$4:$I1481,$B$4:$B1481,B1481,$I$4:$I1481,"&gt;"&amp;0),""))</f>
        <v/>
      </c>
      <c r="L1481" s="16" t="str">
        <f>IF(B1481="","",IF(ISNA(MATCH(B1481,Client_List!$B:$B,0)),"⚠ NOT FOUND","✓"))</f>
        <v/>
      </c>
    </row>
    <row r="1482" spans="1:12" ht="14" customHeight="1" x14ac:dyDescent="0.2">
      <c r="A1482" s="59"/>
      <c r="B1482" s="18"/>
      <c r="C1482" s="19" t="str">
        <f>IF(B1482="","",IFERROR(INDEX(Client_List!$C:$C,MATCH(B1482,Client_List!$B:$B,0)),""))</f>
        <v/>
      </c>
      <c r="D1482" s="19" t="str">
        <f>IF(B1482="","",IFERROR(INDEX(Client_List!$D:$D,MATCH(B1482,Client_List!$B:$B,0)),""))</f>
        <v/>
      </c>
      <c r="E1482" s="19" t="str">
        <f>IF(B1482="","",IFERROR(INDEX(Client_List!$K:$K,MATCH(B1482,Client_List!$B:$B,0)),""))</f>
        <v/>
      </c>
      <c r="F1482" s="19" t="str">
        <f>IF(B1482="","",IFERROR(INDEX(Client_List!$J:$J,MATCH(B1482,Client_List!$B:$B,0)),""))</f>
        <v/>
      </c>
      <c r="G1482" s="19"/>
      <c r="H1482" s="19" t="str">
        <f>IF(B1482="","",IFERROR(A1482-LOOKUP(2,1/($B$4:$B1481=B1482),$A$4:$A1481),""))</f>
        <v/>
      </c>
      <c r="I1482" s="19" t="str">
        <f t="shared" si="23"/>
        <v/>
      </c>
      <c r="J1482" s="19"/>
      <c r="K1482" s="6" t="str">
        <f>IF(B1482="","",IFERROR(AVERAGEIFS($I$4:$I1482,$B$4:$B1482,B1482,$I$4:$I1482,"&gt;"&amp;0),""))</f>
        <v/>
      </c>
      <c r="L1482" s="19" t="str">
        <f>IF(B1482="","",IF(ISNA(MATCH(B1482,Client_List!$B:$B,0)),"⚠ NOT FOUND","✓"))</f>
        <v/>
      </c>
    </row>
    <row r="1483" spans="1:12" ht="14" customHeight="1" x14ac:dyDescent="0.2">
      <c r="A1483" s="58"/>
      <c r="B1483" s="15"/>
      <c r="C1483" s="16" t="str">
        <f>IF(B1483="","",IFERROR(INDEX(Client_List!$C:$C,MATCH(B1483,Client_List!$B:$B,0)),""))</f>
        <v/>
      </c>
      <c r="D1483" s="16" t="str">
        <f>IF(B1483="","",IFERROR(INDEX(Client_List!$D:$D,MATCH(B1483,Client_List!$B:$B,0)),""))</f>
        <v/>
      </c>
      <c r="E1483" s="16" t="str">
        <f>IF(B1483="","",IFERROR(INDEX(Client_List!$K:$K,MATCH(B1483,Client_List!$B:$B,0)),""))</f>
        <v/>
      </c>
      <c r="F1483" s="16" t="str">
        <f>IF(B1483="","",IFERROR(INDEX(Client_List!$J:$J,MATCH(B1483,Client_List!$B:$B,0)),""))</f>
        <v/>
      </c>
      <c r="G1483" s="16"/>
      <c r="H1483" s="16" t="str">
        <f>IF(B1483="","",IFERROR(A1483-LOOKUP(2,1/($B$4:$B1482=B1483),$A$4:$A1482),""))</f>
        <v/>
      </c>
      <c r="I1483" s="16" t="str">
        <f t="shared" si="23"/>
        <v/>
      </c>
      <c r="J1483" s="16"/>
      <c r="K1483" s="6" t="str">
        <f>IF(B1483="","",IFERROR(AVERAGEIFS($I$4:$I1483,$B$4:$B1483,B1483,$I$4:$I1483,"&gt;"&amp;0),""))</f>
        <v/>
      </c>
      <c r="L1483" s="16" t="str">
        <f>IF(B1483="","",IF(ISNA(MATCH(B1483,Client_List!$B:$B,0)),"⚠ NOT FOUND","✓"))</f>
        <v/>
      </c>
    </row>
    <row r="1484" spans="1:12" ht="14" customHeight="1" x14ac:dyDescent="0.2">
      <c r="A1484" s="59"/>
      <c r="B1484" s="18"/>
      <c r="C1484" s="19" t="str">
        <f>IF(B1484="","",IFERROR(INDEX(Client_List!$C:$C,MATCH(B1484,Client_List!$B:$B,0)),""))</f>
        <v/>
      </c>
      <c r="D1484" s="19" t="str">
        <f>IF(B1484="","",IFERROR(INDEX(Client_List!$D:$D,MATCH(B1484,Client_List!$B:$B,0)),""))</f>
        <v/>
      </c>
      <c r="E1484" s="19" t="str">
        <f>IF(B1484="","",IFERROR(INDEX(Client_List!$K:$K,MATCH(B1484,Client_List!$B:$B,0)),""))</f>
        <v/>
      </c>
      <c r="F1484" s="19" t="str">
        <f>IF(B1484="","",IFERROR(INDEX(Client_List!$J:$J,MATCH(B1484,Client_List!$B:$B,0)),""))</f>
        <v/>
      </c>
      <c r="G1484" s="19"/>
      <c r="H1484" s="19" t="str">
        <f>IF(B1484="","",IFERROR(A1484-LOOKUP(2,1/($B$4:$B1483=B1484),$A$4:$A1483),""))</f>
        <v/>
      </c>
      <c r="I1484" s="19" t="str">
        <f t="shared" si="23"/>
        <v/>
      </c>
      <c r="J1484" s="19"/>
      <c r="K1484" s="6" t="str">
        <f>IF(B1484="","",IFERROR(AVERAGEIFS($I$4:$I1484,$B$4:$B1484,B1484,$I$4:$I1484,"&gt;"&amp;0),""))</f>
        <v/>
      </c>
      <c r="L1484" s="19" t="str">
        <f>IF(B1484="","",IF(ISNA(MATCH(B1484,Client_List!$B:$B,0)),"⚠ NOT FOUND","✓"))</f>
        <v/>
      </c>
    </row>
    <row r="1485" spans="1:12" ht="14" customHeight="1" x14ac:dyDescent="0.2">
      <c r="A1485" s="58"/>
      <c r="B1485" s="15"/>
      <c r="C1485" s="16" t="str">
        <f>IF(B1485="","",IFERROR(INDEX(Client_List!$C:$C,MATCH(B1485,Client_List!$B:$B,0)),""))</f>
        <v/>
      </c>
      <c r="D1485" s="16" t="str">
        <f>IF(B1485="","",IFERROR(INDEX(Client_List!$D:$D,MATCH(B1485,Client_List!$B:$B,0)),""))</f>
        <v/>
      </c>
      <c r="E1485" s="16" t="str">
        <f>IF(B1485="","",IFERROR(INDEX(Client_List!$K:$K,MATCH(B1485,Client_List!$B:$B,0)),""))</f>
        <v/>
      </c>
      <c r="F1485" s="16" t="str">
        <f>IF(B1485="","",IFERROR(INDEX(Client_List!$J:$J,MATCH(B1485,Client_List!$B:$B,0)),""))</f>
        <v/>
      </c>
      <c r="G1485" s="16"/>
      <c r="H1485" s="16" t="str">
        <f>IF(B1485="","",IFERROR(A1485-LOOKUP(2,1/($B$4:$B1484=B1485),$A$4:$A1484),""))</f>
        <v/>
      </c>
      <c r="I1485" s="16" t="str">
        <f t="shared" si="23"/>
        <v/>
      </c>
      <c r="J1485" s="16"/>
      <c r="K1485" s="6" t="str">
        <f>IF(B1485="","",IFERROR(AVERAGEIFS($I$4:$I1485,$B$4:$B1485,B1485,$I$4:$I1485,"&gt;"&amp;0),""))</f>
        <v/>
      </c>
      <c r="L1485" s="16" t="str">
        <f>IF(B1485="","",IF(ISNA(MATCH(B1485,Client_List!$B:$B,0)),"⚠ NOT FOUND","✓"))</f>
        <v/>
      </c>
    </row>
    <row r="1486" spans="1:12" ht="14" customHeight="1" x14ac:dyDescent="0.2">
      <c r="A1486" s="59"/>
      <c r="B1486" s="18"/>
      <c r="C1486" s="19" t="str">
        <f>IF(B1486="","",IFERROR(INDEX(Client_List!$C:$C,MATCH(B1486,Client_List!$B:$B,0)),""))</f>
        <v/>
      </c>
      <c r="D1486" s="19" t="str">
        <f>IF(B1486="","",IFERROR(INDEX(Client_List!$D:$D,MATCH(B1486,Client_List!$B:$B,0)),""))</f>
        <v/>
      </c>
      <c r="E1486" s="19" t="str">
        <f>IF(B1486="","",IFERROR(INDEX(Client_List!$K:$K,MATCH(B1486,Client_List!$B:$B,0)),""))</f>
        <v/>
      </c>
      <c r="F1486" s="19" t="str">
        <f>IF(B1486="","",IFERROR(INDEX(Client_List!$J:$J,MATCH(B1486,Client_List!$B:$B,0)),""))</f>
        <v/>
      </c>
      <c r="G1486" s="19"/>
      <c r="H1486" s="19" t="str">
        <f>IF(B1486="","",IFERROR(A1486-LOOKUP(2,1/($B$4:$B1485=B1486),$A$4:$A1485),""))</f>
        <v/>
      </c>
      <c r="I1486" s="19" t="str">
        <f t="shared" si="23"/>
        <v/>
      </c>
      <c r="J1486" s="19"/>
      <c r="K1486" s="6" t="str">
        <f>IF(B1486="","",IFERROR(AVERAGEIFS($I$4:$I1486,$B$4:$B1486,B1486,$I$4:$I1486,"&gt;"&amp;0),""))</f>
        <v/>
      </c>
      <c r="L1486" s="19" t="str">
        <f>IF(B1486="","",IF(ISNA(MATCH(B1486,Client_List!$B:$B,0)),"⚠ NOT FOUND","✓"))</f>
        <v/>
      </c>
    </row>
    <row r="1487" spans="1:12" ht="14" customHeight="1" x14ac:dyDescent="0.2">
      <c r="A1487" s="58"/>
      <c r="B1487" s="15"/>
      <c r="C1487" s="16" t="str">
        <f>IF(B1487="","",IFERROR(INDEX(Client_List!$C:$C,MATCH(B1487,Client_List!$B:$B,0)),""))</f>
        <v/>
      </c>
      <c r="D1487" s="16" t="str">
        <f>IF(B1487="","",IFERROR(INDEX(Client_List!$D:$D,MATCH(B1487,Client_List!$B:$B,0)),""))</f>
        <v/>
      </c>
      <c r="E1487" s="16" t="str">
        <f>IF(B1487="","",IFERROR(INDEX(Client_List!$K:$K,MATCH(B1487,Client_List!$B:$B,0)),""))</f>
        <v/>
      </c>
      <c r="F1487" s="16" t="str">
        <f>IF(B1487="","",IFERROR(INDEX(Client_List!$J:$J,MATCH(B1487,Client_List!$B:$B,0)),""))</f>
        <v/>
      </c>
      <c r="G1487" s="16"/>
      <c r="H1487" s="16" t="str">
        <f>IF(B1487="","",IFERROR(A1487-LOOKUP(2,1/($B$4:$B1486=B1487),$A$4:$A1486),""))</f>
        <v/>
      </c>
      <c r="I1487" s="16" t="str">
        <f t="shared" si="23"/>
        <v/>
      </c>
      <c r="J1487" s="16"/>
      <c r="K1487" s="6" t="str">
        <f>IF(B1487="","",IFERROR(AVERAGEIFS($I$4:$I1487,$B$4:$B1487,B1487,$I$4:$I1487,"&gt;"&amp;0),""))</f>
        <v/>
      </c>
      <c r="L1487" s="16" t="str">
        <f>IF(B1487="","",IF(ISNA(MATCH(B1487,Client_List!$B:$B,0)),"⚠ NOT FOUND","✓"))</f>
        <v/>
      </c>
    </row>
    <row r="1488" spans="1:12" ht="14" customHeight="1" x14ac:dyDescent="0.2">
      <c r="A1488" s="59"/>
      <c r="B1488" s="18"/>
      <c r="C1488" s="19" t="str">
        <f>IF(B1488="","",IFERROR(INDEX(Client_List!$C:$C,MATCH(B1488,Client_List!$B:$B,0)),""))</f>
        <v/>
      </c>
      <c r="D1488" s="19" t="str">
        <f>IF(B1488="","",IFERROR(INDEX(Client_List!$D:$D,MATCH(B1488,Client_List!$B:$B,0)),""))</f>
        <v/>
      </c>
      <c r="E1488" s="19" t="str">
        <f>IF(B1488="","",IFERROR(INDEX(Client_List!$K:$K,MATCH(B1488,Client_List!$B:$B,0)),""))</f>
        <v/>
      </c>
      <c r="F1488" s="19" t="str">
        <f>IF(B1488="","",IFERROR(INDEX(Client_List!$J:$J,MATCH(B1488,Client_List!$B:$B,0)),""))</f>
        <v/>
      </c>
      <c r="G1488" s="19"/>
      <c r="H1488" s="19" t="str">
        <f>IF(B1488="","",IFERROR(A1488-LOOKUP(2,1/($B$4:$B1487=B1488),$A$4:$A1487),""))</f>
        <v/>
      </c>
      <c r="I1488" s="19" t="str">
        <f t="shared" si="23"/>
        <v/>
      </c>
      <c r="J1488" s="19"/>
      <c r="K1488" s="6" t="str">
        <f>IF(B1488="","",IFERROR(AVERAGEIFS($I$4:$I1488,$B$4:$B1488,B1488,$I$4:$I1488,"&gt;"&amp;0),""))</f>
        <v/>
      </c>
      <c r="L1488" s="19" t="str">
        <f>IF(B1488="","",IF(ISNA(MATCH(B1488,Client_List!$B:$B,0)),"⚠ NOT FOUND","✓"))</f>
        <v/>
      </c>
    </row>
    <row r="1489" spans="1:12" ht="14" customHeight="1" x14ac:dyDescent="0.2">
      <c r="A1489" s="58"/>
      <c r="B1489" s="15"/>
      <c r="C1489" s="16" t="str">
        <f>IF(B1489="","",IFERROR(INDEX(Client_List!$C:$C,MATCH(B1489,Client_List!$B:$B,0)),""))</f>
        <v/>
      </c>
      <c r="D1489" s="16" t="str">
        <f>IF(B1489="","",IFERROR(INDEX(Client_List!$D:$D,MATCH(B1489,Client_List!$B:$B,0)),""))</f>
        <v/>
      </c>
      <c r="E1489" s="16" t="str">
        <f>IF(B1489="","",IFERROR(INDEX(Client_List!$K:$K,MATCH(B1489,Client_List!$B:$B,0)),""))</f>
        <v/>
      </c>
      <c r="F1489" s="16" t="str">
        <f>IF(B1489="","",IFERROR(INDEX(Client_List!$J:$J,MATCH(B1489,Client_List!$B:$B,0)),""))</f>
        <v/>
      </c>
      <c r="G1489" s="16"/>
      <c r="H1489" s="16" t="str">
        <f>IF(B1489="","",IFERROR(A1489-LOOKUP(2,1/($B$4:$B1488=B1489),$A$4:$A1488),""))</f>
        <v/>
      </c>
      <c r="I1489" s="16" t="str">
        <f t="shared" si="23"/>
        <v/>
      </c>
      <c r="J1489" s="16"/>
      <c r="K1489" s="6" t="str">
        <f>IF(B1489="","",IFERROR(AVERAGEIFS($I$4:$I1489,$B$4:$B1489,B1489,$I$4:$I1489,"&gt;"&amp;0),""))</f>
        <v/>
      </c>
      <c r="L1489" s="16" t="str">
        <f>IF(B1489="","",IF(ISNA(MATCH(B1489,Client_List!$B:$B,0)),"⚠ NOT FOUND","✓"))</f>
        <v/>
      </c>
    </row>
    <row r="1490" spans="1:12" ht="14" customHeight="1" x14ac:dyDescent="0.2">
      <c r="A1490" s="59"/>
      <c r="B1490" s="18"/>
      <c r="C1490" s="19" t="str">
        <f>IF(B1490="","",IFERROR(INDEX(Client_List!$C:$C,MATCH(B1490,Client_List!$B:$B,0)),""))</f>
        <v/>
      </c>
      <c r="D1490" s="19" t="str">
        <f>IF(B1490="","",IFERROR(INDEX(Client_List!$D:$D,MATCH(B1490,Client_List!$B:$B,0)),""))</f>
        <v/>
      </c>
      <c r="E1490" s="19" t="str">
        <f>IF(B1490="","",IFERROR(INDEX(Client_List!$K:$K,MATCH(B1490,Client_List!$B:$B,0)),""))</f>
        <v/>
      </c>
      <c r="F1490" s="19" t="str">
        <f>IF(B1490="","",IFERROR(INDEX(Client_List!$J:$J,MATCH(B1490,Client_List!$B:$B,0)),""))</f>
        <v/>
      </c>
      <c r="G1490" s="19"/>
      <c r="H1490" s="19" t="str">
        <f>IF(B1490="","",IFERROR(A1490-LOOKUP(2,1/($B$4:$B1489=B1490),$A$4:$A1489),""))</f>
        <v/>
      </c>
      <c r="I1490" s="19" t="str">
        <f t="shared" si="23"/>
        <v/>
      </c>
      <c r="J1490" s="19"/>
      <c r="K1490" s="6" t="str">
        <f>IF(B1490="","",IFERROR(AVERAGEIFS($I$4:$I1490,$B$4:$B1490,B1490,$I$4:$I1490,"&gt;"&amp;0),""))</f>
        <v/>
      </c>
      <c r="L1490" s="19" t="str">
        <f>IF(B1490="","",IF(ISNA(MATCH(B1490,Client_List!$B:$B,0)),"⚠ NOT FOUND","✓"))</f>
        <v/>
      </c>
    </row>
    <row r="1491" spans="1:12" ht="14" customHeight="1" x14ac:dyDescent="0.2">
      <c r="A1491" s="58"/>
      <c r="B1491" s="15"/>
      <c r="C1491" s="16" t="str">
        <f>IF(B1491="","",IFERROR(INDEX(Client_List!$C:$C,MATCH(B1491,Client_List!$B:$B,0)),""))</f>
        <v/>
      </c>
      <c r="D1491" s="16" t="str">
        <f>IF(B1491="","",IFERROR(INDEX(Client_List!$D:$D,MATCH(B1491,Client_List!$B:$B,0)),""))</f>
        <v/>
      </c>
      <c r="E1491" s="16" t="str">
        <f>IF(B1491="","",IFERROR(INDEX(Client_List!$K:$K,MATCH(B1491,Client_List!$B:$B,0)),""))</f>
        <v/>
      </c>
      <c r="F1491" s="16" t="str">
        <f>IF(B1491="","",IFERROR(INDEX(Client_List!$J:$J,MATCH(B1491,Client_List!$B:$B,0)),""))</f>
        <v/>
      </c>
      <c r="G1491" s="16"/>
      <c r="H1491" s="16" t="str">
        <f>IF(B1491="","",IFERROR(A1491-LOOKUP(2,1/($B$4:$B1490=B1491),$A$4:$A1490),""))</f>
        <v/>
      </c>
      <c r="I1491" s="16" t="str">
        <f t="shared" si="23"/>
        <v/>
      </c>
      <c r="J1491" s="16"/>
      <c r="K1491" s="6" t="str">
        <f>IF(B1491="","",IFERROR(AVERAGEIFS($I$4:$I1491,$B$4:$B1491,B1491,$I$4:$I1491,"&gt;"&amp;0),""))</f>
        <v/>
      </c>
      <c r="L1491" s="16" t="str">
        <f>IF(B1491="","",IF(ISNA(MATCH(B1491,Client_List!$B:$B,0)),"⚠ NOT FOUND","✓"))</f>
        <v/>
      </c>
    </row>
    <row r="1492" spans="1:12" ht="14" customHeight="1" x14ac:dyDescent="0.2">
      <c r="A1492" s="59"/>
      <c r="B1492" s="18"/>
      <c r="C1492" s="19" t="str">
        <f>IF(B1492="","",IFERROR(INDEX(Client_List!$C:$C,MATCH(B1492,Client_List!$B:$B,0)),""))</f>
        <v/>
      </c>
      <c r="D1492" s="19" t="str">
        <f>IF(B1492="","",IFERROR(INDEX(Client_List!$D:$D,MATCH(B1492,Client_List!$B:$B,0)),""))</f>
        <v/>
      </c>
      <c r="E1492" s="19" t="str">
        <f>IF(B1492="","",IFERROR(INDEX(Client_List!$K:$K,MATCH(B1492,Client_List!$B:$B,0)),""))</f>
        <v/>
      </c>
      <c r="F1492" s="19" t="str">
        <f>IF(B1492="","",IFERROR(INDEX(Client_List!$J:$J,MATCH(B1492,Client_List!$B:$B,0)),""))</f>
        <v/>
      </c>
      <c r="G1492" s="19"/>
      <c r="H1492" s="19" t="str">
        <f>IF(B1492="","",IFERROR(A1492-LOOKUP(2,1/($B$4:$B1491=B1492),$A$4:$A1491),""))</f>
        <v/>
      </c>
      <c r="I1492" s="19" t="str">
        <f t="shared" si="23"/>
        <v/>
      </c>
      <c r="J1492" s="19"/>
      <c r="K1492" s="6" t="str">
        <f>IF(B1492="","",IFERROR(AVERAGEIFS($I$4:$I1492,$B$4:$B1492,B1492,$I$4:$I1492,"&gt;"&amp;0),""))</f>
        <v/>
      </c>
      <c r="L1492" s="19" t="str">
        <f>IF(B1492="","",IF(ISNA(MATCH(B1492,Client_List!$B:$B,0)),"⚠ NOT FOUND","✓"))</f>
        <v/>
      </c>
    </row>
    <row r="1493" spans="1:12" ht="14" customHeight="1" x14ac:dyDescent="0.2">
      <c r="A1493" s="58"/>
      <c r="B1493" s="15"/>
      <c r="C1493" s="16" t="str">
        <f>IF(B1493="","",IFERROR(INDEX(Client_List!$C:$C,MATCH(B1493,Client_List!$B:$B,0)),""))</f>
        <v/>
      </c>
      <c r="D1493" s="16" t="str">
        <f>IF(B1493="","",IFERROR(INDEX(Client_List!$D:$D,MATCH(B1493,Client_List!$B:$B,0)),""))</f>
        <v/>
      </c>
      <c r="E1493" s="16" t="str">
        <f>IF(B1493="","",IFERROR(INDEX(Client_List!$K:$K,MATCH(B1493,Client_List!$B:$B,0)),""))</f>
        <v/>
      </c>
      <c r="F1493" s="16" t="str">
        <f>IF(B1493="","",IFERROR(INDEX(Client_List!$J:$J,MATCH(B1493,Client_List!$B:$B,0)),""))</f>
        <v/>
      </c>
      <c r="G1493" s="16"/>
      <c r="H1493" s="16" t="str">
        <f>IF(B1493="","",IFERROR(A1493-LOOKUP(2,1/($B$4:$B1492=B1493),$A$4:$A1492),""))</f>
        <v/>
      </c>
      <c r="I1493" s="16" t="str">
        <f t="shared" si="23"/>
        <v/>
      </c>
      <c r="J1493" s="16"/>
      <c r="K1493" s="6" t="str">
        <f>IF(B1493="","",IFERROR(AVERAGEIFS($I$4:$I1493,$B$4:$B1493,B1493,$I$4:$I1493,"&gt;"&amp;0),""))</f>
        <v/>
      </c>
      <c r="L1493" s="16" t="str">
        <f>IF(B1493="","",IF(ISNA(MATCH(B1493,Client_List!$B:$B,0)),"⚠ NOT FOUND","✓"))</f>
        <v/>
      </c>
    </row>
    <row r="1494" spans="1:12" ht="14" customHeight="1" x14ac:dyDescent="0.2">
      <c r="A1494" s="59"/>
      <c r="B1494" s="18"/>
      <c r="C1494" s="19" t="str">
        <f>IF(B1494="","",IFERROR(INDEX(Client_List!$C:$C,MATCH(B1494,Client_List!$B:$B,0)),""))</f>
        <v/>
      </c>
      <c r="D1494" s="19" t="str">
        <f>IF(B1494="","",IFERROR(INDEX(Client_List!$D:$D,MATCH(B1494,Client_List!$B:$B,0)),""))</f>
        <v/>
      </c>
      <c r="E1494" s="19" t="str">
        <f>IF(B1494="","",IFERROR(INDEX(Client_List!$K:$K,MATCH(B1494,Client_List!$B:$B,0)),""))</f>
        <v/>
      </c>
      <c r="F1494" s="19" t="str">
        <f>IF(B1494="","",IFERROR(INDEX(Client_List!$J:$J,MATCH(B1494,Client_List!$B:$B,0)),""))</f>
        <v/>
      </c>
      <c r="G1494" s="19"/>
      <c r="H1494" s="19" t="str">
        <f>IF(B1494="","",IFERROR(A1494-LOOKUP(2,1/($B$4:$B1493=B1494),$A$4:$A1493),""))</f>
        <v/>
      </c>
      <c r="I1494" s="19" t="str">
        <f t="shared" si="23"/>
        <v/>
      </c>
      <c r="J1494" s="19"/>
      <c r="K1494" s="6" t="str">
        <f>IF(B1494="","",IFERROR(AVERAGEIFS($I$4:$I1494,$B$4:$B1494,B1494,$I$4:$I1494,"&gt;"&amp;0),""))</f>
        <v/>
      </c>
      <c r="L1494" s="19" t="str">
        <f>IF(B1494="","",IF(ISNA(MATCH(B1494,Client_List!$B:$B,0)),"⚠ NOT FOUND","✓"))</f>
        <v/>
      </c>
    </row>
    <row r="1495" spans="1:12" ht="14" customHeight="1" x14ac:dyDescent="0.2">
      <c r="A1495" s="58"/>
      <c r="B1495" s="15"/>
      <c r="C1495" s="16" t="str">
        <f>IF(B1495="","",IFERROR(INDEX(Client_List!$C:$C,MATCH(B1495,Client_List!$B:$B,0)),""))</f>
        <v/>
      </c>
      <c r="D1495" s="16" t="str">
        <f>IF(B1495="","",IFERROR(INDEX(Client_List!$D:$D,MATCH(B1495,Client_List!$B:$B,0)),""))</f>
        <v/>
      </c>
      <c r="E1495" s="16" t="str">
        <f>IF(B1495="","",IFERROR(INDEX(Client_List!$K:$K,MATCH(B1495,Client_List!$B:$B,0)),""))</f>
        <v/>
      </c>
      <c r="F1495" s="16" t="str">
        <f>IF(B1495="","",IFERROR(INDEX(Client_List!$J:$J,MATCH(B1495,Client_List!$B:$B,0)),""))</f>
        <v/>
      </c>
      <c r="G1495" s="16"/>
      <c r="H1495" s="16" t="str">
        <f>IF(B1495="","",IFERROR(A1495-LOOKUP(2,1/($B$4:$B1494=B1495),$A$4:$A1494),""))</f>
        <v/>
      </c>
      <c r="I1495" s="16" t="str">
        <f t="shared" si="23"/>
        <v/>
      </c>
      <c r="J1495" s="16"/>
      <c r="K1495" s="6" t="str">
        <f>IF(B1495="","",IFERROR(AVERAGEIFS($I$4:$I1495,$B$4:$B1495,B1495,$I$4:$I1495,"&gt;"&amp;0),""))</f>
        <v/>
      </c>
      <c r="L1495" s="16" t="str">
        <f>IF(B1495="","",IF(ISNA(MATCH(B1495,Client_List!$B:$B,0)),"⚠ NOT FOUND","✓"))</f>
        <v/>
      </c>
    </row>
    <row r="1496" spans="1:12" ht="14" customHeight="1" x14ac:dyDescent="0.2">
      <c r="A1496" s="59"/>
      <c r="B1496" s="18"/>
      <c r="C1496" s="19" t="str">
        <f>IF(B1496="","",IFERROR(INDEX(Client_List!$C:$C,MATCH(B1496,Client_List!$B:$B,0)),""))</f>
        <v/>
      </c>
      <c r="D1496" s="19" t="str">
        <f>IF(B1496="","",IFERROR(INDEX(Client_List!$D:$D,MATCH(B1496,Client_List!$B:$B,0)),""))</f>
        <v/>
      </c>
      <c r="E1496" s="19" t="str">
        <f>IF(B1496="","",IFERROR(INDEX(Client_List!$K:$K,MATCH(B1496,Client_List!$B:$B,0)),""))</f>
        <v/>
      </c>
      <c r="F1496" s="19" t="str">
        <f>IF(B1496="","",IFERROR(INDEX(Client_List!$J:$J,MATCH(B1496,Client_List!$B:$B,0)),""))</f>
        <v/>
      </c>
      <c r="G1496" s="19"/>
      <c r="H1496" s="19" t="str">
        <f>IF(B1496="","",IFERROR(A1496-LOOKUP(2,1/($B$4:$B1495=B1496),$A$4:$A1495),""))</f>
        <v/>
      </c>
      <c r="I1496" s="19" t="str">
        <f t="shared" si="23"/>
        <v/>
      </c>
      <c r="J1496" s="19"/>
      <c r="K1496" s="6" t="str">
        <f>IF(B1496="","",IFERROR(AVERAGEIFS($I$4:$I1496,$B$4:$B1496,B1496,$I$4:$I1496,"&gt;"&amp;0),""))</f>
        <v/>
      </c>
      <c r="L1496" s="19" t="str">
        <f>IF(B1496="","",IF(ISNA(MATCH(B1496,Client_List!$B:$B,0)),"⚠ NOT FOUND","✓"))</f>
        <v/>
      </c>
    </row>
    <row r="1497" spans="1:12" ht="14" customHeight="1" x14ac:dyDescent="0.2">
      <c r="A1497" s="58"/>
      <c r="B1497" s="15"/>
      <c r="C1497" s="16" t="str">
        <f>IF(B1497="","",IFERROR(INDEX(Client_List!$C:$C,MATCH(B1497,Client_List!$B:$B,0)),""))</f>
        <v/>
      </c>
      <c r="D1497" s="16" t="str">
        <f>IF(B1497="","",IFERROR(INDEX(Client_List!$D:$D,MATCH(B1497,Client_List!$B:$B,0)),""))</f>
        <v/>
      </c>
      <c r="E1497" s="16" t="str">
        <f>IF(B1497="","",IFERROR(INDEX(Client_List!$K:$K,MATCH(B1497,Client_List!$B:$B,0)),""))</f>
        <v/>
      </c>
      <c r="F1497" s="16" t="str">
        <f>IF(B1497="","",IFERROR(INDEX(Client_List!$J:$J,MATCH(B1497,Client_List!$B:$B,0)),""))</f>
        <v/>
      </c>
      <c r="G1497" s="16"/>
      <c r="H1497" s="16" t="str">
        <f>IF(B1497="","",IFERROR(A1497-LOOKUP(2,1/($B$4:$B1496=B1497),$A$4:$A1496),""))</f>
        <v/>
      </c>
      <c r="I1497" s="16" t="str">
        <f t="shared" si="23"/>
        <v/>
      </c>
      <c r="J1497" s="16"/>
      <c r="K1497" s="6" t="str">
        <f>IF(B1497="","",IFERROR(AVERAGEIFS($I$4:$I1497,$B$4:$B1497,B1497,$I$4:$I1497,"&gt;"&amp;0),""))</f>
        <v/>
      </c>
      <c r="L1497" s="16" t="str">
        <f>IF(B1497="","",IF(ISNA(MATCH(B1497,Client_List!$B:$B,0)),"⚠ NOT FOUND","✓"))</f>
        <v/>
      </c>
    </row>
    <row r="1498" spans="1:12" ht="14" customHeight="1" x14ac:dyDescent="0.2">
      <c r="A1498" s="59"/>
      <c r="B1498" s="18"/>
      <c r="C1498" s="19" t="str">
        <f>IF(B1498="","",IFERROR(INDEX(Client_List!$C:$C,MATCH(B1498,Client_List!$B:$B,0)),""))</f>
        <v/>
      </c>
      <c r="D1498" s="19" t="str">
        <f>IF(B1498="","",IFERROR(INDEX(Client_List!$D:$D,MATCH(B1498,Client_List!$B:$B,0)),""))</f>
        <v/>
      </c>
      <c r="E1498" s="19" t="str">
        <f>IF(B1498="","",IFERROR(INDEX(Client_List!$K:$K,MATCH(B1498,Client_List!$B:$B,0)),""))</f>
        <v/>
      </c>
      <c r="F1498" s="19" t="str">
        <f>IF(B1498="","",IFERROR(INDEX(Client_List!$J:$J,MATCH(B1498,Client_List!$B:$B,0)),""))</f>
        <v/>
      </c>
      <c r="G1498" s="19"/>
      <c r="H1498" s="19" t="str">
        <f>IF(B1498="","",IFERROR(A1498-LOOKUP(2,1/($B$4:$B1497=B1498),$A$4:$A1497),""))</f>
        <v/>
      </c>
      <c r="I1498" s="19" t="str">
        <f t="shared" si="23"/>
        <v/>
      </c>
      <c r="J1498" s="19"/>
      <c r="K1498" s="6" t="str">
        <f>IF(B1498="","",IFERROR(AVERAGEIFS($I$4:$I1498,$B$4:$B1498,B1498,$I$4:$I1498,"&gt;"&amp;0),""))</f>
        <v/>
      </c>
      <c r="L1498" s="19" t="str">
        <f>IF(B1498="","",IF(ISNA(MATCH(B1498,Client_List!$B:$B,0)),"⚠ NOT FOUND","✓"))</f>
        <v/>
      </c>
    </row>
    <row r="1499" spans="1:12" ht="14" customHeight="1" x14ac:dyDescent="0.2">
      <c r="A1499" s="58"/>
      <c r="B1499" s="15"/>
      <c r="C1499" s="16" t="str">
        <f>IF(B1499="","",IFERROR(INDEX(Client_List!$C:$C,MATCH(B1499,Client_List!$B:$B,0)),""))</f>
        <v/>
      </c>
      <c r="D1499" s="16" t="str">
        <f>IF(B1499="","",IFERROR(INDEX(Client_List!$D:$D,MATCH(B1499,Client_List!$B:$B,0)),""))</f>
        <v/>
      </c>
      <c r="E1499" s="16" t="str">
        <f>IF(B1499="","",IFERROR(INDEX(Client_List!$K:$K,MATCH(B1499,Client_List!$B:$B,0)),""))</f>
        <v/>
      </c>
      <c r="F1499" s="16" t="str">
        <f>IF(B1499="","",IFERROR(INDEX(Client_List!$J:$J,MATCH(B1499,Client_List!$B:$B,0)),""))</f>
        <v/>
      </c>
      <c r="G1499" s="16"/>
      <c r="H1499" s="16" t="str">
        <f>IF(B1499="","",IFERROR(A1499-LOOKUP(2,1/($B$4:$B1498=B1499),$A$4:$A1498),""))</f>
        <v/>
      </c>
      <c r="I1499" s="16" t="str">
        <f t="shared" si="23"/>
        <v/>
      </c>
      <c r="J1499" s="16"/>
      <c r="K1499" s="6" t="str">
        <f>IF(B1499="","",IFERROR(AVERAGEIFS($I$4:$I1499,$B$4:$B1499,B1499,$I$4:$I1499,"&gt;"&amp;0),""))</f>
        <v/>
      </c>
      <c r="L1499" s="16" t="str">
        <f>IF(B1499="","",IF(ISNA(MATCH(B1499,Client_List!$B:$B,0)),"⚠ NOT FOUND","✓"))</f>
        <v/>
      </c>
    </row>
    <row r="1500" spans="1:12" ht="14" customHeight="1" x14ac:dyDescent="0.2">
      <c r="A1500" s="59"/>
      <c r="B1500" s="18"/>
      <c r="C1500" s="19" t="str">
        <f>IF(B1500="","",IFERROR(INDEX(Client_List!$C:$C,MATCH(B1500,Client_List!$B:$B,0)),""))</f>
        <v/>
      </c>
      <c r="D1500" s="19" t="str">
        <f>IF(B1500="","",IFERROR(INDEX(Client_List!$D:$D,MATCH(B1500,Client_List!$B:$B,0)),""))</f>
        <v/>
      </c>
      <c r="E1500" s="19" t="str">
        <f>IF(B1500="","",IFERROR(INDEX(Client_List!$K:$K,MATCH(B1500,Client_List!$B:$B,0)),""))</f>
        <v/>
      </c>
      <c r="F1500" s="19" t="str">
        <f>IF(B1500="","",IFERROR(INDEX(Client_List!$J:$J,MATCH(B1500,Client_List!$B:$B,0)),""))</f>
        <v/>
      </c>
      <c r="G1500" s="19"/>
      <c r="H1500" s="19" t="str">
        <f>IF(B1500="","",IFERROR(A1500-LOOKUP(2,1/($B$4:$B1499=B1500),$A$4:$A1499),""))</f>
        <v/>
      </c>
      <c r="I1500" s="19" t="str">
        <f t="shared" si="23"/>
        <v/>
      </c>
      <c r="J1500" s="19"/>
      <c r="K1500" s="6" t="str">
        <f>IF(B1500="","",IFERROR(AVERAGEIFS($I$4:$I1500,$B$4:$B1500,B1500,$I$4:$I1500,"&gt;"&amp;0),""))</f>
        <v/>
      </c>
      <c r="L1500" s="19" t="str">
        <f>IF(B1500="","",IF(ISNA(MATCH(B1500,Client_List!$B:$B,0)),"⚠ NOT FOUND","✓"))</f>
        <v/>
      </c>
    </row>
    <row r="1501" spans="1:12" ht="14" customHeight="1" x14ac:dyDescent="0.2">
      <c r="A1501" s="58"/>
      <c r="B1501" s="15"/>
      <c r="C1501" s="16" t="str">
        <f>IF(B1501="","",IFERROR(INDEX(Client_List!$C:$C,MATCH(B1501,Client_List!$B:$B,0)),""))</f>
        <v/>
      </c>
      <c r="D1501" s="16" t="str">
        <f>IF(B1501="","",IFERROR(INDEX(Client_List!$D:$D,MATCH(B1501,Client_List!$B:$B,0)),""))</f>
        <v/>
      </c>
      <c r="E1501" s="16" t="str">
        <f>IF(B1501="","",IFERROR(INDEX(Client_List!$K:$K,MATCH(B1501,Client_List!$B:$B,0)),""))</f>
        <v/>
      </c>
      <c r="F1501" s="16" t="str">
        <f>IF(B1501="","",IFERROR(INDEX(Client_List!$J:$J,MATCH(B1501,Client_List!$B:$B,0)),""))</f>
        <v/>
      </c>
      <c r="G1501" s="16"/>
      <c r="H1501" s="16" t="str">
        <f>IF(B1501="","",IFERROR(A1501-LOOKUP(2,1/($B$4:$B1500=B1501),$A$4:$A1500),""))</f>
        <v/>
      </c>
      <c r="I1501" s="16" t="str">
        <f t="shared" si="23"/>
        <v/>
      </c>
      <c r="J1501" s="16"/>
      <c r="K1501" s="6" t="str">
        <f>IF(B1501="","",IFERROR(AVERAGEIFS($I$4:$I1501,$B$4:$B1501,B1501,$I$4:$I1501,"&gt;"&amp;0),""))</f>
        <v/>
      </c>
      <c r="L1501" s="16" t="str">
        <f>IF(B1501="","",IF(ISNA(MATCH(B1501,Client_List!$B:$B,0)),"⚠ NOT FOUND","✓"))</f>
        <v/>
      </c>
    </row>
    <row r="1502" spans="1:12" ht="14" customHeight="1" x14ac:dyDescent="0.2">
      <c r="A1502" s="59"/>
      <c r="B1502" s="18"/>
      <c r="C1502" s="19" t="str">
        <f>IF(B1502="","",IFERROR(INDEX(Client_List!$C:$C,MATCH(B1502,Client_List!$B:$B,0)),""))</f>
        <v/>
      </c>
      <c r="D1502" s="19" t="str">
        <f>IF(B1502="","",IFERROR(INDEX(Client_List!$D:$D,MATCH(B1502,Client_List!$B:$B,0)),""))</f>
        <v/>
      </c>
      <c r="E1502" s="19" t="str">
        <f>IF(B1502="","",IFERROR(INDEX(Client_List!$K:$K,MATCH(B1502,Client_List!$B:$B,0)),""))</f>
        <v/>
      </c>
      <c r="F1502" s="19" t="str">
        <f>IF(B1502="","",IFERROR(INDEX(Client_List!$J:$J,MATCH(B1502,Client_List!$B:$B,0)),""))</f>
        <v/>
      </c>
      <c r="G1502" s="19"/>
      <c r="H1502" s="19" t="str">
        <f>IF(B1502="","",IFERROR(A1502-LOOKUP(2,1/($B$4:$B1501=B1502),$A$4:$A1501),""))</f>
        <v/>
      </c>
      <c r="I1502" s="19" t="str">
        <f t="shared" si="23"/>
        <v/>
      </c>
      <c r="J1502" s="19"/>
      <c r="K1502" s="6" t="str">
        <f>IF(B1502="","",IFERROR(AVERAGEIFS($I$4:$I1502,$B$4:$B1502,B1502,$I$4:$I1502,"&gt;"&amp;0),""))</f>
        <v/>
      </c>
      <c r="L1502" s="19" t="str">
        <f>IF(B1502="","",IF(ISNA(MATCH(B1502,Client_List!$B:$B,0)),"⚠ NOT FOUND","✓"))</f>
        <v/>
      </c>
    </row>
    <row r="1503" spans="1:12" ht="14" customHeight="1" x14ac:dyDescent="0.2">
      <c r="A1503" s="58"/>
      <c r="B1503" s="15"/>
      <c r="C1503" s="16" t="str">
        <f>IF(B1503="","",IFERROR(INDEX(Client_List!$C:$C,MATCH(B1503,Client_List!$B:$B,0)),""))</f>
        <v/>
      </c>
      <c r="D1503" s="16" t="str">
        <f>IF(B1503="","",IFERROR(INDEX(Client_List!$D:$D,MATCH(B1503,Client_List!$B:$B,0)),""))</f>
        <v/>
      </c>
      <c r="E1503" s="16" t="str">
        <f>IF(B1503="","",IFERROR(INDEX(Client_List!$K:$K,MATCH(B1503,Client_List!$B:$B,0)),""))</f>
        <v/>
      </c>
      <c r="F1503" s="16" t="str">
        <f>IF(B1503="","",IFERROR(INDEX(Client_List!$J:$J,MATCH(B1503,Client_List!$B:$B,0)),""))</f>
        <v/>
      </c>
      <c r="G1503" s="16"/>
      <c r="H1503" s="16" t="str">
        <f>IF(B1503="","",IFERROR(A1503-LOOKUP(2,1/($B$4:$B1502=B1503),$A$4:$A1502),""))</f>
        <v/>
      </c>
      <c r="I1503" s="16" t="str">
        <f t="shared" si="23"/>
        <v/>
      </c>
      <c r="J1503" s="16"/>
      <c r="K1503" s="6" t="str">
        <f>IF(B1503="","",IFERROR(AVERAGEIFS($I$4:$I1503,$B$4:$B1503,B1503,$I$4:$I1503,"&gt;"&amp;0),""))</f>
        <v/>
      </c>
      <c r="L1503" s="16" t="str">
        <f>IF(B1503="","",IF(ISNA(MATCH(B1503,Client_List!$B:$B,0)),"⚠ NOT FOUND","✓"))</f>
        <v/>
      </c>
    </row>
    <row r="1504" spans="1:12" ht="14" customHeight="1" x14ac:dyDescent="0.2">
      <c r="A1504" s="59"/>
      <c r="B1504" s="18"/>
      <c r="C1504" s="19" t="str">
        <f>IF(B1504="","",IFERROR(INDEX(Client_List!$C:$C,MATCH(B1504,Client_List!$B:$B,0)),""))</f>
        <v/>
      </c>
      <c r="D1504" s="19" t="str">
        <f>IF(B1504="","",IFERROR(INDEX(Client_List!$D:$D,MATCH(B1504,Client_List!$B:$B,0)),""))</f>
        <v/>
      </c>
      <c r="E1504" s="19" t="str">
        <f>IF(B1504="","",IFERROR(INDEX(Client_List!$K:$K,MATCH(B1504,Client_List!$B:$B,0)),""))</f>
        <v/>
      </c>
      <c r="F1504" s="19" t="str">
        <f>IF(B1504="","",IFERROR(INDEX(Client_List!$J:$J,MATCH(B1504,Client_List!$B:$B,0)),""))</f>
        <v/>
      </c>
      <c r="G1504" s="19"/>
      <c r="H1504" s="19" t="str">
        <f>IF(B1504="","",IFERROR(A1504-LOOKUP(2,1/($B$4:$B1503=B1504),$A$4:$A1503),""))</f>
        <v/>
      </c>
      <c r="I1504" s="19" t="str">
        <f t="shared" si="23"/>
        <v/>
      </c>
      <c r="J1504" s="19"/>
      <c r="K1504" s="6" t="str">
        <f>IF(B1504="","",IFERROR(AVERAGEIFS($I$4:$I1504,$B$4:$B1504,B1504,$I$4:$I1504,"&gt;"&amp;0),""))</f>
        <v/>
      </c>
      <c r="L1504" s="19" t="str">
        <f>IF(B1504="","",IF(ISNA(MATCH(B1504,Client_List!$B:$B,0)),"⚠ NOT FOUND","✓"))</f>
        <v/>
      </c>
    </row>
    <row r="1505" spans="1:12" ht="14" customHeight="1" x14ac:dyDescent="0.2">
      <c r="A1505" s="58"/>
      <c r="B1505" s="15"/>
      <c r="C1505" s="16" t="str">
        <f>IF(B1505="","",IFERROR(INDEX(Client_List!$C:$C,MATCH(B1505,Client_List!$B:$B,0)),""))</f>
        <v/>
      </c>
      <c r="D1505" s="16" t="str">
        <f>IF(B1505="","",IFERROR(INDEX(Client_List!$D:$D,MATCH(B1505,Client_List!$B:$B,0)),""))</f>
        <v/>
      </c>
      <c r="E1505" s="16" t="str">
        <f>IF(B1505="","",IFERROR(INDEX(Client_List!$K:$K,MATCH(B1505,Client_List!$B:$B,0)),""))</f>
        <v/>
      </c>
      <c r="F1505" s="16" t="str">
        <f>IF(B1505="","",IFERROR(INDEX(Client_List!$J:$J,MATCH(B1505,Client_List!$B:$B,0)),""))</f>
        <v/>
      </c>
      <c r="G1505" s="16"/>
      <c r="H1505" s="16" t="str">
        <f>IF(B1505="","",IFERROR(A1505-LOOKUP(2,1/($B$4:$B1504=B1505),$A$4:$A1504),""))</f>
        <v/>
      </c>
      <c r="I1505" s="16" t="str">
        <f t="shared" si="23"/>
        <v/>
      </c>
      <c r="J1505" s="16"/>
      <c r="K1505" s="6" t="str">
        <f>IF(B1505="","",IFERROR(AVERAGEIFS($I$4:$I1505,$B$4:$B1505,B1505,$I$4:$I1505,"&gt;"&amp;0),""))</f>
        <v/>
      </c>
      <c r="L1505" s="16" t="str">
        <f>IF(B1505="","",IF(ISNA(MATCH(B1505,Client_List!$B:$B,0)),"⚠ NOT FOUND","✓"))</f>
        <v/>
      </c>
    </row>
    <row r="1506" spans="1:12" ht="14" customHeight="1" x14ac:dyDescent="0.2">
      <c r="A1506" s="59"/>
      <c r="B1506" s="18"/>
      <c r="C1506" s="19" t="str">
        <f>IF(B1506="","",IFERROR(INDEX(Client_List!$C:$C,MATCH(B1506,Client_List!$B:$B,0)),""))</f>
        <v/>
      </c>
      <c r="D1506" s="19" t="str">
        <f>IF(B1506="","",IFERROR(INDEX(Client_List!$D:$D,MATCH(B1506,Client_List!$B:$B,0)),""))</f>
        <v/>
      </c>
      <c r="E1506" s="19" t="str">
        <f>IF(B1506="","",IFERROR(INDEX(Client_List!$K:$K,MATCH(B1506,Client_List!$B:$B,0)),""))</f>
        <v/>
      </c>
      <c r="F1506" s="19" t="str">
        <f>IF(B1506="","",IFERROR(INDEX(Client_List!$J:$J,MATCH(B1506,Client_List!$B:$B,0)),""))</f>
        <v/>
      </c>
      <c r="G1506" s="19"/>
      <c r="H1506" s="19" t="str">
        <f>IF(B1506="","",IFERROR(A1506-LOOKUP(2,1/($B$4:$B1505=B1506),$A$4:$A1505),""))</f>
        <v/>
      </c>
      <c r="I1506" s="19" t="str">
        <f t="shared" si="23"/>
        <v/>
      </c>
      <c r="J1506" s="19"/>
      <c r="K1506" s="6" t="str">
        <f>IF(B1506="","",IFERROR(AVERAGEIFS($I$4:$I1506,$B$4:$B1506,B1506,$I$4:$I1506,"&gt;"&amp;0),""))</f>
        <v/>
      </c>
      <c r="L1506" s="19" t="str">
        <f>IF(B1506="","",IF(ISNA(MATCH(B1506,Client_List!$B:$B,0)),"⚠ NOT FOUND","✓"))</f>
        <v/>
      </c>
    </row>
    <row r="1507" spans="1:12" ht="14" customHeight="1" x14ac:dyDescent="0.2">
      <c r="A1507" s="58"/>
      <c r="B1507" s="15"/>
      <c r="C1507" s="16" t="str">
        <f>IF(B1507="","",IFERROR(INDEX(Client_List!$C:$C,MATCH(B1507,Client_List!$B:$B,0)),""))</f>
        <v/>
      </c>
      <c r="D1507" s="16" t="str">
        <f>IF(B1507="","",IFERROR(INDEX(Client_List!$D:$D,MATCH(B1507,Client_List!$B:$B,0)),""))</f>
        <v/>
      </c>
      <c r="E1507" s="16" t="str">
        <f>IF(B1507="","",IFERROR(INDEX(Client_List!$K:$K,MATCH(B1507,Client_List!$B:$B,0)),""))</f>
        <v/>
      </c>
      <c r="F1507" s="16" t="str">
        <f>IF(B1507="","",IFERROR(INDEX(Client_List!$J:$J,MATCH(B1507,Client_List!$B:$B,0)),""))</f>
        <v/>
      </c>
      <c r="G1507" s="16"/>
      <c r="H1507" s="16" t="str">
        <f>IF(B1507="","",IFERROR(A1507-LOOKUP(2,1/($B$4:$B1506=B1507),$A$4:$A1506),""))</f>
        <v/>
      </c>
      <c r="I1507" s="16" t="str">
        <f t="shared" si="23"/>
        <v/>
      </c>
      <c r="J1507" s="16"/>
      <c r="K1507" s="6" t="str">
        <f>IF(B1507="","",IFERROR(AVERAGEIFS($I$4:$I1507,$B$4:$B1507,B1507,$I$4:$I1507,"&gt;"&amp;0),""))</f>
        <v/>
      </c>
      <c r="L1507" s="16" t="str">
        <f>IF(B1507="","",IF(ISNA(MATCH(B1507,Client_List!$B:$B,0)),"⚠ NOT FOUND","✓"))</f>
        <v/>
      </c>
    </row>
    <row r="1508" spans="1:12" ht="14" customHeight="1" x14ac:dyDescent="0.2">
      <c r="A1508" s="59"/>
      <c r="B1508" s="18"/>
      <c r="C1508" s="19" t="str">
        <f>IF(B1508="","",IFERROR(INDEX(Client_List!$C:$C,MATCH(B1508,Client_List!$B:$B,0)),""))</f>
        <v/>
      </c>
      <c r="D1508" s="19" t="str">
        <f>IF(B1508="","",IFERROR(INDEX(Client_List!$D:$D,MATCH(B1508,Client_List!$B:$B,0)),""))</f>
        <v/>
      </c>
      <c r="E1508" s="19" t="str">
        <f>IF(B1508="","",IFERROR(INDEX(Client_List!$K:$K,MATCH(B1508,Client_List!$B:$B,0)),""))</f>
        <v/>
      </c>
      <c r="F1508" s="19" t="str">
        <f>IF(B1508="","",IFERROR(INDEX(Client_List!$J:$J,MATCH(B1508,Client_List!$B:$B,0)),""))</f>
        <v/>
      </c>
      <c r="G1508" s="19"/>
      <c r="H1508" s="19" t="str">
        <f>IF(B1508="","",IFERROR(A1508-LOOKUP(2,1/($B$4:$B1507=B1508),$A$4:$A1507),""))</f>
        <v/>
      </c>
      <c r="I1508" s="19" t="str">
        <f t="shared" si="23"/>
        <v/>
      </c>
      <c r="J1508" s="19"/>
      <c r="K1508" s="6" t="str">
        <f>IF(B1508="","",IFERROR(AVERAGEIFS($I$4:$I1508,$B$4:$B1508,B1508,$I$4:$I1508,"&gt;"&amp;0),""))</f>
        <v/>
      </c>
      <c r="L1508" s="19" t="str">
        <f>IF(B1508="","",IF(ISNA(MATCH(B1508,Client_List!$B:$B,0)),"⚠ NOT FOUND","✓"))</f>
        <v/>
      </c>
    </row>
    <row r="1509" spans="1:12" ht="14" customHeight="1" x14ac:dyDescent="0.2">
      <c r="A1509" s="58"/>
      <c r="B1509" s="15"/>
      <c r="C1509" s="16" t="str">
        <f>IF(B1509="","",IFERROR(INDEX(Client_List!$C:$C,MATCH(B1509,Client_List!$B:$B,0)),""))</f>
        <v/>
      </c>
      <c r="D1509" s="16" t="str">
        <f>IF(B1509="","",IFERROR(INDEX(Client_List!$D:$D,MATCH(B1509,Client_List!$B:$B,0)),""))</f>
        <v/>
      </c>
      <c r="E1509" s="16" t="str">
        <f>IF(B1509="","",IFERROR(INDEX(Client_List!$K:$K,MATCH(B1509,Client_List!$B:$B,0)),""))</f>
        <v/>
      </c>
      <c r="F1509" s="16" t="str">
        <f>IF(B1509="","",IFERROR(INDEX(Client_List!$J:$J,MATCH(B1509,Client_List!$B:$B,0)),""))</f>
        <v/>
      </c>
      <c r="G1509" s="16"/>
      <c r="H1509" s="16" t="str">
        <f>IF(B1509="","",IFERROR(A1509-LOOKUP(2,1/($B$4:$B1508=B1509),$A$4:$A1508),""))</f>
        <v/>
      </c>
      <c r="I1509" s="16" t="str">
        <f t="shared" si="23"/>
        <v/>
      </c>
      <c r="J1509" s="16"/>
      <c r="K1509" s="6" t="str">
        <f>IF(B1509="","",IFERROR(AVERAGEIFS($I$4:$I1509,$B$4:$B1509,B1509,$I$4:$I1509,"&gt;"&amp;0),""))</f>
        <v/>
      </c>
      <c r="L1509" s="16" t="str">
        <f>IF(B1509="","",IF(ISNA(MATCH(B1509,Client_List!$B:$B,0)),"⚠ NOT FOUND","✓"))</f>
        <v/>
      </c>
    </row>
    <row r="1510" spans="1:12" ht="14" customHeight="1" x14ac:dyDescent="0.2">
      <c r="A1510" s="59"/>
      <c r="B1510" s="18"/>
      <c r="C1510" s="19" t="str">
        <f>IF(B1510="","",IFERROR(INDEX(Client_List!$C:$C,MATCH(B1510,Client_List!$B:$B,0)),""))</f>
        <v/>
      </c>
      <c r="D1510" s="19" t="str">
        <f>IF(B1510="","",IFERROR(INDEX(Client_List!$D:$D,MATCH(B1510,Client_List!$B:$B,0)),""))</f>
        <v/>
      </c>
      <c r="E1510" s="19" t="str">
        <f>IF(B1510="","",IFERROR(INDEX(Client_List!$K:$K,MATCH(B1510,Client_List!$B:$B,0)),""))</f>
        <v/>
      </c>
      <c r="F1510" s="19" t="str">
        <f>IF(B1510="","",IFERROR(INDEX(Client_List!$J:$J,MATCH(B1510,Client_List!$B:$B,0)),""))</f>
        <v/>
      </c>
      <c r="G1510" s="19"/>
      <c r="H1510" s="19" t="str">
        <f>IF(B1510="","",IFERROR(A1510-LOOKUP(2,1/($B$4:$B1509=B1510),$A$4:$A1509),""))</f>
        <v/>
      </c>
      <c r="I1510" s="19" t="str">
        <f t="shared" si="23"/>
        <v/>
      </c>
      <c r="J1510" s="19"/>
      <c r="K1510" s="6" t="str">
        <f>IF(B1510="","",IFERROR(AVERAGEIFS($I$4:$I1510,$B$4:$B1510,B1510,$I$4:$I1510,"&gt;"&amp;0),""))</f>
        <v/>
      </c>
      <c r="L1510" s="19" t="str">
        <f>IF(B1510="","",IF(ISNA(MATCH(B1510,Client_List!$B:$B,0)),"⚠ NOT FOUND","✓"))</f>
        <v/>
      </c>
    </row>
    <row r="1511" spans="1:12" ht="14" customHeight="1" x14ac:dyDescent="0.2">
      <c r="A1511" s="58"/>
      <c r="B1511" s="15"/>
      <c r="C1511" s="16" t="str">
        <f>IF(B1511="","",IFERROR(INDEX(Client_List!$C:$C,MATCH(B1511,Client_List!$B:$B,0)),""))</f>
        <v/>
      </c>
      <c r="D1511" s="16" t="str">
        <f>IF(B1511="","",IFERROR(INDEX(Client_List!$D:$D,MATCH(B1511,Client_List!$B:$B,0)),""))</f>
        <v/>
      </c>
      <c r="E1511" s="16" t="str">
        <f>IF(B1511="","",IFERROR(INDEX(Client_List!$K:$K,MATCH(B1511,Client_List!$B:$B,0)),""))</f>
        <v/>
      </c>
      <c r="F1511" s="16" t="str">
        <f>IF(B1511="","",IFERROR(INDEX(Client_List!$J:$J,MATCH(B1511,Client_List!$B:$B,0)),""))</f>
        <v/>
      </c>
      <c r="G1511" s="16"/>
      <c r="H1511" s="16" t="str">
        <f>IF(B1511="","",IFERROR(A1511-LOOKUP(2,1/($B$4:$B1510=B1511),$A$4:$A1510),""))</f>
        <v/>
      </c>
      <c r="I1511" s="16" t="str">
        <f t="shared" si="23"/>
        <v/>
      </c>
      <c r="J1511" s="16"/>
      <c r="K1511" s="6" t="str">
        <f>IF(B1511="","",IFERROR(AVERAGEIFS($I$4:$I1511,$B$4:$B1511,B1511,$I$4:$I1511,"&gt;"&amp;0),""))</f>
        <v/>
      </c>
      <c r="L1511" s="16" t="str">
        <f>IF(B1511="","",IF(ISNA(MATCH(B1511,Client_List!$B:$B,0)),"⚠ NOT FOUND","✓"))</f>
        <v/>
      </c>
    </row>
    <row r="1512" spans="1:12" ht="14" customHeight="1" x14ac:dyDescent="0.2">
      <c r="A1512" s="59"/>
      <c r="B1512" s="18"/>
      <c r="C1512" s="19" t="str">
        <f>IF(B1512="","",IFERROR(INDEX(Client_List!$C:$C,MATCH(B1512,Client_List!$B:$B,0)),""))</f>
        <v/>
      </c>
      <c r="D1512" s="19" t="str">
        <f>IF(B1512="","",IFERROR(INDEX(Client_List!$D:$D,MATCH(B1512,Client_List!$B:$B,0)),""))</f>
        <v/>
      </c>
      <c r="E1512" s="19" t="str">
        <f>IF(B1512="","",IFERROR(INDEX(Client_List!$K:$K,MATCH(B1512,Client_List!$B:$B,0)),""))</f>
        <v/>
      </c>
      <c r="F1512" s="19" t="str">
        <f>IF(B1512="","",IFERROR(INDEX(Client_List!$J:$J,MATCH(B1512,Client_List!$B:$B,0)),""))</f>
        <v/>
      </c>
      <c r="G1512" s="19"/>
      <c r="H1512" s="19" t="str">
        <f>IF(B1512="","",IFERROR(A1512-LOOKUP(2,1/($B$4:$B1511=B1512),$A$4:$A1511),""))</f>
        <v/>
      </c>
      <c r="I1512" s="19" t="str">
        <f t="shared" si="23"/>
        <v/>
      </c>
      <c r="J1512" s="19"/>
      <c r="K1512" s="6" t="str">
        <f>IF(B1512="","",IFERROR(AVERAGEIFS($I$4:$I1512,$B$4:$B1512,B1512,$I$4:$I1512,"&gt;"&amp;0),""))</f>
        <v/>
      </c>
      <c r="L1512" s="19" t="str">
        <f>IF(B1512="","",IF(ISNA(MATCH(B1512,Client_List!$B:$B,0)),"⚠ NOT FOUND","✓"))</f>
        <v/>
      </c>
    </row>
    <row r="1513" spans="1:12" ht="14" customHeight="1" x14ac:dyDescent="0.2">
      <c r="A1513" s="58"/>
      <c r="B1513" s="15"/>
      <c r="C1513" s="16" t="str">
        <f>IF(B1513="","",IFERROR(INDEX(Client_List!$C:$C,MATCH(B1513,Client_List!$B:$B,0)),""))</f>
        <v/>
      </c>
      <c r="D1513" s="16" t="str">
        <f>IF(B1513="","",IFERROR(INDEX(Client_List!$D:$D,MATCH(B1513,Client_List!$B:$B,0)),""))</f>
        <v/>
      </c>
      <c r="E1513" s="16" t="str">
        <f>IF(B1513="","",IFERROR(INDEX(Client_List!$K:$K,MATCH(B1513,Client_List!$B:$B,0)),""))</f>
        <v/>
      </c>
      <c r="F1513" s="16" t="str">
        <f>IF(B1513="","",IFERROR(INDEX(Client_List!$J:$J,MATCH(B1513,Client_List!$B:$B,0)),""))</f>
        <v/>
      </c>
      <c r="G1513" s="16"/>
      <c r="H1513" s="16" t="str">
        <f>IF(B1513="","",IFERROR(A1513-LOOKUP(2,1/($B$4:$B1512=B1513),$A$4:$A1512),""))</f>
        <v/>
      </c>
      <c r="I1513" s="16" t="str">
        <f t="shared" si="23"/>
        <v/>
      </c>
      <c r="J1513" s="16"/>
      <c r="K1513" s="6" t="str">
        <f>IF(B1513="","",IFERROR(AVERAGEIFS($I$4:$I1513,$B$4:$B1513,B1513,$I$4:$I1513,"&gt;"&amp;0),""))</f>
        <v/>
      </c>
      <c r="L1513" s="16" t="str">
        <f>IF(B1513="","",IF(ISNA(MATCH(B1513,Client_List!$B:$B,0)),"⚠ NOT FOUND","✓"))</f>
        <v/>
      </c>
    </row>
    <row r="1514" spans="1:12" ht="14" customHeight="1" x14ac:dyDescent="0.2">
      <c r="A1514" s="59"/>
      <c r="B1514" s="18"/>
      <c r="C1514" s="19" t="str">
        <f>IF(B1514="","",IFERROR(INDEX(Client_List!$C:$C,MATCH(B1514,Client_List!$B:$B,0)),""))</f>
        <v/>
      </c>
      <c r="D1514" s="19" t="str">
        <f>IF(B1514="","",IFERROR(INDEX(Client_List!$D:$D,MATCH(B1514,Client_List!$B:$B,0)),""))</f>
        <v/>
      </c>
      <c r="E1514" s="19" t="str">
        <f>IF(B1514="","",IFERROR(INDEX(Client_List!$K:$K,MATCH(B1514,Client_List!$B:$B,0)),""))</f>
        <v/>
      </c>
      <c r="F1514" s="19" t="str">
        <f>IF(B1514="","",IFERROR(INDEX(Client_List!$J:$J,MATCH(B1514,Client_List!$B:$B,0)),""))</f>
        <v/>
      </c>
      <c r="G1514" s="19"/>
      <c r="H1514" s="19" t="str">
        <f>IF(B1514="","",IFERROR(A1514-LOOKUP(2,1/($B$4:$B1513=B1514),$A$4:$A1513),""))</f>
        <v/>
      </c>
      <c r="I1514" s="19" t="str">
        <f t="shared" si="23"/>
        <v/>
      </c>
      <c r="J1514" s="19"/>
      <c r="K1514" s="6" t="str">
        <f>IF(B1514="","",IFERROR(AVERAGEIFS($I$4:$I1514,$B$4:$B1514,B1514,$I$4:$I1514,"&gt;"&amp;0),""))</f>
        <v/>
      </c>
      <c r="L1514" s="19" t="str">
        <f>IF(B1514="","",IF(ISNA(MATCH(B1514,Client_List!$B:$B,0)),"⚠ NOT FOUND","✓"))</f>
        <v/>
      </c>
    </row>
    <row r="1515" spans="1:12" ht="14" customHeight="1" x14ac:dyDescent="0.2">
      <c r="A1515" s="58"/>
      <c r="B1515" s="15"/>
      <c r="C1515" s="16" t="str">
        <f>IF(B1515="","",IFERROR(INDEX(Client_List!$C:$C,MATCH(B1515,Client_List!$B:$B,0)),""))</f>
        <v/>
      </c>
      <c r="D1515" s="16" t="str">
        <f>IF(B1515="","",IFERROR(INDEX(Client_List!$D:$D,MATCH(B1515,Client_List!$B:$B,0)),""))</f>
        <v/>
      </c>
      <c r="E1515" s="16" t="str">
        <f>IF(B1515="","",IFERROR(INDEX(Client_List!$K:$K,MATCH(B1515,Client_List!$B:$B,0)),""))</f>
        <v/>
      </c>
      <c r="F1515" s="16" t="str">
        <f>IF(B1515="","",IFERROR(INDEX(Client_List!$J:$J,MATCH(B1515,Client_List!$B:$B,0)),""))</f>
        <v/>
      </c>
      <c r="G1515" s="16"/>
      <c r="H1515" s="16" t="str">
        <f>IF(B1515="","",IFERROR(A1515-LOOKUP(2,1/($B$4:$B1514=B1515),$A$4:$A1514),""))</f>
        <v/>
      </c>
      <c r="I1515" s="16" t="str">
        <f t="shared" si="23"/>
        <v/>
      </c>
      <c r="J1515" s="16"/>
      <c r="K1515" s="6" t="str">
        <f>IF(B1515="","",IFERROR(AVERAGEIFS($I$4:$I1515,$B$4:$B1515,B1515,$I$4:$I1515,"&gt;"&amp;0),""))</f>
        <v/>
      </c>
      <c r="L1515" s="16" t="str">
        <f>IF(B1515="","",IF(ISNA(MATCH(B1515,Client_List!$B:$B,0)),"⚠ NOT FOUND","✓"))</f>
        <v/>
      </c>
    </row>
    <row r="1516" spans="1:12" ht="14" customHeight="1" x14ac:dyDescent="0.2">
      <c r="A1516" s="59"/>
      <c r="B1516" s="18"/>
      <c r="C1516" s="19" t="str">
        <f>IF(B1516="","",IFERROR(INDEX(Client_List!$C:$C,MATCH(B1516,Client_List!$B:$B,0)),""))</f>
        <v/>
      </c>
      <c r="D1516" s="19" t="str">
        <f>IF(B1516="","",IFERROR(INDEX(Client_List!$D:$D,MATCH(B1516,Client_List!$B:$B,0)),""))</f>
        <v/>
      </c>
      <c r="E1516" s="19" t="str">
        <f>IF(B1516="","",IFERROR(INDEX(Client_List!$K:$K,MATCH(B1516,Client_List!$B:$B,0)),""))</f>
        <v/>
      </c>
      <c r="F1516" s="19" t="str">
        <f>IF(B1516="","",IFERROR(INDEX(Client_List!$J:$J,MATCH(B1516,Client_List!$B:$B,0)),""))</f>
        <v/>
      </c>
      <c r="G1516" s="19"/>
      <c r="H1516" s="19" t="str">
        <f>IF(B1516="","",IFERROR(A1516-LOOKUP(2,1/($B$4:$B1515=B1516),$A$4:$A1515),""))</f>
        <v/>
      </c>
      <c r="I1516" s="19" t="str">
        <f t="shared" si="23"/>
        <v/>
      </c>
      <c r="J1516" s="19"/>
      <c r="K1516" s="6" t="str">
        <f>IF(B1516="","",IFERROR(AVERAGEIFS($I$4:$I1516,$B$4:$B1516,B1516,$I$4:$I1516,"&gt;"&amp;0),""))</f>
        <v/>
      </c>
      <c r="L1516" s="19" t="str">
        <f>IF(B1516="","",IF(ISNA(MATCH(B1516,Client_List!$B:$B,0)),"⚠ NOT FOUND","✓"))</f>
        <v/>
      </c>
    </row>
    <row r="1517" spans="1:12" ht="14" customHeight="1" x14ac:dyDescent="0.2">
      <c r="A1517" s="58"/>
      <c r="B1517" s="15"/>
      <c r="C1517" s="16" t="str">
        <f>IF(B1517="","",IFERROR(INDEX(Client_List!$C:$C,MATCH(B1517,Client_List!$B:$B,0)),""))</f>
        <v/>
      </c>
      <c r="D1517" s="16" t="str">
        <f>IF(B1517="","",IFERROR(INDEX(Client_List!$D:$D,MATCH(B1517,Client_List!$B:$B,0)),""))</f>
        <v/>
      </c>
      <c r="E1517" s="16" t="str">
        <f>IF(B1517="","",IFERROR(INDEX(Client_List!$K:$K,MATCH(B1517,Client_List!$B:$B,0)),""))</f>
        <v/>
      </c>
      <c r="F1517" s="16" t="str">
        <f>IF(B1517="","",IFERROR(INDEX(Client_List!$J:$J,MATCH(B1517,Client_List!$B:$B,0)),""))</f>
        <v/>
      </c>
      <c r="G1517" s="16"/>
      <c r="H1517" s="16" t="str">
        <f>IF(B1517="","",IFERROR(A1517-LOOKUP(2,1/($B$4:$B1516=B1517),$A$4:$A1516),""))</f>
        <v/>
      </c>
      <c r="I1517" s="16" t="str">
        <f t="shared" si="23"/>
        <v/>
      </c>
      <c r="J1517" s="16"/>
      <c r="K1517" s="6" t="str">
        <f>IF(B1517="","",IFERROR(AVERAGEIFS($I$4:$I1517,$B$4:$B1517,B1517,$I$4:$I1517,"&gt;"&amp;0),""))</f>
        <v/>
      </c>
      <c r="L1517" s="16" t="str">
        <f>IF(B1517="","",IF(ISNA(MATCH(B1517,Client_List!$B:$B,0)),"⚠ NOT FOUND","✓"))</f>
        <v/>
      </c>
    </row>
    <row r="1518" spans="1:12" ht="14" customHeight="1" x14ac:dyDescent="0.2">
      <c r="A1518" s="59"/>
      <c r="B1518" s="18"/>
      <c r="C1518" s="19" t="str">
        <f>IF(B1518="","",IFERROR(INDEX(Client_List!$C:$C,MATCH(B1518,Client_List!$B:$B,0)),""))</f>
        <v/>
      </c>
      <c r="D1518" s="19" t="str">
        <f>IF(B1518="","",IFERROR(INDEX(Client_List!$D:$D,MATCH(B1518,Client_List!$B:$B,0)),""))</f>
        <v/>
      </c>
      <c r="E1518" s="19" t="str">
        <f>IF(B1518="","",IFERROR(INDEX(Client_List!$K:$K,MATCH(B1518,Client_List!$B:$B,0)),""))</f>
        <v/>
      </c>
      <c r="F1518" s="19" t="str">
        <f>IF(B1518="","",IFERROR(INDEX(Client_List!$J:$J,MATCH(B1518,Client_List!$B:$B,0)),""))</f>
        <v/>
      </c>
      <c r="G1518" s="19"/>
      <c r="H1518" s="19" t="str">
        <f>IF(B1518="","",IFERROR(A1518-LOOKUP(2,1/($B$4:$B1517=B1518),$A$4:$A1517),""))</f>
        <v/>
      </c>
      <c r="I1518" s="19" t="str">
        <f t="shared" si="23"/>
        <v/>
      </c>
      <c r="J1518" s="19"/>
      <c r="K1518" s="6" t="str">
        <f>IF(B1518="","",IFERROR(AVERAGEIFS($I$4:$I1518,$B$4:$B1518,B1518,$I$4:$I1518,"&gt;"&amp;0),""))</f>
        <v/>
      </c>
      <c r="L1518" s="19" t="str">
        <f>IF(B1518="","",IF(ISNA(MATCH(B1518,Client_List!$B:$B,0)),"⚠ NOT FOUND","✓"))</f>
        <v/>
      </c>
    </row>
    <row r="1519" spans="1:12" ht="14" customHeight="1" x14ac:dyDescent="0.2">
      <c r="A1519" s="58"/>
      <c r="B1519" s="15"/>
      <c r="C1519" s="16" t="str">
        <f>IF(B1519="","",IFERROR(INDEX(Client_List!$C:$C,MATCH(B1519,Client_List!$B:$B,0)),""))</f>
        <v/>
      </c>
      <c r="D1519" s="16" t="str">
        <f>IF(B1519="","",IFERROR(INDEX(Client_List!$D:$D,MATCH(B1519,Client_List!$B:$B,0)),""))</f>
        <v/>
      </c>
      <c r="E1519" s="16" t="str">
        <f>IF(B1519="","",IFERROR(INDEX(Client_List!$K:$K,MATCH(B1519,Client_List!$B:$B,0)),""))</f>
        <v/>
      </c>
      <c r="F1519" s="16" t="str">
        <f>IF(B1519="","",IFERROR(INDEX(Client_List!$J:$J,MATCH(B1519,Client_List!$B:$B,0)),""))</f>
        <v/>
      </c>
      <c r="G1519" s="16"/>
      <c r="H1519" s="16" t="str">
        <f>IF(B1519="","",IFERROR(A1519-LOOKUP(2,1/($B$4:$B1518=B1519),$A$4:$A1518),""))</f>
        <v/>
      </c>
      <c r="I1519" s="16" t="str">
        <f t="shared" si="23"/>
        <v/>
      </c>
      <c r="J1519" s="16"/>
      <c r="K1519" s="6" t="str">
        <f>IF(B1519="","",IFERROR(AVERAGEIFS($I$4:$I1519,$B$4:$B1519,B1519,$I$4:$I1519,"&gt;"&amp;0),""))</f>
        <v/>
      </c>
      <c r="L1519" s="16" t="str">
        <f>IF(B1519="","",IF(ISNA(MATCH(B1519,Client_List!$B:$B,0)),"⚠ NOT FOUND","✓"))</f>
        <v/>
      </c>
    </row>
    <row r="1520" spans="1:12" ht="14" customHeight="1" x14ac:dyDescent="0.2">
      <c r="A1520" s="59"/>
      <c r="B1520" s="18"/>
      <c r="C1520" s="19" t="str">
        <f>IF(B1520="","",IFERROR(INDEX(Client_List!$C:$C,MATCH(B1520,Client_List!$B:$B,0)),""))</f>
        <v/>
      </c>
      <c r="D1520" s="19" t="str">
        <f>IF(B1520="","",IFERROR(INDEX(Client_List!$D:$D,MATCH(B1520,Client_List!$B:$B,0)),""))</f>
        <v/>
      </c>
      <c r="E1520" s="19" t="str">
        <f>IF(B1520="","",IFERROR(INDEX(Client_List!$K:$K,MATCH(B1520,Client_List!$B:$B,0)),""))</f>
        <v/>
      </c>
      <c r="F1520" s="19" t="str">
        <f>IF(B1520="","",IFERROR(INDEX(Client_List!$J:$J,MATCH(B1520,Client_List!$B:$B,0)),""))</f>
        <v/>
      </c>
      <c r="G1520" s="19"/>
      <c r="H1520" s="19" t="str">
        <f>IF(B1520="","",IFERROR(A1520-LOOKUP(2,1/($B$4:$B1519=B1520),$A$4:$A1519),""))</f>
        <v/>
      </c>
      <c r="I1520" s="19" t="str">
        <f t="shared" si="23"/>
        <v/>
      </c>
      <c r="J1520" s="19"/>
      <c r="K1520" s="6" t="str">
        <f>IF(B1520="","",IFERROR(AVERAGEIFS($I$4:$I1520,$B$4:$B1520,B1520,$I$4:$I1520,"&gt;"&amp;0),""))</f>
        <v/>
      </c>
      <c r="L1520" s="19" t="str">
        <f>IF(B1520="","",IF(ISNA(MATCH(B1520,Client_List!$B:$B,0)),"⚠ NOT FOUND","✓"))</f>
        <v/>
      </c>
    </row>
    <row r="1521" spans="1:12" ht="14" customHeight="1" x14ac:dyDescent="0.2">
      <c r="A1521" s="58"/>
      <c r="B1521" s="15"/>
      <c r="C1521" s="16" t="str">
        <f>IF(B1521="","",IFERROR(INDEX(Client_List!$C:$C,MATCH(B1521,Client_List!$B:$B,0)),""))</f>
        <v/>
      </c>
      <c r="D1521" s="16" t="str">
        <f>IF(B1521="","",IFERROR(INDEX(Client_List!$D:$D,MATCH(B1521,Client_List!$B:$B,0)),""))</f>
        <v/>
      </c>
      <c r="E1521" s="16" t="str">
        <f>IF(B1521="","",IFERROR(INDEX(Client_List!$K:$K,MATCH(B1521,Client_List!$B:$B,0)),""))</f>
        <v/>
      </c>
      <c r="F1521" s="16" t="str">
        <f>IF(B1521="","",IFERROR(INDEX(Client_List!$J:$J,MATCH(B1521,Client_List!$B:$B,0)),""))</f>
        <v/>
      </c>
      <c r="G1521" s="16"/>
      <c r="H1521" s="16" t="str">
        <f>IF(B1521="","",IFERROR(A1521-LOOKUP(2,1/($B$4:$B1520=B1521),$A$4:$A1520),""))</f>
        <v/>
      </c>
      <c r="I1521" s="16" t="str">
        <f t="shared" si="23"/>
        <v/>
      </c>
      <c r="J1521" s="16"/>
      <c r="K1521" s="6" t="str">
        <f>IF(B1521="","",IFERROR(AVERAGEIFS($I$4:$I1521,$B$4:$B1521,B1521,$I$4:$I1521,"&gt;"&amp;0),""))</f>
        <v/>
      </c>
      <c r="L1521" s="16" t="str">
        <f>IF(B1521="","",IF(ISNA(MATCH(B1521,Client_List!$B:$B,0)),"⚠ NOT FOUND","✓"))</f>
        <v/>
      </c>
    </row>
    <row r="1522" spans="1:12" ht="14" customHeight="1" x14ac:dyDescent="0.2">
      <c r="A1522" s="59"/>
      <c r="B1522" s="18"/>
      <c r="C1522" s="19" t="str">
        <f>IF(B1522="","",IFERROR(INDEX(Client_List!$C:$C,MATCH(B1522,Client_List!$B:$B,0)),""))</f>
        <v/>
      </c>
      <c r="D1522" s="19" t="str">
        <f>IF(B1522="","",IFERROR(INDEX(Client_List!$D:$D,MATCH(B1522,Client_List!$B:$B,0)),""))</f>
        <v/>
      </c>
      <c r="E1522" s="19" t="str">
        <f>IF(B1522="","",IFERROR(INDEX(Client_List!$K:$K,MATCH(B1522,Client_List!$B:$B,0)),""))</f>
        <v/>
      </c>
      <c r="F1522" s="19" t="str">
        <f>IF(B1522="","",IFERROR(INDEX(Client_List!$J:$J,MATCH(B1522,Client_List!$B:$B,0)),""))</f>
        <v/>
      </c>
      <c r="G1522" s="19"/>
      <c r="H1522" s="19" t="str">
        <f>IF(B1522="","",IFERROR(A1522-LOOKUP(2,1/($B$4:$B1521=B1522),$A$4:$A1521),""))</f>
        <v/>
      </c>
      <c r="I1522" s="19" t="str">
        <f t="shared" si="23"/>
        <v/>
      </c>
      <c r="J1522" s="19"/>
      <c r="K1522" s="6" t="str">
        <f>IF(B1522="","",IFERROR(AVERAGEIFS($I$4:$I1522,$B$4:$B1522,B1522,$I$4:$I1522,"&gt;"&amp;0),""))</f>
        <v/>
      </c>
      <c r="L1522" s="19" t="str">
        <f>IF(B1522="","",IF(ISNA(MATCH(B1522,Client_List!$B:$B,0)),"⚠ NOT FOUND","✓"))</f>
        <v/>
      </c>
    </row>
    <row r="1523" spans="1:12" ht="14" customHeight="1" x14ac:dyDescent="0.2">
      <c r="A1523" s="58"/>
      <c r="B1523" s="15"/>
      <c r="C1523" s="16" t="str">
        <f>IF(B1523="","",IFERROR(INDEX(Client_List!$C:$C,MATCH(B1523,Client_List!$B:$B,0)),""))</f>
        <v/>
      </c>
      <c r="D1523" s="16" t="str">
        <f>IF(B1523="","",IFERROR(INDEX(Client_List!$D:$D,MATCH(B1523,Client_List!$B:$B,0)),""))</f>
        <v/>
      </c>
      <c r="E1523" s="16" t="str">
        <f>IF(B1523="","",IFERROR(INDEX(Client_List!$K:$K,MATCH(B1523,Client_List!$B:$B,0)),""))</f>
        <v/>
      </c>
      <c r="F1523" s="16" t="str">
        <f>IF(B1523="","",IFERROR(INDEX(Client_List!$J:$J,MATCH(B1523,Client_List!$B:$B,0)),""))</f>
        <v/>
      </c>
      <c r="G1523" s="16"/>
      <c r="H1523" s="16" t="str">
        <f>IF(B1523="","",IFERROR(A1523-LOOKUP(2,1/($B$4:$B1522=B1523),$A$4:$A1522),""))</f>
        <v/>
      </c>
      <c r="I1523" s="16" t="str">
        <f t="shared" si="23"/>
        <v/>
      </c>
      <c r="J1523" s="16"/>
      <c r="K1523" s="6" t="str">
        <f>IF(B1523="","",IFERROR(AVERAGEIFS($I$4:$I1523,$B$4:$B1523,B1523,$I$4:$I1523,"&gt;"&amp;0),""))</f>
        <v/>
      </c>
      <c r="L1523" s="16" t="str">
        <f>IF(B1523="","",IF(ISNA(MATCH(B1523,Client_List!$B:$B,0)),"⚠ NOT FOUND","✓"))</f>
        <v/>
      </c>
    </row>
    <row r="1524" spans="1:12" ht="14" customHeight="1" x14ac:dyDescent="0.2">
      <c r="A1524" s="59"/>
      <c r="B1524" s="18"/>
      <c r="C1524" s="19" t="str">
        <f>IF(B1524="","",IFERROR(INDEX(Client_List!$C:$C,MATCH(B1524,Client_List!$B:$B,0)),""))</f>
        <v/>
      </c>
      <c r="D1524" s="19" t="str">
        <f>IF(B1524="","",IFERROR(INDEX(Client_List!$D:$D,MATCH(B1524,Client_List!$B:$B,0)),""))</f>
        <v/>
      </c>
      <c r="E1524" s="19" t="str">
        <f>IF(B1524="","",IFERROR(INDEX(Client_List!$K:$K,MATCH(B1524,Client_List!$B:$B,0)),""))</f>
        <v/>
      </c>
      <c r="F1524" s="19" t="str">
        <f>IF(B1524="","",IFERROR(INDEX(Client_List!$J:$J,MATCH(B1524,Client_List!$B:$B,0)),""))</f>
        <v/>
      </c>
      <c r="G1524" s="19"/>
      <c r="H1524" s="19" t="str">
        <f>IF(B1524="","",IFERROR(A1524-LOOKUP(2,1/($B$4:$B1523=B1524),$A$4:$A1523),""))</f>
        <v/>
      </c>
      <c r="I1524" s="19" t="str">
        <f t="shared" si="23"/>
        <v/>
      </c>
      <c r="J1524" s="19"/>
      <c r="K1524" s="6" t="str">
        <f>IF(B1524="","",IFERROR(AVERAGEIFS($I$4:$I1524,$B$4:$B1524,B1524,$I$4:$I1524,"&gt;"&amp;0),""))</f>
        <v/>
      </c>
      <c r="L1524" s="19" t="str">
        <f>IF(B1524="","",IF(ISNA(MATCH(B1524,Client_List!$B:$B,0)),"⚠ NOT FOUND","✓"))</f>
        <v/>
      </c>
    </row>
    <row r="1525" spans="1:12" ht="14" customHeight="1" x14ac:dyDescent="0.2">
      <c r="A1525" s="58"/>
      <c r="B1525" s="15"/>
      <c r="C1525" s="16" t="str">
        <f>IF(B1525="","",IFERROR(INDEX(Client_List!$C:$C,MATCH(B1525,Client_List!$B:$B,0)),""))</f>
        <v/>
      </c>
      <c r="D1525" s="16" t="str">
        <f>IF(B1525="","",IFERROR(INDEX(Client_List!$D:$D,MATCH(B1525,Client_List!$B:$B,0)),""))</f>
        <v/>
      </c>
      <c r="E1525" s="16" t="str">
        <f>IF(B1525="","",IFERROR(INDEX(Client_List!$K:$K,MATCH(B1525,Client_List!$B:$B,0)),""))</f>
        <v/>
      </c>
      <c r="F1525" s="16" t="str">
        <f>IF(B1525="","",IFERROR(INDEX(Client_List!$J:$J,MATCH(B1525,Client_List!$B:$B,0)),""))</f>
        <v/>
      </c>
      <c r="G1525" s="16"/>
      <c r="H1525" s="16" t="str">
        <f>IF(B1525="","",IFERROR(A1525-LOOKUP(2,1/($B$4:$B1524=B1525),$A$4:$A1524),""))</f>
        <v/>
      </c>
      <c r="I1525" s="16" t="str">
        <f t="shared" si="23"/>
        <v/>
      </c>
      <c r="J1525" s="16"/>
      <c r="K1525" s="6" t="str">
        <f>IF(B1525="","",IFERROR(AVERAGEIFS($I$4:$I1525,$B$4:$B1525,B1525,$I$4:$I1525,"&gt;"&amp;0),""))</f>
        <v/>
      </c>
      <c r="L1525" s="16" t="str">
        <f>IF(B1525="","",IF(ISNA(MATCH(B1525,Client_List!$B:$B,0)),"⚠ NOT FOUND","✓"))</f>
        <v/>
      </c>
    </row>
    <row r="1526" spans="1:12" ht="14" customHeight="1" x14ac:dyDescent="0.2">
      <c r="A1526" s="59"/>
      <c r="B1526" s="18"/>
      <c r="C1526" s="19" t="str">
        <f>IF(B1526="","",IFERROR(INDEX(Client_List!$C:$C,MATCH(B1526,Client_List!$B:$B,0)),""))</f>
        <v/>
      </c>
      <c r="D1526" s="19" t="str">
        <f>IF(B1526="","",IFERROR(INDEX(Client_List!$D:$D,MATCH(B1526,Client_List!$B:$B,0)),""))</f>
        <v/>
      </c>
      <c r="E1526" s="19" t="str">
        <f>IF(B1526="","",IFERROR(INDEX(Client_List!$K:$K,MATCH(B1526,Client_List!$B:$B,0)),""))</f>
        <v/>
      </c>
      <c r="F1526" s="19" t="str">
        <f>IF(B1526="","",IFERROR(INDEX(Client_List!$J:$J,MATCH(B1526,Client_List!$B:$B,0)),""))</f>
        <v/>
      </c>
      <c r="G1526" s="19"/>
      <c r="H1526" s="19" t="str">
        <f>IF(B1526="","",IFERROR(A1526-LOOKUP(2,1/($B$4:$B1525=B1526),$A$4:$A1525),""))</f>
        <v/>
      </c>
      <c r="I1526" s="19" t="str">
        <f t="shared" si="23"/>
        <v/>
      </c>
      <c r="J1526" s="19"/>
      <c r="K1526" s="6" t="str">
        <f>IF(B1526="","",IFERROR(AVERAGEIFS($I$4:$I1526,$B$4:$B1526,B1526,$I$4:$I1526,"&gt;"&amp;0),""))</f>
        <v/>
      </c>
      <c r="L1526" s="19" t="str">
        <f>IF(B1526="","",IF(ISNA(MATCH(B1526,Client_List!$B:$B,0)),"⚠ NOT FOUND","✓"))</f>
        <v/>
      </c>
    </row>
    <row r="1527" spans="1:12" ht="14" customHeight="1" x14ac:dyDescent="0.2">
      <c r="A1527" s="58"/>
      <c r="B1527" s="15"/>
      <c r="C1527" s="16" t="str">
        <f>IF(B1527="","",IFERROR(INDEX(Client_List!$C:$C,MATCH(B1527,Client_List!$B:$B,0)),""))</f>
        <v/>
      </c>
      <c r="D1527" s="16" t="str">
        <f>IF(B1527="","",IFERROR(INDEX(Client_List!$D:$D,MATCH(B1527,Client_List!$B:$B,0)),""))</f>
        <v/>
      </c>
      <c r="E1527" s="16" t="str">
        <f>IF(B1527="","",IFERROR(INDEX(Client_List!$K:$K,MATCH(B1527,Client_List!$B:$B,0)),""))</f>
        <v/>
      </c>
      <c r="F1527" s="16" t="str">
        <f>IF(B1527="","",IFERROR(INDEX(Client_List!$J:$J,MATCH(B1527,Client_List!$B:$B,0)),""))</f>
        <v/>
      </c>
      <c r="G1527" s="16"/>
      <c r="H1527" s="16" t="str">
        <f>IF(B1527="","",IFERROR(A1527-LOOKUP(2,1/($B$4:$B1526=B1527),$A$4:$A1526),""))</f>
        <v/>
      </c>
      <c r="I1527" s="16" t="str">
        <f t="shared" si="23"/>
        <v/>
      </c>
      <c r="J1527" s="16"/>
      <c r="K1527" s="6" t="str">
        <f>IF(B1527="","",IFERROR(AVERAGEIFS($I$4:$I1527,$B$4:$B1527,B1527,$I$4:$I1527,"&gt;"&amp;0),""))</f>
        <v/>
      </c>
      <c r="L1527" s="16" t="str">
        <f>IF(B1527="","",IF(ISNA(MATCH(B1527,Client_List!$B:$B,0)),"⚠ NOT FOUND","✓"))</f>
        <v/>
      </c>
    </row>
    <row r="1528" spans="1:12" ht="14" customHeight="1" x14ac:dyDescent="0.2">
      <c r="A1528" s="59"/>
      <c r="B1528" s="18"/>
      <c r="C1528" s="19" t="str">
        <f>IF(B1528="","",IFERROR(INDEX(Client_List!$C:$C,MATCH(B1528,Client_List!$B:$B,0)),""))</f>
        <v/>
      </c>
      <c r="D1528" s="19" t="str">
        <f>IF(B1528="","",IFERROR(INDEX(Client_List!$D:$D,MATCH(B1528,Client_List!$B:$B,0)),""))</f>
        <v/>
      </c>
      <c r="E1528" s="19" t="str">
        <f>IF(B1528="","",IFERROR(INDEX(Client_List!$K:$K,MATCH(B1528,Client_List!$B:$B,0)),""))</f>
        <v/>
      </c>
      <c r="F1528" s="19" t="str">
        <f>IF(B1528="","",IFERROR(INDEX(Client_List!$J:$J,MATCH(B1528,Client_List!$B:$B,0)),""))</f>
        <v/>
      </c>
      <c r="G1528" s="19"/>
      <c r="H1528" s="19" t="str">
        <f>IF(B1528="","",IFERROR(A1528-LOOKUP(2,1/($B$4:$B1527=B1528),$A$4:$A1527),""))</f>
        <v/>
      </c>
      <c r="I1528" s="19" t="str">
        <f t="shared" si="23"/>
        <v/>
      </c>
      <c r="J1528" s="19"/>
      <c r="K1528" s="6" t="str">
        <f>IF(B1528="","",IFERROR(AVERAGEIFS($I$4:$I1528,$B$4:$B1528,B1528,$I$4:$I1528,"&gt;"&amp;0),""))</f>
        <v/>
      </c>
      <c r="L1528" s="19" t="str">
        <f>IF(B1528="","",IF(ISNA(MATCH(B1528,Client_List!$B:$B,0)),"⚠ NOT FOUND","✓"))</f>
        <v/>
      </c>
    </row>
    <row r="1529" spans="1:12" ht="14" customHeight="1" x14ac:dyDescent="0.2">
      <c r="A1529" s="58"/>
      <c r="B1529" s="15"/>
      <c r="C1529" s="16" t="str">
        <f>IF(B1529="","",IFERROR(INDEX(Client_List!$C:$C,MATCH(B1529,Client_List!$B:$B,0)),""))</f>
        <v/>
      </c>
      <c r="D1529" s="16" t="str">
        <f>IF(B1529="","",IFERROR(INDEX(Client_List!$D:$D,MATCH(B1529,Client_List!$B:$B,0)),""))</f>
        <v/>
      </c>
      <c r="E1529" s="16" t="str">
        <f>IF(B1529="","",IFERROR(INDEX(Client_List!$K:$K,MATCH(B1529,Client_List!$B:$B,0)),""))</f>
        <v/>
      </c>
      <c r="F1529" s="16" t="str">
        <f>IF(B1529="","",IFERROR(INDEX(Client_List!$J:$J,MATCH(B1529,Client_List!$B:$B,0)),""))</f>
        <v/>
      </c>
      <c r="G1529" s="16"/>
      <c r="H1529" s="16" t="str">
        <f>IF(B1529="","",IFERROR(A1529-LOOKUP(2,1/($B$4:$B1528=B1529),$A$4:$A1528),""))</f>
        <v/>
      </c>
      <c r="I1529" s="16" t="str">
        <f t="shared" si="23"/>
        <v/>
      </c>
      <c r="J1529" s="16"/>
      <c r="K1529" s="6" t="str">
        <f>IF(B1529="","",IFERROR(AVERAGEIFS($I$4:$I1529,$B$4:$B1529,B1529,$I$4:$I1529,"&gt;"&amp;0),""))</f>
        <v/>
      </c>
      <c r="L1529" s="16" t="str">
        <f>IF(B1529="","",IF(ISNA(MATCH(B1529,Client_List!$B:$B,0)),"⚠ NOT FOUND","✓"))</f>
        <v/>
      </c>
    </row>
    <row r="1530" spans="1:12" ht="14" customHeight="1" x14ac:dyDescent="0.2">
      <c r="A1530" s="59"/>
      <c r="B1530" s="18"/>
      <c r="C1530" s="19" t="str">
        <f>IF(B1530="","",IFERROR(INDEX(Client_List!$C:$C,MATCH(B1530,Client_List!$B:$B,0)),""))</f>
        <v/>
      </c>
      <c r="D1530" s="19" t="str">
        <f>IF(B1530="","",IFERROR(INDEX(Client_List!$D:$D,MATCH(B1530,Client_List!$B:$B,0)),""))</f>
        <v/>
      </c>
      <c r="E1530" s="19" t="str">
        <f>IF(B1530="","",IFERROR(INDEX(Client_List!$K:$K,MATCH(B1530,Client_List!$B:$B,0)),""))</f>
        <v/>
      </c>
      <c r="F1530" s="19" t="str">
        <f>IF(B1530="","",IFERROR(INDEX(Client_List!$J:$J,MATCH(B1530,Client_List!$B:$B,0)),""))</f>
        <v/>
      </c>
      <c r="G1530" s="19"/>
      <c r="H1530" s="19" t="str">
        <f>IF(B1530="","",IFERROR(A1530-LOOKUP(2,1/($B$4:$B1529=B1530),$A$4:$A1529),""))</f>
        <v/>
      </c>
      <c r="I1530" s="19" t="str">
        <f t="shared" si="23"/>
        <v/>
      </c>
      <c r="J1530" s="19"/>
      <c r="K1530" s="6" t="str">
        <f>IF(B1530="","",IFERROR(AVERAGEIFS($I$4:$I1530,$B$4:$B1530,B1530,$I$4:$I1530,"&gt;"&amp;0),""))</f>
        <v/>
      </c>
      <c r="L1530" s="19" t="str">
        <f>IF(B1530="","",IF(ISNA(MATCH(B1530,Client_List!$B:$B,0)),"⚠ NOT FOUND","✓"))</f>
        <v/>
      </c>
    </row>
    <row r="1531" spans="1:12" ht="14" customHeight="1" x14ac:dyDescent="0.2">
      <c r="A1531" s="58"/>
      <c r="B1531" s="15"/>
      <c r="C1531" s="16" t="str">
        <f>IF(B1531="","",IFERROR(INDEX(Client_List!$C:$C,MATCH(B1531,Client_List!$B:$B,0)),""))</f>
        <v/>
      </c>
      <c r="D1531" s="16" t="str">
        <f>IF(B1531="","",IFERROR(INDEX(Client_List!$D:$D,MATCH(B1531,Client_List!$B:$B,0)),""))</f>
        <v/>
      </c>
      <c r="E1531" s="16" t="str">
        <f>IF(B1531="","",IFERROR(INDEX(Client_List!$K:$K,MATCH(B1531,Client_List!$B:$B,0)),""))</f>
        <v/>
      </c>
      <c r="F1531" s="16" t="str">
        <f>IF(B1531="","",IFERROR(INDEX(Client_List!$J:$J,MATCH(B1531,Client_List!$B:$B,0)),""))</f>
        <v/>
      </c>
      <c r="G1531" s="16"/>
      <c r="H1531" s="16" t="str">
        <f>IF(B1531="","",IFERROR(A1531-LOOKUP(2,1/($B$4:$B1530=B1531),$A$4:$A1530),""))</f>
        <v/>
      </c>
      <c r="I1531" s="16" t="str">
        <f t="shared" si="23"/>
        <v/>
      </c>
      <c r="J1531" s="16"/>
      <c r="K1531" s="6" t="str">
        <f>IF(B1531="","",IFERROR(AVERAGEIFS($I$4:$I1531,$B$4:$B1531,B1531,$I$4:$I1531,"&gt;"&amp;0),""))</f>
        <v/>
      </c>
      <c r="L1531" s="16" t="str">
        <f>IF(B1531="","",IF(ISNA(MATCH(B1531,Client_List!$B:$B,0)),"⚠ NOT FOUND","✓"))</f>
        <v/>
      </c>
    </row>
    <row r="1532" spans="1:12" ht="14" customHeight="1" x14ac:dyDescent="0.2">
      <c r="A1532" s="59"/>
      <c r="B1532" s="18"/>
      <c r="C1532" s="19" t="str">
        <f>IF(B1532="","",IFERROR(INDEX(Client_List!$C:$C,MATCH(B1532,Client_List!$B:$B,0)),""))</f>
        <v/>
      </c>
      <c r="D1532" s="19" t="str">
        <f>IF(B1532="","",IFERROR(INDEX(Client_List!$D:$D,MATCH(B1532,Client_List!$B:$B,0)),""))</f>
        <v/>
      </c>
      <c r="E1532" s="19" t="str">
        <f>IF(B1532="","",IFERROR(INDEX(Client_List!$K:$K,MATCH(B1532,Client_List!$B:$B,0)),""))</f>
        <v/>
      </c>
      <c r="F1532" s="19" t="str">
        <f>IF(B1532="","",IFERROR(INDEX(Client_List!$J:$J,MATCH(B1532,Client_List!$B:$B,0)),""))</f>
        <v/>
      </c>
      <c r="G1532" s="19"/>
      <c r="H1532" s="19" t="str">
        <f>IF(B1532="","",IFERROR(A1532-LOOKUP(2,1/($B$4:$B1531=B1532),$A$4:$A1531),""))</f>
        <v/>
      </c>
      <c r="I1532" s="19" t="str">
        <f t="shared" si="23"/>
        <v/>
      </c>
      <c r="J1532" s="19"/>
      <c r="K1532" s="6" t="str">
        <f>IF(B1532="","",IFERROR(AVERAGEIFS($I$4:$I1532,$B$4:$B1532,B1532,$I$4:$I1532,"&gt;"&amp;0),""))</f>
        <v/>
      </c>
      <c r="L1532" s="19" t="str">
        <f>IF(B1532="","",IF(ISNA(MATCH(B1532,Client_List!$B:$B,0)),"⚠ NOT FOUND","✓"))</f>
        <v/>
      </c>
    </row>
    <row r="1533" spans="1:12" ht="14" customHeight="1" x14ac:dyDescent="0.2">
      <c r="A1533" s="58"/>
      <c r="B1533" s="15"/>
      <c r="C1533" s="16" t="str">
        <f>IF(B1533="","",IFERROR(INDEX(Client_List!$C:$C,MATCH(B1533,Client_List!$B:$B,0)),""))</f>
        <v/>
      </c>
      <c r="D1533" s="16" t="str">
        <f>IF(B1533="","",IFERROR(INDEX(Client_List!$D:$D,MATCH(B1533,Client_List!$B:$B,0)),""))</f>
        <v/>
      </c>
      <c r="E1533" s="16" t="str">
        <f>IF(B1533="","",IFERROR(INDEX(Client_List!$K:$K,MATCH(B1533,Client_List!$B:$B,0)),""))</f>
        <v/>
      </c>
      <c r="F1533" s="16" t="str">
        <f>IF(B1533="","",IFERROR(INDEX(Client_List!$J:$J,MATCH(B1533,Client_List!$B:$B,0)),""))</f>
        <v/>
      </c>
      <c r="G1533" s="16"/>
      <c r="H1533" s="16" t="str">
        <f>IF(B1533="","",IFERROR(A1533-LOOKUP(2,1/($B$4:$B1532=B1533),$A$4:$A1532),""))</f>
        <v/>
      </c>
      <c r="I1533" s="16" t="str">
        <f t="shared" si="23"/>
        <v/>
      </c>
      <c r="J1533" s="16"/>
      <c r="K1533" s="6" t="str">
        <f>IF(B1533="","",IFERROR(AVERAGEIFS($I$4:$I1533,$B$4:$B1533,B1533,$I$4:$I1533,"&gt;"&amp;0),""))</f>
        <v/>
      </c>
      <c r="L1533" s="16" t="str">
        <f>IF(B1533="","",IF(ISNA(MATCH(B1533,Client_List!$B:$B,0)),"⚠ NOT FOUND","✓"))</f>
        <v/>
      </c>
    </row>
    <row r="1534" spans="1:12" ht="14" customHeight="1" x14ac:dyDescent="0.2">
      <c r="A1534" s="59"/>
      <c r="B1534" s="18"/>
      <c r="C1534" s="19" t="str">
        <f>IF(B1534="","",IFERROR(INDEX(Client_List!$C:$C,MATCH(B1534,Client_List!$B:$B,0)),""))</f>
        <v/>
      </c>
      <c r="D1534" s="19" t="str">
        <f>IF(B1534="","",IFERROR(INDEX(Client_List!$D:$D,MATCH(B1534,Client_List!$B:$B,0)),""))</f>
        <v/>
      </c>
      <c r="E1534" s="19" t="str">
        <f>IF(B1534="","",IFERROR(INDEX(Client_List!$K:$K,MATCH(B1534,Client_List!$B:$B,0)),""))</f>
        <v/>
      </c>
      <c r="F1534" s="19" t="str">
        <f>IF(B1534="","",IFERROR(INDEX(Client_List!$J:$J,MATCH(B1534,Client_List!$B:$B,0)),""))</f>
        <v/>
      </c>
      <c r="G1534" s="19"/>
      <c r="H1534" s="19" t="str">
        <f>IF(B1534="","",IFERROR(A1534-LOOKUP(2,1/($B$4:$B1533=B1534),$A$4:$A1533),""))</f>
        <v/>
      </c>
      <c r="I1534" s="19" t="str">
        <f t="shared" si="23"/>
        <v/>
      </c>
      <c r="J1534" s="19"/>
      <c r="K1534" s="6" t="str">
        <f>IF(B1534="","",IFERROR(AVERAGEIFS($I$4:$I1534,$B$4:$B1534,B1534,$I$4:$I1534,"&gt;"&amp;0),""))</f>
        <v/>
      </c>
      <c r="L1534" s="19" t="str">
        <f>IF(B1534="","",IF(ISNA(MATCH(B1534,Client_List!$B:$B,0)),"⚠ NOT FOUND","✓"))</f>
        <v/>
      </c>
    </row>
    <row r="1535" spans="1:12" ht="14" customHeight="1" x14ac:dyDescent="0.2">
      <c r="A1535" s="58"/>
      <c r="B1535" s="15"/>
      <c r="C1535" s="16" t="str">
        <f>IF(B1535="","",IFERROR(INDEX(Client_List!$C:$C,MATCH(B1535,Client_List!$B:$B,0)),""))</f>
        <v/>
      </c>
      <c r="D1535" s="16" t="str">
        <f>IF(B1535="","",IFERROR(INDEX(Client_List!$D:$D,MATCH(B1535,Client_List!$B:$B,0)),""))</f>
        <v/>
      </c>
      <c r="E1535" s="16" t="str">
        <f>IF(B1535="","",IFERROR(INDEX(Client_List!$K:$K,MATCH(B1535,Client_List!$B:$B,0)),""))</f>
        <v/>
      </c>
      <c r="F1535" s="16" t="str">
        <f>IF(B1535="","",IFERROR(INDEX(Client_List!$J:$J,MATCH(B1535,Client_List!$B:$B,0)),""))</f>
        <v/>
      </c>
      <c r="G1535" s="16"/>
      <c r="H1535" s="16" t="str">
        <f>IF(B1535="","",IFERROR(A1535-LOOKUP(2,1/($B$4:$B1534=B1535),$A$4:$A1534),""))</f>
        <v/>
      </c>
      <c r="I1535" s="16" t="str">
        <f t="shared" si="23"/>
        <v/>
      </c>
      <c r="J1535" s="16"/>
      <c r="K1535" s="6" t="str">
        <f>IF(B1535="","",IFERROR(AVERAGEIFS($I$4:$I1535,$B$4:$B1535,B1535,$I$4:$I1535,"&gt;"&amp;0),""))</f>
        <v/>
      </c>
      <c r="L1535" s="16" t="str">
        <f>IF(B1535="","",IF(ISNA(MATCH(B1535,Client_List!$B:$B,0)),"⚠ NOT FOUND","✓"))</f>
        <v/>
      </c>
    </row>
    <row r="1536" spans="1:12" ht="14" customHeight="1" x14ac:dyDescent="0.2">
      <c r="A1536" s="59"/>
      <c r="B1536" s="18"/>
      <c r="C1536" s="19" t="str">
        <f>IF(B1536="","",IFERROR(INDEX(Client_List!$C:$C,MATCH(B1536,Client_List!$B:$B,0)),""))</f>
        <v/>
      </c>
      <c r="D1536" s="19" t="str">
        <f>IF(B1536="","",IFERROR(INDEX(Client_List!$D:$D,MATCH(B1536,Client_List!$B:$B,0)),""))</f>
        <v/>
      </c>
      <c r="E1536" s="19" t="str">
        <f>IF(B1536="","",IFERROR(INDEX(Client_List!$K:$K,MATCH(B1536,Client_List!$B:$B,0)),""))</f>
        <v/>
      </c>
      <c r="F1536" s="19" t="str">
        <f>IF(B1536="","",IFERROR(INDEX(Client_List!$J:$J,MATCH(B1536,Client_List!$B:$B,0)),""))</f>
        <v/>
      </c>
      <c r="G1536" s="19"/>
      <c r="H1536" s="19" t="str">
        <f>IF(B1536="","",IFERROR(A1536-LOOKUP(2,1/($B$4:$B1535=B1536),$A$4:$A1535),""))</f>
        <v/>
      </c>
      <c r="I1536" s="19" t="str">
        <f t="shared" si="23"/>
        <v/>
      </c>
      <c r="J1536" s="19"/>
      <c r="K1536" s="6" t="str">
        <f>IF(B1536="","",IFERROR(AVERAGEIFS($I$4:$I1536,$B$4:$B1536,B1536,$I$4:$I1536,"&gt;"&amp;0),""))</f>
        <v/>
      </c>
      <c r="L1536" s="19" t="str">
        <f>IF(B1536="","",IF(ISNA(MATCH(B1536,Client_List!$B:$B,0)),"⚠ NOT FOUND","✓"))</f>
        <v/>
      </c>
    </row>
    <row r="1537" spans="1:12" ht="14" customHeight="1" x14ac:dyDescent="0.2">
      <c r="A1537" s="58"/>
      <c r="B1537" s="15"/>
      <c r="C1537" s="16" t="str">
        <f>IF(B1537="","",IFERROR(INDEX(Client_List!$C:$C,MATCH(B1537,Client_List!$B:$B,0)),""))</f>
        <v/>
      </c>
      <c r="D1537" s="16" t="str">
        <f>IF(B1537="","",IFERROR(INDEX(Client_List!$D:$D,MATCH(B1537,Client_List!$B:$B,0)),""))</f>
        <v/>
      </c>
      <c r="E1537" s="16" t="str">
        <f>IF(B1537="","",IFERROR(INDEX(Client_List!$K:$K,MATCH(B1537,Client_List!$B:$B,0)),""))</f>
        <v/>
      </c>
      <c r="F1537" s="16" t="str">
        <f>IF(B1537="","",IFERROR(INDEX(Client_List!$J:$J,MATCH(B1537,Client_List!$B:$B,0)),""))</f>
        <v/>
      </c>
      <c r="G1537" s="16"/>
      <c r="H1537" s="16" t="str">
        <f>IF(B1537="","",IFERROR(A1537-LOOKUP(2,1/($B$4:$B1536=B1537),$A$4:$A1536),""))</f>
        <v/>
      </c>
      <c r="I1537" s="16" t="str">
        <f t="shared" si="23"/>
        <v/>
      </c>
      <c r="J1537" s="16"/>
      <c r="K1537" s="6" t="str">
        <f>IF(B1537="","",IFERROR(AVERAGEIFS($I$4:$I1537,$B$4:$B1537,B1537,$I$4:$I1537,"&gt;"&amp;0),""))</f>
        <v/>
      </c>
      <c r="L1537" s="16" t="str">
        <f>IF(B1537="","",IF(ISNA(MATCH(B1537,Client_List!$B:$B,0)),"⚠ NOT FOUND","✓"))</f>
        <v/>
      </c>
    </row>
    <row r="1538" spans="1:12" ht="14" customHeight="1" x14ac:dyDescent="0.2">
      <c r="A1538" s="59"/>
      <c r="B1538" s="18"/>
      <c r="C1538" s="19" t="str">
        <f>IF(B1538="","",IFERROR(INDEX(Client_List!$C:$C,MATCH(B1538,Client_List!$B:$B,0)),""))</f>
        <v/>
      </c>
      <c r="D1538" s="19" t="str">
        <f>IF(B1538="","",IFERROR(INDEX(Client_List!$D:$D,MATCH(B1538,Client_List!$B:$B,0)),""))</f>
        <v/>
      </c>
      <c r="E1538" s="19" t="str">
        <f>IF(B1538="","",IFERROR(INDEX(Client_List!$K:$K,MATCH(B1538,Client_List!$B:$B,0)),""))</f>
        <v/>
      </c>
      <c r="F1538" s="19" t="str">
        <f>IF(B1538="","",IFERROR(INDEX(Client_List!$J:$J,MATCH(B1538,Client_List!$B:$B,0)),""))</f>
        <v/>
      </c>
      <c r="G1538" s="19"/>
      <c r="H1538" s="19" t="str">
        <f>IF(B1538="","",IFERROR(A1538-LOOKUP(2,1/($B$4:$B1537=B1538),$A$4:$A1537),""))</f>
        <v/>
      </c>
      <c r="I1538" s="19" t="str">
        <f t="shared" si="23"/>
        <v/>
      </c>
      <c r="J1538" s="19"/>
      <c r="K1538" s="6" t="str">
        <f>IF(B1538="","",IFERROR(AVERAGEIFS($I$4:$I1538,$B$4:$B1538,B1538,$I$4:$I1538,"&gt;"&amp;0),""))</f>
        <v/>
      </c>
      <c r="L1538" s="19" t="str">
        <f>IF(B1538="","",IF(ISNA(MATCH(B1538,Client_List!$B:$B,0)),"⚠ NOT FOUND","✓"))</f>
        <v/>
      </c>
    </row>
    <row r="1539" spans="1:12" ht="14" customHeight="1" x14ac:dyDescent="0.2">
      <c r="A1539" s="58"/>
      <c r="B1539" s="15"/>
      <c r="C1539" s="16" t="str">
        <f>IF(B1539="","",IFERROR(INDEX(Client_List!$C:$C,MATCH(B1539,Client_List!$B:$B,0)),""))</f>
        <v/>
      </c>
      <c r="D1539" s="16" t="str">
        <f>IF(B1539="","",IFERROR(INDEX(Client_List!$D:$D,MATCH(B1539,Client_List!$B:$B,0)),""))</f>
        <v/>
      </c>
      <c r="E1539" s="16" t="str">
        <f>IF(B1539="","",IFERROR(INDEX(Client_List!$K:$K,MATCH(B1539,Client_List!$B:$B,0)),""))</f>
        <v/>
      </c>
      <c r="F1539" s="16" t="str">
        <f>IF(B1539="","",IFERROR(INDEX(Client_List!$J:$J,MATCH(B1539,Client_List!$B:$B,0)),""))</f>
        <v/>
      </c>
      <c r="G1539" s="16"/>
      <c r="H1539" s="16" t="str">
        <f>IF(B1539="","",IFERROR(A1539-LOOKUP(2,1/($B$4:$B1538=B1539),$A$4:$A1538),""))</f>
        <v/>
      </c>
      <c r="I1539" s="16" t="str">
        <f t="shared" si="23"/>
        <v/>
      </c>
      <c r="J1539" s="16"/>
      <c r="K1539" s="6" t="str">
        <f>IF(B1539="","",IFERROR(AVERAGEIFS($I$4:$I1539,$B$4:$B1539,B1539,$I$4:$I1539,"&gt;"&amp;0),""))</f>
        <v/>
      </c>
      <c r="L1539" s="16" t="str">
        <f>IF(B1539="","",IF(ISNA(MATCH(B1539,Client_List!$B:$B,0)),"⚠ NOT FOUND","✓"))</f>
        <v/>
      </c>
    </row>
    <row r="1540" spans="1:12" ht="14" customHeight="1" x14ac:dyDescent="0.2">
      <c r="A1540" s="59"/>
      <c r="B1540" s="18"/>
      <c r="C1540" s="19" t="str">
        <f>IF(B1540="","",IFERROR(INDEX(Client_List!$C:$C,MATCH(B1540,Client_List!$B:$B,0)),""))</f>
        <v/>
      </c>
      <c r="D1540" s="19" t="str">
        <f>IF(B1540="","",IFERROR(INDEX(Client_List!$D:$D,MATCH(B1540,Client_List!$B:$B,0)),""))</f>
        <v/>
      </c>
      <c r="E1540" s="19" t="str">
        <f>IF(B1540="","",IFERROR(INDEX(Client_List!$K:$K,MATCH(B1540,Client_List!$B:$B,0)),""))</f>
        <v/>
      </c>
      <c r="F1540" s="19" t="str">
        <f>IF(B1540="","",IFERROR(INDEX(Client_List!$J:$J,MATCH(B1540,Client_List!$B:$B,0)),""))</f>
        <v/>
      </c>
      <c r="G1540" s="19"/>
      <c r="H1540" s="19" t="str">
        <f>IF(B1540="","",IFERROR(A1540-LOOKUP(2,1/($B$4:$B1539=B1540),$A$4:$A1539),""))</f>
        <v/>
      </c>
      <c r="I1540" s="19" t="str">
        <f t="shared" ref="I1540:I1603" si="24">IF(B1540="","",IFERROR(G1540/H1540,""))</f>
        <v/>
      </c>
      <c r="J1540" s="19"/>
      <c r="K1540" s="6" t="str">
        <f>IF(B1540="","",IFERROR(AVERAGEIFS($I$4:$I1540,$B$4:$B1540,B1540,$I$4:$I1540,"&gt;"&amp;0),""))</f>
        <v/>
      </c>
      <c r="L1540" s="19" t="str">
        <f>IF(B1540="","",IF(ISNA(MATCH(B1540,Client_List!$B:$B,0)),"⚠ NOT FOUND","✓"))</f>
        <v/>
      </c>
    </row>
    <row r="1541" spans="1:12" ht="14" customHeight="1" x14ac:dyDescent="0.2">
      <c r="A1541" s="58"/>
      <c r="B1541" s="15"/>
      <c r="C1541" s="16" t="str">
        <f>IF(B1541="","",IFERROR(INDEX(Client_List!$C:$C,MATCH(B1541,Client_List!$B:$B,0)),""))</f>
        <v/>
      </c>
      <c r="D1541" s="16" t="str">
        <f>IF(B1541="","",IFERROR(INDEX(Client_List!$D:$D,MATCH(B1541,Client_List!$B:$B,0)),""))</f>
        <v/>
      </c>
      <c r="E1541" s="16" t="str">
        <f>IF(B1541="","",IFERROR(INDEX(Client_List!$K:$K,MATCH(B1541,Client_List!$B:$B,0)),""))</f>
        <v/>
      </c>
      <c r="F1541" s="16" t="str">
        <f>IF(B1541="","",IFERROR(INDEX(Client_List!$J:$J,MATCH(B1541,Client_List!$B:$B,0)),""))</f>
        <v/>
      </c>
      <c r="G1541" s="16"/>
      <c r="H1541" s="16" t="str">
        <f>IF(B1541="","",IFERROR(A1541-LOOKUP(2,1/($B$4:$B1540=B1541),$A$4:$A1540),""))</f>
        <v/>
      </c>
      <c r="I1541" s="16" t="str">
        <f t="shared" si="24"/>
        <v/>
      </c>
      <c r="J1541" s="16"/>
      <c r="K1541" s="6" t="str">
        <f>IF(B1541="","",IFERROR(AVERAGEIFS($I$4:$I1541,$B$4:$B1541,B1541,$I$4:$I1541,"&gt;"&amp;0),""))</f>
        <v/>
      </c>
      <c r="L1541" s="16" t="str">
        <f>IF(B1541="","",IF(ISNA(MATCH(B1541,Client_List!$B:$B,0)),"⚠ NOT FOUND","✓"))</f>
        <v/>
      </c>
    </row>
    <row r="1542" spans="1:12" ht="14" customHeight="1" x14ac:dyDescent="0.2">
      <c r="A1542" s="59"/>
      <c r="B1542" s="18"/>
      <c r="C1542" s="19" t="str">
        <f>IF(B1542="","",IFERROR(INDEX(Client_List!$C:$C,MATCH(B1542,Client_List!$B:$B,0)),""))</f>
        <v/>
      </c>
      <c r="D1542" s="19" t="str">
        <f>IF(B1542="","",IFERROR(INDEX(Client_List!$D:$D,MATCH(B1542,Client_List!$B:$B,0)),""))</f>
        <v/>
      </c>
      <c r="E1542" s="19" t="str">
        <f>IF(B1542="","",IFERROR(INDEX(Client_List!$K:$K,MATCH(B1542,Client_List!$B:$B,0)),""))</f>
        <v/>
      </c>
      <c r="F1542" s="19" t="str">
        <f>IF(B1542="","",IFERROR(INDEX(Client_List!$J:$J,MATCH(B1542,Client_List!$B:$B,0)),""))</f>
        <v/>
      </c>
      <c r="G1542" s="19"/>
      <c r="H1542" s="19" t="str">
        <f>IF(B1542="","",IFERROR(A1542-LOOKUP(2,1/($B$4:$B1541=B1542),$A$4:$A1541),""))</f>
        <v/>
      </c>
      <c r="I1542" s="19" t="str">
        <f t="shared" si="24"/>
        <v/>
      </c>
      <c r="J1542" s="19"/>
      <c r="K1542" s="6" t="str">
        <f>IF(B1542="","",IFERROR(AVERAGEIFS($I$4:$I1542,$B$4:$B1542,B1542,$I$4:$I1542,"&gt;"&amp;0),""))</f>
        <v/>
      </c>
      <c r="L1542" s="19" t="str">
        <f>IF(B1542="","",IF(ISNA(MATCH(B1542,Client_List!$B:$B,0)),"⚠ NOT FOUND","✓"))</f>
        <v/>
      </c>
    </row>
    <row r="1543" spans="1:12" ht="14" customHeight="1" x14ac:dyDescent="0.2">
      <c r="A1543" s="58"/>
      <c r="B1543" s="15"/>
      <c r="C1543" s="16" t="str">
        <f>IF(B1543="","",IFERROR(INDEX(Client_List!$C:$C,MATCH(B1543,Client_List!$B:$B,0)),""))</f>
        <v/>
      </c>
      <c r="D1543" s="16" t="str">
        <f>IF(B1543="","",IFERROR(INDEX(Client_List!$D:$D,MATCH(B1543,Client_List!$B:$B,0)),""))</f>
        <v/>
      </c>
      <c r="E1543" s="16" t="str">
        <f>IF(B1543="","",IFERROR(INDEX(Client_List!$K:$K,MATCH(B1543,Client_List!$B:$B,0)),""))</f>
        <v/>
      </c>
      <c r="F1543" s="16" t="str">
        <f>IF(B1543="","",IFERROR(INDEX(Client_List!$J:$J,MATCH(B1543,Client_List!$B:$B,0)),""))</f>
        <v/>
      </c>
      <c r="G1543" s="16"/>
      <c r="H1543" s="16" t="str">
        <f>IF(B1543="","",IFERROR(A1543-LOOKUP(2,1/($B$4:$B1542=B1543),$A$4:$A1542),""))</f>
        <v/>
      </c>
      <c r="I1543" s="16" t="str">
        <f t="shared" si="24"/>
        <v/>
      </c>
      <c r="J1543" s="16"/>
      <c r="K1543" s="6" t="str">
        <f>IF(B1543="","",IFERROR(AVERAGEIFS($I$4:$I1543,$B$4:$B1543,B1543,$I$4:$I1543,"&gt;"&amp;0),""))</f>
        <v/>
      </c>
      <c r="L1543" s="16" t="str">
        <f>IF(B1543="","",IF(ISNA(MATCH(B1543,Client_List!$B:$B,0)),"⚠ NOT FOUND","✓"))</f>
        <v/>
      </c>
    </row>
    <row r="1544" spans="1:12" ht="14" customHeight="1" x14ac:dyDescent="0.2">
      <c r="A1544" s="59"/>
      <c r="B1544" s="18"/>
      <c r="C1544" s="19" t="str">
        <f>IF(B1544="","",IFERROR(INDEX(Client_List!$C:$C,MATCH(B1544,Client_List!$B:$B,0)),""))</f>
        <v/>
      </c>
      <c r="D1544" s="19" t="str">
        <f>IF(B1544="","",IFERROR(INDEX(Client_List!$D:$D,MATCH(B1544,Client_List!$B:$B,0)),""))</f>
        <v/>
      </c>
      <c r="E1544" s="19" t="str">
        <f>IF(B1544="","",IFERROR(INDEX(Client_List!$K:$K,MATCH(B1544,Client_List!$B:$B,0)),""))</f>
        <v/>
      </c>
      <c r="F1544" s="19" t="str">
        <f>IF(B1544="","",IFERROR(INDEX(Client_List!$J:$J,MATCH(B1544,Client_List!$B:$B,0)),""))</f>
        <v/>
      </c>
      <c r="G1544" s="19"/>
      <c r="H1544" s="19" t="str">
        <f>IF(B1544="","",IFERROR(A1544-LOOKUP(2,1/($B$4:$B1543=B1544),$A$4:$A1543),""))</f>
        <v/>
      </c>
      <c r="I1544" s="19" t="str">
        <f t="shared" si="24"/>
        <v/>
      </c>
      <c r="J1544" s="19"/>
      <c r="K1544" s="6" t="str">
        <f>IF(B1544="","",IFERROR(AVERAGEIFS($I$4:$I1544,$B$4:$B1544,B1544,$I$4:$I1544,"&gt;"&amp;0),""))</f>
        <v/>
      </c>
      <c r="L1544" s="19" t="str">
        <f>IF(B1544="","",IF(ISNA(MATCH(B1544,Client_List!$B:$B,0)),"⚠ NOT FOUND","✓"))</f>
        <v/>
      </c>
    </row>
    <row r="1545" spans="1:12" ht="14" customHeight="1" x14ac:dyDescent="0.2">
      <c r="A1545" s="58"/>
      <c r="B1545" s="15"/>
      <c r="C1545" s="16" t="str">
        <f>IF(B1545="","",IFERROR(INDEX(Client_List!$C:$C,MATCH(B1545,Client_List!$B:$B,0)),""))</f>
        <v/>
      </c>
      <c r="D1545" s="16" t="str">
        <f>IF(B1545="","",IFERROR(INDEX(Client_List!$D:$D,MATCH(B1545,Client_List!$B:$B,0)),""))</f>
        <v/>
      </c>
      <c r="E1545" s="16" t="str">
        <f>IF(B1545="","",IFERROR(INDEX(Client_List!$K:$K,MATCH(B1545,Client_List!$B:$B,0)),""))</f>
        <v/>
      </c>
      <c r="F1545" s="16" t="str">
        <f>IF(B1545="","",IFERROR(INDEX(Client_List!$J:$J,MATCH(B1545,Client_List!$B:$B,0)),""))</f>
        <v/>
      </c>
      <c r="G1545" s="16"/>
      <c r="H1545" s="16" t="str">
        <f>IF(B1545="","",IFERROR(A1545-LOOKUP(2,1/($B$4:$B1544=B1545),$A$4:$A1544),""))</f>
        <v/>
      </c>
      <c r="I1545" s="16" t="str">
        <f t="shared" si="24"/>
        <v/>
      </c>
      <c r="J1545" s="16"/>
      <c r="K1545" s="6" t="str">
        <f>IF(B1545="","",IFERROR(AVERAGEIFS($I$4:$I1545,$B$4:$B1545,B1545,$I$4:$I1545,"&gt;"&amp;0),""))</f>
        <v/>
      </c>
      <c r="L1545" s="16" t="str">
        <f>IF(B1545="","",IF(ISNA(MATCH(B1545,Client_List!$B:$B,0)),"⚠ NOT FOUND","✓"))</f>
        <v/>
      </c>
    </row>
    <row r="1546" spans="1:12" ht="14" customHeight="1" x14ac:dyDescent="0.2">
      <c r="A1546" s="59"/>
      <c r="B1546" s="18"/>
      <c r="C1546" s="19" t="str">
        <f>IF(B1546="","",IFERROR(INDEX(Client_List!$C:$C,MATCH(B1546,Client_List!$B:$B,0)),""))</f>
        <v/>
      </c>
      <c r="D1546" s="19" t="str">
        <f>IF(B1546="","",IFERROR(INDEX(Client_List!$D:$D,MATCH(B1546,Client_List!$B:$B,0)),""))</f>
        <v/>
      </c>
      <c r="E1546" s="19" t="str">
        <f>IF(B1546="","",IFERROR(INDEX(Client_List!$K:$K,MATCH(B1546,Client_List!$B:$B,0)),""))</f>
        <v/>
      </c>
      <c r="F1546" s="19" t="str">
        <f>IF(B1546="","",IFERROR(INDEX(Client_List!$J:$J,MATCH(B1546,Client_List!$B:$B,0)),""))</f>
        <v/>
      </c>
      <c r="G1546" s="19"/>
      <c r="H1546" s="19" t="str">
        <f>IF(B1546="","",IFERROR(A1546-LOOKUP(2,1/($B$4:$B1545=B1546),$A$4:$A1545),""))</f>
        <v/>
      </c>
      <c r="I1546" s="19" t="str">
        <f t="shared" si="24"/>
        <v/>
      </c>
      <c r="J1546" s="19"/>
      <c r="K1546" s="6" t="str">
        <f>IF(B1546="","",IFERROR(AVERAGEIFS($I$4:$I1546,$B$4:$B1546,B1546,$I$4:$I1546,"&gt;"&amp;0),""))</f>
        <v/>
      </c>
      <c r="L1546" s="19" t="str">
        <f>IF(B1546="","",IF(ISNA(MATCH(B1546,Client_List!$B:$B,0)),"⚠ NOT FOUND","✓"))</f>
        <v/>
      </c>
    </row>
    <row r="1547" spans="1:12" ht="14" customHeight="1" x14ac:dyDescent="0.2">
      <c r="A1547" s="58"/>
      <c r="B1547" s="15"/>
      <c r="C1547" s="16" t="str">
        <f>IF(B1547="","",IFERROR(INDEX(Client_List!$C:$C,MATCH(B1547,Client_List!$B:$B,0)),""))</f>
        <v/>
      </c>
      <c r="D1547" s="16" t="str">
        <f>IF(B1547="","",IFERROR(INDEX(Client_List!$D:$D,MATCH(B1547,Client_List!$B:$B,0)),""))</f>
        <v/>
      </c>
      <c r="E1547" s="16" t="str">
        <f>IF(B1547="","",IFERROR(INDEX(Client_List!$K:$K,MATCH(B1547,Client_List!$B:$B,0)),""))</f>
        <v/>
      </c>
      <c r="F1547" s="16" t="str">
        <f>IF(B1547="","",IFERROR(INDEX(Client_List!$J:$J,MATCH(B1547,Client_List!$B:$B,0)),""))</f>
        <v/>
      </c>
      <c r="G1547" s="16"/>
      <c r="H1547" s="16" t="str">
        <f>IF(B1547="","",IFERROR(A1547-LOOKUP(2,1/($B$4:$B1546=B1547),$A$4:$A1546),""))</f>
        <v/>
      </c>
      <c r="I1547" s="16" t="str">
        <f t="shared" si="24"/>
        <v/>
      </c>
      <c r="J1547" s="16"/>
      <c r="K1547" s="6" t="str">
        <f>IF(B1547="","",IFERROR(AVERAGEIFS($I$4:$I1547,$B$4:$B1547,B1547,$I$4:$I1547,"&gt;"&amp;0),""))</f>
        <v/>
      </c>
      <c r="L1547" s="16" t="str">
        <f>IF(B1547="","",IF(ISNA(MATCH(B1547,Client_List!$B:$B,0)),"⚠ NOT FOUND","✓"))</f>
        <v/>
      </c>
    </row>
    <row r="1548" spans="1:12" ht="14" customHeight="1" x14ac:dyDescent="0.2">
      <c r="A1548" s="59"/>
      <c r="B1548" s="18"/>
      <c r="C1548" s="19" t="str">
        <f>IF(B1548="","",IFERROR(INDEX(Client_List!$C:$C,MATCH(B1548,Client_List!$B:$B,0)),""))</f>
        <v/>
      </c>
      <c r="D1548" s="19" t="str">
        <f>IF(B1548="","",IFERROR(INDEX(Client_List!$D:$D,MATCH(B1548,Client_List!$B:$B,0)),""))</f>
        <v/>
      </c>
      <c r="E1548" s="19" t="str">
        <f>IF(B1548="","",IFERROR(INDEX(Client_List!$K:$K,MATCH(B1548,Client_List!$B:$B,0)),""))</f>
        <v/>
      </c>
      <c r="F1548" s="19" t="str">
        <f>IF(B1548="","",IFERROR(INDEX(Client_List!$J:$J,MATCH(B1548,Client_List!$B:$B,0)),""))</f>
        <v/>
      </c>
      <c r="G1548" s="19"/>
      <c r="H1548" s="19" t="str">
        <f>IF(B1548="","",IFERROR(A1548-LOOKUP(2,1/($B$4:$B1547=B1548),$A$4:$A1547),""))</f>
        <v/>
      </c>
      <c r="I1548" s="19" t="str">
        <f t="shared" si="24"/>
        <v/>
      </c>
      <c r="J1548" s="19"/>
      <c r="K1548" s="6" t="str">
        <f>IF(B1548="","",IFERROR(AVERAGEIFS($I$4:$I1548,$B$4:$B1548,B1548,$I$4:$I1548,"&gt;"&amp;0),""))</f>
        <v/>
      </c>
      <c r="L1548" s="19" t="str">
        <f>IF(B1548="","",IF(ISNA(MATCH(B1548,Client_List!$B:$B,0)),"⚠ NOT FOUND","✓"))</f>
        <v/>
      </c>
    </row>
    <row r="1549" spans="1:12" ht="14" customHeight="1" x14ac:dyDescent="0.2">
      <c r="A1549" s="58"/>
      <c r="B1549" s="15"/>
      <c r="C1549" s="16" t="str">
        <f>IF(B1549="","",IFERROR(INDEX(Client_List!$C:$C,MATCH(B1549,Client_List!$B:$B,0)),""))</f>
        <v/>
      </c>
      <c r="D1549" s="16" t="str">
        <f>IF(B1549="","",IFERROR(INDEX(Client_List!$D:$D,MATCH(B1549,Client_List!$B:$B,0)),""))</f>
        <v/>
      </c>
      <c r="E1549" s="16" t="str">
        <f>IF(B1549="","",IFERROR(INDEX(Client_List!$K:$K,MATCH(B1549,Client_List!$B:$B,0)),""))</f>
        <v/>
      </c>
      <c r="F1549" s="16" t="str">
        <f>IF(B1549="","",IFERROR(INDEX(Client_List!$J:$J,MATCH(B1549,Client_List!$B:$B,0)),""))</f>
        <v/>
      </c>
      <c r="G1549" s="16"/>
      <c r="H1549" s="16" t="str">
        <f>IF(B1549="","",IFERROR(A1549-LOOKUP(2,1/($B$4:$B1548=B1549),$A$4:$A1548),""))</f>
        <v/>
      </c>
      <c r="I1549" s="16" t="str">
        <f t="shared" si="24"/>
        <v/>
      </c>
      <c r="J1549" s="16"/>
      <c r="K1549" s="6" t="str">
        <f>IF(B1549="","",IFERROR(AVERAGEIFS($I$4:$I1549,$B$4:$B1549,B1549,$I$4:$I1549,"&gt;"&amp;0),""))</f>
        <v/>
      </c>
      <c r="L1549" s="16" t="str">
        <f>IF(B1549="","",IF(ISNA(MATCH(B1549,Client_List!$B:$B,0)),"⚠ NOT FOUND","✓"))</f>
        <v/>
      </c>
    </row>
    <row r="1550" spans="1:12" ht="14" customHeight="1" x14ac:dyDescent="0.2">
      <c r="A1550" s="59"/>
      <c r="B1550" s="18"/>
      <c r="C1550" s="19" t="str">
        <f>IF(B1550="","",IFERROR(INDEX(Client_List!$C:$C,MATCH(B1550,Client_List!$B:$B,0)),""))</f>
        <v/>
      </c>
      <c r="D1550" s="19" t="str">
        <f>IF(B1550="","",IFERROR(INDEX(Client_List!$D:$D,MATCH(B1550,Client_List!$B:$B,0)),""))</f>
        <v/>
      </c>
      <c r="E1550" s="19" t="str">
        <f>IF(B1550="","",IFERROR(INDEX(Client_List!$K:$K,MATCH(B1550,Client_List!$B:$B,0)),""))</f>
        <v/>
      </c>
      <c r="F1550" s="19" t="str">
        <f>IF(B1550="","",IFERROR(INDEX(Client_List!$J:$J,MATCH(B1550,Client_List!$B:$B,0)),""))</f>
        <v/>
      </c>
      <c r="G1550" s="19"/>
      <c r="H1550" s="19" t="str">
        <f>IF(B1550="","",IFERROR(A1550-LOOKUP(2,1/($B$4:$B1549=B1550),$A$4:$A1549),""))</f>
        <v/>
      </c>
      <c r="I1550" s="19" t="str">
        <f t="shared" si="24"/>
        <v/>
      </c>
      <c r="J1550" s="19"/>
      <c r="K1550" s="6" t="str">
        <f>IF(B1550="","",IFERROR(AVERAGEIFS($I$4:$I1550,$B$4:$B1550,B1550,$I$4:$I1550,"&gt;"&amp;0),""))</f>
        <v/>
      </c>
      <c r="L1550" s="19" t="str">
        <f>IF(B1550="","",IF(ISNA(MATCH(B1550,Client_List!$B:$B,0)),"⚠ NOT FOUND","✓"))</f>
        <v/>
      </c>
    </row>
    <row r="1551" spans="1:12" ht="14" customHeight="1" x14ac:dyDescent="0.2">
      <c r="A1551" s="58"/>
      <c r="B1551" s="15"/>
      <c r="C1551" s="16" t="str">
        <f>IF(B1551="","",IFERROR(INDEX(Client_List!$C:$C,MATCH(B1551,Client_List!$B:$B,0)),""))</f>
        <v/>
      </c>
      <c r="D1551" s="16" t="str">
        <f>IF(B1551="","",IFERROR(INDEX(Client_List!$D:$D,MATCH(B1551,Client_List!$B:$B,0)),""))</f>
        <v/>
      </c>
      <c r="E1551" s="16" t="str">
        <f>IF(B1551="","",IFERROR(INDEX(Client_List!$K:$K,MATCH(B1551,Client_List!$B:$B,0)),""))</f>
        <v/>
      </c>
      <c r="F1551" s="16" t="str">
        <f>IF(B1551="","",IFERROR(INDEX(Client_List!$J:$J,MATCH(B1551,Client_List!$B:$B,0)),""))</f>
        <v/>
      </c>
      <c r="G1551" s="16"/>
      <c r="H1551" s="16" t="str">
        <f>IF(B1551="","",IFERROR(A1551-LOOKUP(2,1/($B$4:$B1550=B1551),$A$4:$A1550),""))</f>
        <v/>
      </c>
      <c r="I1551" s="16" t="str">
        <f t="shared" si="24"/>
        <v/>
      </c>
      <c r="J1551" s="16"/>
      <c r="K1551" s="6" t="str">
        <f>IF(B1551="","",IFERROR(AVERAGEIFS($I$4:$I1551,$B$4:$B1551,B1551,$I$4:$I1551,"&gt;"&amp;0),""))</f>
        <v/>
      </c>
      <c r="L1551" s="16" t="str">
        <f>IF(B1551="","",IF(ISNA(MATCH(B1551,Client_List!$B:$B,0)),"⚠ NOT FOUND","✓"))</f>
        <v/>
      </c>
    </row>
    <row r="1552" spans="1:12" ht="14" customHeight="1" x14ac:dyDescent="0.2">
      <c r="A1552" s="59"/>
      <c r="B1552" s="18"/>
      <c r="C1552" s="19" t="str">
        <f>IF(B1552="","",IFERROR(INDEX(Client_List!$C:$C,MATCH(B1552,Client_List!$B:$B,0)),""))</f>
        <v/>
      </c>
      <c r="D1552" s="19" t="str">
        <f>IF(B1552="","",IFERROR(INDEX(Client_List!$D:$D,MATCH(B1552,Client_List!$B:$B,0)),""))</f>
        <v/>
      </c>
      <c r="E1552" s="19" t="str">
        <f>IF(B1552="","",IFERROR(INDEX(Client_List!$K:$K,MATCH(B1552,Client_List!$B:$B,0)),""))</f>
        <v/>
      </c>
      <c r="F1552" s="19" t="str">
        <f>IF(B1552="","",IFERROR(INDEX(Client_List!$J:$J,MATCH(B1552,Client_List!$B:$B,0)),""))</f>
        <v/>
      </c>
      <c r="G1552" s="19"/>
      <c r="H1552" s="19" t="str">
        <f>IF(B1552="","",IFERROR(A1552-LOOKUP(2,1/($B$4:$B1551=B1552),$A$4:$A1551),""))</f>
        <v/>
      </c>
      <c r="I1552" s="19" t="str">
        <f t="shared" si="24"/>
        <v/>
      </c>
      <c r="J1552" s="19"/>
      <c r="K1552" s="6" t="str">
        <f>IF(B1552="","",IFERROR(AVERAGEIFS($I$4:$I1552,$B$4:$B1552,B1552,$I$4:$I1552,"&gt;"&amp;0),""))</f>
        <v/>
      </c>
      <c r="L1552" s="19" t="str">
        <f>IF(B1552="","",IF(ISNA(MATCH(B1552,Client_List!$B:$B,0)),"⚠ NOT FOUND","✓"))</f>
        <v/>
      </c>
    </row>
    <row r="1553" spans="1:12" ht="14" customHeight="1" x14ac:dyDescent="0.2">
      <c r="A1553" s="58"/>
      <c r="B1553" s="15"/>
      <c r="C1553" s="16" t="str">
        <f>IF(B1553="","",IFERROR(INDEX(Client_List!$C:$C,MATCH(B1553,Client_List!$B:$B,0)),""))</f>
        <v/>
      </c>
      <c r="D1553" s="16" t="str">
        <f>IF(B1553="","",IFERROR(INDEX(Client_List!$D:$D,MATCH(B1553,Client_List!$B:$B,0)),""))</f>
        <v/>
      </c>
      <c r="E1553" s="16" t="str">
        <f>IF(B1553="","",IFERROR(INDEX(Client_List!$K:$K,MATCH(B1553,Client_List!$B:$B,0)),""))</f>
        <v/>
      </c>
      <c r="F1553" s="16" t="str">
        <f>IF(B1553="","",IFERROR(INDEX(Client_List!$J:$J,MATCH(B1553,Client_List!$B:$B,0)),""))</f>
        <v/>
      </c>
      <c r="G1553" s="16"/>
      <c r="H1553" s="16" t="str">
        <f>IF(B1553="","",IFERROR(A1553-LOOKUP(2,1/($B$4:$B1552=B1553),$A$4:$A1552),""))</f>
        <v/>
      </c>
      <c r="I1553" s="16" t="str">
        <f t="shared" si="24"/>
        <v/>
      </c>
      <c r="J1553" s="16"/>
      <c r="K1553" s="6" t="str">
        <f>IF(B1553="","",IFERROR(AVERAGEIFS($I$4:$I1553,$B$4:$B1553,B1553,$I$4:$I1553,"&gt;"&amp;0),""))</f>
        <v/>
      </c>
      <c r="L1553" s="16" t="str">
        <f>IF(B1553="","",IF(ISNA(MATCH(B1553,Client_List!$B:$B,0)),"⚠ NOT FOUND","✓"))</f>
        <v/>
      </c>
    </row>
    <row r="1554" spans="1:12" ht="14" customHeight="1" x14ac:dyDescent="0.2">
      <c r="A1554" s="59"/>
      <c r="B1554" s="18"/>
      <c r="C1554" s="19" t="str">
        <f>IF(B1554="","",IFERROR(INDEX(Client_List!$C:$C,MATCH(B1554,Client_List!$B:$B,0)),""))</f>
        <v/>
      </c>
      <c r="D1554" s="19" t="str">
        <f>IF(B1554="","",IFERROR(INDEX(Client_List!$D:$D,MATCH(B1554,Client_List!$B:$B,0)),""))</f>
        <v/>
      </c>
      <c r="E1554" s="19" t="str">
        <f>IF(B1554="","",IFERROR(INDEX(Client_List!$K:$K,MATCH(B1554,Client_List!$B:$B,0)),""))</f>
        <v/>
      </c>
      <c r="F1554" s="19" t="str">
        <f>IF(B1554="","",IFERROR(INDEX(Client_List!$J:$J,MATCH(B1554,Client_List!$B:$B,0)),""))</f>
        <v/>
      </c>
      <c r="G1554" s="19"/>
      <c r="H1554" s="19" t="str">
        <f>IF(B1554="","",IFERROR(A1554-LOOKUP(2,1/($B$4:$B1553=B1554),$A$4:$A1553),""))</f>
        <v/>
      </c>
      <c r="I1554" s="19" t="str">
        <f t="shared" si="24"/>
        <v/>
      </c>
      <c r="J1554" s="19"/>
      <c r="K1554" s="6" t="str">
        <f>IF(B1554="","",IFERROR(AVERAGEIFS($I$4:$I1554,$B$4:$B1554,B1554,$I$4:$I1554,"&gt;"&amp;0),""))</f>
        <v/>
      </c>
      <c r="L1554" s="19" t="str">
        <f>IF(B1554="","",IF(ISNA(MATCH(B1554,Client_List!$B:$B,0)),"⚠ NOT FOUND","✓"))</f>
        <v/>
      </c>
    </row>
    <row r="1555" spans="1:12" ht="14" customHeight="1" x14ac:dyDescent="0.2">
      <c r="A1555" s="58"/>
      <c r="B1555" s="15"/>
      <c r="C1555" s="16" t="str">
        <f>IF(B1555="","",IFERROR(INDEX(Client_List!$C:$C,MATCH(B1555,Client_List!$B:$B,0)),""))</f>
        <v/>
      </c>
      <c r="D1555" s="16" t="str">
        <f>IF(B1555="","",IFERROR(INDEX(Client_List!$D:$D,MATCH(B1555,Client_List!$B:$B,0)),""))</f>
        <v/>
      </c>
      <c r="E1555" s="16" t="str">
        <f>IF(B1555="","",IFERROR(INDEX(Client_List!$K:$K,MATCH(B1555,Client_List!$B:$B,0)),""))</f>
        <v/>
      </c>
      <c r="F1555" s="16" t="str">
        <f>IF(B1555="","",IFERROR(INDEX(Client_List!$J:$J,MATCH(B1555,Client_List!$B:$B,0)),""))</f>
        <v/>
      </c>
      <c r="G1555" s="16"/>
      <c r="H1555" s="16" t="str">
        <f>IF(B1555="","",IFERROR(A1555-LOOKUP(2,1/($B$4:$B1554=B1555),$A$4:$A1554),""))</f>
        <v/>
      </c>
      <c r="I1555" s="16" t="str">
        <f t="shared" si="24"/>
        <v/>
      </c>
      <c r="J1555" s="16"/>
      <c r="K1555" s="6" t="str">
        <f>IF(B1555="","",IFERROR(AVERAGEIFS($I$4:$I1555,$B$4:$B1555,B1555,$I$4:$I1555,"&gt;"&amp;0),""))</f>
        <v/>
      </c>
      <c r="L1555" s="16" t="str">
        <f>IF(B1555="","",IF(ISNA(MATCH(B1555,Client_List!$B:$B,0)),"⚠ NOT FOUND","✓"))</f>
        <v/>
      </c>
    </row>
    <row r="1556" spans="1:12" ht="14" customHeight="1" x14ac:dyDescent="0.2">
      <c r="A1556" s="59"/>
      <c r="B1556" s="18"/>
      <c r="C1556" s="19" t="str">
        <f>IF(B1556="","",IFERROR(INDEX(Client_List!$C:$C,MATCH(B1556,Client_List!$B:$B,0)),""))</f>
        <v/>
      </c>
      <c r="D1556" s="19" t="str">
        <f>IF(B1556="","",IFERROR(INDEX(Client_List!$D:$D,MATCH(B1556,Client_List!$B:$B,0)),""))</f>
        <v/>
      </c>
      <c r="E1556" s="19" t="str">
        <f>IF(B1556="","",IFERROR(INDEX(Client_List!$K:$K,MATCH(B1556,Client_List!$B:$B,0)),""))</f>
        <v/>
      </c>
      <c r="F1556" s="19" t="str">
        <f>IF(B1556="","",IFERROR(INDEX(Client_List!$J:$J,MATCH(B1556,Client_List!$B:$B,0)),""))</f>
        <v/>
      </c>
      <c r="G1556" s="19"/>
      <c r="H1556" s="19" t="str">
        <f>IF(B1556="","",IFERROR(A1556-LOOKUP(2,1/($B$4:$B1555=B1556),$A$4:$A1555),""))</f>
        <v/>
      </c>
      <c r="I1556" s="19" t="str">
        <f t="shared" si="24"/>
        <v/>
      </c>
      <c r="J1556" s="19"/>
      <c r="K1556" s="6" t="str">
        <f>IF(B1556="","",IFERROR(AVERAGEIFS($I$4:$I1556,$B$4:$B1556,B1556,$I$4:$I1556,"&gt;"&amp;0),""))</f>
        <v/>
      </c>
      <c r="L1556" s="19" t="str">
        <f>IF(B1556="","",IF(ISNA(MATCH(B1556,Client_List!$B:$B,0)),"⚠ NOT FOUND","✓"))</f>
        <v/>
      </c>
    </row>
    <row r="1557" spans="1:12" ht="14" customHeight="1" x14ac:dyDescent="0.2">
      <c r="A1557" s="58"/>
      <c r="B1557" s="15"/>
      <c r="C1557" s="16" t="str">
        <f>IF(B1557="","",IFERROR(INDEX(Client_List!$C:$C,MATCH(B1557,Client_List!$B:$B,0)),""))</f>
        <v/>
      </c>
      <c r="D1557" s="16" t="str">
        <f>IF(B1557="","",IFERROR(INDEX(Client_List!$D:$D,MATCH(B1557,Client_List!$B:$B,0)),""))</f>
        <v/>
      </c>
      <c r="E1557" s="16" t="str">
        <f>IF(B1557="","",IFERROR(INDEX(Client_List!$K:$K,MATCH(B1557,Client_List!$B:$B,0)),""))</f>
        <v/>
      </c>
      <c r="F1557" s="16" t="str">
        <f>IF(B1557="","",IFERROR(INDEX(Client_List!$J:$J,MATCH(B1557,Client_List!$B:$B,0)),""))</f>
        <v/>
      </c>
      <c r="G1557" s="16"/>
      <c r="H1557" s="16" t="str">
        <f>IF(B1557="","",IFERROR(A1557-LOOKUP(2,1/($B$4:$B1556=B1557),$A$4:$A1556),""))</f>
        <v/>
      </c>
      <c r="I1557" s="16" t="str">
        <f t="shared" si="24"/>
        <v/>
      </c>
      <c r="J1557" s="16"/>
      <c r="K1557" s="6" t="str">
        <f>IF(B1557="","",IFERROR(AVERAGEIFS($I$4:$I1557,$B$4:$B1557,B1557,$I$4:$I1557,"&gt;"&amp;0),""))</f>
        <v/>
      </c>
      <c r="L1557" s="16" t="str">
        <f>IF(B1557="","",IF(ISNA(MATCH(B1557,Client_List!$B:$B,0)),"⚠ NOT FOUND","✓"))</f>
        <v/>
      </c>
    </row>
    <row r="1558" spans="1:12" ht="14" customHeight="1" x14ac:dyDescent="0.2">
      <c r="A1558" s="59"/>
      <c r="B1558" s="18"/>
      <c r="C1558" s="19" t="str">
        <f>IF(B1558="","",IFERROR(INDEX(Client_List!$C:$C,MATCH(B1558,Client_List!$B:$B,0)),""))</f>
        <v/>
      </c>
      <c r="D1558" s="19" t="str">
        <f>IF(B1558="","",IFERROR(INDEX(Client_List!$D:$D,MATCH(B1558,Client_List!$B:$B,0)),""))</f>
        <v/>
      </c>
      <c r="E1558" s="19" t="str">
        <f>IF(B1558="","",IFERROR(INDEX(Client_List!$K:$K,MATCH(B1558,Client_List!$B:$B,0)),""))</f>
        <v/>
      </c>
      <c r="F1558" s="19" t="str">
        <f>IF(B1558="","",IFERROR(INDEX(Client_List!$J:$J,MATCH(B1558,Client_List!$B:$B,0)),""))</f>
        <v/>
      </c>
      <c r="G1558" s="19"/>
      <c r="H1558" s="19" t="str">
        <f>IF(B1558="","",IFERROR(A1558-LOOKUP(2,1/($B$4:$B1557=B1558),$A$4:$A1557),""))</f>
        <v/>
      </c>
      <c r="I1558" s="19" t="str">
        <f t="shared" si="24"/>
        <v/>
      </c>
      <c r="J1558" s="19"/>
      <c r="K1558" s="6" t="str">
        <f>IF(B1558="","",IFERROR(AVERAGEIFS($I$4:$I1558,$B$4:$B1558,B1558,$I$4:$I1558,"&gt;"&amp;0),""))</f>
        <v/>
      </c>
      <c r="L1558" s="19" t="str">
        <f>IF(B1558="","",IF(ISNA(MATCH(B1558,Client_List!$B:$B,0)),"⚠ NOT FOUND","✓"))</f>
        <v/>
      </c>
    </row>
    <row r="1559" spans="1:12" ht="14" customHeight="1" x14ac:dyDescent="0.2">
      <c r="A1559" s="58"/>
      <c r="B1559" s="15"/>
      <c r="C1559" s="16" t="str">
        <f>IF(B1559="","",IFERROR(INDEX(Client_List!$C:$C,MATCH(B1559,Client_List!$B:$B,0)),""))</f>
        <v/>
      </c>
      <c r="D1559" s="16" t="str">
        <f>IF(B1559="","",IFERROR(INDEX(Client_List!$D:$D,MATCH(B1559,Client_List!$B:$B,0)),""))</f>
        <v/>
      </c>
      <c r="E1559" s="16" t="str">
        <f>IF(B1559="","",IFERROR(INDEX(Client_List!$K:$K,MATCH(B1559,Client_List!$B:$B,0)),""))</f>
        <v/>
      </c>
      <c r="F1559" s="16" t="str">
        <f>IF(B1559="","",IFERROR(INDEX(Client_List!$J:$J,MATCH(B1559,Client_List!$B:$B,0)),""))</f>
        <v/>
      </c>
      <c r="G1559" s="16"/>
      <c r="H1559" s="16" t="str">
        <f>IF(B1559="","",IFERROR(A1559-LOOKUP(2,1/($B$4:$B1558=B1559),$A$4:$A1558),""))</f>
        <v/>
      </c>
      <c r="I1559" s="16" t="str">
        <f t="shared" si="24"/>
        <v/>
      </c>
      <c r="J1559" s="16"/>
      <c r="K1559" s="6" t="str">
        <f>IF(B1559="","",IFERROR(AVERAGEIFS($I$4:$I1559,$B$4:$B1559,B1559,$I$4:$I1559,"&gt;"&amp;0),""))</f>
        <v/>
      </c>
      <c r="L1559" s="16" t="str">
        <f>IF(B1559="","",IF(ISNA(MATCH(B1559,Client_List!$B:$B,0)),"⚠ NOT FOUND","✓"))</f>
        <v/>
      </c>
    </row>
    <row r="1560" spans="1:12" ht="14" customHeight="1" x14ac:dyDescent="0.2">
      <c r="A1560" s="59"/>
      <c r="B1560" s="18"/>
      <c r="C1560" s="19" t="str">
        <f>IF(B1560="","",IFERROR(INDEX(Client_List!$C:$C,MATCH(B1560,Client_List!$B:$B,0)),""))</f>
        <v/>
      </c>
      <c r="D1560" s="19" t="str">
        <f>IF(B1560="","",IFERROR(INDEX(Client_List!$D:$D,MATCH(B1560,Client_List!$B:$B,0)),""))</f>
        <v/>
      </c>
      <c r="E1560" s="19" t="str">
        <f>IF(B1560="","",IFERROR(INDEX(Client_List!$K:$K,MATCH(B1560,Client_List!$B:$B,0)),""))</f>
        <v/>
      </c>
      <c r="F1560" s="19" t="str">
        <f>IF(B1560="","",IFERROR(INDEX(Client_List!$J:$J,MATCH(B1560,Client_List!$B:$B,0)),""))</f>
        <v/>
      </c>
      <c r="G1560" s="19"/>
      <c r="H1560" s="19" t="str">
        <f>IF(B1560="","",IFERROR(A1560-LOOKUP(2,1/($B$4:$B1559=B1560),$A$4:$A1559),""))</f>
        <v/>
      </c>
      <c r="I1560" s="19" t="str">
        <f t="shared" si="24"/>
        <v/>
      </c>
      <c r="J1560" s="19"/>
      <c r="K1560" s="6" t="str">
        <f>IF(B1560="","",IFERROR(AVERAGEIFS($I$4:$I1560,$B$4:$B1560,B1560,$I$4:$I1560,"&gt;"&amp;0),""))</f>
        <v/>
      </c>
      <c r="L1560" s="19" t="str">
        <f>IF(B1560="","",IF(ISNA(MATCH(B1560,Client_List!$B:$B,0)),"⚠ NOT FOUND","✓"))</f>
        <v/>
      </c>
    </row>
    <row r="1561" spans="1:12" ht="14" customHeight="1" x14ac:dyDescent="0.2">
      <c r="A1561" s="58"/>
      <c r="B1561" s="15"/>
      <c r="C1561" s="16" t="str">
        <f>IF(B1561="","",IFERROR(INDEX(Client_List!$C:$C,MATCH(B1561,Client_List!$B:$B,0)),""))</f>
        <v/>
      </c>
      <c r="D1561" s="16" t="str">
        <f>IF(B1561="","",IFERROR(INDEX(Client_List!$D:$D,MATCH(B1561,Client_List!$B:$B,0)),""))</f>
        <v/>
      </c>
      <c r="E1561" s="16" t="str">
        <f>IF(B1561="","",IFERROR(INDEX(Client_List!$K:$K,MATCH(B1561,Client_List!$B:$B,0)),""))</f>
        <v/>
      </c>
      <c r="F1561" s="16" t="str">
        <f>IF(B1561="","",IFERROR(INDEX(Client_List!$J:$J,MATCH(B1561,Client_List!$B:$B,0)),""))</f>
        <v/>
      </c>
      <c r="G1561" s="16"/>
      <c r="H1561" s="16" t="str">
        <f>IF(B1561="","",IFERROR(A1561-LOOKUP(2,1/($B$4:$B1560=B1561),$A$4:$A1560),""))</f>
        <v/>
      </c>
      <c r="I1561" s="16" t="str">
        <f t="shared" si="24"/>
        <v/>
      </c>
      <c r="J1561" s="16"/>
      <c r="K1561" s="6" t="str">
        <f>IF(B1561="","",IFERROR(AVERAGEIFS($I$4:$I1561,$B$4:$B1561,B1561,$I$4:$I1561,"&gt;"&amp;0),""))</f>
        <v/>
      </c>
      <c r="L1561" s="16" t="str">
        <f>IF(B1561="","",IF(ISNA(MATCH(B1561,Client_List!$B:$B,0)),"⚠ NOT FOUND","✓"))</f>
        <v/>
      </c>
    </row>
    <row r="1562" spans="1:12" ht="14" customHeight="1" x14ac:dyDescent="0.2">
      <c r="A1562" s="59"/>
      <c r="B1562" s="18"/>
      <c r="C1562" s="19" t="str">
        <f>IF(B1562="","",IFERROR(INDEX(Client_List!$C:$C,MATCH(B1562,Client_List!$B:$B,0)),""))</f>
        <v/>
      </c>
      <c r="D1562" s="19" t="str">
        <f>IF(B1562="","",IFERROR(INDEX(Client_List!$D:$D,MATCH(B1562,Client_List!$B:$B,0)),""))</f>
        <v/>
      </c>
      <c r="E1562" s="19" t="str">
        <f>IF(B1562="","",IFERROR(INDEX(Client_List!$K:$K,MATCH(B1562,Client_List!$B:$B,0)),""))</f>
        <v/>
      </c>
      <c r="F1562" s="19" t="str">
        <f>IF(B1562="","",IFERROR(INDEX(Client_List!$J:$J,MATCH(B1562,Client_List!$B:$B,0)),""))</f>
        <v/>
      </c>
      <c r="G1562" s="19"/>
      <c r="H1562" s="19" t="str">
        <f>IF(B1562="","",IFERROR(A1562-LOOKUP(2,1/($B$4:$B1561=B1562),$A$4:$A1561),""))</f>
        <v/>
      </c>
      <c r="I1562" s="19" t="str">
        <f t="shared" si="24"/>
        <v/>
      </c>
      <c r="J1562" s="19"/>
      <c r="K1562" s="6" t="str">
        <f>IF(B1562="","",IFERROR(AVERAGEIFS($I$4:$I1562,$B$4:$B1562,B1562,$I$4:$I1562,"&gt;"&amp;0),""))</f>
        <v/>
      </c>
      <c r="L1562" s="19" t="str">
        <f>IF(B1562="","",IF(ISNA(MATCH(B1562,Client_List!$B:$B,0)),"⚠ NOT FOUND","✓"))</f>
        <v/>
      </c>
    </row>
    <row r="1563" spans="1:12" ht="14" customHeight="1" x14ac:dyDescent="0.2">
      <c r="A1563" s="58"/>
      <c r="B1563" s="15"/>
      <c r="C1563" s="16" t="str">
        <f>IF(B1563="","",IFERROR(INDEX(Client_List!$C:$C,MATCH(B1563,Client_List!$B:$B,0)),""))</f>
        <v/>
      </c>
      <c r="D1563" s="16" t="str">
        <f>IF(B1563="","",IFERROR(INDEX(Client_List!$D:$D,MATCH(B1563,Client_List!$B:$B,0)),""))</f>
        <v/>
      </c>
      <c r="E1563" s="16" t="str">
        <f>IF(B1563="","",IFERROR(INDEX(Client_List!$K:$K,MATCH(B1563,Client_List!$B:$B,0)),""))</f>
        <v/>
      </c>
      <c r="F1563" s="16" t="str">
        <f>IF(B1563="","",IFERROR(INDEX(Client_List!$J:$J,MATCH(B1563,Client_List!$B:$B,0)),""))</f>
        <v/>
      </c>
      <c r="G1563" s="16"/>
      <c r="H1563" s="16" t="str">
        <f>IF(B1563="","",IFERROR(A1563-LOOKUP(2,1/($B$4:$B1562=B1563),$A$4:$A1562),""))</f>
        <v/>
      </c>
      <c r="I1563" s="16" t="str">
        <f t="shared" si="24"/>
        <v/>
      </c>
      <c r="J1563" s="16"/>
      <c r="K1563" s="6" t="str">
        <f>IF(B1563="","",IFERROR(AVERAGEIFS($I$4:$I1563,$B$4:$B1563,B1563,$I$4:$I1563,"&gt;"&amp;0),""))</f>
        <v/>
      </c>
      <c r="L1563" s="16" t="str">
        <f>IF(B1563="","",IF(ISNA(MATCH(B1563,Client_List!$B:$B,0)),"⚠ NOT FOUND","✓"))</f>
        <v/>
      </c>
    </row>
    <row r="1564" spans="1:12" ht="14" customHeight="1" x14ac:dyDescent="0.2">
      <c r="A1564" s="59"/>
      <c r="B1564" s="18"/>
      <c r="C1564" s="19" t="str">
        <f>IF(B1564="","",IFERROR(INDEX(Client_List!$C:$C,MATCH(B1564,Client_List!$B:$B,0)),""))</f>
        <v/>
      </c>
      <c r="D1564" s="19" t="str">
        <f>IF(B1564="","",IFERROR(INDEX(Client_List!$D:$D,MATCH(B1564,Client_List!$B:$B,0)),""))</f>
        <v/>
      </c>
      <c r="E1564" s="19" t="str">
        <f>IF(B1564="","",IFERROR(INDEX(Client_List!$K:$K,MATCH(B1564,Client_List!$B:$B,0)),""))</f>
        <v/>
      </c>
      <c r="F1564" s="19" t="str">
        <f>IF(B1564="","",IFERROR(INDEX(Client_List!$J:$J,MATCH(B1564,Client_List!$B:$B,0)),""))</f>
        <v/>
      </c>
      <c r="G1564" s="19"/>
      <c r="H1564" s="19" t="str">
        <f>IF(B1564="","",IFERROR(A1564-LOOKUP(2,1/($B$4:$B1563=B1564),$A$4:$A1563),""))</f>
        <v/>
      </c>
      <c r="I1564" s="19" t="str">
        <f t="shared" si="24"/>
        <v/>
      </c>
      <c r="J1564" s="19"/>
      <c r="K1564" s="6" t="str">
        <f>IF(B1564="","",IFERROR(AVERAGEIFS($I$4:$I1564,$B$4:$B1564,B1564,$I$4:$I1564,"&gt;"&amp;0),""))</f>
        <v/>
      </c>
      <c r="L1564" s="19" t="str">
        <f>IF(B1564="","",IF(ISNA(MATCH(B1564,Client_List!$B:$B,0)),"⚠ NOT FOUND","✓"))</f>
        <v/>
      </c>
    </row>
    <row r="1565" spans="1:12" ht="14" customHeight="1" x14ac:dyDescent="0.2">
      <c r="A1565" s="58"/>
      <c r="B1565" s="15"/>
      <c r="C1565" s="16" t="str">
        <f>IF(B1565="","",IFERROR(INDEX(Client_List!$C:$C,MATCH(B1565,Client_List!$B:$B,0)),""))</f>
        <v/>
      </c>
      <c r="D1565" s="16" t="str">
        <f>IF(B1565="","",IFERROR(INDEX(Client_List!$D:$D,MATCH(B1565,Client_List!$B:$B,0)),""))</f>
        <v/>
      </c>
      <c r="E1565" s="16" t="str">
        <f>IF(B1565="","",IFERROR(INDEX(Client_List!$K:$K,MATCH(B1565,Client_List!$B:$B,0)),""))</f>
        <v/>
      </c>
      <c r="F1565" s="16" t="str">
        <f>IF(B1565="","",IFERROR(INDEX(Client_List!$J:$J,MATCH(B1565,Client_List!$B:$B,0)),""))</f>
        <v/>
      </c>
      <c r="G1565" s="16"/>
      <c r="H1565" s="16" t="str">
        <f>IF(B1565="","",IFERROR(A1565-LOOKUP(2,1/($B$4:$B1564=B1565),$A$4:$A1564),""))</f>
        <v/>
      </c>
      <c r="I1565" s="16" t="str">
        <f t="shared" si="24"/>
        <v/>
      </c>
      <c r="J1565" s="16"/>
      <c r="K1565" s="6" t="str">
        <f>IF(B1565="","",IFERROR(AVERAGEIFS($I$4:$I1565,$B$4:$B1565,B1565,$I$4:$I1565,"&gt;"&amp;0),""))</f>
        <v/>
      </c>
      <c r="L1565" s="16" t="str">
        <f>IF(B1565="","",IF(ISNA(MATCH(B1565,Client_List!$B:$B,0)),"⚠ NOT FOUND","✓"))</f>
        <v/>
      </c>
    </row>
    <row r="1566" spans="1:12" ht="14" customHeight="1" x14ac:dyDescent="0.2">
      <c r="A1566" s="59"/>
      <c r="B1566" s="18"/>
      <c r="C1566" s="19" t="str">
        <f>IF(B1566="","",IFERROR(INDEX(Client_List!$C:$C,MATCH(B1566,Client_List!$B:$B,0)),""))</f>
        <v/>
      </c>
      <c r="D1566" s="19" t="str">
        <f>IF(B1566="","",IFERROR(INDEX(Client_List!$D:$D,MATCH(B1566,Client_List!$B:$B,0)),""))</f>
        <v/>
      </c>
      <c r="E1566" s="19" t="str">
        <f>IF(B1566="","",IFERROR(INDEX(Client_List!$K:$K,MATCH(B1566,Client_List!$B:$B,0)),""))</f>
        <v/>
      </c>
      <c r="F1566" s="19" t="str">
        <f>IF(B1566="","",IFERROR(INDEX(Client_List!$J:$J,MATCH(B1566,Client_List!$B:$B,0)),""))</f>
        <v/>
      </c>
      <c r="G1566" s="19"/>
      <c r="H1566" s="19" t="str">
        <f>IF(B1566="","",IFERROR(A1566-LOOKUP(2,1/($B$4:$B1565=B1566),$A$4:$A1565),""))</f>
        <v/>
      </c>
      <c r="I1566" s="19" t="str">
        <f t="shared" si="24"/>
        <v/>
      </c>
      <c r="J1566" s="19"/>
      <c r="K1566" s="6" t="str">
        <f>IF(B1566="","",IFERROR(AVERAGEIFS($I$4:$I1566,$B$4:$B1566,B1566,$I$4:$I1566,"&gt;"&amp;0),""))</f>
        <v/>
      </c>
      <c r="L1566" s="19" t="str">
        <f>IF(B1566="","",IF(ISNA(MATCH(B1566,Client_List!$B:$B,0)),"⚠ NOT FOUND","✓"))</f>
        <v/>
      </c>
    </row>
    <row r="1567" spans="1:12" ht="14" customHeight="1" x14ac:dyDescent="0.2">
      <c r="A1567" s="58"/>
      <c r="B1567" s="15"/>
      <c r="C1567" s="16" t="str">
        <f>IF(B1567="","",IFERROR(INDEX(Client_List!$C:$C,MATCH(B1567,Client_List!$B:$B,0)),""))</f>
        <v/>
      </c>
      <c r="D1567" s="16" t="str">
        <f>IF(B1567="","",IFERROR(INDEX(Client_List!$D:$D,MATCH(B1567,Client_List!$B:$B,0)),""))</f>
        <v/>
      </c>
      <c r="E1567" s="16" t="str">
        <f>IF(B1567="","",IFERROR(INDEX(Client_List!$K:$K,MATCH(B1567,Client_List!$B:$B,0)),""))</f>
        <v/>
      </c>
      <c r="F1567" s="16" t="str">
        <f>IF(B1567="","",IFERROR(INDEX(Client_List!$J:$J,MATCH(B1567,Client_List!$B:$B,0)),""))</f>
        <v/>
      </c>
      <c r="G1567" s="16"/>
      <c r="H1567" s="16" t="str">
        <f>IF(B1567="","",IFERROR(A1567-LOOKUP(2,1/($B$4:$B1566=B1567),$A$4:$A1566),""))</f>
        <v/>
      </c>
      <c r="I1567" s="16" t="str">
        <f t="shared" si="24"/>
        <v/>
      </c>
      <c r="J1567" s="16"/>
      <c r="K1567" s="6" t="str">
        <f>IF(B1567="","",IFERROR(AVERAGEIFS($I$4:$I1567,$B$4:$B1567,B1567,$I$4:$I1567,"&gt;"&amp;0),""))</f>
        <v/>
      </c>
      <c r="L1567" s="16" t="str">
        <f>IF(B1567="","",IF(ISNA(MATCH(B1567,Client_List!$B:$B,0)),"⚠ NOT FOUND","✓"))</f>
        <v/>
      </c>
    </row>
    <row r="1568" spans="1:12" ht="14" customHeight="1" x14ac:dyDescent="0.2">
      <c r="A1568" s="59"/>
      <c r="B1568" s="18"/>
      <c r="C1568" s="19" t="str">
        <f>IF(B1568="","",IFERROR(INDEX(Client_List!$C:$C,MATCH(B1568,Client_List!$B:$B,0)),""))</f>
        <v/>
      </c>
      <c r="D1568" s="19" t="str">
        <f>IF(B1568="","",IFERROR(INDEX(Client_List!$D:$D,MATCH(B1568,Client_List!$B:$B,0)),""))</f>
        <v/>
      </c>
      <c r="E1568" s="19" t="str">
        <f>IF(B1568="","",IFERROR(INDEX(Client_List!$K:$K,MATCH(B1568,Client_List!$B:$B,0)),""))</f>
        <v/>
      </c>
      <c r="F1568" s="19" t="str">
        <f>IF(B1568="","",IFERROR(INDEX(Client_List!$J:$J,MATCH(B1568,Client_List!$B:$B,0)),""))</f>
        <v/>
      </c>
      <c r="G1568" s="19"/>
      <c r="H1568" s="19" t="str">
        <f>IF(B1568="","",IFERROR(A1568-LOOKUP(2,1/($B$4:$B1567=B1568),$A$4:$A1567),""))</f>
        <v/>
      </c>
      <c r="I1568" s="19" t="str">
        <f t="shared" si="24"/>
        <v/>
      </c>
      <c r="J1568" s="19"/>
      <c r="K1568" s="6" t="str">
        <f>IF(B1568="","",IFERROR(AVERAGEIFS($I$4:$I1568,$B$4:$B1568,B1568,$I$4:$I1568,"&gt;"&amp;0),""))</f>
        <v/>
      </c>
      <c r="L1568" s="19" t="str">
        <f>IF(B1568="","",IF(ISNA(MATCH(B1568,Client_List!$B:$B,0)),"⚠ NOT FOUND","✓"))</f>
        <v/>
      </c>
    </row>
    <row r="1569" spans="1:12" ht="14" customHeight="1" x14ac:dyDescent="0.2">
      <c r="A1569" s="58"/>
      <c r="B1569" s="15"/>
      <c r="C1569" s="16" t="str">
        <f>IF(B1569="","",IFERROR(INDEX(Client_List!$C:$C,MATCH(B1569,Client_List!$B:$B,0)),""))</f>
        <v/>
      </c>
      <c r="D1569" s="16" t="str">
        <f>IF(B1569="","",IFERROR(INDEX(Client_List!$D:$D,MATCH(B1569,Client_List!$B:$B,0)),""))</f>
        <v/>
      </c>
      <c r="E1569" s="16" t="str">
        <f>IF(B1569="","",IFERROR(INDEX(Client_List!$K:$K,MATCH(B1569,Client_List!$B:$B,0)),""))</f>
        <v/>
      </c>
      <c r="F1569" s="16" t="str">
        <f>IF(B1569="","",IFERROR(INDEX(Client_List!$J:$J,MATCH(B1569,Client_List!$B:$B,0)),""))</f>
        <v/>
      </c>
      <c r="G1569" s="16"/>
      <c r="H1569" s="16" t="str">
        <f>IF(B1569="","",IFERROR(A1569-LOOKUP(2,1/($B$4:$B1568=B1569),$A$4:$A1568),""))</f>
        <v/>
      </c>
      <c r="I1569" s="16" t="str">
        <f t="shared" si="24"/>
        <v/>
      </c>
      <c r="J1569" s="16"/>
      <c r="K1569" s="6" t="str">
        <f>IF(B1569="","",IFERROR(AVERAGEIFS($I$4:$I1569,$B$4:$B1569,B1569,$I$4:$I1569,"&gt;"&amp;0),""))</f>
        <v/>
      </c>
      <c r="L1569" s="16" t="str">
        <f>IF(B1569="","",IF(ISNA(MATCH(B1569,Client_List!$B:$B,0)),"⚠ NOT FOUND","✓"))</f>
        <v/>
      </c>
    </row>
    <row r="1570" spans="1:12" ht="14" customHeight="1" x14ac:dyDescent="0.2">
      <c r="A1570" s="59"/>
      <c r="B1570" s="18"/>
      <c r="C1570" s="19" t="str">
        <f>IF(B1570="","",IFERROR(INDEX(Client_List!$C:$C,MATCH(B1570,Client_List!$B:$B,0)),""))</f>
        <v/>
      </c>
      <c r="D1570" s="19" t="str">
        <f>IF(B1570="","",IFERROR(INDEX(Client_List!$D:$D,MATCH(B1570,Client_List!$B:$B,0)),""))</f>
        <v/>
      </c>
      <c r="E1570" s="19" t="str">
        <f>IF(B1570="","",IFERROR(INDEX(Client_List!$K:$K,MATCH(B1570,Client_List!$B:$B,0)),""))</f>
        <v/>
      </c>
      <c r="F1570" s="19" t="str">
        <f>IF(B1570="","",IFERROR(INDEX(Client_List!$J:$J,MATCH(B1570,Client_List!$B:$B,0)),""))</f>
        <v/>
      </c>
      <c r="G1570" s="19"/>
      <c r="H1570" s="19" t="str">
        <f>IF(B1570="","",IFERROR(A1570-LOOKUP(2,1/($B$4:$B1569=B1570),$A$4:$A1569),""))</f>
        <v/>
      </c>
      <c r="I1570" s="19" t="str">
        <f t="shared" si="24"/>
        <v/>
      </c>
      <c r="J1570" s="19"/>
      <c r="K1570" s="6" t="str">
        <f>IF(B1570="","",IFERROR(AVERAGEIFS($I$4:$I1570,$B$4:$B1570,B1570,$I$4:$I1570,"&gt;"&amp;0),""))</f>
        <v/>
      </c>
      <c r="L1570" s="19" t="str">
        <f>IF(B1570="","",IF(ISNA(MATCH(B1570,Client_List!$B:$B,0)),"⚠ NOT FOUND","✓"))</f>
        <v/>
      </c>
    </row>
    <row r="1571" spans="1:12" ht="14" customHeight="1" x14ac:dyDescent="0.2">
      <c r="A1571" s="58"/>
      <c r="B1571" s="15"/>
      <c r="C1571" s="16" t="str">
        <f>IF(B1571="","",IFERROR(INDEX(Client_List!$C:$C,MATCH(B1571,Client_List!$B:$B,0)),""))</f>
        <v/>
      </c>
      <c r="D1571" s="16" t="str">
        <f>IF(B1571="","",IFERROR(INDEX(Client_List!$D:$D,MATCH(B1571,Client_List!$B:$B,0)),""))</f>
        <v/>
      </c>
      <c r="E1571" s="16" t="str">
        <f>IF(B1571="","",IFERROR(INDEX(Client_List!$K:$K,MATCH(B1571,Client_List!$B:$B,0)),""))</f>
        <v/>
      </c>
      <c r="F1571" s="16" t="str">
        <f>IF(B1571="","",IFERROR(INDEX(Client_List!$J:$J,MATCH(B1571,Client_List!$B:$B,0)),""))</f>
        <v/>
      </c>
      <c r="G1571" s="16"/>
      <c r="H1571" s="16" t="str">
        <f>IF(B1571="","",IFERROR(A1571-LOOKUP(2,1/($B$4:$B1570=B1571),$A$4:$A1570),""))</f>
        <v/>
      </c>
      <c r="I1571" s="16" t="str">
        <f t="shared" si="24"/>
        <v/>
      </c>
      <c r="J1571" s="16"/>
      <c r="K1571" s="6" t="str">
        <f>IF(B1571="","",IFERROR(AVERAGEIFS($I$4:$I1571,$B$4:$B1571,B1571,$I$4:$I1571,"&gt;"&amp;0),""))</f>
        <v/>
      </c>
      <c r="L1571" s="16" t="str">
        <f>IF(B1571="","",IF(ISNA(MATCH(B1571,Client_List!$B:$B,0)),"⚠ NOT FOUND","✓"))</f>
        <v/>
      </c>
    </row>
    <row r="1572" spans="1:12" ht="14" customHeight="1" x14ac:dyDescent="0.2">
      <c r="A1572" s="59"/>
      <c r="B1572" s="18"/>
      <c r="C1572" s="19" t="str">
        <f>IF(B1572="","",IFERROR(INDEX(Client_List!$C:$C,MATCH(B1572,Client_List!$B:$B,0)),""))</f>
        <v/>
      </c>
      <c r="D1572" s="19" t="str">
        <f>IF(B1572="","",IFERROR(INDEX(Client_List!$D:$D,MATCH(B1572,Client_List!$B:$B,0)),""))</f>
        <v/>
      </c>
      <c r="E1572" s="19" t="str">
        <f>IF(B1572="","",IFERROR(INDEX(Client_List!$K:$K,MATCH(B1572,Client_List!$B:$B,0)),""))</f>
        <v/>
      </c>
      <c r="F1572" s="19" t="str">
        <f>IF(B1572="","",IFERROR(INDEX(Client_List!$J:$J,MATCH(B1572,Client_List!$B:$B,0)),""))</f>
        <v/>
      </c>
      <c r="G1572" s="19"/>
      <c r="H1572" s="19" t="str">
        <f>IF(B1572="","",IFERROR(A1572-LOOKUP(2,1/($B$4:$B1571=B1572),$A$4:$A1571),""))</f>
        <v/>
      </c>
      <c r="I1572" s="19" t="str">
        <f t="shared" si="24"/>
        <v/>
      </c>
      <c r="J1572" s="19"/>
      <c r="K1572" s="6" t="str">
        <f>IF(B1572="","",IFERROR(AVERAGEIFS($I$4:$I1572,$B$4:$B1572,B1572,$I$4:$I1572,"&gt;"&amp;0),""))</f>
        <v/>
      </c>
      <c r="L1572" s="19" t="str">
        <f>IF(B1572="","",IF(ISNA(MATCH(B1572,Client_List!$B:$B,0)),"⚠ NOT FOUND","✓"))</f>
        <v/>
      </c>
    </row>
    <row r="1573" spans="1:12" ht="14" customHeight="1" x14ac:dyDescent="0.2">
      <c r="A1573" s="58"/>
      <c r="B1573" s="15"/>
      <c r="C1573" s="16" t="str">
        <f>IF(B1573="","",IFERROR(INDEX(Client_List!$C:$C,MATCH(B1573,Client_List!$B:$B,0)),""))</f>
        <v/>
      </c>
      <c r="D1573" s="16" t="str">
        <f>IF(B1573="","",IFERROR(INDEX(Client_List!$D:$D,MATCH(B1573,Client_List!$B:$B,0)),""))</f>
        <v/>
      </c>
      <c r="E1573" s="16" t="str">
        <f>IF(B1573="","",IFERROR(INDEX(Client_List!$K:$K,MATCH(B1573,Client_List!$B:$B,0)),""))</f>
        <v/>
      </c>
      <c r="F1573" s="16" t="str">
        <f>IF(B1573="","",IFERROR(INDEX(Client_List!$J:$J,MATCH(B1573,Client_List!$B:$B,0)),""))</f>
        <v/>
      </c>
      <c r="G1573" s="16"/>
      <c r="H1573" s="16" t="str">
        <f>IF(B1573="","",IFERROR(A1573-LOOKUP(2,1/($B$4:$B1572=B1573),$A$4:$A1572),""))</f>
        <v/>
      </c>
      <c r="I1573" s="16" t="str">
        <f t="shared" si="24"/>
        <v/>
      </c>
      <c r="J1573" s="16"/>
      <c r="K1573" s="6" t="str">
        <f>IF(B1573="","",IFERROR(AVERAGEIFS($I$4:$I1573,$B$4:$B1573,B1573,$I$4:$I1573,"&gt;"&amp;0),""))</f>
        <v/>
      </c>
      <c r="L1573" s="16" t="str">
        <f>IF(B1573="","",IF(ISNA(MATCH(B1573,Client_List!$B:$B,0)),"⚠ NOT FOUND","✓"))</f>
        <v/>
      </c>
    </row>
    <row r="1574" spans="1:12" ht="14" customHeight="1" x14ac:dyDescent="0.2">
      <c r="A1574" s="59"/>
      <c r="B1574" s="18"/>
      <c r="C1574" s="19" t="str">
        <f>IF(B1574="","",IFERROR(INDEX(Client_List!$C:$C,MATCH(B1574,Client_List!$B:$B,0)),""))</f>
        <v/>
      </c>
      <c r="D1574" s="19" t="str">
        <f>IF(B1574="","",IFERROR(INDEX(Client_List!$D:$D,MATCH(B1574,Client_List!$B:$B,0)),""))</f>
        <v/>
      </c>
      <c r="E1574" s="19" t="str">
        <f>IF(B1574="","",IFERROR(INDEX(Client_List!$K:$K,MATCH(B1574,Client_List!$B:$B,0)),""))</f>
        <v/>
      </c>
      <c r="F1574" s="19" t="str">
        <f>IF(B1574="","",IFERROR(INDEX(Client_List!$J:$J,MATCH(B1574,Client_List!$B:$B,0)),""))</f>
        <v/>
      </c>
      <c r="G1574" s="19"/>
      <c r="H1574" s="19" t="str">
        <f>IF(B1574="","",IFERROR(A1574-LOOKUP(2,1/($B$4:$B1573=B1574),$A$4:$A1573),""))</f>
        <v/>
      </c>
      <c r="I1574" s="19" t="str">
        <f t="shared" si="24"/>
        <v/>
      </c>
      <c r="J1574" s="19"/>
      <c r="K1574" s="6" t="str">
        <f>IF(B1574="","",IFERROR(AVERAGEIFS($I$4:$I1574,$B$4:$B1574,B1574,$I$4:$I1574,"&gt;"&amp;0),""))</f>
        <v/>
      </c>
      <c r="L1574" s="19" t="str">
        <f>IF(B1574="","",IF(ISNA(MATCH(B1574,Client_List!$B:$B,0)),"⚠ NOT FOUND","✓"))</f>
        <v/>
      </c>
    </row>
    <row r="1575" spans="1:12" ht="14" customHeight="1" x14ac:dyDescent="0.2">
      <c r="A1575" s="58"/>
      <c r="B1575" s="15"/>
      <c r="C1575" s="16" t="str">
        <f>IF(B1575="","",IFERROR(INDEX(Client_List!$C:$C,MATCH(B1575,Client_List!$B:$B,0)),""))</f>
        <v/>
      </c>
      <c r="D1575" s="16" t="str">
        <f>IF(B1575="","",IFERROR(INDEX(Client_List!$D:$D,MATCH(B1575,Client_List!$B:$B,0)),""))</f>
        <v/>
      </c>
      <c r="E1575" s="16" t="str">
        <f>IF(B1575="","",IFERROR(INDEX(Client_List!$K:$K,MATCH(B1575,Client_List!$B:$B,0)),""))</f>
        <v/>
      </c>
      <c r="F1575" s="16" t="str">
        <f>IF(B1575="","",IFERROR(INDEX(Client_List!$J:$J,MATCH(B1575,Client_List!$B:$B,0)),""))</f>
        <v/>
      </c>
      <c r="G1575" s="16"/>
      <c r="H1575" s="16" t="str">
        <f>IF(B1575="","",IFERROR(A1575-LOOKUP(2,1/($B$4:$B1574=B1575),$A$4:$A1574),""))</f>
        <v/>
      </c>
      <c r="I1575" s="16" t="str">
        <f t="shared" si="24"/>
        <v/>
      </c>
      <c r="J1575" s="16"/>
      <c r="K1575" s="6" t="str">
        <f>IF(B1575="","",IFERROR(AVERAGEIFS($I$4:$I1575,$B$4:$B1575,B1575,$I$4:$I1575,"&gt;"&amp;0),""))</f>
        <v/>
      </c>
      <c r="L1575" s="16" t="str">
        <f>IF(B1575="","",IF(ISNA(MATCH(B1575,Client_List!$B:$B,0)),"⚠ NOT FOUND","✓"))</f>
        <v/>
      </c>
    </row>
    <row r="1576" spans="1:12" ht="14" customHeight="1" x14ac:dyDescent="0.2">
      <c r="A1576" s="59"/>
      <c r="B1576" s="18"/>
      <c r="C1576" s="19" t="str">
        <f>IF(B1576="","",IFERROR(INDEX(Client_List!$C:$C,MATCH(B1576,Client_List!$B:$B,0)),""))</f>
        <v/>
      </c>
      <c r="D1576" s="19" t="str">
        <f>IF(B1576="","",IFERROR(INDEX(Client_List!$D:$D,MATCH(B1576,Client_List!$B:$B,0)),""))</f>
        <v/>
      </c>
      <c r="E1576" s="19" t="str">
        <f>IF(B1576="","",IFERROR(INDEX(Client_List!$K:$K,MATCH(B1576,Client_List!$B:$B,0)),""))</f>
        <v/>
      </c>
      <c r="F1576" s="19" t="str">
        <f>IF(B1576="","",IFERROR(INDEX(Client_List!$J:$J,MATCH(B1576,Client_List!$B:$B,0)),""))</f>
        <v/>
      </c>
      <c r="G1576" s="19"/>
      <c r="H1576" s="19" t="str">
        <f>IF(B1576="","",IFERROR(A1576-LOOKUP(2,1/($B$4:$B1575=B1576),$A$4:$A1575),""))</f>
        <v/>
      </c>
      <c r="I1576" s="19" t="str">
        <f t="shared" si="24"/>
        <v/>
      </c>
      <c r="J1576" s="19"/>
      <c r="K1576" s="6" t="str">
        <f>IF(B1576="","",IFERROR(AVERAGEIFS($I$4:$I1576,$B$4:$B1576,B1576,$I$4:$I1576,"&gt;"&amp;0),""))</f>
        <v/>
      </c>
      <c r="L1576" s="19" t="str">
        <f>IF(B1576="","",IF(ISNA(MATCH(B1576,Client_List!$B:$B,0)),"⚠ NOT FOUND","✓"))</f>
        <v/>
      </c>
    </row>
    <row r="1577" spans="1:12" ht="14" customHeight="1" x14ac:dyDescent="0.2">
      <c r="A1577" s="58"/>
      <c r="B1577" s="15"/>
      <c r="C1577" s="16" t="str">
        <f>IF(B1577="","",IFERROR(INDEX(Client_List!$C:$C,MATCH(B1577,Client_List!$B:$B,0)),""))</f>
        <v/>
      </c>
      <c r="D1577" s="16" t="str">
        <f>IF(B1577="","",IFERROR(INDEX(Client_List!$D:$D,MATCH(B1577,Client_List!$B:$B,0)),""))</f>
        <v/>
      </c>
      <c r="E1577" s="16" t="str">
        <f>IF(B1577="","",IFERROR(INDEX(Client_List!$K:$K,MATCH(B1577,Client_List!$B:$B,0)),""))</f>
        <v/>
      </c>
      <c r="F1577" s="16" t="str">
        <f>IF(B1577="","",IFERROR(INDEX(Client_List!$J:$J,MATCH(B1577,Client_List!$B:$B,0)),""))</f>
        <v/>
      </c>
      <c r="G1577" s="16"/>
      <c r="H1577" s="16" t="str">
        <f>IF(B1577="","",IFERROR(A1577-LOOKUP(2,1/($B$4:$B1576=B1577),$A$4:$A1576),""))</f>
        <v/>
      </c>
      <c r="I1577" s="16" t="str">
        <f t="shared" si="24"/>
        <v/>
      </c>
      <c r="J1577" s="16"/>
      <c r="K1577" s="6" t="str">
        <f>IF(B1577="","",IFERROR(AVERAGEIFS($I$4:$I1577,$B$4:$B1577,B1577,$I$4:$I1577,"&gt;"&amp;0),""))</f>
        <v/>
      </c>
      <c r="L1577" s="16" t="str">
        <f>IF(B1577="","",IF(ISNA(MATCH(B1577,Client_List!$B:$B,0)),"⚠ NOT FOUND","✓"))</f>
        <v/>
      </c>
    </row>
    <row r="1578" spans="1:12" ht="14" customHeight="1" x14ac:dyDescent="0.2">
      <c r="A1578" s="59"/>
      <c r="B1578" s="18"/>
      <c r="C1578" s="19" t="str">
        <f>IF(B1578="","",IFERROR(INDEX(Client_List!$C:$C,MATCH(B1578,Client_List!$B:$B,0)),""))</f>
        <v/>
      </c>
      <c r="D1578" s="19" t="str">
        <f>IF(B1578="","",IFERROR(INDEX(Client_List!$D:$D,MATCH(B1578,Client_List!$B:$B,0)),""))</f>
        <v/>
      </c>
      <c r="E1578" s="19" t="str">
        <f>IF(B1578="","",IFERROR(INDEX(Client_List!$K:$K,MATCH(B1578,Client_List!$B:$B,0)),""))</f>
        <v/>
      </c>
      <c r="F1578" s="19" t="str">
        <f>IF(B1578="","",IFERROR(INDEX(Client_List!$J:$J,MATCH(B1578,Client_List!$B:$B,0)),""))</f>
        <v/>
      </c>
      <c r="G1578" s="19"/>
      <c r="H1578" s="19" t="str">
        <f>IF(B1578="","",IFERROR(A1578-LOOKUP(2,1/($B$4:$B1577=B1578),$A$4:$A1577),""))</f>
        <v/>
      </c>
      <c r="I1578" s="19" t="str">
        <f t="shared" si="24"/>
        <v/>
      </c>
      <c r="J1578" s="19"/>
      <c r="K1578" s="6" t="str">
        <f>IF(B1578="","",IFERROR(AVERAGEIFS($I$4:$I1578,$B$4:$B1578,B1578,$I$4:$I1578,"&gt;"&amp;0),""))</f>
        <v/>
      </c>
      <c r="L1578" s="19" t="str">
        <f>IF(B1578="","",IF(ISNA(MATCH(B1578,Client_List!$B:$B,0)),"⚠ NOT FOUND","✓"))</f>
        <v/>
      </c>
    </row>
    <row r="1579" spans="1:12" ht="14" customHeight="1" x14ac:dyDescent="0.2">
      <c r="A1579" s="58"/>
      <c r="B1579" s="15"/>
      <c r="C1579" s="16" t="str">
        <f>IF(B1579="","",IFERROR(INDEX(Client_List!$C:$C,MATCH(B1579,Client_List!$B:$B,0)),""))</f>
        <v/>
      </c>
      <c r="D1579" s="16" t="str">
        <f>IF(B1579="","",IFERROR(INDEX(Client_List!$D:$D,MATCH(B1579,Client_List!$B:$B,0)),""))</f>
        <v/>
      </c>
      <c r="E1579" s="16" t="str">
        <f>IF(B1579="","",IFERROR(INDEX(Client_List!$K:$K,MATCH(B1579,Client_List!$B:$B,0)),""))</f>
        <v/>
      </c>
      <c r="F1579" s="16" t="str">
        <f>IF(B1579="","",IFERROR(INDEX(Client_List!$J:$J,MATCH(B1579,Client_List!$B:$B,0)),""))</f>
        <v/>
      </c>
      <c r="G1579" s="16"/>
      <c r="H1579" s="16" t="str">
        <f>IF(B1579="","",IFERROR(A1579-LOOKUP(2,1/($B$4:$B1578=B1579),$A$4:$A1578),""))</f>
        <v/>
      </c>
      <c r="I1579" s="16" t="str">
        <f t="shared" si="24"/>
        <v/>
      </c>
      <c r="J1579" s="16"/>
      <c r="K1579" s="6" t="str">
        <f>IF(B1579="","",IFERROR(AVERAGEIFS($I$4:$I1579,$B$4:$B1579,B1579,$I$4:$I1579,"&gt;"&amp;0),""))</f>
        <v/>
      </c>
      <c r="L1579" s="16" t="str">
        <f>IF(B1579="","",IF(ISNA(MATCH(B1579,Client_List!$B:$B,0)),"⚠ NOT FOUND","✓"))</f>
        <v/>
      </c>
    </row>
    <row r="1580" spans="1:12" ht="14" customHeight="1" x14ac:dyDescent="0.2">
      <c r="A1580" s="59"/>
      <c r="B1580" s="18"/>
      <c r="C1580" s="19" t="str">
        <f>IF(B1580="","",IFERROR(INDEX(Client_List!$C:$C,MATCH(B1580,Client_List!$B:$B,0)),""))</f>
        <v/>
      </c>
      <c r="D1580" s="19" t="str">
        <f>IF(B1580="","",IFERROR(INDEX(Client_List!$D:$D,MATCH(B1580,Client_List!$B:$B,0)),""))</f>
        <v/>
      </c>
      <c r="E1580" s="19" t="str">
        <f>IF(B1580="","",IFERROR(INDEX(Client_List!$K:$K,MATCH(B1580,Client_List!$B:$B,0)),""))</f>
        <v/>
      </c>
      <c r="F1580" s="19" t="str">
        <f>IF(B1580="","",IFERROR(INDEX(Client_List!$J:$J,MATCH(B1580,Client_List!$B:$B,0)),""))</f>
        <v/>
      </c>
      <c r="G1580" s="19"/>
      <c r="H1580" s="19" t="str">
        <f>IF(B1580="","",IFERROR(A1580-LOOKUP(2,1/($B$4:$B1579=B1580),$A$4:$A1579),""))</f>
        <v/>
      </c>
      <c r="I1580" s="19" t="str">
        <f t="shared" si="24"/>
        <v/>
      </c>
      <c r="J1580" s="19"/>
      <c r="K1580" s="6" t="str">
        <f>IF(B1580="","",IFERROR(AVERAGEIFS($I$4:$I1580,$B$4:$B1580,B1580,$I$4:$I1580,"&gt;"&amp;0),""))</f>
        <v/>
      </c>
      <c r="L1580" s="19" t="str">
        <f>IF(B1580="","",IF(ISNA(MATCH(B1580,Client_List!$B:$B,0)),"⚠ NOT FOUND","✓"))</f>
        <v/>
      </c>
    </row>
    <row r="1581" spans="1:12" ht="14" customHeight="1" x14ac:dyDescent="0.2">
      <c r="A1581" s="58"/>
      <c r="B1581" s="15"/>
      <c r="C1581" s="16" t="str">
        <f>IF(B1581="","",IFERROR(INDEX(Client_List!$C:$C,MATCH(B1581,Client_List!$B:$B,0)),""))</f>
        <v/>
      </c>
      <c r="D1581" s="16" t="str">
        <f>IF(B1581="","",IFERROR(INDEX(Client_List!$D:$D,MATCH(B1581,Client_List!$B:$B,0)),""))</f>
        <v/>
      </c>
      <c r="E1581" s="16" t="str">
        <f>IF(B1581="","",IFERROR(INDEX(Client_List!$K:$K,MATCH(B1581,Client_List!$B:$B,0)),""))</f>
        <v/>
      </c>
      <c r="F1581" s="16" t="str">
        <f>IF(B1581="","",IFERROR(INDEX(Client_List!$J:$J,MATCH(B1581,Client_List!$B:$B,0)),""))</f>
        <v/>
      </c>
      <c r="G1581" s="16"/>
      <c r="H1581" s="16" t="str">
        <f>IF(B1581="","",IFERROR(A1581-LOOKUP(2,1/($B$4:$B1580=B1581),$A$4:$A1580),""))</f>
        <v/>
      </c>
      <c r="I1581" s="16" t="str">
        <f t="shared" si="24"/>
        <v/>
      </c>
      <c r="J1581" s="16"/>
      <c r="K1581" s="6" t="str">
        <f>IF(B1581="","",IFERROR(AVERAGEIFS($I$4:$I1581,$B$4:$B1581,B1581,$I$4:$I1581,"&gt;"&amp;0),""))</f>
        <v/>
      </c>
      <c r="L1581" s="16" t="str">
        <f>IF(B1581="","",IF(ISNA(MATCH(B1581,Client_List!$B:$B,0)),"⚠ NOT FOUND","✓"))</f>
        <v/>
      </c>
    </row>
    <row r="1582" spans="1:12" ht="14" customHeight="1" x14ac:dyDescent="0.2">
      <c r="A1582" s="59"/>
      <c r="B1582" s="18"/>
      <c r="C1582" s="19" t="str">
        <f>IF(B1582="","",IFERROR(INDEX(Client_List!$C:$C,MATCH(B1582,Client_List!$B:$B,0)),""))</f>
        <v/>
      </c>
      <c r="D1582" s="19" t="str">
        <f>IF(B1582="","",IFERROR(INDEX(Client_List!$D:$D,MATCH(B1582,Client_List!$B:$B,0)),""))</f>
        <v/>
      </c>
      <c r="E1582" s="19" t="str">
        <f>IF(B1582="","",IFERROR(INDEX(Client_List!$K:$K,MATCH(B1582,Client_List!$B:$B,0)),""))</f>
        <v/>
      </c>
      <c r="F1582" s="19" t="str">
        <f>IF(B1582="","",IFERROR(INDEX(Client_List!$J:$J,MATCH(B1582,Client_List!$B:$B,0)),""))</f>
        <v/>
      </c>
      <c r="G1582" s="19"/>
      <c r="H1582" s="19" t="str">
        <f>IF(B1582="","",IFERROR(A1582-LOOKUP(2,1/($B$4:$B1581=B1582),$A$4:$A1581),""))</f>
        <v/>
      </c>
      <c r="I1582" s="19" t="str">
        <f t="shared" si="24"/>
        <v/>
      </c>
      <c r="J1582" s="19"/>
      <c r="K1582" s="6" t="str">
        <f>IF(B1582="","",IFERROR(AVERAGEIFS($I$4:$I1582,$B$4:$B1582,B1582,$I$4:$I1582,"&gt;"&amp;0),""))</f>
        <v/>
      </c>
      <c r="L1582" s="19" t="str">
        <f>IF(B1582="","",IF(ISNA(MATCH(B1582,Client_List!$B:$B,0)),"⚠ NOT FOUND","✓"))</f>
        <v/>
      </c>
    </row>
    <row r="1583" spans="1:12" ht="14" customHeight="1" x14ac:dyDescent="0.2">
      <c r="A1583" s="58"/>
      <c r="B1583" s="15"/>
      <c r="C1583" s="16" t="str">
        <f>IF(B1583="","",IFERROR(INDEX(Client_List!$C:$C,MATCH(B1583,Client_List!$B:$B,0)),""))</f>
        <v/>
      </c>
      <c r="D1583" s="16" t="str">
        <f>IF(B1583="","",IFERROR(INDEX(Client_List!$D:$D,MATCH(B1583,Client_List!$B:$B,0)),""))</f>
        <v/>
      </c>
      <c r="E1583" s="16" t="str">
        <f>IF(B1583="","",IFERROR(INDEX(Client_List!$K:$K,MATCH(B1583,Client_List!$B:$B,0)),""))</f>
        <v/>
      </c>
      <c r="F1583" s="16" t="str">
        <f>IF(B1583="","",IFERROR(INDEX(Client_List!$J:$J,MATCH(B1583,Client_List!$B:$B,0)),""))</f>
        <v/>
      </c>
      <c r="G1583" s="16"/>
      <c r="H1583" s="16" t="str">
        <f>IF(B1583="","",IFERROR(A1583-LOOKUP(2,1/($B$4:$B1582=B1583),$A$4:$A1582),""))</f>
        <v/>
      </c>
      <c r="I1583" s="16" t="str">
        <f t="shared" si="24"/>
        <v/>
      </c>
      <c r="J1583" s="16"/>
      <c r="K1583" s="6" t="str">
        <f>IF(B1583="","",IFERROR(AVERAGEIFS($I$4:$I1583,$B$4:$B1583,B1583,$I$4:$I1583,"&gt;"&amp;0),""))</f>
        <v/>
      </c>
      <c r="L1583" s="16" t="str">
        <f>IF(B1583="","",IF(ISNA(MATCH(B1583,Client_List!$B:$B,0)),"⚠ NOT FOUND","✓"))</f>
        <v/>
      </c>
    </row>
    <row r="1584" spans="1:12" ht="14" customHeight="1" x14ac:dyDescent="0.2">
      <c r="A1584" s="59"/>
      <c r="B1584" s="18"/>
      <c r="C1584" s="19" t="str">
        <f>IF(B1584="","",IFERROR(INDEX(Client_List!$C:$C,MATCH(B1584,Client_List!$B:$B,0)),""))</f>
        <v/>
      </c>
      <c r="D1584" s="19" t="str">
        <f>IF(B1584="","",IFERROR(INDEX(Client_List!$D:$D,MATCH(B1584,Client_List!$B:$B,0)),""))</f>
        <v/>
      </c>
      <c r="E1584" s="19" t="str">
        <f>IF(B1584="","",IFERROR(INDEX(Client_List!$K:$K,MATCH(B1584,Client_List!$B:$B,0)),""))</f>
        <v/>
      </c>
      <c r="F1584" s="19" t="str">
        <f>IF(B1584="","",IFERROR(INDEX(Client_List!$J:$J,MATCH(B1584,Client_List!$B:$B,0)),""))</f>
        <v/>
      </c>
      <c r="G1584" s="19"/>
      <c r="H1584" s="19" t="str">
        <f>IF(B1584="","",IFERROR(A1584-LOOKUP(2,1/($B$4:$B1583=B1584),$A$4:$A1583),""))</f>
        <v/>
      </c>
      <c r="I1584" s="19" t="str">
        <f t="shared" si="24"/>
        <v/>
      </c>
      <c r="J1584" s="19"/>
      <c r="K1584" s="6" t="str">
        <f>IF(B1584="","",IFERROR(AVERAGEIFS($I$4:$I1584,$B$4:$B1584,B1584,$I$4:$I1584,"&gt;"&amp;0),""))</f>
        <v/>
      </c>
      <c r="L1584" s="19" t="str">
        <f>IF(B1584="","",IF(ISNA(MATCH(B1584,Client_List!$B:$B,0)),"⚠ NOT FOUND","✓"))</f>
        <v/>
      </c>
    </row>
    <row r="1585" spans="1:12" ht="14" customHeight="1" x14ac:dyDescent="0.2">
      <c r="A1585" s="58"/>
      <c r="B1585" s="15"/>
      <c r="C1585" s="16" t="str">
        <f>IF(B1585="","",IFERROR(INDEX(Client_List!$C:$C,MATCH(B1585,Client_List!$B:$B,0)),""))</f>
        <v/>
      </c>
      <c r="D1585" s="16" t="str">
        <f>IF(B1585="","",IFERROR(INDEX(Client_List!$D:$D,MATCH(B1585,Client_List!$B:$B,0)),""))</f>
        <v/>
      </c>
      <c r="E1585" s="16" t="str">
        <f>IF(B1585="","",IFERROR(INDEX(Client_List!$K:$K,MATCH(B1585,Client_List!$B:$B,0)),""))</f>
        <v/>
      </c>
      <c r="F1585" s="16" t="str">
        <f>IF(B1585="","",IFERROR(INDEX(Client_List!$J:$J,MATCH(B1585,Client_List!$B:$B,0)),""))</f>
        <v/>
      </c>
      <c r="G1585" s="16"/>
      <c r="H1585" s="16" t="str">
        <f>IF(B1585="","",IFERROR(A1585-LOOKUP(2,1/($B$4:$B1584=B1585),$A$4:$A1584),""))</f>
        <v/>
      </c>
      <c r="I1585" s="16" t="str">
        <f t="shared" si="24"/>
        <v/>
      </c>
      <c r="J1585" s="16"/>
      <c r="K1585" s="6" t="str">
        <f>IF(B1585="","",IFERROR(AVERAGEIFS($I$4:$I1585,$B$4:$B1585,B1585,$I$4:$I1585,"&gt;"&amp;0),""))</f>
        <v/>
      </c>
      <c r="L1585" s="16" t="str">
        <f>IF(B1585="","",IF(ISNA(MATCH(B1585,Client_List!$B:$B,0)),"⚠ NOT FOUND","✓"))</f>
        <v/>
      </c>
    </row>
    <row r="1586" spans="1:12" ht="14" customHeight="1" x14ac:dyDescent="0.2">
      <c r="A1586" s="59"/>
      <c r="B1586" s="18"/>
      <c r="C1586" s="19" t="str">
        <f>IF(B1586="","",IFERROR(INDEX(Client_List!$C:$C,MATCH(B1586,Client_List!$B:$B,0)),""))</f>
        <v/>
      </c>
      <c r="D1586" s="19" t="str">
        <f>IF(B1586="","",IFERROR(INDEX(Client_List!$D:$D,MATCH(B1586,Client_List!$B:$B,0)),""))</f>
        <v/>
      </c>
      <c r="E1586" s="19" t="str">
        <f>IF(B1586="","",IFERROR(INDEX(Client_List!$K:$K,MATCH(B1586,Client_List!$B:$B,0)),""))</f>
        <v/>
      </c>
      <c r="F1586" s="19" t="str">
        <f>IF(B1586="","",IFERROR(INDEX(Client_List!$J:$J,MATCH(B1586,Client_List!$B:$B,0)),""))</f>
        <v/>
      </c>
      <c r="G1586" s="19"/>
      <c r="H1586" s="19" t="str">
        <f>IF(B1586="","",IFERROR(A1586-LOOKUP(2,1/($B$4:$B1585=B1586),$A$4:$A1585),""))</f>
        <v/>
      </c>
      <c r="I1586" s="19" t="str">
        <f t="shared" si="24"/>
        <v/>
      </c>
      <c r="J1586" s="19"/>
      <c r="K1586" s="6" t="str">
        <f>IF(B1586="","",IFERROR(AVERAGEIFS($I$4:$I1586,$B$4:$B1586,B1586,$I$4:$I1586,"&gt;"&amp;0),""))</f>
        <v/>
      </c>
      <c r="L1586" s="19" t="str">
        <f>IF(B1586="","",IF(ISNA(MATCH(B1586,Client_List!$B:$B,0)),"⚠ NOT FOUND","✓"))</f>
        <v/>
      </c>
    </row>
    <row r="1587" spans="1:12" ht="14" customHeight="1" x14ac:dyDescent="0.2">
      <c r="A1587" s="58"/>
      <c r="B1587" s="15"/>
      <c r="C1587" s="16" t="str">
        <f>IF(B1587="","",IFERROR(INDEX(Client_List!$C:$C,MATCH(B1587,Client_List!$B:$B,0)),""))</f>
        <v/>
      </c>
      <c r="D1587" s="16" t="str">
        <f>IF(B1587="","",IFERROR(INDEX(Client_List!$D:$D,MATCH(B1587,Client_List!$B:$B,0)),""))</f>
        <v/>
      </c>
      <c r="E1587" s="16" t="str">
        <f>IF(B1587="","",IFERROR(INDEX(Client_List!$K:$K,MATCH(B1587,Client_List!$B:$B,0)),""))</f>
        <v/>
      </c>
      <c r="F1587" s="16" t="str">
        <f>IF(B1587="","",IFERROR(INDEX(Client_List!$J:$J,MATCH(B1587,Client_List!$B:$B,0)),""))</f>
        <v/>
      </c>
      <c r="G1587" s="16"/>
      <c r="H1587" s="16" t="str">
        <f>IF(B1587="","",IFERROR(A1587-LOOKUP(2,1/($B$4:$B1586=B1587),$A$4:$A1586),""))</f>
        <v/>
      </c>
      <c r="I1587" s="16" t="str">
        <f t="shared" si="24"/>
        <v/>
      </c>
      <c r="J1587" s="16"/>
      <c r="K1587" s="6" t="str">
        <f>IF(B1587="","",IFERROR(AVERAGEIFS($I$4:$I1587,$B$4:$B1587,B1587,$I$4:$I1587,"&gt;"&amp;0),""))</f>
        <v/>
      </c>
      <c r="L1587" s="16" t="str">
        <f>IF(B1587="","",IF(ISNA(MATCH(B1587,Client_List!$B:$B,0)),"⚠ NOT FOUND","✓"))</f>
        <v/>
      </c>
    </row>
    <row r="1588" spans="1:12" ht="14" customHeight="1" x14ac:dyDescent="0.2">
      <c r="A1588" s="59"/>
      <c r="B1588" s="18"/>
      <c r="C1588" s="19" t="str">
        <f>IF(B1588="","",IFERROR(INDEX(Client_List!$C:$C,MATCH(B1588,Client_List!$B:$B,0)),""))</f>
        <v/>
      </c>
      <c r="D1588" s="19" t="str">
        <f>IF(B1588="","",IFERROR(INDEX(Client_List!$D:$D,MATCH(B1588,Client_List!$B:$B,0)),""))</f>
        <v/>
      </c>
      <c r="E1588" s="19" t="str">
        <f>IF(B1588="","",IFERROR(INDEX(Client_List!$K:$K,MATCH(B1588,Client_List!$B:$B,0)),""))</f>
        <v/>
      </c>
      <c r="F1588" s="19" t="str">
        <f>IF(B1588="","",IFERROR(INDEX(Client_List!$J:$J,MATCH(B1588,Client_List!$B:$B,0)),""))</f>
        <v/>
      </c>
      <c r="G1588" s="19"/>
      <c r="H1588" s="19" t="str">
        <f>IF(B1588="","",IFERROR(A1588-LOOKUP(2,1/($B$4:$B1587=B1588),$A$4:$A1587),""))</f>
        <v/>
      </c>
      <c r="I1588" s="19" t="str">
        <f t="shared" si="24"/>
        <v/>
      </c>
      <c r="J1588" s="19"/>
      <c r="K1588" s="6" t="str">
        <f>IF(B1588="","",IFERROR(AVERAGEIFS($I$4:$I1588,$B$4:$B1588,B1588,$I$4:$I1588,"&gt;"&amp;0),""))</f>
        <v/>
      </c>
      <c r="L1588" s="19" t="str">
        <f>IF(B1588="","",IF(ISNA(MATCH(B1588,Client_List!$B:$B,0)),"⚠ NOT FOUND","✓"))</f>
        <v/>
      </c>
    </row>
    <row r="1589" spans="1:12" ht="14" customHeight="1" x14ac:dyDescent="0.2">
      <c r="A1589" s="58"/>
      <c r="B1589" s="15"/>
      <c r="C1589" s="16" t="str">
        <f>IF(B1589="","",IFERROR(INDEX(Client_List!$C:$C,MATCH(B1589,Client_List!$B:$B,0)),""))</f>
        <v/>
      </c>
      <c r="D1589" s="16" t="str">
        <f>IF(B1589="","",IFERROR(INDEX(Client_List!$D:$D,MATCH(B1589,Client_List!$B:$B,0)),""))</f>
        <v/>
      </c>
      <c r="E1589" s="16" t="str">
        <f>IF(B1589="","",IFERROR(INDEX(Client_List!$K:$K,MATCH(B1589,Client_List!$B:$B,0)),""))</f>
        <v/>
      </c>
      <c r="F1589" s="16" t="str">
        <f>IF(B1589="","",IFERROR(INDEX(Client_List!$J:$J,MATCH(B1589,Client_List!$B:$B,0)),""))</f>
        <v/>
      </c>
      <c r="G1589" s="16"/>
      <c r="H1589" s="16" t="str">
        <f>IF(B1589="","",IFERROR(A1589-LOOKUP(2,1/($B$4:$B1588=B1589),$A$4:$A1588),""))</f>
        <v/>
      </c>
      <c r="I1589" s="16" t="str">
        <f t="shared" si="24"/>
        <v/>
      </c>
      <c r="J1589" s="16"/>
      <c r="K1589" s="6" t="str">
        <f>IF(B1589="","",IFERROR(AVERAGEIFS($I$4:$I1589,$B$4:$B1589,B1589,$I$4:$I1589,"&gt;"&amp;0),""))</f>
        <v/>
      </c>
      <c r="L1589" s="16" t="str">
        <f>IF(B1589="","",IF(ISNA(MATCH(B1589,Client_List!$B:$B,0)),"⚠ NOT FOUND","✓"))</f>
        <v/>
      </c>
    </row>
    <row r="1590" spans="1:12" ht="14" customHeight="1" x14ac:dyDescent="0.2">
      <c r="A1590" s="59"/>
      <c r="B1590" s="18"/>
      <c r="C1590" s="19" t="str">
        <f>IF(B1590="","",IFERROR(INDEX(Client_List!$C:$C,MATCH(B1590,Client_List!$B:$B,0)),""))</f>
        <v/>
      </c>
      <c r="D1590" s="19" t="str">
        <f>IF(B1590="","",IFERROR(INDEX(Client_List!$D:$D,MATCH(B1590,Client_List!$B:$B,0)),""))</f>
        <v/>
      </c>
      <c r="E1590" s="19" t="str">
        <f>IF(B1590="","",IFERROR(INDEX(Client_List!$K:$K,MATCH(B1590,Client_List!$B:$B,0)),""))</f>
        <v/>
      </c>
      <c r="F1590" s="19" t="str">
        <f>IF(B1590="","",IFERROR(INDEX(Client_List!$J:$J,MATCH(B1590,Client_List!$B:$B,0)),""))</f>
        <v/>
      </c>
      <c r="G1590" s="19"/>
      <c r="H1590" s="19" t="str">
        <f>IF(B1590="","",IFERROR(A1590-LOOKUP(2,1/($B$4:$B1589=B1590),$A$4:$A1589),""))</f>
        <v/>
      </c>
      <c r="I1590" s="19" t="str">
        <f t="shared" si="24"/>
        <v/>
      </c>
      <c r="J1590" s="19"/>
      <c r="K1590" s="6" t="str">
        <f>IF(B1590="","",IFERROR(AVERAGEIFS($I$4:$I1590,$B$4:$B1590,B1590,$I$4:$I1590,"&gt;"&amp;0),""))</f>
        <v/>
      </c>
      <c r="L1590" s="19" t="str">
        <f>IF(B1590="","",IF(ISNA(MATCH(B1590,Client_List!$B:$B,0)),"⚠ NOT FOUND","✓"))</f>
        <v/>
      </c>
    </row>
    <row r="1591" spans="1:12" ht="14" customHeight="1" x14ac:dyDescent="0.2">
      <c r="A1591" s="58"/>
      <c r="B1591" s="15"/>
      <c r="C1591" s="16" t="str">
        <f>IF(B1591="","",IFERROR(INDEX(Client_List!$C:$C,MATCH(B1591,Client_List!$B:$B,0)),""))</f>
        <v/>
      </c>
      <c r="D1591" s="16" t="str">
        <f>IF(B1591="","",IFERROR(INDEX(Client_List!$D:$D,MATCH(B1591,Client_List!$B:$B,0)),""))</f>
        <v/>
      </c>
      <c r="E1591" s="16" t="str">
        <f>IF(B1591="","",IFERROR(INDEX(Client_List!$K:$K,MATCH(B1591,Client_List!$B:$B,0)),""))</f>
        <v/>
      </c>
      <c r="F1591" s="16" t="str">
        <f>IF(B1591="","",IFERROR(INDEX(Client_List!$J:$J,MATCH(B1591,Client_List!$B:$B,0)),""))</f>
        <v/>
      </c>
      <c r="G1591" s="16"/>
      <c r="H1591" s="16" t="str">
        <f>IF(B1591="","",IFERROR(A1591-LOOKUP(2,1/($B$4:$B1590=B1591),$A$4:$A1590),""))</f>
        <v/>
      </c>
      <c r="I1591" s="16" t="str">
        <f t="shared" si="24"/>
        <v/>
      </c>
      <c r="J1591" s="16"/>
      <c r="K1591" s="6" t="str">
        <f>IF(B1591="","",IFERROR(AVERAGEIFS($I$4:$I1591,$B$4:$B1591,B1591,$I$4:$I1591,"&gt;"&amp;0),""))</f>
        <v/>
      </c>
      <c r="L1591" s="16" t="str">
        <f>IF(B1591="","",IF(ISNA(MATCH(B1591,Client_List!$B:$B,0)),"⚠ NOT FOUND","✓"))</f>
        <v/>
      </c>
    </row>
    <row r="1592" spans="1:12" ht="14" customHeight="1" x14ac:dyDescent="0.2">
      <c r="A1592" s="59"/>
      <c r="B1592" s="18"/>
      <c r="C1592" s="19" t="str">
        <f>IF(B1592="","",IFERROR(INDEX(Client_List!$C:$C,MATCH(B1592,Client_List!$B:$B,0)),""))</f>
        <v/>
      </c>
      <c r="D1592" s="19" t="str">
        <f>IF(B1592="","",IFERROR(INDEX(Client_List!$D:$D,MATCH(B1592,Client_List!$B:$B,0)),""))</f>
        <v/>
      </c>
      <c r="E1592" s="19" t="str">
        <f>IF(B1592="","",IFERROR(INDEX(Client_List!$K:$K,MATCH(B1592,Client_List!$B:$B,0)),""))</f>
        <v/>
      </c>
      <c r="F1592" s="19" t="str">
        <f>IF(B1592="","",IFERROR(INDEX(Client_List!$J:$J,MATCH(B1592,Client_List!$B:$B,0)),""))</f>
        <v/>
      </c>
      <c r="G1592" s="19"/>
      <c r="H1592" s="19" t="str">
        <f>IF(B1592="","",IFERROR(A1592-LOOKUP(2,1/($B$4:$B1591=B1592),$A$4:$A1591),""))</f>
        <v/>
      </c>
      <c r="I1592" s="19" t="str">
        <f t="shared" si="24"/>
        <v/>
      </c>
      <c r="J1592" s="19"/>
      <c r="K1592" s="6" t="str">
        <f>IF(B1592="","",IFERROR(AVERAGEIFS($I$4:$I1592,$B$4:$B1592,B1592,$I$4:$I1592,"&gt;"&amp;0),""))</f>
        <v/>
      </c>
      <c r="L1592" s="19" t="str">
        <f>IF(B1592="","",IF(ISNA(MATCH(B1592,Client_List!$B:$B,0)),"⚠ NOT FOUND","✓"))</f>
        <v/>
      </c>
    </row>
    <row r="1593" spans="1:12" ht="14" customHeight="1" x14ac:dyDescent="0.2">
      <c r="A1593" s="58"/>
      <c r="B1593" s="15"/>
      <c r="C1593" s="16" t="str">
        <f>IF(B1593="","",IFERROR(INDEX(Client_List!$C:$C,MATCH(B1593,Client_List!$B:$B,0)),""))</f>
        <v/>
      </c>
      <c r="D1593" s="16" t="str">
        <f>IF(B1593="","",IFERROR(INDEX(Client_List!$D:$D,MATCH(B1593,Client_List!$B:$B,0)),""))</f>
        <v/>
      </c>
      <c r="E1593" s="16" t="str">
        <f>IF(B1593="","",IFERROR(INDEX(Client_List!$K:$K,MATCH(B1593,Client_List!$B:$B,0)),""))</f>
        <v/>
      </c>
      <c r="F1593" s="16" t="str">
        <f>IF(B1593="","",IFERROR(INDEX(Client_List!$J:$J,MATCH(B1593,Client_List!$B:$B,0)),""))</f>
        <v/>
      </c>
      <c r="G1593" s="16"/>
      <c r="H1593" s="16" t="str">
        <f>IF(B1593="","",IFERROR(A1593-LOOKUP(2,1/($B$4:$B1592=B1593),$A$4:$A1592),""))</f>
        <v/>
      </c>
      <c r="I1593" s="16" t="str">
        <f t="shared" si="24"/>
        <v/>
      </c>
      <c r="J1593" s="16"/>
      <c r="K1593" s="6" t="str">
        <f>IF(B1593="","",IFERROR(AVERAGEIFS($I$4:$I1593,$B$4:$B1593,B1593,$I$4:$I1593,"&gt;"&amp;0),""))</f>
        <v/>
      </c>
      <c r="L1593" s="16" t="str">
        <f>IF(B1593="","",IF(ISNA(MATCH(B1593,Client_List!$B:$B,0)),"⚠ NOT FOUND","✓"))</f>
        <v/>
      </c>
    </row>
    <row r="1594" spans="1:12" ht="14" customHeight="1" x14ac:dyDescent="0.2">
      <c r="A1594" s="59"/>
      <c r="B1594" s="18"/>
      <c r="C1594" s="19" t="str">
        <f>IF(B1594="","",IFERROR(INDEX(Client_List!$C:$C,MATCH(B1594,Client_List!$B:$B,0)),""))</f>
        <v/>
      </c>
      <c r="D1594" s="19" t="str">
        <f>IF(B1594="","",IFERROR(INDEX(Client_List!$D:$D,MATCH(B1594,Client_List!$B:$B,0)),""))</f>
        <v/>
      </c>
      <c r="E1594" s="19" t="str">
        <f>IF(B1594="","",IFERROR(INDEX(Client_List!$K:$K,MATCH(B1594,Client_List!$B:$B,0)),""))</f>
        <v/>
      </c>
      <c r="F1594" s="19" t="str">
        <f>IF(B1594="","",IFERROR(INDEX(Client_List!$J:$J,MATCH(B1594,Client_List!$B:$B,0)),""))</f>
        <v/>
      </c>
      <c r="G1594" s="19"/>
      <c r="H1594" s="19" t="str">
        <f>IF(B1594="","",IFERROR(A1594-LOOKUP(2,1/($B$4:$B1593=B1594),$A$4:$A1593),""))</f>
        <v/>
      </c>
      <c r="I1594" s="19" t="str">
        <f t="shared" si="24"/>
        <v/>
      </c>
      <c r="J1594" s="19"/>
      <c r="K1594" s="6" t="str">
        <f>IF(B1594="","",IFERROR(AVERAGEIFS($I$4:$I1594,$B$4:$B1594,B1594,$I$4:$I1594,"&gt;"&amp;0),""))</f>
        <v/>
      </c>
      <c r="L1594" s="19" t="str">
        <f>IF(B1594="","",IF(ISNA(MATCH(B1594,Client_List!$B:$B,0)),"⚠ NOT FOUND","✓"))</f>
        <v/>
      </c>
    </row>
    <row r="1595" spans="1:12" ht="14" customHeight="1" x14ac:dyDescent="0.2">
      <c r="A1595" s="58"/>
      <c r="B1595" s="15"/>
      <c r="C1595" s="16" t="str">
        <f>IF(B1595="","",IFERROR(INDEX(Client_List!$C:$C,MATCH(B1595,Client_List!$B:$B,0)),""))</f>
        <v/>
      </c>
      <c r="D1595" s="16" t="str">
        <f>IF(B1595="","",IFERROR(INDEX(Client_List!$D:$D,MATCH(B1595,Client_List!$B:$B,0)),""))</f>
        <v/>
      </c>
      <c r="E1595" s="16" t="str">
        <f>IF(B1595="","",IFERROR(INDEX(Client_List!$K:$K,MATCH(B1595,Client_List!$B:$B,0)),""))</f>
        <v/>
      </c>
      <c r="F1595" s="16" t="str">
        <f>IF(B1595="","",IFERROR(INDEX(Client_List!$J:$J,MATCH(B1595,Client_List!$B:$B,0)),""))</f>
        <v/>
      </c>
      <c r="G1595" s="16"/>
      <c r="H1595" s="16" t="str">
        <f>IF(B1595="","",IFERROR(A1595-LOOKUP(2,1/($B$4:$B1594=B1595),$A$4:$A1594),""))</f>
        <v/>
      </c>
      <c r="I1595" s="16" t="str">
        <f t="shared" si="24"/>
        <v/>
      </c>
      <c r="J1595" s="16"/>
      <c r="K1595" s="6" t="str">
        <f>IF(B1595="","",IFERROR(AVERAGEIFS($I$4:$I1595,$B$4:$B1595,B1595,$I$4:$I1595,"&gt;"&amp;0),""))</f>
        <v/>
      </c>
      <c r="L1595" s="16" t="str">
        <f>IF(B1595="","",IF(ISNA(MATCH(B1595,Client_List!$B:$B,0)),"⚠ NOT FOUND","✓"))</f>
        <v/>
      </c>
    </row>
    <row r="1596" spans="1:12" ht="14" customHeight="1" x14ac:dyDescent="0.2">
      <c r="A1596" s="59"/>
      <c r="B1596" s="18"/>
      <c r="C1596" s="19" t="str">
        <f>IF(B1596="","",IFERROR(INDEX(Client_List!$C:$C,MATCH(B1596,Client_List!$B:$B,0)),""))</f>
        <v/>
      </c>
      <c r="D1596" s="19" t="str">
        <f>IF(B1596="","",IFERROR(INDEX(Client_List!$D:$D,MATCH(B1596,Client_List!$B:$B,0)),""))</f>
        <v/>
      </c>
      <c r="E1596" s="19" t="str">
        <f>IF(B1596="","",IFERROR(INDEX(Client_List!$K:$K,MATCH(B1596,Client_List!$B:$B,0)),""))</f>
        <v/>
      </c>
      <c r="F1596" s="19" t="str">
        <f>IF(B1596="","",IFERROR(INDEX(Client_List!$J:$J,MATCH(B1596,Client_List!$B:$B,0)),""))</f>
        <v/>
      </c>
      <c r="G1596" s="19"/>
      <c r="H1596" s="19" t="str">
        <f>IF(B1596="","",IFERROR(A1596-LOOKUP(2,1/($B$4:$B1595=B1596),$A$4:$A1595),""))</f>
        <v/>
      </c>
      <c r="I1596" s="19" t="str">
        <f t="shared" si="24"/>
        <v/>
      </c>
      <c r="J1596" s="19"/>
      <c r="K1596" s="6" t="str">
        <f>IF(B1596="","",IFERROR(AVERAGEIFS($I$4:$I1596,$B$4:$B1596,B1596,$I$4:$I1596,"&gt;"&amp;0),""))</f>
        <v/>
      </c>
      <c r="L1596" s="19" t="str">
        <f>IF(B1596="","",IF(ISNA(MATCH(B1596,Client_List!$B:$B,0)),"⚠ NOT FOUND","✓"))</f>
        <v/>
      </c>
    </row>
    <row r="1597" spans="1:12" ht="14" customHeight="1" x14ac:dyDescent="0.2">
      <c r="A1597" s="58"/>
      <c r="B1597" s="15"/>
      <c r="C1597" s="16" t="str">
        <f>IF(B1597="","",IFERROR(INDEX(Client_List!$C:$C,MATCH(B1597,Client_List!$B:$B,0)),""))</f>
        <v/>
      </c>
      <c r="D1597" s="16" t="str">
        <f>IF(B1597="","",IFERROR(INDEX(Client_List!$D:$D,MATCH(B1597,Client_List!$B:$B,0)),""))</f>
        <v/>
      </c>
      <c r="E1597" s="16" t="str">
        <f>IF(B1597="","",IFERROR(INDEX(Client_List!$K:$K,MATCH(B1597,Client_List!$B:$B,0)),""))</f>
        <v/>
      </c>
      <c r="F1597" s="16" t="str">
        <f>IF(B1597="","",IFERROR(INDEX(Client_List!$J:$J,MATCH(B1597,Client_List!$B:$B,0)),""))</f>
        <v/>
      </c>
      <c r="G1597" s="16"/>
      <c r="H1597" s="16" t="str">
        <f>IF(B1597="","",IFERROR(A1597-LOOKUP(2,1/($B$4:$B1596=B1597),$A$4:$A1596),""))</f>
        <v/>
      </c>
      <c r="I1597" s="16" t="str">
        <f t="shared" si="24"/>
        <v/>
      </c>
      <c r="J1597" s="16"/>
      <c r="K1597" s="6" t="str">
        <f>IF(B1597="","",IFERROR(AVERAGEIFS($I$4:$I1597,$B$4:$B1597,B1597,$I$4:$I1597,"&gt;"&amp;0),""))</f>
        <v/>
      </c>
      <c r="L1597" s="16" t="str">
        <f>IF(B1597="","",IF(ISNA(MATCH(B1597,Client_List!$B:$B,0)),"⚠ NOT FOUND","✓"))</f>
        <v/>
      </c>
    </row>
    <row r="1598" spans="1:12" ht="14" customHeight="1" x14ac:dyDescent="0.2">
      <c r="A1598" s="59"/>
      <c r="B1598" s="18"/>
      <c r="C1598" s="19" t="str">
        <f>IF(B1598="","",IFERROR(INDEX(Client_List!$C:$C,MATCH(B1598,Client_List!$B:$B,0)),""))</f>
        <v/>
      </c>
      <c r="D1598" s="19" t="str">
        <f>IF(B1598="","",IFERROR(INDEX(Client_List!$D:$D,MATCH(B1598,Client_List!$B:$B,0)),""))</f>
        <v/>
      </c>
      <c r="E1598" s="19" t="str">
        <f>IF(B1598="","",IFERROR(INDEX(Client_List!$K:$K,MATCH(B1598,Client_List!$B:$B,0)),""))</f>
        <v/>
      </c>
      <c r="F1598" s="19" t="str">
        <f>IF(B1598="","",IFERROR(INDEX(Client_List!$J:$J,MATCH(B1598,Client_List!$B:$B,0)),""))</f>
        <v/>
      </c>
      <c r="G1598" s="19"/>
      <c r="H1598" s="19" t="str">
        <f>IF(B1598="","",IFERROR(A1598-LOOKUP(2,1/($B$4:$B1597=B1598),$A$4:$A1597),""))</f>
        <v/>
      </c>
      <c r="I1598" s="19" t="str">
        <f t="shared" si="24"/>
        <v/>
      </c>
      <c r="J1598" s="19"/>
      <c r="K1598" s="6" t="str">
        <f>IF(B1598="","",IFERROR(AVERAGEIFS($I$4:$I1598,$B$4:$B1598,B1598,$I$4:$I1598,"&gt;"&amp;0),""))</f>
        <v/>
      </c>
      <c r="L1598" s="19" t="str">
        <f>IF(B1598="","",IF(ISNA(MATCH(B1598,Client_List!$B:$B,0)),"⚠ NOT FOUND","✓"))</f>
        <v/>
      </c>
    </row>
    <row r="1599" spans="1:12" ht="14" customHeight="1" x14ac:dyDescent="0.2">
      <c r="A1599" s="58"/>
      <c r="B1599" s="15"/>
      <c r="C1599" s="16" t="str">
        <f>IF(B1599="","",IFERROR(INDEX(Client_List!$C:$C,MATCH(B1599,Client_List!$B:$B,0)),""))</f>
        <v/>
      </c>
      <c r="D1599" s="16" t="str">
        <f>IF(B1599="","",IFERROR(INDEX(Client_List!$D:$D,MATCH(B1599,Client_List!$B:$B,0)),""))</f>
        <v/>
      </c>
      <c r="E1599" s="16" t="str">
        <f>IF(B1599="","",IFERROR(INDEX(Client_List!$K:$K,MATCH(B1599,Client_List!$B:$B,0)),""))</f>
        <v/>
      </c>
      <c r="F1599" s="16" t="str">
        <f>IF(B1599="","",IFERROR(INDEX(Client_List!$J:$J,MATCH(B1599,Client_List!$B:$B,0)),""))</f>
        <v/>
      </c>
      <c r="G1599" s="16"/>
      <c r="H1599" s="16" t="str">
        <f>IF(B1599="","",IFERROR(A1599-LOOKUP(2,1/($B$4:$B1598=B1599),$A$4:$A1598),""))</f>
        <v/>
      </c>
      <c r="I1599" s="16" t="str">
        <f t="shared" si="24"/>
        <v/>
      </c>
      <c r="J1599" s="16"/>
      <c r="K1599" s="6" t="str">
        <f>IF(B1599="","",IFERROR(AVERAGEIFS($I$4:$I1599,$B$4:$B1599,B1599,$I$4:$I1599,"&gt;"&amp;0),""))</f>
        <v/>
      </c>
      <c r="L1599" s="16" t="str">
        <f>IF(B1599="","",IF(ISNA(MATCH(B1599,Client_List!$B:$B,0)),"⚠ NOT FOUND","✓"))</f>
        <v/>
      </c>
    </row>
    <row r="1600" spans="1:12" ht="14" customHeight="1" x14ac:dyDescent="0.2">
      <c r="A1600" s="59"/>
      <c r="B1600" s="18"/>
      <c r="C1600" s="19" t="str">
        <f>IF(B1600="","",IFERROR(INDEX(Client_List!$C:$C,MATCH(B1600,Client_List!$B:$B,0)),""))</f>
        <v/>
      </c>
      <c r="D1600" s="19" t="str">
        <f>IF(B1600="","",IFERROR(INDEX(Client_List!$D:$D,MATCH(B1600,Client_List!$B:$B,0)),""))</f>
        <v/>
      </c>
      <c r="E1600" s="19" t="str">
        <f>IF(B1600="","",IFERROR(INDEX(Client_List!$K:$K,MATCH(B1600,Client_List!$B:$B,0)),""))</f>
        <v/>
      </c>
      <c r="F1600" s="19" t="str">
        <f>IF(B1600="","",IFERROR(INDEX(Client_List!$J:$J,MATCH(B1600,Client_List!$B:$B,0)),""))</f>
        <v/>
      </c>
      <c r="G1600" s="19"/>
      <c r="H1600" s="19" t="str">
        <f>IF(B1600="","",IFERROR(A1600-LOOKUP(2,1/($B$4:$B1599=B1600),$A$4:$A1599),""))</f>
        <v/>
      </c>
      <c r="I1600" s="19" t="str">
        <f t="shared" si="24"/>
        <v/>
      </c>
      <c r="J1600" s="19"/>
      <c r="K1600" s="6" t="str">
        <f>IF(B1600="","",IFERROR(AVERAGEIFS($I$4:$I1600,$B$4:$B1600,B1600,$I$4:$I1600,"&gt;"&amp;0),""))</f>
        <v/>
      </c>
      <c r="L1600" s="19" t="str">
        <f>IF(B1600="","",IF(ISNA(MATCH(B1600,Client_List!$B:$B,0)),"⚠ NOT FOUND","✓"))</f>
        <v/>
      </c>
    </row>
    <row r="1601" spans="1:12" ht="14" customHeight="1" x14ac:dyDescent="0.2">
      <c r="A1601" s="58"/>
      <c r="B1601" s="15"/>
      <c r="C1601" s="16" t="str">
        <f>IF(B1601="","",IFERROR(INDEX(Client_List!$C:$C,MATCH(B1601,Client_List!$B:$B,0)),""))</f>
        <v/>
      </c>
      <c r="D1601" s="16" t="str">
        <f>IF(B1601="","",IFERROR(INDEX(Client_List!$D:$D,MATCH(B1601,Client_List!$B:$B,0)),""))</f>
        <v/>
      </c>
      <c r="E1601" s="16" t="str">
        <f>IF(B1601="","",IFERROR(INDEX(Client_List!$K:$K,MATCH(B1601,Client_List!$B:$B,0)),""))</f>
        <v/>
      </c>
      <c r="F1601" s="16" t="str">
        <f>IF(B1601="","",IFERROR(INDEX(Client_List!$J:$J,MATCH(B1601,Client_List!$B:$B,0)),""))</f>
        <v/>
      </c>
      <c r="G1601" s="16"/>
      <c r="H1601" s="16" t="str">
        <f>IF(B1601="","",IFERROR(A1601-LOOKUP(2,1/($B$4:$B1600=B1601),$A$4:$A1600),""))</f>
        <v/>
      </c>
      <c r="I1601" s="16" t="str">
        <f t="shared" si="24"/>
        <v/>
      </c>
      <c r="J1601" s="16"/>
      <c r="K1601" s="6" t="str">
        <f>IF(B1601="","",IFERROR(AVERAGEIFS($I$4:$I1601,$B$4:$B1601,B1601,$I$4:$I1601,"&gt;"&amp;0),""))</f>
        <v/>
      </c>
      <c r="L1601" s="16" t="str">
        <f>IF(B1601="","",IF(ISNA(MATCH(B1601,Client_List!$B:$B,0)),"⚠ NOT FOUND","✓"))</f>
        <v/>
      </c>
    </row>
    <row r="1602" spans="1:12" ht="14" customHeight="1" x14ac:dyDescent="0.2">
      <c r="A1602" s="59"/>
      <c r="B1602" s="18"/>
      <c r="C1602" s="19" t="str">
        <f>IF(B1602="","",IFERROR(INDEX(Client_List!$C:$C,MATCH(B1602,Client_List!$B:$B,0)),""))</f>
        <v/>
      </c>
      <c r="D1602" s="19" t="str">
        <f>IF(B1602="","",IFERROR(INDEX(Client_List!$D:$D,MATCH(B1602,Client_List!$B:$B,0)),""))</f>
        <v/>
      </c>
      <c r="E1602" s="19" t="str">
        <f>IF(B1602="","",IFERROR(INDEX(Client_List!$K:$K,MATCH(B1602,Client_List!$B:$B,0)),""))</f>
        <v/>
      </c>
      <c r="F1602" s="19" t="str">
        <f>IF(B1602="","",IFERROR(INDEX(Client_List!$J:$J,MATCH(B1602,Client_List!$B:$B,0)),""))</f>
        <v/>
      </c>
      <c r="G1602" s="19"/>
      <c r="H1602" s="19" t="str">
        <f>IF(B1602="","",IFERROR(A1602-LOOKUP(2,1/($B$4:$B1601=B1602),$A$4:$A1601),""))</f>
        <v/>
      </c>
      <c r="I1602" s="19" t="str">
        <f t="shared" si="24"/>
        <v/>
      </c>
      <c r="J1602" s="19"/>
      <c r="K1602" s="6" t="str">
        <f>IF(B1602="","",IFERROR(AVERAGEIFS($I$4:$I1602,$B$4:$B1602,B1602,$I$4:$I1602,"&gt;"&amp;0),""))</f>
        <v/>
      </c>
      <c r="L1602" s="19" t="str">
        <f>IF(B1602="","",IF(ISNA(MATCH(B1602,Client_List!$B:$B,0)),"⚠ NOT FOUND","✓"))</f>
        <v/>
      </c>
    </row>
    <row r="1603" spans="1:12" ht="14" customHeight="1" x14ac:dyDescent="0.2">
      <c r="A1603" s="58"/>
      <c r="B1603" s="15"/>
      <c r="C1603" s="16" t="str">
        <f>IF(B1603="","",IFERROR(INDEX(Client_List!$C:$C,MATCH(B1603,Client_List!$B:$B,0)),""))</f>
        <v/>
      </c>
      <c r="D1603" s="16" t="str">
        <f>IF(B1603="","",IFERROR(INDEX(Client_List!$D:$D,MATCH(B1603,Client_List!$B:$B,0)),""))</f>
        <v/>
      </c>
      <c r="E1603" s="16" t="str">
        <f>IF(B1603="","",IFERROR(INDEX(Client_List!$K:$K,MATCH(B1603,Client_List!$B:$B,0)),""))</f>
        <v/>
      </c>
      <c r="F1603" s="16" t="str">
        <f>IF(B1603="","",IFERROR(INDEX(Client_List!$J:$J,MATCH(B1603,Client_List!$B:$B,0)),""))</f>
        <v/>
      </c>
      <c r="G1603" s="16"/>
      <c r="H1603" s="16" t="str">
        <f>IF(B1603="","",IFERROR(A1603-LOOKUP(2,1/($B$4:$B1602=B1603),$A$4:$A1602),""))</f>
        <v/>
      </c>
      <c r="I1603" s="16" t="str">
        <f t="shared" si="24"/>
        <v/>
      </c>
      <c r="J1603" s="16"/>
      <c r="K1603" s="6" t="str">
        <f>IF(B1603="","",IFERROR(AVERAGEIFS($I$4:$I1603,$B$4:$B1603,B1603,$I$4:$I1603,"&gt;"&amp;0),""))</f>
        <v/>
      </c>
      <c r="L1603" s="16" t="str">
        <f>IF(B1603="","",IF(ISNA(MATCH(B1603,Client_List!$B:$B,0)),"⚠ NOT FOUND","✓"))</f>
        <v/>
      </c>
    </row>
    <row r="1604" spans="1:12" ht="14" customHeight="1" x14ac:dyDescent="0.2">
      <c r="A1604" s="59"/>
      <c r="B1604" s="18"/>
      <c r="C1604" s="19" t="str">
        <f>IF(B1604="","",IFERROR(INDEX(Client_List!$C:$C,MATCH(B1604,Client_List!$B:$B,0)),""))</f>
        <v/>
      </c>
      <c r="D1604" s="19" t="str">
        <f>IF(B1604="","",IFERROR(INDEX(Client_List!$D:$D,MATCH(B1604,Client_List!$B:$B,0)),""))</f>
        <v/>
      </c>
      <c r="E1604" s="19" t="str">
        <f>IF(B1604="","",IFERROR(INDEX(Client_List!$K:$K,MATCH(B1604,Client_List!$B:$B,0)),""))</f>
        <v/>
      </c>
      <c r="F1604" s="19" t="str">
        <f>IF(B1604="","",IFERROR(INDEX(Client_List!$J:$J,MATCH(B1604,Client_List!$B:$B,0)),""))</f>
        <v/>
      </c>
      <c r="G1604" s="19"/>
      <c r="H1604" s="19" t="str">
        <f>IF(B1604="","",IFERROR(A1604-LOOKUP(2,1/($B$4:$B1603=B1604),$A$4:$A1603),""))</f>
        <v/>
      </c>
      <c r="I1604" s="19" t="str">
        <f t="shared" ref="I1604:I1667" si="25">IF(B1604="","",IFERROR(G1604/H1604,""))</f>
        <v/>
      </c>
      <c r="J1604" s="19"/>
      <c r="K1604" s="6" t="str">
        <f>IF(B1604="","",IFERROR(AVERAGEIFS($I$4:$I1604,$B$4:$B1604,B1604,$I$4:$I1604,"&gt;"&amp;0),""))</f>
        <v/>
      </c>
      <c r="L1604" s="19" t="str">
        <f>IF(B1604="","",IF(ISNA(MATCH(B1604,Client_List!$B:$B,0)),"⚠ NOT FOUND","✓"))</f>
        <v/>
      </c>
    </row>
    <row r="1605" spans="1:12" ht="14" customHeight="1" x14ac:dyDescent="0.2">
      <c r="A1605" s="58"/>
      <c r="B1605" s="15"/>
      <c r="C1605" s="16" t="str">
        <f>IF(B1605="","",IFERROR(INDEX(Client_List!$C:$C,MATCH(B1605,Client_List!$B:$B,0)),""))</f>
        <v/>
      </c>
      <c r="D1605" s="16" t="str">
        <f>IF(B1605="","",IFERROR(INDEX(Client_List!$D:$D,MATCH(B1605,Client_List!$B:$B,0)),""))</f>
        <v/>
      </c>
      <c r="E1605" s="16" t="str">
        <f>IF(B1605="","",IFERROR(INDEX(Client_List!$K:$K,MATCH(B1605,Client_List!$B:$B,0)),""))</f>
        <v/>
      </c>
      <c r="F1605" s="16" t="str">
        <f>IF(B1605="","",IFERROR(INDEX(Client_List!$J:$J,MATCH(B1605,Client_List!$B:$B,0)),""))</f>
        <v/>
      </c>
      <c r="G1605" s="16"/>
      <c r="H1605" s="16" t="str">
        <f>IF(B1605="","",IFERROR(A1605-LOOKUP(2,1/($B$4:$B1604=B1605),$A$4:$A1604),""))</f>
        <v/>
      </c>
      <c r="I1605" s="16" t="str">
        <f t="shared" si="25"/>
        <v/>
      </c>
      <c r="J1605" s="16"/>
      <c r="K1605" s="6" t="str">
        <f>IF(B1605="","",IFERROR(AVERAGEIFS($I$4:$I1605,$B$4:$B1605,B1605,$I$4:$I1605,"&gt;"&amp;0),""))</f>
        <v/>
      </c>
      <c r="L1605" s="16" t="str">
        <f>IF(B1605="","",IF(ISNA(MATCH(B1605,Client_List!$B:$B,0)),"⚠ NOT FOUND","✓"))</f>
        <v/>
      </c>
    </row>
    <row r="1606" spans="1:12" ht="14" customHeight="1" x14ac:dyDescent="0.2">
      <c r="A1606" s="59"/>
      <c r="B1606" s="18"/>
      <c r="C1606" s="19" t="str">
        <f>IF(B1606="","",IFERROR(INDEX(Client_List!$C:$C,MATCH(B1606,Client_List!$B:$B,0)),""))</f>
        <v/>
      </c>
      <c r="D1606" s="19" t="str">
        <f>IF(B1606="","",IFERROR(INDEX(Client_List!$D:$D,MATCH(B1606,Client_List!$B:$B,0)),""))</f>
        <v/>
      </c>
      <c r="E1606" s="19" t="str">
        <f>IF(B1606="","",IFERROR(INDEX(Client_List!$K:$K,MATCH(B1606,Client_List!$B:$B,0)),""))</f>
        <v/>
      </c>
      <c r="F1606" s="19" t="str">
        <f>IF(B1606="","",IFERROR(INDEX(Client_List!$J:$J,MATCH(B1606,Client_List!$B:$B,0)),""))</f>
        <v/>
      </c>
      <c r="G1606" s="19"/>
      <c r="H1606" s="19" t="str">
        <f>IF(B1606="","",IFERROR(A1606-LOOKUP(2,1/($B$4:$B1605=B1606),$A$4:$A1605),""))</f>
        <v/>
      </c>
      <c r="I1606" s="19" t="str">
        <f t="shared" si="25"/>
        <v/>
      </c>
      <c r="J1606" s="19"/>
      <c r="K1606" s="6" t="str">
        <f>IF(B1606="","",IFERROR(AVERAGEIFS($I$4:$I1606,$B$4:$B1606,B1606,$I$4:$I1606,"&gt;"&amp;0),""))</f>
        <v/>
      </c>
      <c r="L1606" s="19" t="str">
        <f>IF(B1606="","",IF(ISNA(MATCH(B1606,Client_List!$B:$B,0)),"⚠ NOT FOUND","✓"))</f>
        <v/>
      </c>
    </row>
    <row r="1607" spans="1:12" ht="14" customHeight="1" x14ac:dyDescent="0.2">
      <c r="A1607" s="58"/>
      <c r="B1607" s="15"/>
      <c r="C1607" s="16" t="str">
        <f>IF(B1607="","",IFERROR(INDEX(Client_List!$C:$C,MATCH(B1607,Client_List!$B:$B,0)),""))</f>
        <v/>
      </c>
      <c r="D1607" s="16" t="str">
        <f>IF(B1607="","",IFERROR(INDEX(Client_List!$D:$D,MATCH(B1607,Client_List!$B:$B,0)),""))</f>
        <v/>
      </c>
      <c r="E1607" s="16" t="str">
        <f>IF(B1607="","",IFERROR(INDEX(Client_List!$K:$K,MATCH(B1607,Client_List!$B:$B,0)),""))</f>
        <v/>
      </c>
      <c r="F1607" s="16" t="str">
        <f>IF(B1607="","",IFERROR(INDEX(Client_List!$J:$J,MATCH(B1607,Client_List!$B:$B,0)),""))</f>
        <v/>
      </c>
      <c r="G1607" s="16"/>
      <c r="H1607" s="16" t="str">
        <f>IF(B1607="","",IFERROR(A1607-LOOKUP(2,1/($B$4:$B1606=B1607),$A$4:$A1606),""))</f>
        <v/>
      </c>
      <c r="I1607" s="16" t="str">
        <f t="shared" si="25"/>
        <v/>
      </c>
      <c r="J1607" s="16"/>
      <c r="K1607" s="6" t="str">
        <f>IF(B1607="","",IFERROR(AVERAGEIFS($I$4:$I1607,$B$4:$B1607,B1607,$I$4:$I1607,"&gt;"&amp;0),""))</f>
        <v/>
      </c>
      <c r="L1607" s="16" t="str">
        <f>IF(B1607="","",IF(ISNA(MATCH(B1607,Client_List!$B:$B,0)),"⚠ NOT FOUND","✓"))</f>
        <v/>
      </c>
    </row>
    <row r="1608" spans="1:12" ht="14" customHeight="1" x14ac:dyDescent="0.2">
      <c r="A1608" s="59"/>
      <c r="B1608" s="18"/>
      <c r="C1608" s="19" t="str">
        <f>IF(B1608="","",IFERROR(INDEX(Client_List!$C:$C,MATCH(B1608,Client_List!$B:$B,0)),""))</f>
        <v/>
      </c>
      <c r="D1608" s="19" t="str">
        <f>IF(B1608="","",IFERROR(INDEX(Client_List!$D:$D,MATCH(B1608,Client_List!$B:$B,0)),""))</f>
        <v/>
      </c>
      <c r="E1608" s="19" t="str">
        <f>IF(B1608="","",IFERROR(INDEX(Client_List!$K:$K,MATCH(B1608,Client_List!$B:$B,0)),""))</f>
        <v/>
      </c>
      <c r="F1608" s="19" t="str">
        <f>IF(B1608="","",IFERROR(INDEX(Client_List!$J:$J,MATCH(B1608,Client_List!$B:$B,0)),""))</f>
        <v/>
      </c>
      <c r="G1608" s="19"/>
      <c r="H1608" s="19" t="str">
        <f>IF(B1608="","",IFERROR(A1608-LOOKUP(2,1/($B$4:$B1607=B1608),$A$4:$A1607),""))</f>
        <v/>
      </c>
      <c r="I1608" s="19" t="str">
        <f t="shared" si="25"/>
        <v/>
      </c>
      <c r="J1608" s="19"/>
      <c r="K1608" s="6" t="str">
        <f>IF(B1608="","",IFERROR(AVERAGEIFS($I$4:$I1608,$B$4:$B1608,B1608,$I$4:$I1608,"&gt;"&amp;0),""))</f>
        <v/>
      </c>
      <c r="L1608" s="19" t="str">
        <f>IF(B1608="","",IF(ISNA(MATCH(B1608,Client_List!$B:$B,0)),"⚠ NOT FOUND","✓"))</f>
        <v/>
      </c>
    </row>
    <row r="1609" spans="1:12" ht="14" customHeight="1" x14ac:dyDescent="0.2">
      <c r="A1609" s="58"/>
      <c r="B1609" s="15"/>
      <c r="C1609" s="16" t="str">
        <f>IF(B1609="","",IFERROR(INDEX(Client_List!$C:$C,MATCH(B1609,Client_List!$B:$B,0)),""))</f>
        <v/>
      </c>
      <c r="D1609" s="16" t="str">
        <f>IF(B1609="","",IFERROR(INDEX(Client_List!$D:$D,MATCH(B1609,Client_List!$B:$B,0)),""))</f>
        <v/>
      </c>
      <c r="E1609" s="16" t="str">
        <f>IF(B1609="","",IFERROR(INDEX(Client_List!$K:$K,MATCH(B1609,Client_List!$B:$B,0)),""))</f>
        <v/>
      </c>
      <c r="F1609" s="16" t="str">
        <f>IF(B1609="","",IFERROR(INDEX(Client_List!$J:$J,MATCH(B1609,Client_List!$B:$B,0)),""))</f>
        <v/>
      </c>
      <c r="G1609" s="16"/>
      <c r="H1609" s="16" t="str">
        <f>IF(B1609="","",IFERROR(A1609-LOOKUP(2,1/($B$4:$B1608=B1609),$A$4:$A1608),""))</f>
        <v/>
      </c>
      <c r="I1609" s="16" t="str">
        <f t="shared" si="25"/>
        <v/>
      </c>
      <c r="J1609" s="16"/>
      <c r="K1609" s="6" t="str">
        <f>IF(B1609="","",IFERROR(AVERAGEIFS($I$4:$I1609,$B$4:$B1609,B1609,$I$4:$I1609,"&gt;"&amp;0),""))</f>
        <v/>
      </c>
      <c r="L1609" s="16" t="str">
        <f>IF(B1609="","",IF(ISNA(MATCH(B1609,Client_List!$B:$B,0)),"⚠ NOT FOUND","✓"))</f>
        <v/>
      </c>
    </row>
    <row r="1610" spans="1:12" ht="14" customHeight="1" x14ac:dyDescent="0.2">
      <c r="A1610" s="59"/>
      <c r="B1610" s="18"/>
      <c r="C1610" s="19" t="str">
        <f>IF(B1610="","",IFERROR(INDEX(Client_List!$C:$C,MATCH(B1610,Client_List!$B:$B,0)),""))</f>
        <v/>
      </c>
      <c r="D1610" s="19" t="str">
        <f>IF(B1610="","",IFERROR(INDEX(Client_List!$D:$D,MATCH(B1610,Client_List!$B:$B,0)),""))</f>
        <v/>
      </c>
      <c r="E1610" s="19" t="str">
        <f>IF(B1610="","",IFERROR(INDEX(Client_List!$K:$K,MATCH(B1610,Client_List!$B:$B,0)),""))</f>
        <v/>
      </c>
      <c r="F1610" s="19" t="str">
        <f>IF(B1610="","",IFERROR(INDEX(Client_List!$J:$J,MATCH(B1610,Client_List!$B:$B,0)),""))</f>
        <v/>
      </c>
      <c r="G1610" s="19"/>
      <c r="H1610" s="19" t="str">
        <f>IF(B1610="","",IFERROR(A1610-LOOKUP(2,1/($B$4:$B1609=B1610),$A$4:$A1609),""))</f>
        <v/>
      </c>
      <c r="I1610" s="19" t="str">
        <f t="shared" si="25"/>
        <v/>
      </c>
      <c r="J1610" s="19"/>
      <c r="K1610" s="6" t="str">
        <f>IF(B1610="","",IFERROR(AVERAGEIFS($I$4:$I1610,$B$4:$B1610,B1610,$I$4:$I1610,"&gt;"&amp;0),""))</f>
        <v/>
      </c>
      <c r="L1610" s="19" t="str">
        <f>IF(B1610="","",IF(ISNA(MATCH(B1610,Client_List!$B:$B,0)),"⚠ NOT FOUND","✓"))</f>
        <v/>
      </c>
    </row>
    <row r="1611" spans="1:12" ht="14" customHeight="1" x14ac:dyDescent="0.2">
      <c r="A1611" s="58"/>
      <c r="B1611" s="15"/>
      <c r="C1611" s="16" t="str">
        <f>IF(B1611="","",IFERROR(INDEX(Client_List!$C:$C,MATCH(B1611,Client_List!$B:$B,0)),""))</f>
        <v/>
      </c>
      <c r="D1611" s="16" t="str">
        <f>IF(B1611="","",IFERROR(INDEX(Client_List!$D:$D,MATCH(B1611,Client_List!$B:$B,0)),""))</f>
        <v/>
      </c>
      <c r="E1611" s="16" t="str">
        <f>IF(B1611="","",IFERROR(INDEX(Client_List!$K:$K,MATCH(B1611,Client_List!$B:$B,0)),""))</f>
        <v/>
      </c>
      <c r="F1611" s="16" t="str">
        <f>IF(B1611="","",IFERROR(INDEX(Client_List!$J:$J,MATCH(B1611,Client_List!$B:$B,0)),""))</f>
        <v/>
      </c>
      <c r="G1611" s="16"/>
      <c r="H1611" s="16" t="str">
        <f>IF(B1611="","",IFERROR(A1611-LOOKUP(2,1/($B$4:$B1610=B1611),$A$4:$A1610),""))</f>
        <v/>
      </c>
      <c r="I1611" s="16" t="str">
        <f t="shared" si="25"/>
        <v/>
      </c>
      <c r="J1611" s="16"/>
      <c r="K1611" s="6" t="str">
        <f>IF(B1611="","",IFERROR(AVERAGEIFS($I$4:$I1611,$B$4:$B1611,B1611,$I$4:$I1611,"&gt;"&amp;0),""))</f>
        <v/>
      </c>
      <c r="L1611" s="16" t="str">
        <f>IF(B1611="","",IF(ISNA(MATCH(B1611,Client_List!$B:$B,0)),"⚠ NOT FOUND","✓"))</f>
        <v/>
      </c>
    </row>
    <row r="1612" spans="1:12" ht="14" customHeight="1" x14ac:dyDescent="0.2">
      <c r="A1612" s="59"/>
      <c r="B1612" s="18"/>
      <c r="C1612" s="19" t="str">
        <f>IF(B1612="","",IFERROR(INDEX(Client_List!$C:$C,MATCH(B1612,Client_List!$B:$B,0)),""))</f>
        <v/>
      </c>
      <c r="D1612" s="19" t="str">
        <f>IF(B1612="","",IFERROR(INDEX(Client_List!$D:$D,MATCH(B1612,Client_List!$B:$B,0)),""))</f>
        <v/>
      </c>
      <c r="E1612" s="19" t="str">
        <f>IF(B1612="","",IFERROR(INDEX(Client_List!$K:$K,MATCH(B1612,Client_List!$B:$B,0)),""))</f>
        <v/>
      </c>
      <c r="F1612" s="19" t="str">
        <f>IF(B1612="","",IFERROR(INDEX(Client_List!$J:$J,MATCH(B1612,Client_List!$B:$B,0)),""))</f>
        <v/>
      </c>
      <c r="G1612" s="19"/>
      <c r="H1612" s="19" t="str">
        <f>IF(B1612="","",IFERROR(A1612-LOOKUP(2,1/($B$4:$B1611=B1612),$A$4:$A1611),""))</f>
        <v/>
      </c>
      <c r="I1612" s="19" t="str">
        <f t="shared" si="25"/>
        <v/>
      </c>
      <c r="J1612" s="19"/>
      <c r="K1612" s="6" t="str">
        <f>IF(B1612="","",IFERROR(AVERAGEIFS($I$4:$I1612,$B$4:$B1612,B1612,$I$4:$I1612,"&gt;"&amp;0),""))</f>
        <v/>
      </c>
      <c r="L1612" s="19" t="str">
        <f>IF(B1612="","",IF(ISNA(MATCH(B1612,Client_List!$B:$B,0)),"⚠ NOT FOUND","✓"))</f>
        <v/>
      </c>
    </row>
    <row r="1613" spans="1:12" ht="14" customHeight="1" x14ac:dyDescent="0.2">
      <c r="A1613" s="58"/>
      <c r="B1613" s="15"/>
      <c r="C1613" s="16" t="str">
        <f>IF(B1613="","",IFERROR(INDEX(Client_List!$C:$C,MATCH(B1613,Client_List!$B:$B,0)),""))</f>
        <v/>
      </c>
      <c r="D1613" s="16" t="str">
        <f>IF(B1613="","",IFERROR(INDEX(Client_List!$D:$D,MATCH(B1613,Client_List!$B:$B,0)),""))</f>
        <v/>
      </c>
      <c r="E1613" s="16" t="str">
        <f>IF(B1613="","",IFERROR(INDEX(Client_List!$K:$K,MATCH(B1613,Client_List!$B:$B,0)),""))</f>
        <v/>
      </c>
      <c r="F1613" s="16" t="str">
        <f>IF(B1613="","",IFERROR(INDEX(Client_List!$J:$J,MATCH(B1613,Client_List!$B:$B,0)),""))</f>
        <v/>
      </c>
      <c r="G1613" s="16"/>
      <c r="H1613" s="16" t="str">
        <f>IF(B1613="","",IFERROR(A1613-LOOKUP(2,1/($B$4:$B1612=B1613),$A$4:$A1612),""))</f>
        <v/>
      </c>
      <c r="I1613" s="16" t="str">
        <f t="shared" si="25"/>
        <v/>
      </c>
      <c r="J1613" s="16"/>
      <c r="K1613" s="6" t="str">
        <f>IF(B1613="","",IFERROR(AVERAGEIFS($I$4:$I1613,$B$4:$B1613,B1613,$I$4:$I1613,"&gt;"&amp;0),""))</f>
        <v/>
      </c>
      <c r="L1613" s="16" t="str">
        <f>IF(B1613="","",IF(ISNA(MATCH(B1613,Client_List!$B:$B,0)),"⚠ NOT FOUND","✓"))</f>
        <v/>
      </c>
    </row>
    <row r="1614" spans="1:12" ht="14" customHeight="1" x14ac:dyDescent="0.2">
      <c r="A1614" s="59"/>
      <c r="B1614" s="18"/>
      <c r="C1614" s="19" t="str">
        <f>IF(B1614="","",IFERROR(INDEX(Client_List!$C:$C,MATCH(B1614,Client_List!$B:$B,0)),""))</f>
        <v/>
      </c>
      <c r="D1614" s="19" t="str">
        <f>IF(B1614="","",IFERROR(INDEX(Client_List!$D:$D,MATCH(B1614,Client_List!$B:$B,0)),""))</f>
        <v/>
      </c>
      <c r="E1614" s="19" t="str">
        <f>IF(B1614="","",IFERROR(INDEX(Client_List!$K:$K,MATCH(B1614,Client_List!$B:$B,0)),""))</f>
        <v/>
      </c>
      <c r="F1614" s="19" t="str">
        <f>IF(B1614="","",IFERROR(INDEX(Client_List!$J:$J,MATCH(B1614,Client_List!$B:$B,0)),""))</f>
        <v/>
      </c>
      <c r="G1614" s="19"/>
      <c r="H1614" s="19" t="str">
        <f>IF(B1614="","",IFERROR(A1614-LOOKUP(2,1/($B$4:$B1613=B1614),$A$4:$A1613),""))</f>
        <v/>
      </c>
      <c r="I1614" s="19" t="str">
        <f t="shared" si="25"/>
        <v/>
      </c>
      <c r="J1614" s="19"/>
      <c r="K1614" s="6" t="str">
        <f>IF(B1614="","",IFERROR(AVERAGEIFS($I$4:$I1614,$B$4:$B1614,B1614,$I$4:$I1614,"&gt;"&amp;0),""))</f>
        <v/>
      </c>
      <c r="L1614" s="19" t="str">
        <f>IF(B1614="","",IF(ISNA(MATCH(B1614,Client_List!$B:$B,0)),"⚠ NOT FOUND","✓"))</f>
        <v/>
      </c>
    </row>
    <row r="1615" spans="1:12" ht="14" customHeight="1" x14ac:dyDescent="0.2">
      <c r="A1615" s="58"/>
      <c r="B1615" s="15"/>
      <c r="C1615" s="16" t="str">
        <f>IF(B1615="","",IFERROR(INDEX(Client_List!$C:$C,MATCH(B1615,Client_List!$B:$B,0)),""))</f>
        <v/>
      </c>
      <c r="D1615" s="16" t="str">
        <f>IF(B1615="","",IFERROR(INDEX(Client_List!$D:$D,MATCH(B1615,Client_List!$B:$B,0)),""))</f>
        <v/>
      </c>
      <c r="E1615" s="16" t="str">
        <f>IF(B1615="","",IFERROR(INDEX(Client_List!$K:$K,MATCH(B1615,Client_List!$B:$B,0)),""))</f>
        <v/>
      </c>
      <c r="F1615" s="16" t="str">
        <f>IF(B1615="","",IFERROR(INDEX(Client_List!$J:$J,MATCH(B1615,Client_List!$B:$B,0)),""))</f>
        <v/>
      </c>
      <c r="G1615" s="16"/>
      <c r="H1615" s="16" t="str">
        <f>IF(B1615="","",IFERROR(A1615-LOOKUP(2,1/($B$4:$B1614=B1615),$A$4:$A1614),""))</f>
        <v/>
      </c>
      <c r="I1615" s="16" t="str">
        <f t="shared" si="25"/>
        <v/>
      </c>
      <c r="J1615" s="16"/>
      <c r="K1615" s="6" t="str">
        <f>IF(B1615="","",IFERROR(AVERAGEIFS($I$4:$I1615,$B$4:$B1615,B1615,$I$4:$I1615,"&gt;"&amp;0),""))</f>
        <v/>
      </c>
      <c r="L1615" s="16" t="str">
        <f>IF(B1615="","",IF(ISNA(MATCH(B1615,Client_List!$B:$B,0)),"⚠ NOT FOUND","✓"))</f>
        <v/>
      </c>
    </row>
    <row r="1616" spans="1:12" ht="14" customHeight="1" x14ac:dyDescent="0.2">
      <c r="A1616" s="59"/>
      <c r="B1616" s="18"/>
      <c r="C1616" s="19" t="str">
        <f>IF(B1616="","",IFERROR(INDEX(Client_List!$C:$C,MATCH(B1616,Client_List!$B:$B,0)),""))</f>
        <v/>
      </c>
      <c r="D1616" s="19" t="str">
        <f>IF(B1616="","",IFERROR(INDEX(Client_List!$D:$D,MATCH(B1616,Client_List!$B:$B,0)),""))</f>
        <v/>
      </c>
      <c r="E1616" s="19" t="str">
        <f>IF(B1616="","",IFERROR(INDEX(Client_List!$K:$K,MATCH(B1616,Client_List!$B:$B,0)),""))</f>
        <v/>
      </c>
      <c r="F1616" s="19" t="str">
        <f>IF(B1616="","",IFERROR(INDEX(Client_List!$J:$J,MATCH(B1616,Client_List!$B:$B,0)),""))</f>
        <v/>
      </c>
      <c r="G1616" s="19"/>
      <c r="H1616" s="19" t="str">
        <f>IF(B1616="","",IFERROR(A1616-LOOKUP(2,1/($B$4:$B1615=B1616),$A$4:$A1615),""))</f>
        <v/>
      </c>
      <c r="I1616" s="19" t="str">
        <f t="shared" si="25"/>
        <v/>
      </c>
      <c r="J1616" s="19"/>
      <c r="K1616" s="6" t="str">
        <f>IF(B1616="","",IFERROR(AVERAGEIFS($I$4:$I1616,$B$4:$B1616,B1616,$I$4:$I1616,"&gt;"&amp;0),""))</f>
        <v/>
      </c>
      <c r="L1616" s="19" t="str">
        <f>IF(B1616="","",IF(ISNA(MATCH(B1616,Client_List!$B:$B,0)),"⚠ NOT FOUND","✓"))</f>
        <v/>
      </c>
    </row>
    <row r="1617" spans="1:12" ht="14" customHeight="1" x14ac:dyDescent="0.2">
      <c r="A1617" s="58"/>
      <c r="B1617" s="15"/>
      <c r="C1617" s="16" t="str">
        <f>IF(B1617="","",IFERROR(INDEX(Client_List!$C:$C,MATCH(B1617,Client_List!$B:$B,0)),""))</f>
        <v/>
      </c>
      <c r="D1617" s="16" t="str">
        <f>IF(B1617="","",IFERROR(INDEX(Client_List!$D:$D,MATCH(B1617,Client_List!$B:$B,0)),""))</f>
        <v/>
      </c>
      <c r="E1617" s="16" t="str">
        <f>IF(B1617="","",IFERROR(INDEX(Client_List!$K:$K,MATCH(B1617,Client_List!$B:$B,0)),""))</f>
        <v/>
      </c>
      <c r="F1617" s="16" t="str">
        <f>IF(B1617="","",IFERROR(INDEX(Client_List!$J:$J,MATCH(B1617,Client_List!$B:$B,0)),""))</f>
        <v/>
      </c>
      <c r="G1617" s="16"/>
      <c r="H1617" s="16" t="str">
        <f>IF(B1617="","",IFERROR(A1617-LOOKUP(2,1/($B$4:$B1616=B1617),$A$4:$A1616),""))</f>
        <v/>
      </c>
      <c r="I1617" s="16" t="str">
        <f t="shared" si="25"/>
        <v/>
      </c>
      <c r="J1617" s="16"/>
      <c r="K1617" s="6" t="str">
        <f>IF(B1617="","",IFERROR(AVERAGEIFS($I$4:$I1617,$B$4:$B1617,B1617,$I$4:$I1617,"&gt;"&amp;0),""))</f>
        <v/>
      </c>
      <c r="L1617" s="16" t="str">
        <f>IF(B1617="","",IF(ISNA(MATCH(B1617,Client_List!$B:$B,0)),"⚠ NOT FOUND","✓"))</f>
        <v/>
      </c>
    </row>
    <row r="1618" spans="1:12" ht="14" customHeight="1" x14ac:dyDescent="0.2">
      <c r="A1618" s="59"/>
      <c r="B1618" s="18"/>
      <c r="C1618" s="19" t="str">
        <f>IF(B1618="","",IFERROR(INDEX(Client_List!$C:$C,MATCH(B1618,Client_List!$B:$B,0)),""))</f>
        <v/>
      </c>
      <c r="D1618" s="19" t="str">
        <f>IF(B1618="","",IFERROR(INDEX(Client_List!$D:$D,MATCH(B1618,Client_List!$B:$B,0)),""))</f>
        <v/>
      </c>
      <c r="E1618" s="19" t="str">
        <f>IF(B1618="","",IFERROR(INDEX(Client_List!$K:$K,MATCH(B1618,Client_List!$B:$B,0)),""))</f>
        <v/>
      </c>
      <c r="F1618" s="19" t="str">
        <f>IF(B1618="","",IFERROR(INDEX(Client_List!$J:$J,MATCH(B1618,Client_List!$B:$B,0)),""))</f>
        <v/>
      </c>
      <c r="G1618" s="19"/>
      <c r="H1618" s="19" t="str">
        <f>IF(B1618="","",IFERROR(A1618-LOOKUP(2,1/($B$4:$B1617=B1618),$A$4:$A1617),""))</f>
        <v/>
      </c>
      <c r="I1618" s="19" t="str">
        <f t="shared" si="25"/>
        <v/>
      </c>
      <c r="J1618" s="19"/>
      <c r="K1618" s="6" t="str">
        <f>IF(B1618="","",IFERROR(AVERAGEIFS($I$4:$I1618,$B$4:$B1618,B1618,$I$4:$I1618,"&gt;"&amp;0),""))</f>
        <v/>
      </c>
      <c r="L1618" s="19" t="str">
        <f>IF(B1618="","",IF(ISNA(MATCH(B1618,Client_List!$B:$B,0)),"⚠ NOT FOUND","✓"))</f>
        <v/>
      </c>
    </row>
    <row r="1619" spans="1:12" ht="14" customHeight="1" x14ac:dyDescent="0.2">
      <c r="A1619" s="58"/>
      <c r="B1619" s="15"/>
      <c r="C1619" s="16" t="str">
        <f>IF(B1619="","",IFERROR(INDEX(Client_List!$C:$C,MATCH(B1619,Client_List!$B:$B,0)),""))</f>
        <v/>
      </c>
      <c r="D1619" s="16" t="str">
        <f>IF(B1619="","",IFERROR(INDEX(Client_List!$D:$D,MATCH(B1619,Client_List!$B:$B,0)),""))</f>
        <v/>
      </c>
      <c r="E1619" s="16" t="str">
        <f>IF(B1619="","",IFERROR(INDEX(Client_List!$K:$K,MATCH(B1619,Client_List!$B:$B,0)),""))</f>
        <v/>
      </c>
      <c r="F1619" s="16" t="str">
        <f>IF(B1619="","",IFERROR(INDEX(Client_List!$J:$J,MATCH(B1619,Client_List!$B:$B,0)),""))</f>
        <v/>
      </c>
      <c r="G1619" s="16"/>
      <c r="H1619" s="16" t="str">
        <f>IF(B1619="","",IFERROR(A1619-LOOKUP(2,1/($B$4:$B1618=B1619),$A$4:$A1618),""))</f>
        <v/>
      </c>
      <c r="I1619" s="16" t="str">
        <f t="shared" si="25"/>
        <v/>
      </c>
      <c r="J1619" s="16"/>
      <c r="K1619" s="6" t="str">
        <f>IF(B1619="","",IFERROR(AVERAGEIFS($I$4:$I1619,$B$4:$B1619,B1619,$I$4:$I1619,"&gt;"&amp;0),""))</f>
        <v/>
      </c>
      <c r="L1619" s="16" t="str">
        <f>IF(B1619="","",IF(ISNA(MATCH(B1619,Client_List!$B:$B,0)),"⚠ NOT FOUND","✓"))</f>
        <v/>
      </c>
    </row>
    <row r="1620" spans="1:12" ht="14" customHeight="1" x14ac:dyDescent="0.2">
      <c r="A1620" s="59"/>
      <c r="B1620" s="18"/>
      <c r="C1620" s="19" t="str">
        <f>IF(B1620="","",IFERROR(INDEX(Client_List!$C:$C,MATCH(B1620,Client_List!$B:$B,0)),""))</f>
        <v/>
      </c>
      <c r="D1620" s="19" t="str">
        <f>IF(B1620="","",IFERROR(INDEX(Client_List!$D:$D,MATCH(B1620,Client_List!$B:$B,0)),""))</f>
        <v/>
      </c>
      <c r="E1620" s="19" t="str">
        <f>IF(B1620="","",IFERROR(INDEX(Client_List!$K:$K,MATCH(B1620,Client_List!$B:$B,0)),""))</f>
        <v/>
      </c>
      <c r="F1620" s="19" t="str">
        <f>IF(B1620="","",IFERROR(INDEX(Client_List!$J:$J,MATCH(B1620,Client_List!$B:$B,0)),""))</f>
        <v/>
      </c>
      <c r="G1620" s="19"/>
      <c r="H1620" s="19" t="str">
        <f>IF(B1620="","",IFERROR(A1620-LOOKUP(2,1/($B$4:$B1619=B1620),$A$4:$A1619),""))</f>
        <v/>
      </c>
      <c r="I1620" s="19" t="str">
        <f t="shared" si="25"/>
        <v/>
      </c>
      <c r="J1620" s="19"/>
      <c r="K1620" s="6" t="str">
        <f>IF(B1620="","",IFERROR(AVERAGEIFS($I$4:$I1620,$B$4:$B1620,B1620,$I$4:$I1620,"&gt;"&amp;0),""))</f>
        <v/>
      </c>
      <c r="L1620" s="19" t="str">
        <f>IF(B1620="","",IF(ISNA(MATCH(B1620,Client_List!$B:$B,0)),"⚠ NOT FOUND","✓"))</f>
        <v/>
      </c>
    </row>
    <row r="1621" spans="1:12" ht="14" customHeight="1" x14ac:dyDescent="0.2">
      <c r="A1621" s="58"/>
      <c r="B1621" s="15"/>
      <c r="C1621" s="16" t="str">
        <f>IF(B1621="","",IFERROR(INDEX(Client_List!$C:$C,MATCH(B1621,Client_List!$B:$B,0)),""))</f>
        <v/>
      </c>
      <c r="D1621" s="16" t="str">
        <f>IF(B1621="","",IFERROR(INDEX(Client_List!$D:$D,MATCH(B1621,Client_List!$B:$B,0)),""))</f>
        <v/>
      </c>
      <c r="E1621" s="16" t="str">
        <f>IF(B1621="","",IFERROR(INDEX(Client_List!$K:$K,MATCH(B1621,Client_List!$B:$B,0)),""))</f>
        <v/>
      </c>
      <c r="F1621" s="16" t="str">
        <f>IF(B1621="","",IFERROR(INDEX(Client_List!$J:$J,MATCH(B1621,Client_List!$B:$B,0)),""))</f>
        <v/>
      </c>
      <c r="G1621" s="16"/>
      <c r="H1621" s="16" t="str">
        <f>IF(B1621="","",IFERROR(A1621-LOOKUP(2,1/($B$4:$B1620=B1621),$A$4:$A1620),""))</f>
        <v/>
      </c>
      <c r="I1621" s="16" t="str">
        <f t="shared" si="25"/>
        <v/>
      </c>
      <c r="J1621" s="16"/>
      <c r="K1621" s="6" t="str">
        <f>IF(B1621="","",IFERROR(AVERAGEIFS($I$4:$I1621,$B$4:$B1621,B1621,$I$4:$I1621,"&gt;"&amp;0),""))</f>
        <v/>
      </c>
      <c r="L1621" s="16" t="str">
        <f>IF(B1621="","",IF(ISNA(MATCH(B1621,Client_List!$B:$B,0)),"⚠ NOT FOUND","✓"))</f>
        <v/>
      </c>
    </row>
    <row r="1622" spans="1:12" ht="14" customHeight="1" x14ac:dyDescent="0.2">
      <c r="A1622" s="59"/>
      <c r="B1622" s="18"/>
      <c r="C1622" s="19" t="str">
        <f>IF(B1622="","",IFERROR(INDEX(Client_List!$C:$C,MATCH(B1622,Client_List!$B:$B,0)),""))</f>
        <v/>
      </c>
      <c r="D1622" s="19" t="str">
        <f>IF(B1622="","",IFERROR(INDEX(Client_List!$D:$D,MATCH(B1622,Client_List!$B:$B,0)),""))</f>
        <v/>
      </c>
      <c r="E1622" s="19" t="str">
        <f>IF(B1622="","",IFERROR(INDEX(Client_List!$K:$K,MATCH(B1622,Client_List!$B:$B,0)),""))</f>
        <v/>
      </c>
      <c r="F1622" s="19" t="str">
        <f>IF(B1622="","",IFERROR(INDEX(Client_List!$J:$J,MATCH(B1622,Client_List!$B:$B,0)),""))</f>
        <v/>
      </c>
      <c r="G1622" s="19"/>
      <c r="H1622" s="19" t="str">
        <f>IF(B1622="","",IFERROR(A1622-LOOKUP(2,1/($B$4:$B1621=B1622),$A$4:$A1621),""))</f>
        <v/>
      </c>
      <c r="I1622" s="19" t="str">
        <f t="shared" si="25"/>
        <v/>
      </c>
      <c r="J1622" s="19"/>
      <c r="K1622" s="6" t="str">
        <f>IF(B1622="","",IFERROR(AVERAGEIFS($I$4:$I1622,$B$4:$B1622,B1622,$I$4:$I1622,"&gt;"&amp;0),""))</f>
        <v/>
      </c>
      <c r="L1622" s="19" t="str">
        <f>IF(B1622="","",IF(ISNA(MATCH(B1622,Client_List!$B:$B,0)),"⚠ NOT FOUND","✓"))</f>
        <v/>
      </c>
    </row>
    <row r="1623" spans="1:12" ht="14" customHeight="1" x14ac:dyDescent="0.2">
      <c r="A1623" s="58"/>
      <c r="B1623" s="15"/>
      <c r="C1623" s="16" t="str">
        <f>IF(B1623="","",IFERROR(INDEX(Client_List!$C:$C,MATCH(B1623,Client_List!$B:$B,0)),""))</f>
        <v/>
      </c>
      <c r="D1623" s="16" t="str">
        <f>IF(B1623="","",IFERROR(INDEX(Client_List!$D:$D,MATCH(B1623,Client_List!$B:$B,0)),""))</f>
        <v/>
      </c>
      <c r="E1623" s="16" t="str">
        <f>IF(B1623="","",IFERROR(INDEX(Client_List!$K:$K,MATCH(B1623,Client_List!$B:$B,0)),""))</f>
        <v/>
      </c>
      <c r="F1623" s="16" t="str">
        <f>IF(B1623="","",IFERROR(INDEX(Client_List!$J:$J,MATCH(B1623,Client_List!$B:$B,0)),""))</f>
        <v/>
      </c>
      <c r="G1623" s="16"/>
      <c r="H1623" s="16" t="str">
        <f>IF(B1623="","",IFERROR(A1623-LOOKUP(2,1/($B$4:$B1622=B1623),$A$4:$A1622),""))</f>
        <v/>
      </c>
      <c r="I1623" s="16" t="str">
        <f t="shared" si="25"/>
        <v/>
      </c>
      <c r="J1623" s="16"/>
      <c r="K1623" s="6" t="str">
        <f>IF(B1623="","",IFERROR(AVERAGEIFS($I$4:$I1623,$B$4:$B1623,B1623,$I$4:$I1623,"&gt;"&amp;0),""))</f>
        <v/>
      </c>
      <c r="L1623" s="16" t="str">
        <f>IF(B1623="","",IF(ISNA(MATCH(B1623,Client_List!$B:$B,0)),"⚠ NOT FOUND","✓"))</f>
        <v/>
      </c>
    </row>
    <row r="1624" spans="1:12" ht="14" customHeight="1" x14ac:dyDescent="0.2">
      <c r="A1624" s="59"/>
      <c r="B1624" s="18"/>
      <c r="C1624" s="19" t="str">
        <f>IF(B1624="","",IFERROR(INDEX(Client_List!$C:$C,MATCH(B1624,Client_List!$B:$B,0)),""))</f>
        <v/>
      </c>
      <c r="D1624" s="19" t="str">
        <f>IF(B1624="","",IFERROR(INDEX(Client_List!$D:$D,MATCH(B1624,Client_List!$B:$B,0)),""))</f>
        <v/>
      </c>
      <c r="E1624" s="19" t="str">
        <f>IF(B1624="","",IFERROR(INDEX(Client_List!$K:$K,MATCH(B1624,Client_List!$B:$B,0)),""))</f>
        <v/>
      </c>
      <c r="F1624" s="19" t="str">
        <f>IF(B1624="","",IFERROR(INDEX(Client_List!$J:$J,MATCH(B1624,Client_List!$B:$B,0)),""))</f>
        <v/>
      </c>
      <c r="G1624" s="19"/>
      <c r="H1624" s="19" t="str">
        <f>IF(B1624="","",IFERROR(A1624-LOOKUP(2,1/($B$4:$B1623=B1624),$A$4:$A1623),""))</f>
        <v/>
      </c>
      <c r="I1624" s="19" t="str">
        <f t="shared" si="25"/>
        <v/>
      </c>
      <c r="J1624" s="19"/>
      <c r="K1624" s="6" t="str">
        <f>IF(B1624="","",IFERROR(AVERAGEIFS($I$4:$I1624,$B$4:$B1624,B1624,$I$4:$I1624,"&gt;"&amp;0),""))</f>
        <v/>
      </c>
      <c r="L1624" s="19" t="str">
        <f>IF(B1624="","",IF(ISNA(MATCH(B1624,Client_List!$B:$B,0)),"⚠ NOT FOUND","✓"))</f>
        <v/>
      </c>
    </row>
    <row r="1625" spans="1:12" ht="14" customHeight="1" x14ac:dyDescent="0.2">
      <c r="A1625" s="58"/>
      <c r="B1625" s="15"/>
      <c r="C1625" s="16" t="str">
        <f>IF(B1625="","",IFERROR(INDEX(Client_List!$C:$C,MATCH(B1625,Client_List!$B:$B,0)),""))</f>
        <v/>
      </c>
      <c r="D1625" s="16" t="str">
        <f>IF(B1625="","",IFERROR(INDEX(Client_List!$D:$D,MATCH(B1625,Client_List!$B:$B,0)),""))</f>
        <v/>
      </c>
      <c r="E1625" s="16" t="str">
        <f>IF(B1625="","",IFERROR(INDEX(Client_List!$K:$K,MATCH(B1625,Client_List!$B:$B,0)),""))</f>
        <v/>
      </c>
      <c r="F1625" s="16" t="str">
        <f>IF(B1625="","",IFERROR(INDEX(Client_List!$J:$J,MATCH(B1625,Client_List!$B:$B,0)),""))</f>
        <v/>
      </c>
      <c r="G1625" s="16"/>
      <c r="H1625" s="16" t="str">
        <f>IF(B1625="","",IFERROR(A1625-LOOKUP(2,1/($B$4:$B1624=B1625),$A$4:$A1624),""))</f>
        <v/>
      </c>
      <c r="I1625" s="16" t="str">
        <f t="shared" si="25"/>
        <v/>
      </c>
      <c r="J1625" s="16"/>
      <c r="K1625" s="6" t="str">
        <f>IF(B1625="","",IFERROR(AVERAGEIFS($I$4:$I1625,$B$4:$B1625,B1625,$I$4:$I1625,"&gt;"&amp;0),""))</f>
        <v/>
      </c>
      <c r="L1625" s="16" t="str">
        <f>IF(B1625="","",IF(ISNA(MATCH(B1625,Client_List!$B:$B,0)),"⚠ NOT FOUND","✓"))</f>
        <v/>
      </c>
    </row>
    <row r="1626" spans="1:12" ht="14" customHeight="1" x14ac:dyDescent="0.2">
      <c r="A1626" s="59"/>
      <c r="B1626" s="18"/>
      <c r="C1626" s="19" t="str">
        <f>IF(B1626="","",IFERROR(INDEX(Client_List!$C:$C,MATCH(B1626,Client_List!$B:$B,0)),""))</f>
        <v/>
      </c>
      <c r="D1626" s="19" t="str">
        <f>IF(B1626="","",IFERROR(INDEX(Client_List!$D:$D,MATCH(B1626,Client_List!$B:$B,0)),""))</f>
        <v/>
      </c>
      <c r="E1626" s="19" t="str">
        <f>IF(B1626="","",IFERROR(INDEX(Client_List!$K:$K,MATCH(B1626,Client_List!$B:$B,0)),""))</f>
        <v/>
      </c>
      <c r="F1626" s="19" t="str">
        <f>IF(B1626="","",IFERROR(INDEX(Client_List!$J:$J,MATCH(B1626,Client_List!$B:$B,0)),""))</f>
        <v/>
      </c>
      <c r="G1626" s="19"/>
      <c r="H1626" s="19" t="str">
        <f>IF(B1626="","",IFERROR(A1626-LOOKUP(2,1/($B$4:$B1625=B1626),$A$4:$A1625),""))</f>
        <v/>
      </c>
      <c r="I1626" s="19" t="str">
        <f t="shared" si="25"/>
        <v/>
      </c>
      <c r="J1626" s="19"/>
      <c r="K1626" s="6" t="str">
        <f>IF(B1626="","",IFERROR(AVERAGEIFS($I$4:$I1626,$B$4:$B1626,B1626,$I$4:$I1626,"&gt;"&amp;0),""))</f>
        <v/>
      </c>
      <c r="L1626" s="19" t="str">
        <f>IF(B1626="","",IF(ISNA(MATCH(B1626,Client_List!$B:$B,0)),"⚠ NOT FOUND","✓"))</f>
        <v/>
      </c>
    </row>
    <row r="1627" spans="1:12" ht="14" customHeight="1" x14ac:dyDescent="0.2">
      <c r="A1627" s="58"/>
      <c r="B1627" s="15"/>
      <c r="C1627" s="16" t="str">
        <f>IF(B1627="","",IFERROR(INDEX(Client_List!$C:$C,MATCH(B1627,Client_List!$B:$B,0)),""))</f>
        <v/>
      </c>
      <c r="D1627" s="16" t="str">
        <f>IF(B1627="","",IFERROR(INDEX(Client_List!$D:$D,MATCH(B1627,Client_List!$B:$B,0)),""))</f>
        <v/>
      </c>
      <c r="E1627" s="16" t="str">
        <f>IF(B1627="","",IFERROR(INDEX(Client_List!$K:$K,MATCH(B1627,Client_List!$B:$B,0)),""))</f>
        <v/>
      </c>
      <c r="F1627" s="16" t="str">
        <f>IF(B1627="","",IFERROR(INDEX(Client_List!$J:$J,MATCH(B1627,Client_List!$B:$B,0)),""))</f>
        <v/>
      </c>
      <c r="G1627" s="16"/>
      <c r="H1627" s="16" t="str">
        <f>IF(B1627="","",IFERROR(A1627-LOOKUP(2,1/($B$4:$B1626=B1627),$A$4:$A1626),""))</f>
        <v/>
      </c>
      <c r="I1627" s="16" t="str">
        <f t="shared" si="25"/>
        <v/>
      </c>
      <c r="J1627" s="16"/>
      <c r="K1627" s="6" t="str">
        <f>IF(B1627="","",IFERROR(AVERAGEIFS($I$4:$I1627,$B$4:$B1627,B1627,$I$4:$I1627,"&gt;"&amp;0),""))</f>
        <v/>
      </c>
      <c r="L1627" s="16" t="str">
        <f>IF(B1627="","",IF(ISNA(MATCH(B1627,Client_List!$B:$B,0)),"⚠ NOT FOUND","✓"))</f>
        <v/>
      </c>
    </row>
    <row r="1628" spans="1:12" ht="14" customHeight="1" x14ac:dyDescent="0.2">
      <c r="A1628" s="59"/>
      <c r="B1628" s="18"/>
      <c r="C1628" s="19" t="str">
        <f>IF(B1628="","",IFERROR(INDEX(Client_List!$C:$C,MATCH(B1628,Client_List!$B:$B,0)),""))</f>
        <v/>
      </c>
      <c r="D1628" s="19" t="str">
        <f>IF(B1628="","",IFERROR(INDEX(Client_List!$D:$D,MATCH(B1628,Client_List!$B:$B,0)),""))</f>
        <v/>
      </c>
      <c r="E1628" s="19" t="str">
        <f>IF(B1628="","",IFERROR(INDEX(Client_List!$K:$K,MATCH(B1628,Client_List!$B:$B,0)),""))</f>
        <v/>
      </c>
      <c r="F1628" s="19" t="str">
        <f>IF(B1628="","",IFERROR(INDEX(Client_List!$J:$J,MATCH(B1628,Client_List!$B:$B,0)),""))</f>
        <v/>
      </c>
      <c r="G1628" s="19"/>
      <c r="H1628" s="19" t="str">
        <f>IF(B1628="","",IFERROR(A1628-LOOKUP(2,1/($B$4:$B1627=B1628),$A$4:$A1627),""))</f>
        <v/>
      </c>
      <c r="I1628" s="19" t="str">
        <f t="shared" si="25"/>
        <v/>
      </c>
      <c r="J1628" s="19"/>
      <c r="K1628" s="6" t="str">
        <f>IF(B1628="","",IFERROR(AVERAGEIFS($I$4:$I1628,$B$4:$B1628,B1628,$I$4:$I1628,"&gt;"&amp;0),""))</f>
        <v/>
      </c>
      <c r="L1628" s="19" t="str">
        <f>IF(B1628="","",IF(ISNA(MATCH(B1628,Client_List!$B:$B,0)),"⚠ NOT FOUND","✓"))</f>
        <v/>
      </c>
    </row>
    <row r="1629" spans="1:12" ht="14" customHeight="1" x14ac:dyDescent="0.2">
      <c r="A1629" s="58"/>
      <c r="B1629" s="15"/>
      <c r="C1629" s="16" t="str">
        <f>IF(B1629="","",IFERROR(INDEX(Client_List!$C:$C,MATCH(B1629,Client_List!$B:$B,0)),""))</f>
        <v/>
      </c>
      <c r="D1629" s="16" t="str">
        <f>IF(B1629="","",IFERROR(INDEX(Client_List!$D:$D,MATCH(B1629,Client_List!$B:$B,0)),""))</f>
        <v/>
      </c>
      <c r="E1629" s="16" t="str">
        <f>IF(B1629="","",IFERROR(INDEX(Client_List!$K:$K,MATCH(B1629,Client_List!$B:$B,0)),""))</f>
        <v/>
      </c>
      <c r="F1629" s="16" t="str">
        <f>IF(B1629="","",IFERROR(INDEX(Client_List!$J:$J,MATCH(B1629,Client_List!$B:$B,0)),""))</f>
        <v/>
      </c>
      <c r="G1629" s="16"/>
      <c r="H1629" s="16" t="str">
        <f>IF(B1629="","",IFERROR(A1629-LOOKUP(2,1/($B$4:$B1628=B1629),$A$4:$A1628),""))</f>
        <v/>
      </c>
      <c r="I1629" s="16" t="str">
        <f t="shared" si="25"/>
        <v/>
      </c>
      <c r="J1629" s="16"/>
      <c r="K1629" s="6" t="str">
        <f>IF(B1629="","",IFERROR(AVERAGEIFS($I$4:$I1629,$B$4:$B1629,B1629,$I$4:$I1629,"&gt;"&amp;0),""))</f>
        <v/>
      </c>
      <c r="L1629" s="16" t="str">
        <f>IF(B1629="","",IF(ISNA(MATCH(B1629,Client_List!$B:$B,0)),"⚠ NOT FOUND","✓"))</f>
        <v/>
      </c>
    </row>
    <row r="1630" spans="1:12" ht="14" customHeight="1" x14ac:dyDescent="0.2">
      <c r="A1630" s="59"/>
      <c r="B1630" s="18"/>
      <c r="C1630" s="19" t="str">
        <f>IF(B1630="","",IFERROR(INDEX(Client_List!$C:$C,MATCH(B1630,Client_List!$B:$B,0)),""))</f>
        <v/>
      </c>
      <c r="D1630" s="19" t="str">
        <f>IF(B1630="","",IFERROR(INDEX(Client_List!$D:$D,MATCH(B1630,Client_List!$B:$B,0)),""))</f>
        <v/>
      </c>
      <c r="E1630" s="19" t="str">
        <f>IF(B1630="","",IFERROR(INDEX(Client_List!$K:$K,MATCH(B1630,Client_List!$B:$B,0)),""))</f>
        <v/>
      </c>
      <c r="F1630" s="19" t="str">
        <f>IF(B1630="","",IFERROR(INDEX(Client_List!$J:$J,MATCH(B1630,Client_List!$B:$B,0)),""))</f>
        <v/>
      </c>
      <c r="G1630" s="19"/>
      <c r="H1630" s="19" t="str">
        <f>IF(B1630="","",IFERROR(A1630-LOOKUP(2,1/($B$4:$B1629=B1630),$A$4:$A1629),""))</f>
        <v/>
      </c>
      <c r="I1630" s="19" t="str">
        <f t="shared" si="25"/>
        <v/>
      </c>
      <c r="J1630" s="19"/>
      <c r="K1630" s="6" t="str">
        <f>IF(B1630="","",IFERROR(AVERAGEIFS($I$4:$I1630,$B$4:$B1630,B1630,$I$4:$I1630,"&gt;"&amp;0),""))</f>
        <v/>
      </c>
      <c r="L1630" s="19" t="str">
        <f>IF(B1630="","",IF(ISNA(MATCH(B1630,Client_List!$B:$B,0)),"⚠ NOT FOUND","✓"))</f>
        <v/>
      </c>
    </row>
    <row r="1631" spans="1:12" ht="14" customHeight="1" x14ac:dyDescent="0.2">
      <c r="A1631" s="58"/>
      <c r="B1631" s="15"/>
      <c r="C1631" s="16" t="str">
        <f>IF(B1631="","",IFERROR(INDEX(Client_List!$C:$C,MATCH(B1631,Client_List!$B:$B,0)),""))</f>
        <v/>
      </c>
      <c r="D1631" s="16" t="str">
        <f>IF(B1631="","",IFERROR(INDEX(Client_List!$D:$D,MATCH(B1631,Client_List!$B:$B,0)),""))</f>
        <v/>
      </c>
      <c r="E1631" s="16" t="str">
        <f>IF(B1631="","",IFERROR(INDEX(Client_List!$K:$K,MATCH(B1631,Client_List!$B:$B,0)),""))</f>
        <v/>
      </c>
      <c r="F1631" s="16" t="str">
        <f>IF(B1631="","",IFERROR(INDEX(Client_List!$J:$J,MATCH(B1631,Client_List!$B:$B,0)),""))</f>
        <v/>
      </c>
      <c r="G1631" s="16"/>
      <c r="H1631" s="16" t="str">
        <f>IF(B1631="","",IFERROR(A1631-LOOKUP(2,1/($B$4:$B1630=B1631),$A$4:$A1630),""))</f>
        <v/>
      </c>
      <c r="I1631" s="16" t="str">
        <f t="shared" si="25"/>
        <v/>
      </c>
      <c r="J1631" s="16"/>
      <c r="K1631" s="6" t="str">
        <f>IF(B1631="","",IFERROR(AVERAGEIFS($I$4:$I1631,$B$4:$B1631,B1631,$I$4:$I1631,"&gt;"&amp;0),""))</f>
        <v/>
      </c>
      <c r="L1631" s="16" t="str">
        <f>IF(B1631="","",IF(ISNA(MATCH(B1631,Client_List!$B:$B,0)),"⚠ NOT FOUND","✓"))</f>
        <v/>
      </c>
    </row>
    <row r="1632" spans="1:12" ht="14" customHeight="1" x14ac:dyDescent="0.2">
      <c r="A1632" s="59"/>
      <c r="B1632" s="18"/>
      <c r="C1632" s="19" t="str">
        <f>IF(B1632="","",IFERROR(INDEX(Client_List!$C:$C,MATCH(B1632,Client_List!$B:$B,0)),""))</f>
        <v/>
      </c>
      <c r="D1632" s="19" t="str">
        <f>IF(B1632="","",IFERROR(INDEX(Client_List!$D:$D,MATCH(B1632,Client_List!$B:$B,0)),""))</f>
        <v/>
      </c>
      <c r="E1632" s="19" t="str">
        <f>IF(B1632="","",IFERROR(INDEX(Client_List!$K:$K,MATCH(B1632,Client_List!$B:$B,0)),""))</f>
        <v/>
      </c>
      <c r="F1632" s="19" t="str">
        <f>IF(B1632="","",IFERROR(INDEX(Client_List!$J:$J,MATCH(B1632,Client_List!$B:$B,0)),""))</f>
        <v/>
      </c>
      <c r="G1632" s="19"/>
      <c r="H1632" s="19" t="str">
        <f>IF(B1632="","",IFERROR(A1632-LOOKUP(2,1/($B$4:$B1631=B1632),$A$4:$A1631),""))</f>
        <v/>
      </c>
      <c r="I1632" s="19" t="str">
        <f t="shared" si="25"/>
        <v/>
      </c>
      <c r="J1632" s="19"/>
      <c r="K1632" s="6" t="str">
        <f>IF(B1632="","",IFERROR(AVERAGEIFS($I$4:$I1632,$B$4:$B1632,B1632,$I$4:$I1632,"&gt;"&amp;0),""))</f>
        <v/>
      </c>
      <c r="L1632" s="19" t="str">
        <f>IF(B1632="","",IF(ISNA(MATCH(B1632,Client_List!$B:$B,0)),"⚠ NOT FOUND","✓"))</f>
        <v/>
      </c>
    </row>
    <row r="1633" spans="1:12" ht="14" customHeight="1" x14ac:dyDescent="0.2">
      <c r="A1633" s="58"/>
      <c r="B1633" s="15"/>
      <c r="C1633" s="16" t="str">
        <f>IF(B1633="","",IFERROR(INDEX(Client_List!$C:$C,MATCH(B1633,Client_List!$B:$B,0)),""))</f>
        <v/>
      </c>
      <c r="D1633" s="16" t="str">
        <f>IF(B1633="","",IFERROR(INDEX(Client_List!$D:$D,MATCH(B1633,Client_List!$B:$B,0)),""))</f>
        <v/>
      </c>
      <c r="E1633" s="16" t="str">
        <f>IF(B1633="","",IFERROR(INDEX(Client_List!$K:$K,MATCH(B1633,Client_List!$B:$B,0)),""))</f>
        <v/>
      </c>
      <c r="F1633" s="16" t="str">
        <f>IF(B1633="","",IFERROR(INDEX(Client_List!$J:$J,MATCH(B1633,Client_List!$B:$B,0)),""))</f>
        <v/>
      </c>
      <c r="G1633" s="16"/>
      <c r="H1633" s="16" t="str">
        <f>IF(B1633="","",IFERROR(A1633-LOOKUP(2,1/($B$4:$B1632=B1633),$A$4:$A1632),""))</f>
        <v/>
      </c>
      <c r="I1633" s="16" t="str">
        <f t="shared" si="25"/>
        <v/>
      </c>
      <c r="J1633" s="16"/>
      <c r="K1633" s="6" t="str">
        <f>IF(B1633="","",IFERROR(AVERAGEIFS($I$4:$I1633,$B$4:$B1633,B1633,$I$4:$I1633,"&gt;"&amp;0),""))</f>
        <v/>
      </c>
      <c r="L1633" s="16" t="str">
        <f>IF(B1633="","",IF(ISNA(MATCH(B1633,Client_List!$B:$B,0)),"⚠ NOT FOUND","✓"))</f>
        <v/>
      </c>
    </row>
    <row r="1634" spans="1:12" ht="14" customHeight="1" x14ac:dyDescent="0.2">
      <c r="A1634" s="59"/>
      <c r="B1634" s="18"/>
      <c r="C1634" s="19" t="str">
        <f>IF(B1634="","",IFERROR(INDEX(Client_List!$C:$C,MATCH(B1634,Client_List!$B:$B,0)),""))</f>
        <v/>
      </c>
      <c r="D1634" s="19" t="str">
        <f>IF(B1634="","",IFERROR(INDEX(Client_List!$D:$D,MATCH(B1634,Client_List!$B:$B,0)),""))</f>
        <v/>
      </c>
      <c r="E1634" s="19" t="str">
        <f>IF(B1634="","",IFERROR(INDEX(Client_List!$K:$K,MATCH(B1634,Client_List!$B:$B,0)),""))</f>
        <v/>
      </c>
      <c r="F1634" s="19" t="str">
        <f>IF(B1634="","",IFERROR(INDEX(Client_List!$J:$J,MATCH(B1634,Client_List!$B:$B,0)),""))</f>
        <v/>
      </c>
      <c r="G1634" s="19"/>
      <c r="H1634" s="19" t="str">
        <f>IF(B1634="","",IFERROR(A1634-LOOKUP(2,1/($B$4:$B1633=B1634),$A$4:$A1633),""))</f>
        <v/>
      </c>
      <c r="I1634" s="19" t="str">
        <f t="shared" si="25"/>
        <v/>
      </c>
      <c r="J1634" s="19"/>
      <c r="K1634" s="6" t="str">
        <f>IF(B1634="","",IFERROR(AVERAGEIFS($I$4:$I1634,$B$4:$B1634,B1634,$I$4:$I1634,"&gt;"&amp;0),""))</f>
        <v/>
      </c>
      <c r="L1634" s="19" t="str">
        <f>IF(B1634="","",IF(ISNA(MATCH(B1634,Client_List!$B:$B,0)),"⚠ NOT FOUND","✓"))</f>
        <v/>
      </c>
    </row>
    <row r="1635" spans="1:12" ht="14" customHeight="1" x14ac:dyDescent="0.2">
      <c r="A1635" s="58"/>
      <c r="B1635" s="15"/>
      <c r="C1635" s="16" t="str">
        <f>IF(B1635="","",IFERROR(INDEX(Client_List!$C:$C,MATCH(B1635,Client_List!$B:$B,0)),""))</f>
        <v/>
      </c>
      <c r="D1635" s="16" t="str">
        <f>IF(B1635="","",IFERROR(INDEX(Client_List!$D:$D,MATCH(B1635,Client_List!$B:$B,0)),""))</f>
        <v/>
      </c>
      <c r="E1635" s="16" t="str">
        <f>IF(B1635="","",IFERROR(INDEX(Client_List!$K:$K,MATCH(B1635,Client_List!$B:$B,0)),""))</f>
        <v/>
      </c>
      <c r="F1635" s="16" t="str">
        <f>IF(B1635="","",IFERROR(INDEX(Client_List!$J:$J,MATCH(B1635,Client_List!$B:$B,0)),""))</f>
        <v/>
      </c>
      <c r="G1635" s="16"/>
      <c r="H1635" s="16" t="str">
        <f>IF(B1635="","",IFERROR(A1635-LOOKUP(2,1/($B$4:$B1634=B1635),$A$4:$A1634),""))</f>
        <v/>
      </c>
      <c r="I1635" s="16" t="str">
        <f t="shared" si="25"/>
        <v/>
      </c>
      <c r="J1635" s="16"/>
      <c r="K1635" s="6" t="str">
        <f>IF(B1635="","",IFERROR(AVERAGEIFS($I$4:$I1635,$B$4:$B1635,B1635,$I$4:$I1635,"&gt;"&amp;0),""))</f>
        <v/>
      </c>
      <c r="L1635" s="16" t="str">
        <f>IF(B1635="","",IF(ISNA(MATCH(B1635,Client_List!$B:$B,0)),"⚠ NOT FOUND","✓"))</f>
        <v/>
      </c>
    </row>
    <row r="1636" spans="1:12" ht="14" customHeight="1" x14ac:dyDescent="0.2">
      <c r="A1636" s="59"/>
      <c r="B1636" s="18"/>
      <c r="C1636" s="19" t="str">
        <f>IF(B1636="","",IFERROR(INDEX(Client_List!$C:$C,MATCH(B1636,Client_List!$B:$B,0)),""))</f>
        <v/>
      </c>
      <c r="D1636" s="19" t="str">
        <f>IF(B1636="","",IFERROR(INDEX(Client_List!$D:$D,MATCH(B1636,Client_List!$B:$B,0)),""))</f>
        <v/>
      </c>
      <c r="E1636" s="19" t="str">
        <f>IF(B1636="","",IFERROR(INDEX(Client_List!$K:$K,MATCH(B1636,Client_List!$B:$B,0)),""))</f>
        <v/>
      </c>
      <c r="F1636" s="19" t="str">
        <f>IF(B1636="","",IFERROR(INDEX(Client_List!$J:$J,MATCH(B1636,Client_List!$B:$B,0)),""))</f>
        <v/>
      </c>
      <c r="G1636" s="19"/>
      <c r="H1636" s="19" t="str">
        <f>IF(B1636="","",IFERROR(A1636-LOOKUP(2,1/($B$4:$B1635=B1636),$A$4:$A1635),""))</f>
        <v/>
      </c>
      <c r="I1636" s="19" t="str">
        <f t="shared" si="25"/>
        <v/>
      </c>
      <c r="J1636" s="19"/>
      <c r="K1636" s="6" t="str">
        <f>IF(B1636="","",IFERROR(AVERAGEIFS($I$4:$I1636,$B$4:$B1636,B1636,$I$4:$I1636,"&gt;"&amp;0),""))</f>
        <v/>
      </c>
      <c r="L1636" s="19" t="str">
        <f>IF(B1636="","",IF(ISNA(MATCH(B1636,Client_List!$B:$B,0)),"⚠ NOT FOUND","✓"))</f>
        <v/>
      </c>
    </row>
    <row r="1637" spans="1:12" ht="14" customHeight="1" x14ac:dyDescent="0.2">
      <c r="A1637" s="58"/>
      <c r="B1637" s="15"/>
      <c r="C1637" s="16" t="str">
        <f>IF(B1637="","",IFERROR(INDEX(Client_List!$C:$C,MATCH(B1637,Client_List!$B:$B,0)),""))</f>
        <v/>
      </c>
      <c r="D1637" s="16" t="str">
        <f>IF(B1637="","",IFERROR(INDEX(Client_List!$D:$D,MATCH(B1637,Client_List!$B:$B,0)),""))</f>
        <v/>
      </c>
      <c r="E1637" s="16" t="str">
        <f>IF(B1637="","",IFERROR(INDEX(Client_List!$K:$K,MATCH(B1637,Client_List!$B:$B,0)),""))</f>
        <v/>
      </c>
      <c r="F1637" s="16" t="str">
        <f>IF(B1637="","",IFERROR(INDEX(Client_List!$J:$J,MATCH(B1637,Client_List!$B:$B,0)),""))</f>
        <v/>
      </c>
      <c r="G1637" s="16"/>
      <c r="H1637" s="16" t="str">
        <f>IF(B1637="","",IFERROR(A1637-LOOKUP(2,1/($B$4:$B1636=B1637),$A$4:$A1636),""))</f>
        <v/>
      </c>
      <c r="I1637" s="16" t="str">
        <f t="shared" si="25"/>
        <v/>
      </c>
      <c r="J1637" s="16"/>
      <c r="K1637" s="6" t="str">
        <f>IF(B1637="","",IFERROR(AVERAGEIFS($I$4:$I1637,$B$4:$B1637,B1637,$I$4:$I1637,"&gt;"&amp;0),""))</f>
        <v/>
      </c>
      <c r="L1637" s="16" t="str">
        <f>IF(B1637="","",IF(ISNA(MATCH(B1637,Client_List!$B:$B,0)),"⚠ NOT FOUND","✓"))</f>
        <v/>
      </c>
    </row>
    <row r="1638" spans="1:12" ht="14" customHeight="1" x14ac:dyDescent="0.2">
      <c r="A1638" s="59"/>
      <c r="B1638" s="18"/>
      <c r="C1638" s="19" t="str">
        <f>IF(B1638="","",IFERROR(INDEX(Client_List!$C:$C,MATCH(B1638,Client_List!$B:$B,0)),""))</f>
        <v/>
      </c>
      <c r="D1638" s="19" t="str">
        <f>IF(B1638="","",IFERROR(INDEX(Client_List!$D:$D,MATCH(B1638,Client_List!$B:$B,0)),""))</f>
        <v/>
      </c>
      <c r="E1638" s="19" t="str">
        <f>IF(B1638="","",IFERROR(INDEX(Client_List!$K:$K,MATCH(B1638,Client_List!$B:$B,0)),""))</f>
        <v/>
      </c>
      <c r="F1638" s="19" t="str">
        <f>IF(B1638="","",IFERROR(INDEX(Client_List!$J:$J,MATCH(B1638,Client_List!$B:$B,0)),""))</f>
        <v/>
      </c>
      <c r="G1638" s="19"/>
      <c r="H1638" s="19" t="str">
        <f>IF(B1638="","",IFERROR(A1638-LOOKUP(2,1/($B$4:$B1637=B1638),$A$4:$A1637),""))</f>
        <v/>
      </c>
      <c r="I1638" s="19" t="str">
        <f t="shared" si="25"/>
        <v/>
      </c>
      <c r="J1638" s="19"/>
      <c r="K1638" s="6" t="str">
        <f>IF(B1638="","",IFERROR(AVERAGEIFS($I$4:$I1638,$B$4:$B1638,B1638,$I$4:$I1638,"&gt;"&amp;0),""))</f>
        <v/>
      </c>
      <c r="L1638" s="19" t="str">
        <f>IF(B1638="","",IF(ISNA(MATCH(B1638,Client_List!$B:$B,0)),"⚠ NOT FOUND","✓"))</f>
        <v/>
      </c>
    </row>
    <row r="1639" spans="1:12" ht="14" customHeight="1" x14ac:dyDescent="0.2">
      <c r="A1639" s="58"/>
      <c r="B1639" s="15"/>
      <c r="C1639" s="16" t="str">
        <f>IF(B1639="","",IFERROR(INDEX(Client_List!$C:$C,MATCH(B1639,Client_List!$B:$B,0)),""))</f>
        <v/>
      </c>
      <c r="D1639" s="16" t="str">
        <f>IF(B1639="","",IFERROR(INDEX(Client_List!$D:$D,MATCH(B1639,Client_List!$B:$B,0)),""))</f>
        <v/>
      </c>
      <c r="E1639" s="16" t="str">
        <f>IF(B1639="","",IFERROR(INDEX(Client_List!$K:$K,MATCH(B1639,Client_List!$B:$B,0)),""))</f>
        <v/>
      </c>
      <c r="F1639" s="16" t="str">
        <f>IF(B1639="","",IFERROR(INDEX(Client_List!$J:$J,MATCH(B1639,Client_List!$B:$B,0)),""))</f>
        <v/>
      </c>
      <c r="G1639" s="16"/>
      <c r="H1639" s="16" t="str">
        <f>IF(B1639="","",IFERROR(A1639-LOOKUP(2,1/($B$4:$B1638=B1639),$A$4:$A1638),""))</f>
        <v/>
      </c>
      <c r="I1639" s="16" t="str">
        <f t="shared" si="25"/>
        <v/>
      </c>
      <c r="J1639" s="16"/>
      <c r="K1639" s="6" t="str">
        <f>IF(B1639="","",IFERROR(AVERAGEIFS($I$4:$I1639,$B$4:$B1639,B1639,$I$4:$I1639,"&gt;"&amp;0),""))</f>
        <v/>
      </c>
      <c r="L1639" s="16" t="str">
        <f>IF(B1639="","",IF(ISNA(MATCH(B1639,Client_List!$B:$B,0)),"⚠ NOT FOUND","✓"))</f>
        <v/>
      </c>
    </row>
    <row r="1640" spans="1:12" ht="14" customHeight="1" x14ac:dyDescent="0.2">
      <c r="A1640" s="59"/>
      <c r="B1640" s="18"/>
      <c r="C1640" s="19" t="str">
        <f>IF(B1640="","",IFERROR(INDEX(Client_List!$C:$C,MATCH(B1640,Client_List!$B:$B,0)),""))</f>
        <v/>
      </c>
      <c r="D1640" s="19" t="str">
        <f>IF(B1640="","",IFERROR(INDEX(Client_List!$D:$D,MATCH(B1640,Client_List!$B:$B,0)),""))</f>
        <v/>
      </c>
      <c r="E1640" s="19" t="str">
        <f>IF(B1640="","",IFERROR(INDEX(Client_List!$K:$K,MATCH(B1640,Client_List!$B:$B,0)),""))</f>
        <v/>
      </c>
      <c r="F1640" s="19" t="str">
        <f>IF(B1640="","",IFERROR(INDEX(Client_List!$J:$J,MATCH(B1640,Client_List!$B:$B,0)),""))</f>
        <v/>
      </c>
      <c r="G1640" s="19"/>
      <c r="H1640" s="19" t="str">
        <f>IF(B1640="","",IFERROR(A1640-LOOKUP(2,1/($B$4:$B1639=B1640),$A$4:$A1639),""))</f>
        <v/>
      </c>
      <c r="I1640" s="19" t="str">
        <f t="shared" si="25"/>
        <v/>
      </c>
      <c r="J1640" s="19"/>
      <c r="K1640" s="6" t="str">
        <f>IF(B1640="","",IFERROR(AVERAGEIFS($I$4:$I1640,$B$4:$B1640,B1640,$I$4:$I1640,"&gt;"&amp;0),""))</f>
        <v/>
      </c>
      <c r="L1640" s="19" t="str">
        <f>IF(B1640="","",IF(ISNA(MATCH(B1640,Client_List!$B:$B,0)),"⚠ NOT FOUND","✓"))</f>
        <v/>
      </c>
    </row>
    <row r="1641" spans="1:12" ht="14" customHeight="1" x14ac:dyDescent="0.2">
      <c r="A1641" s="58"/>
      <c r="B1641" s="15"/>
      <c r="C1641" s="16" t="str">
        <f>IF(B1641="","",IFERROR(INDEX(Client_List!$C:$C,MATCH(B1641,Client_List!$B:$B,0)),""))</f>
        <v/>
      </c>
      <c r="D1641" s="16" t="str">
        <f>IF(B1641="","",IFERROR(INDEX(Client_List!$D:$D,MATCH(B1641,Client_List!$B:$B,0)),""))</f>
        <v/>
      </c>
      <c r="E1641" s="16" t="str">
        <f>IF(B1641="","",IFERROR(INDEX(Client_List!$K:$K,MATCH(B1641,Client_List!$B:$B,0)),""))</f>
        <v/>
      </c>
      <c r="F1641" s="16" t="str">
        <f>IF(B1641="","",IFERROR(INDEX(Client_List!$J:$J,MATCH(B1641,Client_List!$B:$B,0)),""))</f>
        <v/>
      </c>
      <c r="G1641" s="16"/>
      <c r="H1641" s="16" t="str">
        <f>IF(B1641="","",IFERROR(A1641-LOOKUP(2,1/($B$4:$B1640=B1641),$A$4:$A1640),""))</f>
        <v/>
      </c>
      <c r="I1641" s="16" t="str">
        <f t="shared" si="25"/>
        <v/>
      </c>
      <c r="J1641" s="16"/>
      <c r="K1641" s="6" t="str">
        <f>IF(B1641="","",IFERROR(AVERAGEIFS($I$4:$I1641,$B$4:$B1641,B1641,$I$4:$I1641,"&gt;"&amp;0),""))</f>
        <v/>
      </c>
      <c r="L1641" s="16" t="str">
        <f>IF(B1641="","",IF(ISNA(MATCH(B1641,Client_List!$B:$B,0)),"⚠ NOT FOUND","✓"))</f>
        <v/>
      </c>
    </row>
    <row r="1642" spans="1:12" ht="14" customHeight="1" x14ac:dyDescent="0.2">
      <c r="A1642" s="59"/>
      <c r="B1642" s="18"/>
      <c r="C1642" s="19" t="str">
        <f>IF(B1642="","",IFERROR(INDEX(Client_List!$C:$C,MATCH(B1642,Client_List!$B:$B,0)),""))</f>
        <v/>
      </c>
      <c r="D1642" s="19" t="str">
        <f>IF(B1642="","",IFERROR(INDEX(Client_List!$D:$D,MATCH(B1642,Client_List!$B:$B,0)),""))</f>
        <v/>
      </c>
      <c r="E1642" s="19" t="str">
        <f>IF(B1642="","",IFERROR(INDEX(Client_List!$K:$K,MATCH(B1642,Client_List!$B:$B,0)),""))</f>
        <v/>
      </c>
      <c r="F1642" s="19" t="str">
        <f>IF(B1642="","",IFERROR(INDEX(Client_List!$J:$J,MATCH(B1642,Client_List!$B:$B,0)),""))</f>
        <v/>
      </c>
      <c r="G1642" s="19"/>
      <c r="H1642" s="19" t="str">
        <f>IF(B1642="","",IFERROR(A1642-LOOKUP(2,1/($B$4:$B1641=B1642),$A$4:$A1641),""))</f>
        <v/>
      </c>
      <c r="I1642" s="19" t="str">
        <f t="shared" si="25"/>
        <v/>
      </c>
      <c r="J1642" s="19"/>
      <c r="K1642" s="6" t="str">
        <f>IF(B1642="","",IFERROR(AVERAGEIFS($I$4:$I1642,$B$4:$B1642,B1642,$I$4:$I1642,"&gt;"&amp;0),""))</f>
        <v/>
      </c>
      <c r="L1642" s="19" t="str">
        <f>IF(B1642="","",IF(ISNA(MATCH(B1642,Client_List!$B:$B,0)),"⚠ NOT FOUND","✓"))</f>
        <v/>
      </c>
    </row>
    <row r="1643" spans="1:12" ht="14" customHeight="1" x14ac:dyDescent="0.2">
      <c r="A1643" s="58"/>
      <c r="B1643" s="15"/>
      <c r="C1643" s="16" t="str">
        <f>IF(B1643="","",IFERROR(INDEX(Client_List!$C:$C,MATCH(B1643,Client_List!$B:$B,0)),""))</f>
        <v/>
      </c>
      <c r="D1643" s="16" t="str">
        <f>IF(B1643="","",IFERROR(INDEX(Client_List!$D:$D,MATCH(B1643,Client_List!$B:$B,0)),""))</f>
        <v/>
      </c>
      <c r="E1643" s="16" t="str">
        <f>IF(B1643="","",IFERROR(INDEX(Client_List!$K:$K,MATCH(B1643,Client_List!$B:$B,0)),""))</f>
        <v/>
      </c>
      <c r="F1643" s="16" t="str">
        <f>IF(B1643="","",IFERROR(INDEX(Client_List!$J:$J,MATCH(B1643,Client_List!$B:$B,0)),""))</f>
        <v/>
      </c>
      <c r="G1643" s="16"/>
      <c r="H1643" s="16" t="str">
        <f>IF(B1643="","",IFERROR(A1643-LOOKUP(2,1/($B$4:$B1642=B1643),$A$4:$A1642),""))</f>
        <v/>
      </c>
      <c r="I1643" s="16" t="str">
        <f t="shared" si="25"/>
        <v/>
      </c>
      <c r="J1643" s="16"/>
      <c r="K1643" s="6" t="str">
        <f>IF(B1643="","",IFERROR(AVERAGEIFS($I$4:$I1643,$B$4:$B1643,B1643,$I$4:$I1643,"&gt;"&amp;0),""))</f>
        <v/>
      </c>
      <c r="L1643" s="16" t="str">
        <f>IF(B1643="","",IF(ISNA(MATCH(B1643,Client_List!$B:$B,0)),"⚠ NOT FOUND","✓"))</f>
        <v/>
      </c>
    </row>
    <row r="1644" spans="1:12" ht="14" customHeight="1" x14ac:dyDescent="0.2">
      <c r="A1644" s="59"/>
      <c r="B1644" s="18"/>
      <c r="C1644" s="19" t="str">
        <f>IF(B1644="","",IFERROR(INDEX(Client_List!$C:$C,MATCH(B1644,Client_List!$B:$B,0)),""))</f>
        <v/>
      </c>
      <c r="D1644" s="19" t="str">
        <f>IF(B1644="","",IFERROR(INDEX(Client_List!$D:$D,MATCH(B1644,Client_List!$B:$B,0)),""))</f>
        <v/>
      </c>
      <c r="E1644" s="19" t="str">
        <f>IF(B1644="","",IFERROR(INDEX(Client_List!$K:$K,MATCH(B1644,Client_List!$B:$B,0)),""))</f>
        <v/>
      </c>
      <c r="F1644" s="19" t="str">
        <f>IF(B1644="","",IFERROR(INDEX(Client_List!$J:$J,MATCH(B1644,Client_List!$B:$B,0)),""))</f>
        <v/>
      </c>
      <c r="G1644" s="19"/>
      <c r="H1644" s="19" t="str">
        <f>IF(B1644="","",IFERROR(A1644-LOOKUP(2,1/($B$4:$B1643=B1644),$A$4:$A1643),""))</f>
        <v/>
      </c>
      <c r="I1644" s="19" t="str">
        <f t="shared" si="25"/>
        <v/>
      </c>
      <c r="J1644" s="19"/>
      <c r="K1644" s="6" t="str">
        <f>IF(B1644="","",IFERROR(AVERAGEIFS($I$4:$I1644,$B$4:$B1644,B1644,$I$4:$I1644,"&gt;"&amp;0),""))</f>
        <v/>
      </c>
      <c r="L1644" s="19" t="str">
        <f>IF(B1644="","",IF(ISNA(MATCH(B1644,Client_List!$B:$B,0)),"⚠ NOT FOUND","✓"))</f>
        <v/>
      </c>
    </row>
    <row r="1645" spans="1:12" ht="14" customHeight="1" x14ac:dyDescent="0.2">
      <c r="A1645" s="58"/>
      <c r="B1645" s="15"/>
      <c r="C1645" s="16" t="str">
        <f>IF(B1645="","",IFERROR(INDEX(Client_List!$C:$C,MATCH(B1645,Client_List!$B:$B,0)),""))</f>
        <v/>
      </c>
      <c r="D1645" s="16" t="str">
        <f>IF(B1645="","",IFERROR(INDEX(Client_List!$D:$D,MATCH(B1645,Client_List!$B:$B,0)),""))</f>
        <v/>
      </c>
      <c r="E1645" s="16" t="str">
        <f>IF(B1645="","",IFERROR(INDEX(Client_List!$K:$K,MATCH(B1645,Client_List!$B:$B,0)),""))</f>
        <v/>
      </c>
      <c r="F1645" s="16" t="str">
        <f>IF(B1645="","",IFERROR(INDEX(Client_List!$J:$J,MATCH(B1645,Client_List!$B:$B,0)),""))</f>
        <v/>
      </c>
      <c r="G1645" s="16"/>
      <c r="H1645" s="16" t="str">
        <f>IF(B1645="","",IFERROR(A1645-LOOKUP(2,1/($B$4:$B1644=B1645),$A$4:$A1644),""))</f>
        <v/>
      </c>
      <c r="I1645" s="16" t="str">
        <f t="shared" si="25"/>
        <v/>
      </c>
      <c r="J1645" s="16"/>
      <c r="K1645" s="6" t="str">
        <f>IF(B1645="","",IFERROR(AVERAGEIFS($I$4:$I1645,$B$4:$B1645,B1645,$I$4:$I1645,"&gt;"&amp;0),""))</f>
        <v/>
      </c>
      <c r="L1645" s="16" t="str">
        <f>IF(B1645="","",IF(ISNA(MATCH(B1645,Client_List!$B:$B,0)),"⚠ NOT FOUND","✓"))</f>
        <v/>
      </c>
    </row>
    <row r="1646" spans="1:12" ht="14" customHeight="1" x14ac:dyDescent="0.2">
      <c r="A1646" s="59"/>
      <c r="B1646" s="18"/>
      <c r="C1646" s="19" t="str">
        <f>IF(B1646="","",IFERROR(INDEX(Client_List!$C:$C,MATCH(B1646,Client_List!$B:$B,0)),""))</f>
        <v/>
      </c>
      <c r="D1646" s="19" t="str">
        <f>IF(B1646="","",IFERROR(INDEX(Client_List!$D:$D,MATCH(B1646,Client_List!$B:$B,0)),""))</f>
        <v/>
      </c>
      <c r="E1646" s="19" t="str">
        <f>IF(B1646="","",IFERROR(INDEX(Client_List!$K:$K,MATCH(B1646,Client_List!$B:$B,0)),""))</f>
        <v/>
      </c>
      <c r="F1646" s="19" t="str">
        <f>IF(B1646="","",IFERROR(INDEX(Client_List!$J:$J,MATCH(B1646,Client_List!$B:$B,0)),""))</f>
        <v/>
      </c>
      <c r="G1646" s="19"/>
      <c r="H1646" s="19" t="str">
        <f>IF(B1646="","",IFERROR(A1646-LOOKUP(2,1/($B$4:$B1645=B1646),$A$4:$A1645),""))</f>
        <v/>
      </c>
      <c r="I1646" s="19" t="str">
        <f t="shared" si="25"/>
        <v/>
      </c>
      <c r="J1646" s="19"/>
      <c r="K1646" s="6" t="str">
        <f>IF(B1646="","",IFERROR(AVERAGEIFS($I$4:$I1646,$B$4:$B1646,B1646,$I$4:$I1646,"&gt;"&amp;0),""))</f>
        <v/>
      </c>
      <c r="L1646" s="19" t="str">
        <f>IF(B1646="","",IF(ISNA(MATCH(B1646,Client_List!$B:$B,0)),"⚠ NOT FOUND","✓"))</f>
        <v/>
      </c>
    </row>
    <row r="1647" spans="1:12" ht="14" customHeight="1" x14ac:dyDescent="0.2">
      <c r="A1647" s="58"/>
      <c r="B1647" s="15"/>
      <c r="C1647" s="16" t="str">
        <f>IF(B1647="","",IFERROR(INDEX(Client_List!$C:$C,MATCH(B1647,Client_List!$B:$B,0)),""))</f>
        <v/>
      </c>
      <c r="D1647" s="16" t="str">
        <f>IF(B1647="","",IFERROR(INDEX(Client_List!$D:$D,MATCH(B1647,Client_List!$B:$B,0)),""))</f>
        <v/>
      </c>
      <c r="E1647" s="16" t="str">
        <f>IF(B1647="","",IFERROR(INDEX(Client_List!$K:$K,MATCH(B1647,Client_List!$B:$B,0)),""))</f>
        <v/>
      </c>
      <c r="F1647" s="16" t="str">
        <f>IF(B1647="","",IFERROR(INDEX(Client_List!$J:$J,MATCH(B1647,Client_List!$B:$B,0)),""))</f>
        <v/>
      </c>
      <c r="G1647" s="16"/>
      <c r="H1647" s="16" t="str">
        <f>IF(B1647="","",IFERROR(A1647-LOOKUP(2,1/($B$4:$B1646=B1647),$A$4:$A1646),""))</f>
        <v/>
      </c>
      <c r="I1647" s="16" t="str">
        <f t="shared" si="25"/>
        <v/>
      </c>
      <c r="J1647" s="16"/>
      <c r="K1647" s="6" t="str">
        <f>IF(B1647="","",IFERROR(AVERAGEIFS($I$4:$I1647,$B$4:$B1647,B1647,$I$4:$I1647,"&gt;"&amp;0),""))</f>
        <v/>
      </c>
      <c r="L1647" s="16" t="str">
        <f>IF(B1647="","",IF(ISNA(MATCH(B1647,Client_List!$B:$B,0)),"⚠ NOT FOUND","✓"))</f>
        <v/>
      </c>
    </row>
    <row r="1648" spans="1:12" ht="14" customHeight="1" x14ac:dyDescent="0.2">
      <c r="A1648" s="59"/>
      <c r="B1648" s="18"/>
      <c r="C1648" s="19" t="str">
        <f>IF(B1648="","",IFERROR(INDEX(Client_List!$C:$C,MATCH(B1648,Client_List!$B:$B,0)),""))</f>
        <v/>
      </c>
      <c r="D1648" s="19" t="str">
        <f>IF(B1648="","",IFERROR(INDEX(Client_List!$D:$D,MATCH(B1648,Client_List!$B:$B,0)),""))</f>
        <v/>
      </c>
      <c r="E1648" s="19" t="str">
        <f>IF(B1648="","",IFERROR(INDEX(Client_List!$K:$K,MATCH(B1648,Client_List!$B:$B,0)),""))</f>
        <v/>
      </c>
      <c r="F1648" s="19" t="str">
        <f>IF(B1648="","",IFERROR(INDEX(Client_List!$J:$J,MATCH(B1648,Client_List!$B:$B,0)),""))</f>
        <v/>
      </c>
      <c r="G1648" s="19"/>
      <c r="H1648" s="19" t="str">
        <f>IF(B1648="","",IFERROR(A1648-LOOKUP(2,1/($B$4:$B1647=B1648),$A$4:$A1647),""))</f>
        <v/>
      </c>
      <c r="I1648" s="19" t="str">
        <f t="shared" si="25"/>
        <v/>
      </c>
      <c r="J1648" s="19"/>
      <c r="K1648" s="6" t="str">
        <f>IF(B1648="","",IFERROR(AVERAGEIFS($I$4:$I1648,$B$4:$B1648,B1648,$I$4:$I1648,"&gt;"&amp;0),""))</f>
        <v/>
      </c>
      <c r="L1648" s="19" t="str">
        <f>IF(B1648="","",IF(ISNA(MATCH(B1648,Client_List!$B:$B,0)),"⚠ NOT FOUND","✓"))</f>
        <v/>
      </c>
    </row>
    <row r="1649" spans="1:12" ht="14" customHeight="1" x14ac:dyDescent="0.2">
      <c r="A1649" s="58"/>
      <c r="B1649" s="15"/>
      <c r="C1649" s="16" t="str">
        <f>IF(B1649="","",IFERROR(INDEX(Client_List!$C:$C,MATCH(B1649,Client_List!$B:$B,0)),""))</f>
        <v/>
      </c>
      <c r="D1649" s="16" t="str">
        <f>IF(B1649="","",IFERROR(INDEX(Client_List!$D:$D,MATCH(B1649,Client_List!$B:$B,0)),""))</f>
        <v/>
      </c>
      <c r="E1649" s="16" t="str">
        <f>IF(B1649="","",IFERROR(INDEX(Client_List!$K:$K,MATCH(B1649,Client_List!$B:$B,0)),""))</f>
        <v/>
      </c>
      <c r="F1649" s="16" t="str">
        <f>IF(B1649="","",IFERROR(INDEX(Client_List!$J:$J,MATCH(B1649,Client_List!$B:$B,0)),""))</f>
        <v/>
      </c>
      <c r="G1649" s="16"/>
      <c r="H1649" s="16" t="str">
        <f>IF(B1649="","",IFERROR(A1649-LOOKUP(2,1/($B$4:$B1648=B1649),$A$4:$A1648),""))</f>
        <v/>
      </c>
      <c r="I1649" s="16" t="str">
        <f t="shared" si="25"/>
        <v/>
      </c>
      <c r="J1649" s="16"/>
      <c r="K1649" s="6" t="str">
        <f>IF(B1649="","",IFERROR(AVERAGEIFS($I$4:$I1649,$B$4:$B1649,B1649,$I$4:$I1649,"&gt;"&amp;0),""))</f>
        <v/>
      </c>
      <c r="L1649" s="16" t="str">
        <f>IF(B1649="","",IF(ISNA(MATCH(B1649,Client_List!$B:$B,0)),"⚠ NOT FOUND","✓"))</f>
        <v/>
      </c>
    </row>
    <row r="1650" spans="1:12" ht="14" customHeight="1" x14ac:dyDescent="0.2">
      <c r="A1650" s="59"/>
      <c r="B1650" s="18"/>
      <c r="C1650" s="19" t="str">
        <f>IF(B1650="","",IFERROR(INDEX(Client_List!$C:$C,MATCH(B1650,Client_List!$B:$B,0)),""))</f>
        <v/>
      </c>
      <c r="D1650" s="19" t="str">
        <f>IF(B1650="","",IFERROR(INDEX(Client_List!$D:$D,MATCH(B1650,Client_List!$B:$B,0)),""))</f>
        <v/>
      </c>
      <c r="E1650" s="19" t="str">
        <f>IF(B1650="","",IFERROR(INDEX(Client_List!$K:$K,MATCH(B1650,Client_List!$B:$B,0)),""))</f>
        <v/>
      </c>
      <c r="F1650" s="19" t="str">
        <f>IF(B1650="","",IFERROR(INDEX(Client_List!$J:$J,MATCH(B1650,Client_List!$B:$B,0)),""))</f>
        <v/>
      </c>
      <c r="G1650" s="19"/>
      <c r="H1650" s="19" t="str">
        <f>IF(B1650="","",IFERROR(A1650-LOOKUP(2,1/($B$4:$B1649=B1650),$A$4:$A1649),""))</f>
        <v/>
      </c>
      <c r="I1650" s="19" t="str">
        <f t="shared" si="25"/>
        <v/>
      </c>
      <c r="J1650" s="19"/>
      <c r="K1650" s="6" t="str">
        <f>IF(B1650="","",IFERROR(AVERAGEIFS($I$4:$I1650,$B$4:$B1650,B1650,$I$4:$I1650,"&gt;"&amp;0),""))</f>
        <v/>
      </c>
      <c r="L1650" s="19" t="str">
        <f>IF(B1650="","",IF(ISNA(MATCH(B1650,Client_List!$B:$B,0)),"⚠ NOT FOUND","✓"))</f>
        <v/>
      </c>
    </row>
    <row r="1651" spans="1:12" ht="14" customHeight="1" x14ac:dyDescent="0.2">
      <c r="A1651" s="58"/>
      <c r="B1651" s="15"/>
      <c r="C1651" s="16" t="str">
        <f>IF(B1651="","",IFERROR(INDEX(Client_List!$C:$C,MATCH(B1651,Client_List!$B:$B,0)),""))</f>
        <v/>
      </c>
      <c r="D1651" s="16" t="str">
        <f>IF(B1651="","",IFERROR(INDEX(Client_List!$D:$D,MATCH(B1651,Client_List!$B:$B,0)),""))</f>
        <v/>
      </c>
      <c r="E1651" s="16" t="str">
        <f>IF(B1651="","",IFERROR(INDEX(Client_List!$K:$K,MATCH(B1651,Client_List!$B:$B,0)),""))</f>
        <v/>
      </c>
      <c r="F1651" s="16" t="str">
        <f>IF(B1651="","",IFERROR(INDEX(Client_List!$J:$J,MATCH(B1651,Client_List!$B:$B,0)),""))</f>
        <v/>
      </c>
      <c r="G1651" s="16"/>
      <c r="H1651" s="16" t="str">
        <f>IF(B1651="","",IFERROR(A1651-LOOKUP(2,1/($B$4:$B1650=B1651),$A$4:$A1650),""))</f>
        <v/>
      </c>
      <c r="I1651" s="16" t="str">
        <f t="shared" si="25"/>
        <v/>
      </c>
      <c r="J1651" s="16"/>
      <c r="K1651" s="6" t="str">
        <f>IF(B1651="","",IFERROR(AVERAGEIFS($I$4:$I1651,$B$4:$B1651,B1651,$I$4:$I1651,"&gt;"&amp;0),""))</f>
        <v/>
      </c>
      <c r="L1651" s="16" t="str">
        <f>IF(B1651="","",IF(ISNA(MATCH(B1651,Client_List!$B:$B,0)),"⚠ NOT FOUND","✓"))</f>
        <v/>
      </c>
    </row>
    <row r="1652" spans="1:12" ht="14" customHeight="1" x14ac:dyDescent="0.2">
      <c r="A1652" s="59"/>
      <c r="B1652" s="18"/>
      <c r="C1652" s="19" t="str">
        <f>IF(B1652="","",IFERROR(INDEX(Client_List!$C:$C,MATCH(B1652,Client_List!$B:$B,0)),""))</f>
        <v/>
      </c>
      <c r="D1652" s="19" t="str">
        <f>IF(B1652="","",IFERROR(INDEX(Client_List!$D:$D,MATCH(B1652,Client_List!$B:$B,0)),""))</f>
        <v/>
      </c>
      <c r="E1652" s="19" t="str">
        <f>IF(B1652="","",IFERROR(INDEX(Client_List!$K:$K,MATCH(B1652,Client_List!$B:$B,0)),""))</f>
        <v/>
      </c>
      <c r="F1652" s="19" t="str">
        <f>IF(B1652="","",IFERROR(INDEX(Client_List!$J:$J,MATCH(B1652,Client_List!$B:$B,0)),""))</f>
        <v/>
      </c>
      <c r="G1652" s="19"/>
      <c r="H1652" s="19" t="str">
        <f>IF(B1652="","",IFERROR(A1652-LOOKUP(2,1/($B$4:$B1651=B1652),$A$4:$A1651),""))</f>
        <v/>
      </c>
      <c r="I1652" s="19" t="str">
        <f t="shared" si="25"/>
        <v/>
      </c>
      <c r="J1652" s="19"/>
      <c r="K1652" s="6" t="str">
        <f>IF(B1652="","",IFERROR(AVERAGEIFS($I$4:$I1652,$B$4:$B1652,B1652,$I$4:$I1652,"&gt;"&amp;0),""))</f>
        <v/>
      </c>
      <c r="L1652" s="19" t="str">
        <f>IF(B1652="","",IF(ISNA(MATCH(B1652,Client_List!$B:$B,0)),"⚠ NOT FOUND","✓"))</f>
        <v/>
      </c>
    </row>
    <row r="1653" spans="1:12" ht="14" customHeight="1" x14ac:dyDescent="0.2">
      <c r="A1653" s="58"/>
      <c r="B1653" s="15"/>
      <c r="C1653" s="16" t="str">
        <f>IF(B1653="","",IFERROR(INDEX(Client_List!$C:$C,MATCH(B1653,Client_List!$B:$B,0)),""))</f>
        <v/>
      </c>
      <c r="D1653" s="16" t="str">
        <f>IF(B1653="","",IFERROR(INDEX(Client_List!$D:$D,MATCH(B1653,Client_List!$B:$B,0)),""))</f>
        <v/>
      </c>
      <c r="E1653" s="16" t="str">
        <f>IF(B1653="","",IFERROR(INDEX(Client_List!$K:$K,MATCH(B1653,Client_List!$B:$B,0)),""))</f>
        <v/>
      </c>
      <c r="F1653" s="16" t="str">
        <f>IF(B1653="","",IFERROR(INDEX(Client_List!$J:$J,MATCH(B1653,Client_List!$B:$B,0)),""))</f>
        <v/>
      </c>
      <c r="G1653" s="16"/>
      <c r="H1653" s="16" t="str">
        <f>IF(B1653="","",IFERROR(A1653-LOOKUP(2,1/($B$4:$B1652=B1653),$A$4:$A1652),""))</f>
        <v/>
      </c>
      <c r="I1653" s="16" t="str">
        <f t="shared" si="25"/>
        <v/>
      </c>
      <c r="J1653" s="16"/>
      <c r="K1653" s="6" t="str">
        <f>IF(B1653="","",IFERROR(AVERAGEIFS($I$4:$I1653,$B$4:$B1653,B1653,$I$4:$I1653,"&gt;"&amp;0),""))</f>
        <v/>
      </c>
      <c r="L1653" s="16" t="str">
        <f>IF(B1653="","",IF(ISNA(MATCH(B1653,Client_List!$B:$B,0)),"⚠ NOT FOUND","✓"))</f>
        <v/>
      </c>
    </row>
    <row r="1654" spans="1:12" ht="14" customHeight="1" x14ac:dyDescent="0.2">
      <c r="A1654" s="59"/>
      <c r="B1654" s="18"/>
      <c r="C1654" s="19" t="str">
        <f>IF(B1654="","",IFERROR(INDEX(Client_List!$C:$C,MATCH(B1654,Client_List!$B:$B,0)),""))</f>
        <v/>
      </c>
      <c r="D1654" s="19" t="str">
        <f>IF(B1654="","",IFERROR(INDEX(Client_List!$D:$D,MATCH(B1654,Client_List!$B:$B,0)),""))</f>
        <v/>
      </c>
      <c r="E1654" s="19" t="str">
        <f>IF(B1654="","",IFERROR(INDEX(Client_List!$K:$K,MATCH(B1654,Client_List!$B:$B,0)),""))</f>
        <v/>
      </c>
      <c r="F1654" s="19" t="str">
        <f>IF(B1654="","",IFERROR(INDEX(Client_List!$J:$J,MATCH(B1654,Client_List!$B:$B,0)),""))</f>
        <v/>
      </c>
      <c r="G1654" s="19"/>
      <c r="H1654" s="19" t="str">
        <f>IF(B1654="","",IFERROR(A1654-LOOKUP(2,1/($B$4:$B1653=B1654),$A$4:$A1653),""))</f>
        <v/>
      </c>
      <c r="I1654" s="19" t="str">
        <f t="shared" si="25"/>
        <v/>
      </c>
      <c r="J1654" s="19"/>
      <c r="K1654" s="6" t="str">
        <f>IF(B1654="","",IFERROR(AVERAGEIFS($I$4:$I1654,$B$4:$B1654,B1654,$I$4:$I1654,"&gt;"&amp;0),""))</f>
        <v/>
      </c>
      <c r="L1654" s="19" t="str">
        <f>IF(B1654="","",IF(ISNA(MATCH(B1654,Client_List!$B:$B,0)),"⚠ NOT FOUND","✓"))</f>
        <v/>
      </c>
    </row>
    <row r="1655" spans="1:12" ht="14" customHeight="1" x14ac:dyDescent="0.2">
      <c r="A1655" s="58"/>
      <c r="B1655" s="15"/>
      <c r="C1655" s="16" t="str">
        <f>IF(B1655="","",IFERROR(INDEX(Client_List!$C:$C,MATCH(B1655,Client_List!$B:$B,0)),""))</f>
        <v/>
      </c>
      <c r="D1655" s="16" t="str">
        <f>IF(B1655="","",IFERROR(INDEX(Client_List!$D:$D,MATCH(B1655,Client_List!$B:$B,0)),""))</f>
        <v/>
      </c>
      <c r="E1655" s="16" t="str">
        <f>IF(B1655="","",IFERROR(INDEX(Client_List!$K:$K,MATCH(B1655,Client_List!$B:$B,0)),""))</f>
        <v/>
      </c>
      <c r="F1655" s="16" t="str">
        <f>IF(B1655="","",IFERROR(INDEX(Client_List!$J:$J,MATCH(B1655,Client_List!$B:$B,0)),""))</f>
        <v/>
      </c>
      <c r="G1655" s="16"/>
      <c r="H1655" s="16" t="str">
        <f>IF(B1655="","",IFERROR(A1655-LOOKUP(2,1/($B$4:$B1654=B1655),$A$4:$A1654),""))</f>
        <v/>
      </c>
      <c r="I1655" s="16" t="str">
        <f t="shared" si="25"/>
        <v/>
      </c>
      <c r="J1655" s="16"/>
      <c r="K1655" s="6" t="str">
        <f>IF(B1655="","",IFERROR(AVERAGEIFS($I$4:$I1655,$B$4:$B1655,B1655,$I$4:$I1655,"&gt;"&amp;0),""))</f>
        <v/>
      </c>
      <c r="L1655" s="16" t="str">
        <f>IF(B1655="","",IF(ISNA(MATCH(B1655,Client_List!$B:$B,0)),"⚠ NOT FOUND","✓"))</f>
        <v/>
      </c>
    </row>
    <row r="1656" spans="1:12" ht="14" customHeight="1" x14ac:dyDescent="0.2">
      <c r="A1656" s="59"/>
      <c r="B1656" s="18"/>
      <c r="C1656" s="19" t="str">
        <f>IF(B1656="","",IFERROR(INDEX(Client_List!$C:$C,MATCH(B1656,Client_List!$B:$B,0)),""))</f>
        <v/>
      </c>
      <c r="D1656" s="19" t="str">
        <f>IF(B1656="","",IFERROR(INDEX(Client_List!$D:$D,MATCH(B1656,Client_List!$B:$B,0)),""))</f>
        <v/>
      </c>
      <c r="E1656" s="19" t="str">
        <f>IF(B1656="","",IFERROR(INDEX(Client_List!$K:$K,MATCH(B1656,Client_List!$B:$B,0)),""))</f>
        <v/>
      </c>
      <c r="F1656" s="19" t="str">
        <f>IF(B1656="","",IFERROR(INDEX(Client_List!$J:$J,MATCH(B1656,Client_List!$B:$B,0)),""))</f>
        <v/>
      </c>
      <c r="G1656" s="19"/>
      <c r="H1656" s="19" t="str">
        <f>IF(B1656="","",IFERROR(A1656-LOOKUP(2,1/($B$4:$B1655=B1656),$A$4:$A1655),""))</f>
        <v/>
      </c>
      <c r="I1656" s="19" t="str">
        <f t="shared" si="25"/>
        <v/>
      </c>
      <c r="J1656" s="19"/>
      <c r="K1656" s="6" t="str">
        <f>IF(B1656="","",IFERROR(AVERAGEIFS($I$4:$I1656,$B$4:$B1656,B1656,$I$4:$I1656,"&gt;"&amp;0),""))</f>
        <v/>
      </c>
      <c r="L1656" s="19" t="str">
        <f>IF(B1656="","",IF(ISNA(MATCH(B1656,Client_List!$B:$B,0)),"⚠ NOT FOUND","✓"))</f>
        <v/>
      </c>
    </row>
    <row r="1657" spans="1:12" ht="14" customHeight="1" x14ac:dyDescent="0.2">
      <c r="A1657" s="58"/>
      <c r="B1657" s="15"/>
      <c r="C1657" s="16" t="str">
        <f>IF(B1657="","",IFERROR(INDEX(Client_List!$C:$C,MATCH(B1657,Client_List!$B:$B,0)),""))</f>
        <v/>
      </c>
      <c r="D1657" s="16" t="str">
        <f>IF(B1657="","",IFERROR(INDEX(Client_List!$D:$D,MATCH(B1657,Client_List!$B:$B,0)),""))</f>
        <v/>
      </c>
      <c r="E1657" s="16" t="str">
        <f>IF(B1657="","",IFERROR(INDEX(Client_List!$K:$K,MATCH(B1657,Client_List!$B:$B,0)),""))</f>
        <v/>
      </c>
      <c r="F1657" s="16" t="str">
        <f>IF(B1657="","",IFERROR(INDEX(Client_List!$J:$J,MATCH(B1657,Client_List!$B:$B,0)),""))</f>
        <v/>
      </c>
      <c r="G1657" s="16"/>
      <c r="H1657" s="16" t="str">
        <f>IF(B1657="","",IFERROR(A1657-LOOKUP(2,1/($B$4:$B1656=B1657),$A$4:$A1656),""))</f>
        <v/>
      </c>
      <c r="I1657" s="16" t="str">
        <f t="shared" si="25"/>
        <v/>
      </c>
      <c r="J1657" s="16"/>
      <c r="K1657" s="6" t="str">
        <f>IF(B1657="","",IFERROR(AVERAGEIFS($I$4:$I1657,$B$4:$B1657,B1657,$I$4:$I1657,"&gt;"&amp;0),""))</f>
        <v/>
      </c>
      <c r="L1657" s="16" t="str">
        <f>IF(B1657="","",IF(ISNA(MATCH(B1657,Client_List!$B:$B,0)),"⚠ NOT FOUND","✓"))</f>
        <v/>
      </c>
    </row>
    <row r="1658" spans="1:12" ht="14" customHeight="1" x14ac:dyDescent="0.2">
      <c r="A1658" s="59"/>
      <c r="B1658" s="18"/>
      <c r="C1658" s="19" t="str">
        <f>IF(B1658="","",IFERROR(INDEX(Client_List!$C:$C,MATCH(B1658,Client_List!$B:$B,0)),""))</f>
        <v/>
      </c>
      <c r="D1658" s="19" t="str">
        <f>IF(B1658="","",IFERROR(INDEX(Client_List!$D:$D,MATCH(B1658,Client_List!$B:$B,0)),""))</f>
        <v/>
      </c>
      <c r="E1658" s="19" t="str">
        <f>IF(B1658="","",IFERROR(INDEX(Client_List!$K:$K,MATCH(B1658,Client_List!$B:$B,0)),""))</f>
        <v/>
      </c>
      <c r="F1658" s="19" t="str">
        <f>IF(B1658="","",IFERROR(INDEX(Client_List!$J:$J,MATCH(B1658,Client_List!$B:$B,0)),""))</f>
        <v/>
      </c>
      <c r="G1658" s="19"/>
      <c r="H1658" s="19" t="str">
        <f>IF(B1658="","",IFERROR(A1658-LOOKUP(2,1/($B$4:$B1657=B1658),$A$4:$A1657),""))</f>
        <v/>
      </c>
      <c r="I1658" s="19" t="str">
        <f t="shared" si="25"/>
        <v/>
      </c>
      <c r="J1658" s="19"/>
      <c r="K1658" s="6" t="str">
        <f>IF(B1658="","",IFERROR(AVERAGEIFS($I$4:$I1658,$B$4:$B1658,B1658,$I$4:$I1658,"&gt;"&amp;0),""))</f>
        <v/>
      </c>
      <c r="L1658" s="19" t="str">
        <f>IF(B1658="","",IF(ISNA(MATCH(B1658,Client_List!$B:$B,0)),"⚠ NOT FOUND","✓"))</f>
        <v/>
      </c>
    </row>
    <row r="1659" spans="1:12" ht="14" customHeight="1" x14ac:dyDescent="0.2">
      <c r="A1659" s="58"/>
      <c r="B1659" s="15"/>
      <c r="C1659" s="16" t="str">
        <f>IF(B1659="","",IFERROR(INDEX(Client_List!$C:$C,MATCH(B1659,Client_List!$B:$B,0)),""))</f>
        <v/>
      </c>
      <c r="D1659" s="16" t="str">
        <f>IF(B1659="","",IFERROR(INDEX(Client_List!$D:$D,MATCH(B1659,Client_List!$B:$B,0)),""))</f>
        <v/>
      </c>
      <c r="E1659" s="16" t="str">
        <f>IF(B1659="","",IFERROR(INDEX(Client_List!$K:$K,MATCH(B1659,Client_List!$B:$B,0)),""))</f>
        <v/>
      </c>
      <c r="F1659" s="16" t="str">
        <f>IF(B1659="","",IFERROR(INDEX(Client_List!$J:$J,MATCH(B1659,Client_List!$B:$B,0)),""))</f>
        <v/>
      </c>
      <c r="G1659" s="16"/>
      <c r="H1659" s="16" t="str">
        <f>IF(B1659="","",IFERROR(A1659-LOOKUP(2,1/($B$4:$B1658=B1659),$A$4:$A1658),""))</f>
        <v/>
      </c>
      <c r="I1659" s="16" t="str">
        <f t="shared" si="25"/>
        <v/>
      </c>
      <c r="J1659" s="16"/>
      <c r="K1659" s="6" t="str">
        <f>IF(B1659="","",IFERROR(AVERAGEIFS($I$4:$I1659,$B$4:$B1659,B1659,$I$4:$I1659,"&gt;"&amp;0),""))</f>
        <v/>
      </c>
      <c r="L1659" s="16" t="str">
        <f>IF(B1659="","",IF(ISNA(MATCH(B1659,Client_List!$B:$B,0)),"⚠ NOT FOUND","✓"))</f>
        <v/>
      </c>
    </row>
    <row r="1660" spans="1:12" ht="14" customHeight="1" x14ac:dyDescent="0.2">
      <c r="A1660" s="59"/>
      <c r="B1660" s="18"/>
      <c r="C1660" s="19" t="str">
        <f>IF(B1660="","",IFERROR(INDEX(Client_List!$C:$C,MATCH(B1660,Client_List!$B:$B,0)),""))</f>
        <v/>
      </c>
      <c r="D1660" s="19" t="str">
        <f>IF(B1660="","",IFERROR(INDEX(Client_List!$D:$D,MATCH(B1660,Client_List!$B:$B,0)),""))</f>
        <v/>
      </c>
      <c r="E1660" s="19" t="str">
        <f>IF(B1660="","",IFERROR(INDEX(Client_List!$K:$K,MATCH(B1660,Client_List!$B:$B,0)),""))</f>
        <v/>
      </c>
      <c r="F1660" s="19" t="str">
        <f>IF(B1660="","",IFERROR(INDEX(Client_List!$J:$J,MATCH(B1660,Client_List!$B:$B,0)),""))</f>
        <v/>
      </c>
      <c r="G1660" s="19"/>
      <c r="H1660" s="19" t="str">
        <f>IF(B1660="","",IFERROR(A1660-LOOKUP(2,1/($B$4:$B1659=B1660),$A$4:$A1659),""))</f>
        <v/>
      </c>
      <c r="I1660" s="19" t="str">
        <f t="shared" si="25"/>
        <v/>
      </c>
      <c r="J1660" s="19"/>
      <c r="K1660" s="6" t="str">
        <f>IF(B1660="","",IFERROR(AVERAGEIFS($I$4:$I1660,$B$4:$B1660,B1660,$I$4:$I1660,"&gt;"&amp;0),""))</f>
        <v/>
      </c>
      <c r="L1660" s="19" t="str">
        <f>IF(B1660="","",IF(ISNA(MATCH(B1660,Client_List!$B:$B,0)),"⚠ NOT FOUND","✓"))</f>
        <v/>
      </c>
    </row>
    <row r="1661" spans="1:12" ht="14" customHeight="1" x14ac:dyDescent="0.2">
      <c r="A1661" s="58"/>
      <c r="B1661" s="15"/>
      <c r="C1661" s="16" t="str">
        <f>IF(B1661="","",IFERROR(INDEX(Client_List!$C:$C,MATCH(B1661,Client_List!$B:$B,0)),""))</f>
        <v/>
      </c>
      <c r="D1661" s="16" t="str">
        <f>IF(B1661="","",IFERROR(INDEX(Client_List!$D:$D,MATCH(B1661,Client_List!$B:$B,0)),""))</f>
        <v/>
      </c>
      <c r="E1661" s="16" t="str">
        <f>IF(B1661="","",IFERROR(INDEX(Client_List!$K:$K,MATCH(B1661,Client_List!$B:$B,0)),""))</f>
        <v/>
      </c>
      <c r="F1661" s="16" t="str">
        <f>IF(B1661="","",IFERROR(INDEX(Client_List!$J:$J,MATCH(B1661,Client_List!$B:$B,0)),""))</f>
        <v/>
      </c>
      <c r="G1661" s="16"/>
      <c r="H1661" s="16" t="str">
        <f>IF(B1661="","",IFERROR(A1661-LOOKUP(2,1/($B$4:$B1660=B1661),$A$4:$A1660),""))</f>
        <v/>
      </c>
      <c r="I1661" s="16" t="str">
        <f t="shared" si="25"/>
        <v/>
      </c>
      <c r="J1661" s="16"/>
      <c r="K1661" s="6" t="str">
        <f>IF(B1661="","",IFERROR(AVERAGEIFS($I$4:$I1661,$B$4:$B1661,B1661,$I$4:$I1661,"&gt;"&amp;0),""))</f>
        <v/>
      </c>
      <c r="L1661" s="16" t="str">
        <f>IF(B1661="","",IF(ISNA(MATCH(B1661,Client_List!$B:$B,0)),"⚠ NOT FOUND","✓"))</f>
        <v/>
      </c>
    </row>
    <row r="1662" spans="1:12" ht="14" customHeight="1" x14ac:dyDescent="0.2">
      <c r="A1662" s="59"/>
      <c r="B1662" s="18"/>
      <c r="C1662" s="19" t="str">
        <f>IF(B1662="","",IFERROR(INDEX(Client_List!$C:$C,MATCH(B1662,Client_List!$B:$B,0)),""))</f>
        <v/>
      </c>
      <c r="D1662" s="19" t="str">
        <f>IF(B1662="","",IFERROR(INDEX(Client_List!$D:$D,MATCH(B1662,Client_List!$B:$B,0)),""))</f>
        <v/>
      </c>
      <c r="E1662" s="19" t="str">
        <f>IF(B1662="","",IFERROR(INDEX(Client_List!$K:$K,MATCH(B1662,Client_List!$B:$B,0)),""))</f>
        <v/>
      </c>
      <c r="F1662" s="19" t="str">
        <f>IF(B1662="","",IFERROR(INDEX(Client_List!$J:$J,MATCH(B1662,Client_List!$B:$B,0)),""))</f>
        <v/>
      </c>
      <c r="G1662" s="19"/>
      <c r="H1662" s="19" t="str">
        <f>IF(B1662="","",IFERROR(A1662-LOOKUP(2,1/($B$4:$B1661=B1662),$A$4:$A1661),""))</f>
        <v/>
      </c>
      <c r="I1662" s="19" t="str">
        <f t="shared" si="25"/>
        <v/>
      </c>
      <c r="J1662" s="19"/>
      <c r="K1662" s="6" t="str">
        <f>IF(B1662="","",IFERROR(AVERAGEIFS($I$4:$I1662,$B$4:$B1662,B1662,$I$4:$I1662,"&gt;"&amp;0),""))</f>
        <v/>
      </c>
      <c r="L1662" s="19" t="str">
        <f>IF(B1662="","",IF(ISNA(MATCH(B1662,Client_List!$B:$B,0)),"⚠ NOT FOUND","✓"))</f>
        <v/>
      </c>
    </row>
    <row r="1663" spans="1:12" ht="14" customHeight="1" x14ac:dyDescent="0.2">
      <c r="A1663" s="58"/>
      <c r="B1663" s="15"/>
      <c r="C1663" s="16" t="str">
        <f>IF(B1663="","",IFERROR(INDEX(Client_List!$C:$C,MATCH(B1663,Client_List!$B:$B,0)),""))</f>
        <v/>
      </c>
      <c r="D1663" s="16" t="str">
        <f>IF(B1663="","",IFERROR(INDEX(Client_List!$D:$D,MATCH(B1663,Client_List!$B:$B,0)),""))</f>
        <v/>
      </c>
      <c r="E1663" s="16" t="str">
        <f>IF(B1663="","",IFERROR(INDEX(Client_List!$K:$K,MATCH(B1663,Client_List!$B:$B,0)),""))</f>
        <v/>
      </c>
      <c r="F1663" s="16" t="str">
        <f>IF(B1663="","",IFERROR(INDEX(Client_List!$J:$J,MATCH(B1663,Client_List!$B:$B,0)),""))</f>
        <v/>
      </c>
      <c r="G1663" s="16"/>
      <c r="H1663" s="16" t="str">
        <f>IF(B1663="","",IFERROR(A1663-LOOKUP(2,1/($B$4:$B1662=B1663),$A$4:$A1662),""))</f>
        <v/>
      </c>
      <c r="I1663" s="16" t="str">
        <f t="shared" si="25"/>
        <v/>
      </c>
      <c r="J1663" s="16"/>
      <c r="K1663" s="6" t="str">
        <f>IF(B1663="","",IFERROR(AVERAGEIFS($I$4:$I1663,$B$4:$B1663,B1663,$I$4:$I1663,"&gt;"&amp;0),""))</f>
        <v/>
      </c>
      <c r="L1663" s="16" t="str">
        <f>IF(B1663="","",IF(ISNA(MATCH(B1663,Client_List!$B:$B,0)),"⚠ NOT FOUND","✓"))</f>
        <v/>
      </c>
    </row>
    <row r="1664" spans="1:12" ht="14" customHeight="1" x14ac:dyDescent="0.2">
      <c r="A1664" s="59"/>
      <c r="B1664" s="18"/>
      <c r="C1664" s="19" t="str">
        <f>IF(B1664="","",IFERROR(INDEX(Client_List!$C:$C,MATCH(B1664,Client_List!$B:$B,0)),""))</f>
        <v/>
      </c>
      <c r="D1664" s="19" t="str">
        <f>IF(B1664="","",IFERROR(INDEX(Client_List!$D:$D,MATCH(B1664,Client_List!$B:$B,0)),""))</f>
        <v/>
      </c>
      <c r="E1664" s="19" t="str">
        <f>IF(B1664="","",IFERROR(INDEX(Client_List!$K:$K,MATCH(B1664,Client_List!$B:$B,0)),""))</f>
        <v/>
      </c>
      <c r="F1664" s="19" t="str">
        <f>IF(B1664="","",IFERROR(INDEX(Client_List!$J:$J,MATCH(B1664,Client_List!$B:$B,0)),""))</f>
        <v/>
      </c>
      <c r="G1664" s="19"/>
      <c r="H1664" s="19" t="str">
        <f>IF(B1664="","",IFERROR(A1664-LOOKUP(2,1/($B$4:$B1663=B1664),$A$4:$A1663),""))</f>
        <v/>
      </c>
      <c r="I1664" s="19" t="str">
        <f t="shared" si="25"/>
        <v/>
      </c>
      <c r="J1664" s="19"/>
      <c r="K1664" s="6" t="str">
        <f>IF(B1664="","",IFERROR(AVERAGEIFS($I$4:$I1664,$B$4:$B1664,B1664,$I$4:$I1664,"&gt;"&amp;0),""))</f>
        <v/>
      </c>
      <c r="L1664" s="19" t="str">
        <f>IF(B1664="","",IF(ISNA(MATCH(B1664,Client_List!$B:$B,0)),"⚠ NOT FOUND","✓"))</f>
        <v/>
      </c>
    </row>
    <row r="1665" spans="1:12" ht="14" customHeight="1" x14ac:dyDescent="0.2">
      <c r="A1665" s="58"/>
      <c r="B1665" s="15"/>
      <c r="C1665" s="16" t="str">
        <f>IF(B1665="","",IFERROR(INDEX(Client_List!$C:$C,MATCH(B1665,Client_List!$B:$B,0)),""))</f>
        <v/>
      </c>
      <c r="D1665" s="16" t="str">
        <f>IF(B1665="","",IFERROR(INDEX(Client_List!$D:$D,MATCH(B1665,Client_List!$B:$B,0)),""))</f>
        <v/>
      </c>
      <c r="E1665" s="16" t="str">
        <f>IF(B1665="","",IFERROR(INDEX(Client_List!$K:$K,MATCH(B1665,Client_List!$B:$B,0)),""))</f>
        <v/>
      </c>
      <c r="F1665" s="16" t="str">
        <f>IF(B1665="","",IFERROR(INDEX(Client_List!$J:$J,MATCH(B1665,Client_List!$B:$B,0)),""))</f>
        <v/>
      </c>
      <c r="G1665" s="16"/>
      <c r="H1665" s="16" t="str">
        <f>IF(B1665="","",IFERROR(A1665-LOOKUP(2,1/($B$4:$B1664=B1665),$A$4:$A1664),""))</f>
        <v/>
      </c>
      <c r="I1665" s="16" t="str">
        <f t="shared" si="25"/>
        <v/>
      </c>
      <c r="J1665" s="16"/>
      <c r="K1665" s="6" t="str">
        <f>IF(B1665="","",IFERROR(AVERAGEIFS($I$4:$I1665,$B$4:$B1665,B1665,$I$4:$I1665,"&gt;"&amp;0),""))</f>
        <v/>
      </c>
      <c r="L1665" s="16" t="str">
        <f>IF(B1665="","",IF(ISNA(MATCH(B1665,Client_List!$B:$B,0)),"⚠ NOT FOUND","✓"))</f>
        <v/>
      </c>
    </row>
    <row r="1666" spans="1:12" ht="14" customHeight="1" x14ac:dyDescent="0.2">
      <c r="A1666" s="59"/>
      <c r="B1666" s="18"/>
      <c r="C1666" s="19" t="str">
        <f>IF(B1666="","",IFERROR(INDEX(Client_List!$C:$C,MATCH(B1666,Client_List!$B:$B,0)),""))</f>
        <v/>
      </c>
      <c r="D1666" s="19" t="str">
        <f>IF(B1666="","",IFERROR(INDEX(Client_List!$D:$D,MATCH(B1666,Client_List!$B:$B,0)),""))</f>
        <v/>
      </c>
      <c r="E1666" s="19" t="str">
        <f>IF(B1666="","",IFERROR(INDEX(Client_List!$K:$K,MATCH(B1666,Client_List!$B:$B,0)),""))</f>
        <v/>
      </c>
      <c r="F1666" s="19" t="str">
        <f>IF(B1666="","",IFERROR(INDEX(Client_List!$J:$J,MATCH(B1666,Client_List!$B:$B,0)),""))</f>
        <v/>
      </c>
      <c r="G1666" s="19"/>
      <c r="H1666" s="19" t="str">
        <f>IF(B1666="","",IFERROR(A1666-LOOKUP(2,1/($B$4:$B1665=B1666),$A$4:$A1665),""))</f>
        <v/>
      </c>
      <c r="I1666" s="19" t="str">
        <f t="shared" si="25"/>
        <v/>
      </c>
      <c r="J1666" s="19"/>
      <c r="K1666" s="6" t="str">
        <f>IF(B1666="","",IFERROR(AVERAGEIFS($I$4:$I1666,$B$4:$B1666,B1666,$I$4:$I1666,"&gt;"&amp;0),""))</f>
        <v/>
      </c>
      <c r="L1666" s="19" t="str">
        <f>IF(B1666="","",IF(ISNA(MATCH(B1666,Client_List!$B:$B,0)),"⚠ NOT FOUND","✓"))</f>
        <v/>
      </c>
    </row>
    <row r="1667" spans="1:12" ht="14" customHeight="1" x14ac:dyDescent="0.2">
      <c r="A1667" s="58"/>
      <c r="B1667" s="15"/>
      <c r="C1667" s="16" t="str">
        <f>IF(B1667="","",IFERROR(INDEX(Client_List!$C:$C,MATCH(B1667,Client_List!$B:$B,0)),""))</f>
        <v/>
      </c>
      <c r="D1667" s="16" t="str">
        <f>IF(B1667="","",IFERROR(INDEX(Client_List!$D:$D,MATCH(B1667,Client_List!$B:$B,0)),""))</f>
        <v/>
      </c>
      <c r="E1667" s="16" t="str">
        <f>IF(B1667="","",IFERROR(INDEX(Client_List!$K:$K,MATCH(B1667,Client_List!$B:$B,0)),""))</f>
        <v/>
      </c>
      <c r="F1667" s="16" t="str">
        <f>IF(B1667="","",IFERROR(INDEX(Client_List!$J:$J,MATCH(B1667,Client_List!$B:$B,0)),""))</f>
        <v/>
      </c>
      <c r="G1667" s="16"/>
      <c r="H1667" s="16" t="str">
        <f>IF(B1667="","",IFERROR(A1667-LOOKUP(2,1/($B$4:$B1666=B1667),$A$4:$A1666),""))</f>
        <v/>
      </c>
      <c r="I1667" s="16" t="str">
        <f t="shared" si="25"/>
        <v/>
      </c>
      <c r="J1667" s="16"/>
      <c r="K1667" s="6" t="str">
        <f>IF(B1667="","",IFERROR(AVERAGEIFS($I$4:$I1667,$B$4:$B1667,B1667,$I$4:$I1667,"&gt;"&amp;0),""))</f>
        <v/>
      </c>
      <c r="L1667" s="16" t="str">
        <f>IF(B1667="","",IF(ISNA(MATCH(B1667,Client_List!$B:$B,0)),"⚠ NOT FOUND","✓"))</f>
        <v/>
      </c>
    </row>
    <row r="1668" spans="1:12" ht="14" customHeight="1" x14ac:dyDescent="0.2">
      <c r="A1668" s="59"/>
      <c r="B1668" s="18"/>
      <c r="C1668" s="19" t="str">
        <f>IF(B1668="","",IFERROR(INDEX(Client_List!$C:$C,MATCH(B1668,Client_List!$B:$B,0)),""))</f>
        <v/>
      </c>
      <c r="D1668" s="19" t="str">
        <f>IF(B1668="","",IFERROR(INDEX(Client_List!$D:$D,MATCH(B1668,Client_List!$B:$B,0)),""))</f>
        <v/>
      </c>
      <c r="E1668" s="19" t="str">
        <f>IF(B1668="","",IFERROR(INDEX(Client_List!$K:$K,MATCH(B1668,Client_List!$B:$B,0)),""))</f>
        <v/>
      </c>
      <c r="F1668" s="19" t="str">
        <f>IF(B1668="","",IFERROR(INDEX(Client_List!$J:$J,MATCH(B1668,Client_List!$B:$B,0)),""))</f>
        <v/>
      </c>
      <c r="G1668" s="19"/>
      <c r="H1668" s="19" t="str">
        <f>IF(B1668="","",IFERROR(A1668-LOOKUP(2,1/($B$4:$B1667=B1668),$A$4:$A1667),""))</f>
        <v/>
      </c>
      <c r="I1668" s="19" t="str">
        <f t="shared" ref="I1668:I1731" si="26">IF(B1668="","",IFERROR(G1668/H1668,""))</f>
        <v/>
      </c>
      <c r="J1668" s="19"/>
      <c r="K1668" s="6" t="str">
        <f>IF(B1668="","",IFERROR(AVERAGEIFS($I$4:$I1668,$B$4:$B1668,B1668,$I$4:$I1668,"&gt;"&amp;0),""))</f>
        <v/>
      </c>
      <c r="L1668" s="19" t="str">
        <f>IF(B1668="","",IF(ISNA(MATCH(B1668,Client_List!$B:$B,0)),"⚠ NOT FOUND","✓"))</f>
        <v/>
      </c>
    </row>
    <row r="1669" spans="1:12" ht="14" customHeight="1" x14ac:dyDescent="0.2">
      <c r="A1669" s="58"/>
      <c r="B1669" s="15"/>
      <c r="C1669" s="16" t="str">
        <f>IF(B1669="","",IFERROR(INDEX(Client_List!$C:$C,MATCH(B1669,Client_List!$B:$B,0)),""))</f>
        <v/>
      </c>
      <c r="D1669" s="16" t="str">
        <f>IF(B1669="","",IFERROR(INDEX(Client_List!$D:$D,MATCH(B1669,Client_List!$B:$B,0)),""))</f>
        <v/>
      </c>
      <c r="E1669" s="16" t="str">
        <f>IF(B1669="","",IFERROR(INDEX(Client_List!$K:$K,MATCH(B1669,Client_List!$B:$B,0)),""))</f>
        <v/>
      </c>
      <c r="F1669" s="16" t="str">
        <f>IF(B1669="","",IFERROR(INDEX(Client_List!$J:$J,MATCH(B1669,Client_List!$B:$B,0)),""))</f>
        <v/>
      </c>
      <c r="G1669" s="16"/>
      <c r="H1669" s="16" t="str">
        <f>IF(B1669="","",IFERROR(A1669-LOOKUP(2,1/($B$4:$B1668=B1669),$A$4:$A1668),""))</f>
        <v/>
      </c>
      <c r="I1669" s="16" t="str">
        <f t="shared" si="26"/>
        <v/>
      </c>
      <c r="J1669" s="16"/>
      <c r="K1669" s="6" t="str">
        <f>IF(B1669="","",IFERROR(AVERAGEIFS($I$4:$I1669,$B$4:$B1669,B1669,$I$4:$I1669,"&gt;"&amp;0),""))</f>
        <v/>
      </c>
      <c r="L1669" s="16" t="str">
        <f>IF(B1669="","",IF(ISNA(MATCH(B1669,Client_List!$B:$B,0)),"⚠ NOT FOUND","✓"))</f>
        <v/>
      </c>
    </row>
    <row r="1670" spans="1:12" ht="14" customHeight="1" x14ac:dyDescent="0.2">
      <c r="A1670" s="59"/>
      <c r="B1670" s="18"/>
      <c r="C1670" s="19" t="str">
        <f>IF(B1670="","",IFERROR(INDEX(Client_List!$C:$C,MATCH(B1670,Client_List!$B:$B,0)),""))</f>
        <v/>
      </c>
      <c r="D1670" s="19" t="str">
        <f>IF(B1670="","",IFERROR(INDEX(Client_List!$D:$D,MATCH(B1670,Client_List!$B:$B,0)),""))</f>
        <v/>
      </c>
      <c r="E1670" s="19" t="str">
        <f>IF(B1670="","",IFERROR(INDEX(Client_List!$K:$K,MATCH(B1670,Client_List!$B:$B,0)),""))</f>
        <v/>
      </c>
      <c r="F1670" s="19" t="str">
        <f>IF(B1670="","",IFERROR(INDEX(Client_List!$J:$J,MATCH(B1670,Client_List!$B:$B,0)),""))</f>
        <v/>
      </c>
      <c r="G1670" s="19"/>
      <c r="H1670" s="19" t="str">
        <f>IF(B1670="","",IFERROR(A1670-LOOKUP(2,1/($B$4:$B1669=B1670),$A$4:$A1669),""))</f>
        <v/>
      </c>
      <c r="I1670" s="19" t="str">
        <f t="shared" si="26"/>
        <v/>
      </c>
      <c r="J1670" s="19"/>
      <c r="K1670" s="6" t="str">
        <f>IF(B1670="","",IFERROR(AVERAGEIFS($I$4:$I1670,$B$4:$B1670,B1670,$I$4:$I1670,"&gt;"&amp;0),""))</f>
        <v/>
      </c>
      <c r="L1670" s="19" t="str">
        <f>IF(B1670="","",IF(ISNA(MATCH(B1670,Client_List!$B:$B,0)),"⚠ NOT FOUND","✓"))</f>
        <v/>
      </c>
    </row>
    <row r="1671" spans="1:12" ht="14" customHeight="1" x14ac:dyDescent="0.2">
      <c r="A1671" s="58"/>
      <c r="B1671" s="15"/>
      <c r="C1671" s="16" t="str">
        <f>IF(B1671="","",IFERROR(INDEX(Client_List!$C:$C,MATCH(B1671,Client_List!$B:$B,0)),""))</f>
        <v/>
      </c>
      <c r="D1671" s="16" t="str">
        <f>IF(B1671="","",IFERROR(INDEX(Client_List!$D:$D,MATCH(B1671,Client_List!$B:$B,0)),""))</f>
        <v/>
      </c>
      <c r="E1671" s="16" t="str">
        <f>IF(B1671="","",IFERROR(INDEX(Client_List!$K:$K,MATCH(B1671,Client_List!$B:$B,0)),""))</f>
        <v/>
      </c>
      <c r="F1671" s="16" t="str">
        <f>IF(B1671="","",IFERROR(INDEX(Client_List!$J:$J,MATCH(B1671,Client_List!$B:$B,0)),""))</f>
        <v/>
      </c>
      <c r="G1671" s="16"/>
      <c r="H1671" s="16" t="str">
        <f>IF(B1671="","",IFERROR(A1671-LOOKUP(2,1/($B$4:$B1670=B1671),$A$4:$A1670),""))</f>
        <v/>
      </c>
      <c r="I1671" s="16" t="str">
        <f t="shared" si="26"/>
        <v/>
      </c>
      <c r="J1671" s="16"/>
      <c r="K1671" s="6" t="str">
        <f>IF(B1671="","",IFERROR(AVERAGEIFS($I$4:$I1671,$B$4:$B1671,B1671,$I$4:$I1671,"&gt;"&amp;0),""))</f>
        <v/>
      </c>
      <c r="L1671" s="16" t="str">
        <f>IF(B1671="","",IF(ISNA(MATCH(B1671,Client_List!$B:$B,0)),"⚠ NOT FOUND","✓"))</f>
        <v/>
      </c>
    </row>
    <row r="1672" spans="1:12" ht="14" customHeight="1" x14ac:dyDescent="0.2">
      <c r="A1672" s="59"/>
      <c r="B1672" s="18"/>
      <c r="C1672" s="19" t="str">
        <f>IF(B1672="","",IFERROR(INDEX(Client_List!$C:$C,MATCH(B1672,Client_List!$B:$B,0)),""))</f>
        <v/>
      </c>
      <c r="D1672" s="19" t="str">
        <f>IF(B1672="","",IFERROR(INDEX(Client_List!$D:$D,MATCH(B1672,Client_List!$B:$B,0)),""))</f>
        <v/>
      </c>
      <c r="E1672" s="19" t="str">
        <f>IF(B1672="","",IFERROR(INDEX(Client_List!$K:$K,MATCH(B1672,Client_List!$B:$B,0)),""))</f>
        <v/>
      </c>
      <c r="F1672" s="19" t="str">
        <f>IF(B1672="","",IFERROR(INDEX(Client_List!$J:$J,MATCH(B1672,Client_List!$B:$B,0)),""))</f>
        <v/>
      </c>
      <c r="G1672" s="19"/>
      <c r="H1672" s="19" t="str">
        <f>IF(B1672="","",IFERROR(A1672-LOOKUP(2,1/($B$4:$B1671=B1672),$A$4:$A1671),""))</f>
        <v/>
      </c>
      <c r="I1672" s="19" t="str">
        <f t="shared" si="26"/>
        <v/>
      </c>
      <c r="J1672" s="19"/>
      <c r="K1672" s="6" t="str">
        <f>IF(B1672="","",IFERROR(AVERAGEIFS($I$4:$I1672,$B$4:$B1672,B1672,$I$4:$I1672,"&gt;"&amp;0),""))</f>
        <v/>
      </c>
      <c r="L1672" s="19" t="str">
        <f>IF(B1672="","",IF(ISNA(MATCH(B1672,Client_List!$B:$B,0)),"⚠ NOT FOUND","✓"))</f>
        <v/>
      </c>
    </row>
    <row r="1673" spans="1:12" ht="14" customHeight="1" x14ac:dyDescent="0.2">
      <c r="A1673" s="58"/>
      <c r="B1673" s="15"/>
      <c r="C1673" s="16" t="str">
        <f>IF(B1673="","",IFERROR(INDEX(Client_List!$C:$C,MATCH(B1673,Client_List!$B:$B,0)),""))</f>
        <v/>
      </c>
      <c r="D1673" s="16" t="str">
        <f>IF(B1673="","",IFERROR(INDEX(Client_List!$D:$D,MATCH(B1673,Client_List!$B:$B,0)),""))</f>
        <v/>
      </c>
      <c r="E1673" s="16" t="str">
        <f>IF(B1673="","",IFERROR(INDEX(Client_List!$K:$K,MATCH(B1673,Client_List!$B:$B,0)),""))</f>
        <v/>
      </c>
      <c r="F1673" s="16" t="str">
        <f>IF(B1673="","",IFERROR(INDEX(Client_List!$J:$J,MATCH(B1673,Client_List!$B:$B,0)),""))</f>
        <v/>
      </c>
      <c r="G1673" s="16"/>
      <c r="H1673" s="16" t="str">
        <f>IF(B1673="","",IFERROR(A1673-LOOKUP(2,1/($B$4:$B1672=B1673),$A$4:$A1672),""))</f>
        <v/>
      </c>
      <c r="I1673" s="16" t="str">
        <f t="shared" si="26"/>
        <v/>
      </c>
      <c r="J1673" s="16"/>
      <c r="K1673" s="6" t="str">
        <f>IF(B1673="","",IFERROR(AVERAGEIFS($I$4:$I1673,$B$4:$B1673,B1673,$I$4:$I1673,"&gt;"&amp;0),""))</f>
        <v/>
      </c>
      <c r="L1673" s="16" t="str">
        <f>IF(B1673="","",IF(ISNA(MATCH(B1673,Client_List!$B:$B,0)),"⚠ NOT FOUND","✓"))</f>
        <v/>
      </c>
    </row>
    <row r="1674" spans="1:12" ht="14" customHeight="1" x14ac:dyDescent="0.2">
      <c r="A1674" s="59"/>
      <c r="B1674" s="18"/>
      <c r="C1674" s="19" t="str">
        <f>IF(B1674="","",IFERROR(INDEX(Client_List!$C:$C,MATCH(B1674,Client_List!$B:$B,0)),""))</f>
        <v/>
      </c>
      <c r="D1674" s="19" t="str">
        <f>IF(B1674="","",IFERROR(INDEX(Client_List!$D:$D,MATCH(B1674,Client_List!$B:$B,0)),""))</f>
        <v/>
      </c>
      <c r="E1674" s="19" t="str">
        <f>IF(B1674="","",IFERROR(INDEX(Client_List!$K:$K,MATCH(B1674,Client_List!$B:$B,0)),""))</f>
        <v/>
      </c>
      <c r="F1674" s="19" t="str">
        <f>IF(B1674="","",IFERROR(INDEX(Client_List!$J:$J,MATCH(B1674,Client_List!$B:$B,0)),""))</f>
        <v/>
      </c>
      <c r="G1674" s="19"/>
      <c r="H1674" s="19" t="str">
        <f>IF(B1674="","",IFERROR(A1674-LOOKUP(2,1/($B$4:$B1673=B1674),$A$4:$A1673),""))</f>
        <v/>
      </c>
      <c r="I1674" s="19" t="str">
        <f t="shared" si="26"/>
        <v/>
      </c>
      <c r="J1674" s="19"/>
      <c r="K1674" s="6" t="str">
        <f>IF(B1674="","",IFERROR(AVERAGEIFS($I$4:$I1674,$B$4:$B1674,B1674,$I$4:$I1674,"&gt;"&amp;0),""))</f>
        <v/>
      </c>
      <c r="L1674" s="19" t="str">
        <f>IF(B1674="","",IF(ISNA(MATCH(B1674,Client_List!$B:$B,0)),"⚠ NOT FOUND","✓"))</f>
        <v/>
      </c>
    </row>
    <row r="1675" spans="1:12" ht="14" customHeight="1" x14ac:dyDescent="0.2">
      <c r="A1675" s="58"/>
      <c r="B1675" s="15"/>
      <c r="C1675" s="16" t="str">
        <f>IF(B1675="","",IFERROR(INDEX(Client_List!$C:$C,MATCH(B1675,Client_List!$B:$B,0)),""))</f>
        <v/>
      </c>
      <c r="D1675" s="16" t="str">
        <f>IF(B1675="","",IFERROR(INDEX(Client_List!$D:$D,MATCH(B1675,Client_List!$B:$B,0)),""))</f>
        <v/>
      </c>
      <c r="E1675" s="16" t="str">
        <f>IF(B1675="","",IFERROR(INDEX(Client_List!$K:$K,MATCH(B1675,Client_List!$B:$B,0)),""))</f>
        <v/>
      </c>
      <c r="F1675" s="16" t="str">
        <f>IF(B1675="","",IFERROR(INDEX(Client_List!$J:$J,MATCH(B1675,Client_List!$B:$B,0)),""))</f>
        <v/>
      </c>
      <c r="G1675" s="16"/>
      <c r="H1675" s="16" t="str">
        <f>IF(B1675="","",IFERROR(A1675-LOOKUP(2,1/($B$4:$B1674=B1675),$A$4:$A1674),""))</f>
        <v/>
      </c>
      <c r="I1675" s="16" t="str">
        <f t="shared" si="26"/>
        <v/>
      </c>
      <c r="J1675" s="16"/>
      <c r="K1675" s="6" t="str">
        <f>IF(B1675="","",IFERROR(AVERAGEIFS($I$4:$I1675,$B$4:$B1675,B1675,$I$4:$I1675,"&gt;"&amp;0),""))</f>
        <v/>
      </c>
      <c r="L1675" s="16" t="str">
        <f>IF(B1675="","",IF(ISNA(MATCH(B1675,Client_List!$B:$B,0)),"⚠ NOT FOUND","✓"))</f>
        <v/>
      </c>
    </row>
    <row r="1676" spans="1:12" ht="14" customHeight="1" x14ac:dyDescent="0.2">
      <c r="A1676" s="59"/>
      <c r="B1676" s="18"/>
      <c r="C1676" s="19" t="str">
        <f>IF(B1676="","",IFERROR(INDEX(Client_List!$C:$C,MATCH(B1676,Client_List!$B:$B,0)),""))</f>
        <v/>
      </c>
      <c r="D1676" s="19" t="str">
        <f>IF(B1676="","",IFERROR(INDEX(Client_List!$D:$D,MATCH(B1676,Client_List!$B:$B,0)),""))</f>
        <v/>
      </c>
      <c r="E1676" s="19" t="str">
        <f>IF(B1676="","",IFERROR(INDEX(Client_List!$K:$K,MATCH(B1676,Client_List!$B:$B,0)),""))</f>
        <v/>
      </c>
      <c r="F1676" s="19" t="str">
        <f>IF(B1676="","",IFERROR(INDEX(Client_List!$J:$J,MATCH(B1676,Client_List!$B:$B,0)),""))</f>
        <v/>
      </c>
      <c r="G1676" s="19"/>
      <c r="H1676" s="19" t="str">
        <f>IF(B1676="","",IFERROR(A1676-LOOKUP(2,1/($B$4:$B1675=B1676),$A$4:$A1675),""))</f>
        <v/>
      </c>
      <c r="I1676" s="19" t="str">
        <f t="shared" si="26"/>
        <v/>
      </c>
      <c r="J1676" s="19"/>
      <c r="K1676" s="6" t="str">
        <f>IF(B1676="","",IFERROR(AVERAGEIFS($I$4:$I1676,$B$4:$B1676,B1676,$I$4:$I1676,"&gt;"&amp;0),""))</f>
        <v/>
      </c>
      <c r="L1676" s="19" t="str">
        <f>IF(B1676="","",IF(ISNA(MATCH(B1676,Client_List!$B:$B,0)),"⚠ NOT FOUND","✓"))</f>
        <v/>
      </c>
    </row>
    <row r="1677" spans="1:12" ht="14" customHeight="1" x14ac:dyDescent="0.2">
      <c r="A1677" s="58"/>
      <c r="B1677" s="15"/>
      <c r="C1677" s="16" t="str">
        <f>IF(B1677="","",IFERROR(INDEX(Client_List!$C:$C,MATCH(B1677,Client_List!$B:$B,0)),""))</f>
        <v/>
      </c>
      <c r="D1677" s="16" t="str">
        <f>IF(B1677="","",IFERROR(INDEX(Client_List!$D:$D,MATCH(B1677,Client_List!$B:$B,0)),""))</f>
        <v/>
      </c>
      <c r="E1677" s="16" t="str">
        <f>IF(B1677="","",IFERROR(INDEX(Client_List!$K:$K,MATCH(B1677,Client_List!$B:$B,0)),""))</f>
        <v/>
      </c>
      <c r="F1677" s="16" t="str">
        <f>IF(B1677="","",IFERROR(INDEX(Client_List!$J:$J,MATCH(B1677,Client_List!$B:$B,0)),""))</f>
        <v/>
      </c>
      <c r="G1677" s="16"/>
      <c r="H1677" s="16" t="str">
        <f>IF(B1677="","",IFERROR(A1677-LOOKUP(2,1/($B$4:$B1676=B1677),$A$4:$A1676),""))</f>
        <v/>
      </c>
      <c r="I1677" s="16" t="str">
        <f t="shared" si="26"/>
        <v/>
      </c>
      <c r="J1677" s="16"/>
      <c r="K1677" s="6" t="str">
        <f>IF(B1677="","",IFERROR(AVERAGEIFS($I$4:$I1677,$B$4:$B1677,B1677,$I$4:$I1677,"&gt;"&amp;0),""))</f>
        <v/>
      </c>
      <c r="L1677" s="16" t="str">
        <f>IF(B1677="","",IF(ISNA(MATCH(B1677,Client_List!$B:$B,0)),"⚠ NOT FOUND","✓"))</f>
        <v/>
      </c>
    </row>
    <row r="1678" spans="1:12" ht="14" customHeight="1" x14ac:dyDescent="0.2">
      <c r="A1678" s="59"/>
      <c r="B1678" s="18"/>
      <c r="C1678" s="19" t="str">
        <f>IF(B1678="","",IFERROR(INDEX(Client_List!$C:$C,MATCH(B1678,Client_List!$B:$B,0)),""))</f>
        <v/>
      </c>
      <c r="D1678" s="19" t="str">
        <f>IF(B1678="","",IFERROR(INDEX(Client_List!$D:$D,MATCH(B1678,Client_List!$B:$B,0)),""))</f>
        <v/>
      </c>
      <c r="E1678" s="19" t="str">
        <f>IF(B1678="","",IFERROR(INDEX(Client_List!$K:$K,MATCH(B1678,Client_List!$B:$B,0)),""))</f>
        <v/>
      </c>
      <c r="F1678" s="19" t="str">
        <f>IF(B1678="","",IFERROR(INDEX(Client_List!$J:$J,MATCH(B1678,Client_List!$B:$B,0)),""))</f>
        <v/>
      </c>
      <c r="G1678" s="19"/>
      <c r="H1678" s="19" t="str">
        <f>IF(B1678="","",IFERROR(A1678-LOOKUP(2,1/($B$4:$B1677=B1678),$A$4:$A1677),""))</f>
        <v/>
      </c>
      <c r="I1678" s="19" t="str">
        <f t="shared" si="26"/>
        <v/>
      </c>
      <c r="J1678" s="19"/>
      <c r="K1678" s="6" t="str">
        <f>IF(B1678="","",IFERROR(AVERAGEIFS($I$4:$I1678,$B$4:$B1678,B1678,$I$4:$I1678,"&gt;"&amp;0),""))</f>
        <v/>
      </c>
      <c r="L1678" s="19" t="str">
        <f>IF(B1678="","",IF(ISNA(MATCH(B1678,Client_List!$B:$B,0)),"⚠ NOT FOUND","✓"))</f>
        <v/>
      </c>
    </row>
    <row r="1679" spans="1:12" ht="14" customHeight="1" x14ac:dyDescent="0.2">
      <c r="A1679" s="58"/>
      <c r="B1679" s="15"/>
      <c r="C1679" s="16" t="str">
        <f>IF(B1679="","",IFERROR(INDEX(Client_List!$C:$C,MATCH(B1679,Client_List!$B:$B,0)),""))</f>
        <v/>
      </c>
      <c r="D1679" s="16" t="str">
        <f>IF(B1679="","",IFERROR(INDEX(Client_List!$D:$D,MATCH(B1679,Client_List!$B:$B,0)),""))</f>
        <v/>
      </c>
      <c r="E1679" s="16" t="str">
        <f>IF(B1679="","",IFERROR(INDEX(Client_List!$K:$K,MATCH(B1679,Client_List!$B:$B,0)),""))</f>
        <v/>
      </c>
      <c r="F1679" s="16" t="str">
        <f>IF(B1679="","",IFERROR(INDEX(Client_List!$J:$J,MATCH(B1679,Client_List!$B:$B,0)),""))</f>
        <v/>
      </c>
      <c r="G1679" s="16"/>
      <c r="H1679" s="16" t="str">
        <f>IF(B1679="","",IFERROR(A1679-LOOKUP(2,1/($B$4:$B1678=B1679),$A$4:$A1678),""))</f>
        <v/>
      </c>
      <c r="I1679" s="16" t="str">
        <f t="shared" si="26"/>
        <v/>
      </c>
      <c r="J1679" s="16"/>
      <c r="K1679" s="6" t="str">
        <f>IF(B1679="","",IFERROR(AVERAGEIFS($I$4:$I1679,$B$4:$B1679,B1679,$I$4:$I1679,"&gt;"&amp;0),""))</f>
        <v/>
      </c>
      <c r="L1679" s="16" t="str">
        <f>IF(B1679="","",IF(ISNA(MATCH(B1679,Client_List!$B:$B,0)),"⚠ NOT FOUND","✓"))</f>
        <v/>
      </c>
    </row>
    <row r="1680" spans="1:12" ht="14" customHeight="1" x14ac:dyDescent="0.2">
      <c r="A1680" s="59"/>
      <c r="B1680" s="18"/>
      <c r="C1680" s="19" t="str">
        <f>IF(B1680="","",IFERROR(INDEX(Client_List!$C:$C,MATCH(B1680,Client_List!$B:$B,0)),""))</f>
        <v/>
      </c>
      <c r="D1680" s="19" t="str">
        <f>IF(B1680="","",IFERROR(INDEX(Client_List!$D:$D,MATCH(B1680,Client_List!$B:$B,0)),""))</f>
        <v/>
      </c>
      <c r="E1680" s="19" t="str">
        <f>IF(B1680="","",IFERROR(INDEX(Client_List!$K:$K,MATCH(B1680,Client_List!$B:$B,0)),""))</f>
        <v/>
      </c>
      <c r="F1680" s="19" t="str">
        <f>IF(B1680="","",IFERROR(INDEX(Client_List!$J:$J,MATCH(B1680,Client_List!$B:$B,0)),""))</f>
        <v/>
      </c>
      <c r="G1680" s="19"/>
      <c r="H1680" s="19" t="str">
        <f>IF(B1680="","",IFERROR(A1680-LOOKUP(2,1/($B$4:$B1679=B1680),$A$4:$A1679),""))</f>
        <v/>
      </c>
      <c r="I1680" s="19" t="str">
        <f t="shared" si="26"/>
        <v/>
      </c>
      <c r="J1680" s="19"/>
      <c r="K1680" s="6" t="str">
        <f>IF(B1680="","",IFERROR(AVERAGEIFS($I$4:$I1680,$B$4:$B1680,B1680,$I$4:$I1680,"&gt;"&amp;0),""))</f>
        <v/>
      </c>
      <c r="L1680" s="19" t="str">
        <f>IF(B1680="","",IF(ISNA(MATCH(B1680,Client_List!$B:$B,0)),"⚠ NOT FOUND","✓"))</f>
        <v/>
      </c>
    </row>
    <row r="1681" spans="1:12" ht="14" customHeight="1" x14ac:dyDescent="0.2">
      <c r="A1681" s="58"/>
      <c r="B1681" s="15"/>
      <c r="C1681" s="16" t="str">
        <f>IF(B1681="","",IFERROR(INDEX(Client_List!$C:$C,MATCH(B1681,Client_List!$B:$B,0)),""))</f>
        <v/>
      </c>
      <c r="D1681" s="16" t="str">
        <f>IF(B1681="","",IFERROR(INDEX(Client_List!$D:$D,MATCH(B1681,Client_List!$B:$B,0)),""))</f>
        <v/>
      </c>
      <c r="E1681" s="16" t="str">
        <f>IF(B1681="","",IFERROR(INDEX(Client_List!$K:$K,MATCH(B1681,Client_List!$B:$B,0)),""))</f>
        <v/>
      </c>
      <c r="F1681" s="16" t="str">
        <f>IF(B1681="","",IFERROR(INDEX(Client_List!$J:$J,MATCH(B1681,Client_List!$B:$B,0)),""))</f>
        <v/>
      </c>
      <c r="G1681" s="16"/>
      <c r="H1681" s="16" t="str">
        <f>IF(B1681="","",IFERROR(A1681-LOOKUP(2,1/($B$4:$B1680=B1681),$A$4:$A1680),""))</f>
        <v/>
      </c>
      <c r="I1681" s="16" t="str">
        <f t="shared" si="26"/>
        <v/>
      </c>
      <c r="J1681" s="16"/>
      <c r="K1681" s="6" t="str">
        <f>IF(B1681="","",IFERROR(AVERAGEIFS($I$4:$I1681,$B$4:$B1681,B1681,$I$4:$I1681,"&gt;"&amp;0),""))</f>
        <v/>
      </c>
      <c r="L1681" s="16" t="str">
        <f>IF(B1681="","",IF(ISNA(MATCH(B1681,Client_List!$B:$B,0)),"⚠ NOT FOUND","✓"))</f>
        <v/>
      </c>
    </row>
    <row r="1682" spans="1:12" ht="14" customHeight="1" x14ac:dyDescent="0.2">
      <c r="A1682" s="59"/>
      <c r="B1682" s="18"/>
      <c r="C1682" s="19" t="str">
        <f>IF(B1682="","",IFERROR(INDEX(Client_List!$C:$C,MATCH(B1682,Client_List!$B:$B,0)),""))</f>
        <v/>
      </c>
      <c r="D1682" s="19" t="str">
        <f>IF(B1682="","",IFERROR(INDEX(Client_List!$D:$D,MATCH(B1682,Client_List!$B:$B,0)),""))</f>
        <v/>
      </c>
      <c r="E1682" s="19" t="str">
        <f>IF(B1682="","",IFERROR(INDEX(Client_List!$K:$K,MATCH(B1682,Client_List!$B:$B,0)),""))</f>
        <v/>
      </c>
      <c r="F1682" s="19" t="str">
        <f>IF(B1682="","",IFERROR(INDEX(Client_List!$J:$J,MATCH(B1682,Client_List!$B:$B,0)),""))</f>
        <v/>
      </c>
      <c r="G1682" s="19"/>
      <c r="H1682" s="19" t="str">
        <f>IF(B1682="","",IFERROR(A1682-LOOKUP(2,1/($B$4:$B1681=B1682),$A$4:$A1681),""))</f>
        <v/>
      </c>
      <c r="I1682" s="19" t="str">
        <f t="shared" si="26"/>
        <v/>
      </c>
      <c r="J1682" s="19"/>
      <c r="K1682" s="6" t="str">
        <f>IF(B1682="","",IFERROR(AVERAGEIFS($I$4:$I1682,$B$4:$B1682,B1682,$I$4:$I1682,"&gt;"&amp;0),""))</f>
        <v/>
      </c>
      <c r="L1682" s="19" t="str">
        <f>IF(B1682="","",IF(ISNA(MATCH(B1682,Client_List!$B:$B,0)),"⚠ NOT FOUND","✓"))</f>
        <v/>
      </c>
    </row>
    <row r="1683" spans="1:12" ht="14" customHeight="1" x14ac:dyDescent="0.2">
      <c r="A1683" s="58"/>
      <c r="B1683" s="15"/>
      <c r="C1683" s="16" t="str">
        <f>IF(B1683="","",IFERROR(INDEX(Client_List!$C:$C,MATCH(B1683,Client_List!$B:$B,0)),""))</f>
        <v/>
      </c>
      <c r="D1683" s="16" t="str">
        <f>IF(B1683="","",IFERROR(INDEX(Client_List!$D:$D,MATCH(B1683,Client_List!$B:$B,0)),""))</f>
        <v/>
      </c>
      <c r="E1683" s="16" t="str">
        <f>IF(B1683="","",IFERROR(INDEX(Client_List!$K:$K,MATCH(B1683,Client_List!$B:$B,0)),""))</f>
        <v/>
      </c>
      <c r="F1683" s="16" t="str">
        <f>IF(B1683="","",IFERROR(INDEX(Client_List!$J:$J,MATCH(B1683,Client_List!$B:$B,0)),""))</f>
        <v/>
      </c>
      <c r="G1683" s="16"/>
      <c r="H1683" s="16" t="str">
        <f>IF(B1683="","",IFERROR(A1683-LOOKUP(2,1/($B$4:$B1682=B1683),$A$4:$A1682),""))</f>
        <v/>
      </c>
      <c r="I1683" s="16" t="str">
        <f t="shared" si="26"/>
        <v/>
      </c>
      <c r="J1683" s="16"/>
      <c r="K1683" s="6" t="str">
        <f>IF(B1683="","",IFERROR(AVERAGEIFS($I$4:$I1683,$B$4:$B1683,B1683,$I$4:$I1683,"&gt;"&amp;0),""))</f>
        <v/>
      </c>
      <c r="L1683" s="16" t="str">
        <f>IF(B1683="","",IF(ISNA(MATCH(B1683,Client_List!$B:$B,0)),"⚠ NOT FOUND","✓"))</f>
        <v/>
      </c>
    </row>
    <row r="1684" spans="1:12" ht="14" customHeight="1" x14ac:dyDescent="0.2">
      <c r="A1684" s="59"/>
      <c r="B1684" s="18"/>
      <c r="C1684" s="19" t="str">
        <f>IF(B1684="","",IFERROR(INDEX(Client_List!$C:$C,MATCH(B1684,Client_List!$B:$B,0)),""))</f>
        <v/>
      </c>
      <c r="D1684" s="19" t="str">
        <f>IF(B1684="","",IFERROR(INDEX(Client_List!$D:$D,MATCH(B1684,Client_List!$B:$B,0)),""))</f>
        <v/>
      </c>
      <c r="E1684" s="19" t="str">
        <f>IF(B1684="","",IFERROR(INDEX(Client_List!$K:$K,MATCH(B1684,Client_List!$B:$B,0)),""))</f>
        <v/>
      </c>
      <c r="F1684" s="19" t="str">
        <f>IF(B1684="","",IFERROR(INDEX(Client_List!$J:$J,MATCH(B1684,Client_List!$B:$B,0)),""))</f>
        <v/>
      </c>
      <c r="G1684" s="19"/>
      <c r="H1684" s="19" t="str">
        <f>IF(B1684="","",IFERROR(A1684-LOOKUP(2,1/($B$4:$B1683=B1684),$A$4:$A1683),""))</f>
        <v/>
      </c>
      <c r="I1684" s="19" t="str">
        <f t="shared" si="26"/>
        <v/>
      </c>
      <c r="J1684" s="19"/>
      <c r="K1684" s="6" t="str">
        <f>IF(B1684="","",IFERROR(AVERAGEIFS($I$4:$I1684,$B$4:$B1684,B1684,$I$4:$I1684,"&gt;"&amp;0),""))</f>
        <v/>
      </c>
      <c r="L1684" s="19" t="str">
        <f>IF(B1684="","",IF(ISNA(MATCH(B1684,Client_List!$B:$B,0)),"⚠ NOT FOUND","✓"))</f>
        <v/>
      </c>
    </row>
    <row r="1685" spans="1:12" ht="14" customHeight="1" x14ac:dyDescent="0.2">
      <c r="A1685" s="58"/>
      <c r="B1685" s="15"/>
      <c r="C1685" s="16" t="str">
        <f>IF(B1685="","",IFERROR(INDEX(Client_List!$C:$C,MATCH(B1685,Client_List!$B:$B,0)),""))</f>
        <v/>
      </c>
      <c r="D1685" s="16" t="str">
        <f>IF(B1685="","",IFERROR(INDEX(Client_List!$D:$D,MATCH(B1685,Client_List!$B:$B,0)),""))</f>
        <v/>
      </c>
      <c r="E1685" s="16" t="str">
        <f>IF(B1685="","",IFERROR(INDEX(Client_List!$K:$K,MATCH(B1685,Client_List!$B:$B,0)),""))</f>
        <v/>
      </c>
      <c r="F1685" s="16" t="str">
        <f>IF(B1685="","",IFERROR(INDEX(Client_List!$J:$J,MATCH(B1685,Client_List!$B:$B,0)),""))</f>
        <v/>
      </c>
      <c r="G1685" s="16"/>
      <c r="H1685" s="16" t="str">
        <f>IF(B1685="","",IFERROR(A1685-LOOKUP(2,1/($B$4:$B1684=B1685),$A$4:$A1684),""))</f>
        <v/>
      </c>
      <c r="I1685" s="16" t="str">
        <f t="shared" si="26"/>
        <v/>
      </c>
      <c r="J1685" s="16"/>
      <c r="K1685" s="6" t="str">
        <f>IF(B1685="","",IFERROR(AVERAGEIFS($I$4:$I1685,$B$4:$B1685,B1685,$I$4:$I1685,"&gt;"&amp;0),""))</f>
        <v/>
      </c>
      <c r="L1685" s="16" t="str">
        <f>IF(B1685="","",IF(ISNA(MATCH(B1685,Client_List!$B:$B,0)),"⚠ NOT FOUND","✓"))</f>
        <v/>
      </c>
    </row>
    <row r="1686" spans="1:12" ht="14" customHeight="1" x14ac:dyDescent="0.2">
      <c r="A1686" s="59"/>
      <c r="B1686" s="18"/>
      <c r="C1686" s="19" t="str">
        <f>IF(B1686="","",IFERROR(INDEX(Client_List!$C:$C,MATCH(B1686,Client_List!$B:$B,0)),""))</f>
        <v/>
      </c>
      <c r="D1686" s="19" t="str">
        <f>IF(B1686="","",IFERROR(INDEX(Client_List!$D:$D,MATCH(B1686,Client_List!$B:$B,0)),""))</f>
        <v/>
      </c>
      <c r="E1686" s="19" t="str">
        <f>IF(B1686="","",IFERROR(INDEX(Client_List!$K:$K,MATCH(B1686,Client_List!$B:$B,0)),""))</f>
        <v/>
      </c>
      <c r="F1686" s="19" t="str">
        <f>IF(B1686="","",IFERROR(INDEX(Client_List!$J:$J,MATCH(B1686,Client_List!$B:$B,0)),""))</f>
        <v/>
      </c>
      <c r="G1686" s="19"/>
      <c r="H1686" s="19" t="str">
        <f>IF(B1686="","",IFERROR(A1686-LOOKUP(2,1/($B$4:$B1685=B1686),$A$4:$A1685),""))</f>
        <v/>
      </c>
      <c r="I1686" s="19" t="str">
        <f t="shared" si="26"/>
        <v/>
      </c>
      <c r="J1686" s="19"/>
      <c r="K1686" s="6" t="str">
        <f>IF(B1686="","",IFERROR(AVERAGEIFS($I$4:$I1686,$B$4:$B1686,B1686,$I$4:$I1686,"&gt;"&amp;0),""))</f>
        <v/>
      </c>
      <c r="L1686" s="19" t="str">
        <f>IF(B1686="","",IF(ISNA(MATCH(B1686,Client_List!$B:$B,0)),"⚠ NOT FOUND","✓"))</f>
        <v/>
      </c>
    </row>
    <row r="1687" spans="1:12" ht="14" customHeight="1" x14ac:dyDescent="0.2">
      <c r="A1687" s="58"/>
      <c r="B1687" s="15"/>
      <c r="C1687" s="16" t="str">
        <f>IF(B1687="","",IFERROR(INDEX(Client_List!$C:$C,MATCH(B1687,Client_List!$B:$B,0)),""))</f>
        <v/>
      </c>
      <c r="D1687" s="16" t="str">
        <f>IF(B1687="","",IFERROR(INDEX(Client_List!$D:$D,MATCH(B1687,Client_List!$B:$B,0)),""))</f>
        <v/>
      </c>
      <c r="E1687" s="16" t="str">
        <f>IF(B1687="","",IFERROR(INDEX(Client_List!$K:$K,MATCH(B1687,Client_List!$B:$B,0)),""))</f>
        <v/>
      </c>
      <c r="F1687" s="16" t="str">
        <f>IF(B1687="","",IFERROR(INDEX(Client_List!$J:$J,MATCH(B1687,Client_List!$B:$B,0)),""))</f>
        <v/>
      </c>
      <c r="G1687" s="16"/>
      <c r="H1687" s="16" t="str">
        <f>IF(B1687="","",IFERROR(A1687-LOOKUP(2,1/($B$4:$B1686=B1687),$A$4:$A1686),""))</f>
        <v/>
      </c>
      <c r="I1687" s="16" t="str">
        <f t="shared" si="26"/>
        <v/>
      </c>
      <c r="J1687" s="16"/>
      <c r="K1687" s="6" t="str">
        <f>IF(B1687="","",IFERROR(AVERAGEIFS($I$4:$I1687,$B$4:$B1687,B1687,$I$4:$I1687,"&gt;"&amp;0),""))</f>
        <v/>
      </c>
      <c r="L1687" s="16" t="str">
        <f>IF(B1687="","",IF(ISNA(MATCH(B1687,Client_List!$B:$B,0)),"⚠ NOT FOUND","✓"))</f>
        <v/>
      </c>
    </row>
    <row r="1688" spans="1:12" ht="14" customHeight="1" x14ac:dyDescent="0.2">
      <c r="A1688" s="59"/>
      <c r="B1688" s="18"/>
      <c r="C1688" s="19" t="str">
        <f>IF(B1688="","",IFERROR(INDEX(Client_List!$C:$C,MATCH(B1688,Client_List!$B:$B,0)),""))</f>
        <v/>
      </c>
      <c r="D1688" s="19" t="str">
        <f>IF(B1688="","",IFERROR(INDEX(Client_List!$D:$D,MATCH(B1688,Client_List!$B:$B,0)),""))</f>
        <v/>
      </c>
      <c r="E1688" s="19" t="str">
        <f>IF(B1688="","",IFERROR(INDEX(Client_List!$K:$K,MATCH(B1688,Client_List!$B:$B,0)),""))</f>
        <v/>
      </c>
      <c r="F1688" s="19" t="str">
        <f>IF(B1688="","",IFERROR(INDEX(Client_List!$J:$J,MATCH(B1688,Client_List!$B:$B,0)),""))</f>
        <v/>
      </c>
      <c r="G1688" s="19"/>
      <c r="H1688" s="19" t="str">
        <f>IF(B1688="","",IFERROR(A1688-LOOKUP(2,1/($B$4:$B1687=B1688),$A$4:$A1687),""))</f>
        <v/>
      </c>
      <c r="I1688" s="19" t="str">
        <f t="shared" si="26"/>
        <v/>
      </c>
      <c r="J1688" s="19"/>
      <c r="K1688" s="6" t="str">
        <f>IF(B1688="","",IFERROR(AVERAGEIFS($I$4:$I1688,$B$4:$B1688,B1688,$I$4:$I1688,"&gt;"&amp;0),""))</f>
        <v/>
      </c>
      <c r="L1688" s="19" t="str">
        <f>IF(B1688="","",IF(ISNA(MATCH(B1688,Client_List!$B:$B,0)),"⚠ NOT FOUND","✓"))</f>
        <v/>
      </c>
    </row>
    <row r="1689" spans="1:12" ht="14" customHeight="1" x14ac:dyDescent="0.2">
      <c r="A1689" s="58"/>
      <c r="B1689" s="15"/>
      <c r="C1689" s="16" t="str">
        <f>IF(B1689="","",IFERROR(INDEX(Client_List!$C:$C,MATCH(B1689,Client_List!$B:$B,0)),""))</f>
        <v/>
      </c>
      <c r="D1689" s="16" t="str">
        <f>IF(B1689="","",IFERROR(INDEX(Client_List!$D:$D,MATCH(B1689,Client_List!$B:$B,0)),""))</f>
        <v/>
      </c>
      <c r="E1689" s="16" t="str">
        <f>IF(B1689="","",IFERROR(INDEX(Client_List!$K:$K,MATCH(B1689,Client_List!$B:$B,0)),""))</f>
        <v/>
      </c>
      <c r="F1689" s="16" t="str">
        <f>IF(B1689="","",IFERROR(INDEX(Client_List!$J:$J,MATCH(B1689,Client_List!$B:$B,0)),""))</f>
        <v/>
      </c>
      <c r="G1689" s="16"/>
      <c r="H1689" s="16" t="str">
        <f>IF(B1689="","",IFERROR(A1689-LOOKUP(2,1/($B$4:$B1688=B1689),$A$4:$A1688),""))</f>
        <v/>
      </c>
      <c r="I1689" s="16" t="str">
        <f t="shared" si="26"/>
        <v/>
      </c>
      <c r="J1689" s="16"/>
      <c r="K1689" s="6" t="str">
        <f>IF(B1689="","",IFERROR(AVERAGEIFS($I$4:$I1689,$B$4:$B1689,B1689,$I$4:$I1689,"&gt;"&amp;0),""))</f>
        <v/>
      </c>
      <c r="L1689" s="16" t="str">
        <f>IF(B1689="","",IF(ISNA(MATCH(B1689,Client_List!$B:$B,0)),"⚠ NOT FOUND","✓"))</f>
        <v/>
      </c>
    </row>
    <row r="1690" spans="1:12" ht="14" customHeight="1" x14ac:dyDescent="0.2">
      <c r="A1690" s="59"/>
      <c r="B1690" s="18"/>
      <c r="C1690" s="19" t="str">
        <f>IF(B1690="","",IFERROR(INDEX(Client_List!$C:$C,MATCH(B1690,Client_List!$B:$B,0)),""))</f>
        <v/>
      </c>
      <c r="D1690" s="19" t="str">
        <f>IF(B1690="","",IFERROR(INDEX(Client_List!$D:$D,MATCH(B1690,Client_List!$B:$B,0)),""))</f>
        <v/>
      </c>
      <c r="E1690" s="19" t="str">
        <f>IF(B1690="","",IFERROR(INDEX(Client_List!$K:$K,MATCH(B1690,Client_List!$B:$B,0)),""))</f>
        <v/>
      </c>
      <c r="F1690" s="19" t="str">
        <f>IF(B1690="","",IFERROR(INDEX(Client_List!$J:$J,MATCH(B1690,Client_List!$B:$B,0)),""))</f>
        <v/>
      </c>
      <c r="G1690" s="19"/>
      <c r="H1690" s="19" t="str">
        <f>IF(B1690="","",IFERROR(A1690-LOOKUP(2,1/($B$4:$B1689=B1690),$A$4:$A1689),""))</f>
        <v/>
      </c>
      <c r="I1690" s="19" t="str">
        <f t="shared" si="26"/>
        <v/>
      </c>
      <c r="J1690" s="19"/>
      <c r="K1690" s="6" t="str">
        <f>IF(B1690="","",IFERROR(AVERAGEIFS($I$4:$I1690,$B$4:$B1690,B1690,$I$4:$I1690,"&gt;"&amp;0),""))</f>
        <v/>
      </c>
      <c r="L1690" s="19" t="str">
        <f>IF(B1690="","",IF(ISNA(MATCH(B1690,Client_List!$B:$B,0)),"⚠ NOT FOUND","✓"))</f>
        <v/>
      </c>
    </row>
    <row r="1691" spans="1:12" ht="14" customHeight="1" x14ac:dyDescent="0.2">
      <c r="A1691" s="58"/>
      <c r="B1691" s="15"/>
      <c r="C1691" s="16" t="str">
        <f>IF(B1691="","",IFERROR(INDEX(Client_List!$C:$C,MATCH(B1691,Client_List!$B:$B,0)),""))</f>
        <v/>
      </c>
      <c r="D1691" s="16" t="str">
        <f>IF(B1691="","",IFERROR(INDEX(Client_List!$D:$D,MATCH(B1691,Client_List!$B:$B,0)),""))</f>
        <v/>
      </c>
      <c r="E1691" s="16" t="str">
        <f>IF(B1691="","",IFERROR(INDEX(Client_List!$K:$K,MATCH(B1691,Client_List!$B:$B,0)),""))</f>
        <v/>
      </c>
      <c r="F1691" s="16" t="str">
        <f>IF(B1691="","",IFERROR(INDEX(Client_List!$J:$J,MATCH(B1691,Client_List!$B:$B,0)),""))</f>
        <v/>
      </c>
      <c r="G1691" s="16"/>
      <c r="H1691" s="16" t="str">
        <f>IF(B1691="","",IFERROR(A1691-LOOKUP(2,1/($B$4:$B1690=B1691),$A$4:$A1690),""))</f>
        <v/>
      </c>
      <c r="I1691" s="16" t="str">
        <f t="shared" si="26"/>
        <v/>
      </c>
      <c r="J1691" s="16"/>
      <c r="K1691" s="6" t="str">
        <f>IF(B1691="","",IFERROR(AVERAGEIFS($I$4:$I1691,$B$4:$B1691,B1691,$I$4:$I1691,"&gt;"&amp;0),""))</f>
        <v/>
      </c>
      <c r="L1691" s="16" t="str">
        <f>IF(B1691="","",IF(ISNA(MATCH(B1691,Client_List!$B:$B,0)),"⚠ NOT FOUND","✓"))</f>
        <v/>
      </c>
    </row>
    <row r="1692" spans="1:12" ht="14" customHeight="1" x14ac:dyDescent="0.2">
      <c r="A1692" s="59"/>
      <c r="B1692" s="18"/>
      <c r="C1692" s="19" t="str">
        <f>IF(B1692="","",IFERROR(INDEX(Client_List!$C:$C,MATCH(B1692,Client_List!$B:$B,0)),""))</f>
        <v/>
      </c>
      <c r="D1692" s="19" t="str">
        <f>IF(B1692="","",IFERROR(INDEX(Client_List!$D:$D,MATCH(B1692,Client_List!$B:$B,0)),""))</f>
        <v/>
      </c>
      <c r="E1692" s="19" t="str">
        <f>IF(B1692="","",IFERROR(INDEX(Client_List!$K:$K,MATCH(B1692,Client_List!$B:$B,0)),""))</f>
        <v/>
      </c>
      <c r="F1692" s="19" t="str">
        <f>IF(B1692="","",IFERROR(INDEX(Client_List!$J:$J,MATCH(B1692,Client_List!$B:$B,0)),""))</f>
        <v/>
      </c>
      <c r="G1692" s="19"/>
      <c r="H1692" s="19" t="str">
        <f>IF(B1692="","",IFERROR(A1692-LOOKUP(2,1/($B$4:$B1691=B1692),$A$4:$A1691),""))</f>
        <v/>
      </c>
      <c r="I1692" s="19" t="str">
        <f t="shared" si="26"/>
        <v/>
      </c>
      <c r="J1692" s="19"/>
      <c r="K1692" s="6" t="str">
        <f>IF(B1692="","",IFERROR(AVERAGEIFS($I$4:$I1692,$B$4:$B1692,B1692,$I$4:$I1692,"&gt;"&amp;0),""))</f>
        <v/>
      </c>
      <c r="L1692" s="19" t="str">
        <f>IF(B1692="","",IF(ISNA(MATCH(B1692,Client_List!$B:$B,0)),"⚠ NOT FOUND","✓"))</f>
        <v/>
      </c>
    </row>
    <row r="1693" spans="1:12" ht="14" customHeight="1" x14ac:dyDescent="0.2">
      <c r="A1693" s="58"/>
      <c r="B1693" s="15"/>
      <c r="C1693" s="16" t="str">
        <f>IF(B1693="","",IFERROR(INDEX(Client_List!$C:$C,MATCH(B1693,Client_List!$B:$B,0)),""))</f>
        <v/>
      </c>
      <c r="D1693" s="16" t="str">
        <f>IF(B1693="","",IFERROR(INDEX(Client_List!$D:$D,MATCH(B1693,Client_List!$B:$B,0)),""))</f>
        <v/>
      </c>
      <c r="E1693" s="16" t="str">
        <f>IF(B1693="","",IFERROR(INDEX(Client_List!$K:$K,MATCH(B1693,Client_List!$B:$B,0)),""))</f>
        <v/>
      </c>
      <c r="F1693" s="16" t="str">
        <f>IF(B1693="","",IFERROR(INDEX(Client_List!$J:$J,MATCH(B1693,Client_List!$B:$B,0)),""))</f>
        <v/>
      </c>
      <c r="G1693" s="16"/>
      <c r="H1693" s="16" t="str">
        <f>IF(B1693="","",IFERROR(A1693-LOOKUP(2,1/($B$4:$B1692=B1693),$A$4:$A1692),""))</f>
        <v/>
      </c>
      <c r="I1693" s="16" t="str">
        <f t="shared" si="26"/>
        <v/>
      </c>
      <c r="J1693" s="16"/>
      <c r="K1693" s="6" t="str">
        <f>IF(B1693="","",IFERROR(AVERAGEIFS($I$4:$I1693,$B$4:$B1693,B1693,$I$4:$I1693,"&gt;"&amp;0),""))</f>
        <v/>
      </c>
      <c r="L1693" s="16" t="str">
        <f>IF(B1693="","",IF(ISNA(MATCH(B1693,Client_List!$B:$B,0)),"⚠ NOT FOUND","✓"))</f>
        <v/>
      </c>
    </row>
    <row r="1694" spans="1:12" ht="14" customHeight="1" x14ac:dyDescent="0.2">
      <c r="A1694" s="59"/>
      <c r="B1694" s="18"/>
      <c r="C1694" s="19" t="str">
        <f>IF(B1694="","",IFERROR(INDEX(Client_List!$C:$C,MATCH(B1694,Client_List!$B:$B,0)),""))</f>
        <v/>
      </c>
      <c r="D1694" s="19" t="str">
        <f>IF(B1694="","",IFERROR(INDEX(Client_List!$D:$D,MATCH(B1694,Client_List!$B:$B,0)),""))</f>
        <v/>
      </c>
      <c r="E1694" s="19" t="str">
        <f>IF(B1694="","",IFERROR(INDEX(Client_List!$K:$K,MATCH(B1694,Client_List!$B:$B,0)),""))</f>
        <v/>
      </c>
      <c r="F1694" s="19" t="str">
        <f>IF(B1694="","",IFERROR(INDEX(Client_List!$J:$J,MATCH(B1694,Client_List!$B:$B,0)),""))</f>
        <v/>
      </c>
      <c r="G1694" s="19"/>
      <c r="H1694" s="19" t="str">
        <f>IF(B1694="","",IFERROR(A1694-LOOKUP(2,1/($B$4:$B1693=B1694),$A$4:$A1693),""))</f>
        <v/>
      </c>
      <c r="I1694" s="19" t="str">
        <f t="shared" si="26"/>
        <v/>
      </c>
      <c r="J1694" s="19"/>
      <c r="K1694" s="6" t="str">
        <f>IF(B1694="","",IFERROR(AVERAGEIFS($I$4:$I1694,$B$4:$B1694,B1694,$I$4:$I1694,"&gt;"&amp;0),""))</f>
        <v/>
      </c>
      <c r="L1694" s="19" t="str">
        <f>IF(B1694="","",IF(ISNA(MATCH(B1694,Client_List!$B:$B,0)),"⚠ NOT FOUND","✓"))</f>
        <v/>
      </c>
    </row>
    <row r="1695" spans="1:12" ht="14" customHeight="1" x14ac:dyDescent="0.2">
      <c r="A1695" s="58"/>
      <c r="B1695" s="15"/>
      <c r="C1695" s="16" t="str">
        <f>IF(B1695="","",IFERROR(INDEX(Client_List!$C:$C,MATCH(B1695,Client_List!$B:$B,0)),""))</f>
        <v/>
      </c>
      <c r="D1695" s="16" t="str">
        <f>IF(B1695="","",IFERROR(INDEX(Client_List!$D:$D,MATCH(B1695,Client_List!$B:$B,0)),""))</f>
        <v/>
      </c>
      <c r="E1695" s="16" t="str">
        <f>IF(B1695="","",IFERROR(INDEX(Client_List!$K:$K,MATCH(B1695,Client_List!$B:$B,0)),""))</f>
        <v/>
      </c>
      <c r="F1695" s="16" t="str">
        <f>IF(B1695="","",IFERROR(INDEX(Client_List!$J:$J,MATCH(B1695,Client_List!$B:$B,0)),""))</f>
        <v/>
      </c>
      <c r="G1695" s="16"/>
      <c r="H1695" s="16" t="str">
        <f>IF(B1695="","",IFERROR(A1695-LOOKUP(2,1/($B$4:$B1694=B1695),$A$4:$A1694),""))</f>
        <v/>
      </c>
      <c r="I1695" s="16" t="str">
        <f t="shared" si="26"/>
        <v/>
      </c>
      <c r="J1695" s="16"/>
      <c r="K1695" s="6" t="str">
        <f>IF(B1695="","",IFERROR(AVERAGEIFS($I$4:$I1695,$B$4:$B1695,B1695,$I$4:$I1695,"&gt;"&amp;0),""))</f>
        <v/>
      </c>
      <c r="L1695" s="16" t="str">
        <f>IF(B1695="","",IF(ISNA(MATCH(B1695,Client_List!$B:$B,0)),"⚠ NOT FOUND","✓"))</f>
        <v/>
      </c>
    </row>
    <row r="1696" spans="1:12" ht="14" customHeight="1" x14ac:dyDescent="0.2">
      <c r="A1696" s="59"/>
      <c r="B1696" s="18"/>
      <c r="C1696" s="19" t="str">
        <f>IF(B1696="","",IFERROR(INDEX(Client_List!$C:$C,MATCH(B1696,Client_List!$B:$B,0)),""))</f>
        <v/>
      </c>
      <c r="D1696" s="19" t="str">
        <f>IF(B1696="","",IFERROR(INDEX(Client_List!$D:$D,MATCH(B1696,Client_List!$B:$B,0)),""))</f>
        <v/>
      </c>
      <c r="E1696" s="19" t="str">
        <f>IF(B1696="","",IFERROR(INDEX(Client_List!$K:$K,MATCH(B1696,Client_List!$B:$B,0)),""))</f>
        <v/>
      </c>
      <c r="F1696" s="19" t="str">
        <f>IF(B1696="","",IFERROR(INDEX(Client_List!$J:$J,MATCH(B1696,Client_List!$B:$B,0)),""))</f>
        <v/>
      </c>
      <c r="G1696" s="19"/>
      <c r="H1696" s="19" t="str">
        <f>IF(B1696="","",IFERROR(A1696-LOOKUP(2,1/($B$4:$B1695=B1696),$A$4:$A1695),""))</f>
        <v/>
      </c>
      <c r="I1696" s="19" t="str">
        <f t="shared" si="26"/>
        <v/>
      </c>
      <c r="J1696" s="19"/>
      <c r="K1696" s="6" t="str">
        <f>IF(B1696="","",IFERROR(AVERAGEIFS($I$4:$I1696,$B$4:$B1696,B1696,$I$4:$I1696,"&gt;"&amp;0),""))</f>
        <v/>
      </c>
      <c r="L1696" s="19" t="str">
        <f>IF(B1696="","",IF(ISNA(MATCH(B1696,Client_List!$B:$B,0)),"⚠ NOT FOUND","✓"))</f>
        <v/>
      </c>
    </row>
    <row r="1697" spans="1:12" ht="14" customHeight="1" x14ac:dyDescent="0.2">
      <c r="A1697" s="58"/>
      <c r="B1697" s="15"/>
      <c r="C1697" s="16" t="str">
        <f>IF(B1697="","",IFERROR(INDEX(Client_List!$C:$C,MATCH(B1697,Client_List!$B:$B,0)),""))</f>
        <v/>
      </c>
      <c r="D1697" s="16" t="str">
        <f>IF(B1697="","",IFERROR(INDEX(Client_List!$D:$D,MATCH(B1697,Client_List!$B:$B,0)),""))</f>
        <v/>
      </c>
      <c r="E1697" s="16" t="str">
        <f>IF(B1697="","",IFERROR(INDEX(Client_List!$K:$K,MATCH(B1697,Client_List!$B:$B,0)),""))</f>
        <v/>
      </c>
      <c r="F1697" s="16" t="str">
        <f>IF(B1697="","",IFERROR(INDEX(Client_List!$J:$J,MATCH(B1697,Client_List!$B:$B,0)),""))</f>
        <v/>
      </c>
      <c r="G1697" s="16"/>
      <c r="H1697" s="16" t="str">
        <f>IF(B1697="","",IFERROR(A1697-LOOKUP(2,1/($B$4:$B1696=B1697),$A$4:$A1696),""))</f>
        <v/>
      </c>
      <c r="I1697" s="16" t="str">
        <f t="shared" si="26"/>
        <v/>
      </c>
      <c r="J1697" s="16"/>
      <c r="K1697" s="6" t="str">
        <f>IF(B1697="","",IFERROR(AVERAGEIFS($I$4:$I1697,$B$4:$B1697,B1697,$I$4:$I1697,"&gt;"&amp;0),""))</f>
        <v/>
      </c>
      <c r="L1697" s="16" t="str">
        <f>IF(B1697="","",IF(ISNA(MATCH(B1697,Client_List!$B:$B,0)),"⚠ NOT FOUND","✓"))</f>
        <v/>
      </c>
    </row>
    <row r="1698" spans="1:12" ht="14" customHeight="1" x14ac:dyDescent="0.2">
      <c r="A1698" s="59"/>
      <c r="B1698" s="18"/>
      <c r="C1698" s="19" t="str">
        <f>IF(B1698="","",IFERROR(INDEX(Client_List!$C:$C,MATCH(B1698,Client_List!$B:$B,0)),""))</f>
        <v/>
      </c>
      <c r="D1698" s="19" t="str">
        <f>IF(B1698="","",IFERROR(INDEX(Client_List!$D:$D,MATCH(B1698,Client_List!$B:$B,0)),""))</f>
        <v/>
      </c>
      <c r="E1698" s="19" t="str">
        <f>IF(B1698="","",IFERROR(INDEX(Client_List!$K:$K,MATCH(B1698,Client_List!$B:$B,0)),""))</f>
        <v/>
      </c>
      <c r="F1698" s="19" t="str">
        <f>IF(B1698="","",IFERROR(INDEX(Client_List!$J:$J,MATCH(B1698,Client_List!$B:$B,0)),""))</f>
        <v/>
      </c>
      <c r="G1698" s="19"/>
      <c r="H1698" s="19" t="str">
        <f>IF(B1698="","",IFERROR(A1698-LOOKUP(2,1/($B$4:$B1697=B1698),$A$4:$A1697),""))</f>
        <v/>
      </c>
      <c r="I1698" s="19" t="str">
        <f t="shared" si="26"/>
        <v/>
      </c>
      <c r="J1698" s="19"/>
      <c r="K1698" s="6" t="str">
        <f>IF(B1698="","",IFERROR(AVERAGEIFS($I$4:$I1698,$B$4:$B1698,B1698,$I$4:$I1698,"&gt;"&amp;0),""))</f>
        <v/>
      </c>
      <c r="L1698" s="19" t="str">
        <f>IF(B1698="","",IF(ISNA(MATCH(B1698,Client_List!$B:$B,0)),"⚠ NOT FOUND","✓"))</f>
        <v/>
      </c>
    </row>
    <row r="1699" spans="1:12" ht="14" customHeight="1" x14ac:dyDescent="0.2">
      <c r="A1699" s="58"/>
      <c r="B1699" s="15"/>
      <c r="C1699" s="16" t="str">
        <f>IF(B1699="","",IFERROR(INDEX(Client_List!$C:$C,MATCH(B1699,Client_List!$B:$B,0)),""))</f>
        <v/>
      </c>
      <c r="D1699" s="16" t="str">
        <f>IF(B1699="","",IFERROR(INDEX(Client_List!$D:$D,MATCH(B1699,Client_List!$B:$B,0)),""))</f>
        <v/>
      </c>
      <c r="E1699" s="16" t="str">
        <f>IF(B1699="","",IFERROR(INDEX(Client_List!$K:$K,MATCH(B1699,Client_List!$B:$B,0)),""))</f>
        <v/>
      </c>
      <c r="F1699" s="16" t="str">
        <f>IF(B1699="","",IFERROR(INDEX(Client_List!$J:$J,MATCH(B1699,Client_List!$B:$B,0)),""))</f>
        <v/>
      </c>
      <c r="G1699" s="16"/>
      <c r="H1699" s="16" t="str">
        <f>IF(B1699="","",IFERROR(A1699-LOOKUP(2,1/($B$4:$B1698=B1699),$A$4:$A1698),""))</f>
        <v/>
      </c>
      <c r="I1699" s="16" t="str">
        <f t="shared" si="26"/>
        <v/>
      </c>
      <c r="J1699" s="16"/>
      <c r="K1699" s="6" t="str">
        <f>IF(B1699="","",IFERROR(AVERAGEIFS($I$4:$I1699,$B$4:$B1699,B1699,$I$4:$I1699,"&gt;"&amp;0),""))</f>
        <v/>
      </c>
      <c r="L1699" s="16" t="str">
        <f>IF(B1699="","",IF(ISNA(MATCH(B1699,Client_List!$B:$B,0)),"⚠ NOT FOUND","✓"))</f>
        <v/>
      </c>
    </row>
    <row r="1700" spans="1:12" ht="14" customHeight="1" x14ac:dyDescent="0.2">
      <c r="A1700" s="59"/>
      <c r="B1700" s="18"/>
      <c r="C1700" s="19" t="str">
        <f>IF(B1700="","",IFERROR(INDEX(Client_List!$C:$C,MATCH(B1700,Client_List!$B:$B,0)),""))</f>
        <v/>
      </c>
      <c r="D1700" s="19" t="str">
        <f>IF(B1700="","",IFERROR(INDEX(Client_List!$D:$D,MATCH(B1700,Client_List!$B:$B,0)),""))</f>
        <v/>
      </c>
      <c r="E1700" s="19" t="str">
        <f>IF(B1700="","",IFERROR(INDEX(Client_List!$K:$K,MATCH(B1700,Client_List!$B:$B,0)),""))</f>
        <v/>
      </c>
      <c r="F1700" s="19" t="str">
        <f>IF(B1700="","",IFERROR(INDEX(Client_List!$J:$J,MATCH(B1700,Client_List!$B:$B,0)),""))</f>
        <v/>
      </c>
      <c r="G1700" s="19"/>
      <c r="H1700" s="19" t="str">
        <f>IF(B1700="","",IFERROR(A1700-LOOKUP(2,1/($B$4:$B1699=B1700),$A$4:$A1699),""))</f>
        <v/>
      </c>
      <c r="I1700" s="19" t="str">
        <f t="shared" si="26"/>
        <v/>
      </c>
      <c r="J1700" s="19"/>
      <c r="K1700" s="6" t="str">
        <f>IF(B1700="","",IFERROR(AVERAGEIFS($I$4:$I1700,$B$4:$B1700,B1700,$I$4:$I1700,"&gt;"&amp;0),""))</f>
        <v/>
      </c>
      <c r="L1700" s="19" t="str">
        <f>IF(B1700="","",IF(ISNA(MATCH(B1700,Client_List!$B:$B,0)),"⚠ NOT FOUND","✓"))</f>
        <v/>
      </c>
    </row>
    <row r="1701" spans="1:12" ht="14" customHeight="1" x14ac:dyDescent="0.2">
      <c r="A1701" s="58"/>
      <c r="B1701" s="15"/>
      <c r="C1701" s="16" t="str">
        <f>IF(B1701="","",IFERROR(INDEX(Client_List!$C:$C,MATCH(B1701,Client_List!$B:$B,0)),""))</f>
        <v/>
      </c>
      <c r="D1701" s="16" t="str">
        <f>IF(B1701="","",IFERROR(INDEX(Client_List!$D:$D,MATCH(B1701,Client_List!$B:$B,0)),""))</f>
        <v/>
      </c>
      <c r="E1701" s="16" t="str">
        <f>IF(B1701="","",IFERROR(INDEX(Client_List!$K:$K,MATCH(B1701,Client_List!$B:$B,0)),""))</f>
        <v/>
      </c>
      <c r="F1701" s="16" t="str">
        <f>IF(B1701="","",IFERROR(INDEX(Client_List!$J:$J,MATCH(B1701,Client_List!$B:$B,0)),""))</f>
        <v/>
      </c>
      <c r="G1701" s="16"/>
      <c r="H1701" s="16" t="str">
        <f>IF(B1701="","",IFERROR(A1701-LOOKUP(2,1/($B$4:$B1700=B1701),$A$4:$A1700),""))</f>
        <v/>
      </c>
      <c r="I1701" s="16" t="str">
        <f t="shared" si="26"/>
        <v/>
      </c>
      <c r="J1701" s="16"/>
      <c r="K1701" s="6" t="str">
        <f>IF(B1701="","",IFERROR(AVERAGEIFS($I$4:$I1701,$B$4:$B1701,B1701,$I$4:$I1701,"&gt;"&amp;0),""))</f>
        <v/>
      </c>
      <c r="L1701" s="16" t="str">
        <f>IF(B1701="","",IF(ISNA(MATCH(B1701,Client_List!$B:$B,0)),"⚠ NOT FOUND","✓"))</f>
        <v/>
      </c>
    </row>
    <row r="1702" spans="1:12" ht="14" customHeight="1" x14ac:dyDescent="0.2">
      <c r="A1702" s="59"/>
      <c r="B1702" s="18"/>
      <c r="C1702" s="19" t="str">
        <f>IF(B1702="","",IFERROR(INDEX(Client_List!$C:$C,MATCH(B1702,Client_List!$B:$B,0)),""))</f>
        <v/>
      </c>
      <c r="D1702" s="19" t="str">
        <f>IF(B1702="","",IFERROR(INDEX(Client_List!$D:$D,MATCH(B1702,Client_List!$B:$B,0)),""))</f>
        <v/>
      </c>
      <c r="E1702" s="19" t="str">
        <f>IF(B1702="","",IFERROR(INDEX(Client_List!$K:$K,MATCH(B1702,Client_List!$B:$B,0)),""))</f>
        <v/>
      </c>
      <c r="F1702" s="19" t="str">
        <f>IF(B1702="","",IFERROR(INDEX(Client_List!$J:$J,MATCH(B1702,Client_List!$B:$B,0)),""))</f>
        <v/>
      </c>
      <c r="G1702" s="19"/>
      <c r="H1702" s="19" t="str">
        <f>IF(B1702="","",IFERROR(A1702-LOOKUP(2,1/($B$4:$B1701=B1702),$A$4:$A1701),""))</f>
        <v/>
      </c>
      <c r="I1702" s="19" t="str">
        <f t="shared" si="26"/>
        <v/>
      </c>
      <c r="J1702" s="19"/>
      <c r="K1702" s="6" t="str">
        <f>IF(B1702="","",IFERROR(AVERAGEIFS($I$4:$I1702,$B$4:$B1702,B1702,$I$4:$I1702,"&gt;"&amp;0),""))</f>
        <v/>
      </c>
      <c r="L1702" s="19" t="str">
        <f>IF(B1702="","",IF(ISNA(MATCH(B1702,Client_List!$B:$B,0)),"⚠ NOT FOUND","✓"))</f>
        <v/>
      </c>
    </row>
    <row r="1703" spans="1:12" ht="14" customHeight="1" x14ac:dyDescent="0.2">
      <c r="A1703" s="58"/>
      <c r="B1703" s="15"/>
      <c r="C1703" s="16" t="str">
        <f>IF(B1703="","",IFERROR(INDEX(Client_List!$C:$C,MATCH(B1703,Client_List!$B:$B,0)),""))</f>
        <v/>
      </c>
      <c r="D1703" s="16" t="str">
        <f>IF(B1703="","",IFERROR(INDEX(Client_List!$D:$D,MATCH(B1703,Client_List!$B:$B,0)),""))</f>
        <v/>
      </c>
      <c r="E1703" s="16" t="str">
        <f>IF(B1703="","",IFERROR(INDEX(Client_List!$K:$K,MATCH(B1703,Client_List!$B:$B,0)),""))</f>
        <v/>
      </c>
      <c r="F1703" s="16" t="str">
        <f>IF(B1703="","",IFERROR(INDEX(Client_List!$J:$J,MATCH(B1703,Client_List!$B:$B,0)),""))</f>
        <v/>
      </c>
      <c r="G1703" s="16"/>
      <c r="H1703" s="16" t="str">
        <f>IF(B1703="","",IFERROR(A1703-LOOKUP(2,1/($B$4:$B1702=B1703),$A$4:$A1702),""))</f>
        <v/>
      </c>
      <c r="I1703" s="16" t="str">
        <f t="shared" si="26"/>
        <v/>
      </c>
      <c r="J1703" s="16"/>
      <c r="K1703" s="6" t="str">
        <f>IF(B1703="","",IFERROR(AVERAGEIFS($I$4:$I1703,$B$4:$B1703,B1703,$I$4:$I1703,"&gt;"&amp;0),""))</f>
        <v/>
      </c>
      <c r="L1703" s="16" t="str">
        <f>IF(B1703="","",IF(ISNA(MATCH(B1703,Client_List!$B:$B,0)),"⚠ NOT FOUND","✓"))</f>
        <v/>
      </c>
    </row>
    <row r="1704" spans="1:12" ht="14" customHeight="1" x14ac:dyDescent="0.2">
      <c r="A1704" s="59"/>
      <c r="B1704" s="18"/>
      <c r="C1704" s="19" t="str">
        <f>IF(B1704="","",IFERROR(INDEX(Client_List!$C:$C,MATCH(B1704,Client_List!$B:$B,0)),""))</f>
        <v/>
      </c>
      <c r="D1704" s="19" t="str">
        <f>IF(B1704="","",IFERROR(INDEX(Client_List!$D:$D,MATCH(B1704,Client_List!$B:$B,0)),""))</f>
        <v/>
      </c>
      <c r="E1704" s="19" t="str">
        <f>IF(B1704="","",IFERROR(INDEX(Client_List!$K:$K,MATCH(B1704,Client_List!$B:$B,0)),""))</f>
        <v/>
      </c>
      <c r="F1704" s="19" t="str">
        <f>IF(B1704="","",IFERROR(INDEX(Client_List!$J:$J,MATCH(B1704,Client_List!$B:$B,0)),""))</f>
        <v/>
      </c>
      <c r="G1704" s="19"/>
      <c r="H1704" s="19" t="str">
        <f>IF(B1704="","",IFERROR(A1704-LOOKUP(2,1/($B$4:$B1703=B1704),$A$4:$A1703),""))</f>
        <v/>
      </c>
      <c r="I1704" s="19" t="str">
        <f t="shared" si="26"/>
        <v/>
      </c>
      <c r="J1704" s="19"/>
      <c r="K1704" s="6" t="str">
        <f>IF(B1704="","",IFERROR(AVERAGEIFS($I$4:$I1704,$B$4:$B1704,B1704,$I$4:$I1704,"&gt;"&amp;0),""))</f>
        <v/>
      </c>
      <c r="L1704" s="19" t="str">
        <f>IF(B1704="","",IF(ISNA(MATCH(B1704,Client_List!$B:$B,0)),"⚠ NOT FOUND","✓"))</f>
        <v/>
      </c>
    </row>
    <row r="1705" spans="1:12" ht="14" customHeight="1" x14ac:dyDescent="0.2">
      <c r="A1705" s="58"/>
      <c r="B1705" s="15"/>
      <c r="C1705" s="16" t="str">
        <f>IF(B1705="","",IFERROR(INDEX(Client_List!$C:$C,MATCH(B1705,Client_List!$B:$B,0)),""))</f>
        <v/>
      </c>
      <c r="D1705" s="16" t="str">
        <f>IF(B1705="","",IFERROR(INDEX(Client_List!$D:$D,MATCH(B1705,Client_List!$B:$B,0)),""))</f>
        <v/>
      </c>
      <c r="E1705" s="16" t="str">
        <f>IF(B1705="","",IFERROR(INDEX(Client_List!$K:$K,MATCH(B1705,Client_List!$B:$B,0)),""))</f>
        <v/>
      </c>
      <c r="F1705" s="16" t="str">
        <f>IF(B1705="","",IFERROR(INDEX(Client_List!$J:$J,MATCH(B1705,Client_List!$B:$B,0)),""))</f>
        <v/>
      </c>
      <c r="G1705" s="16"/>
      <c r="H1705" s="16" t="str">
        <f>IF(B1705="","",IFERROR(A1705-LOOKUP(2,1/($B$4:$B1704=B1705),$A$4:$A1704),""))</f>
        <v/>
      </c>
      <c r="I1705" s="16" t="str">
        <f t="shared" si="26"/>
        <v/>
      </c>
      <c r="J1705" s="16"/>
      <c r="K1705" s="6" t="str">
        <f>IF(B1705="","",IFERROR(AVERAGEIFS($I$4:$I1705,$B$4:$B1705,B1705,$I$4:$I1705,"&gt;"&amp;0),""))</f>
        <v/>
      </c>
      <c r="L1705" s="16" t="str">
        <f>IF(B1705="","",IF(ISNA(MATCH(B1705,Client_List!$B:$B,0)),"⚠ NOT FOUND","✓"))</f>
        <v/>
      </c>
    </row>
    <row r="1706" spans="1:12" ht="14" customHeight="1" x14ac:dyDescent="0.2">
      <c r="A1706" s="59"/>
      <c r="B1706" s="18"/>
      <c r="C1706" s="19" t="str">
        <f>IF(B1706="","",IFERROR(INDEX(Client_List!$C:$C,MATCH(B1706,Client_List!$B:$B,0)),""))</f>
        <v/>
      </c>
      <c r="D1706" s="19" t="str">
        <f>IF(B1706="","",IFERROR(INDEX(Client_List!$D:$D,MATCH(B1706,Client_List!$B:$B,0)),""))</f>
        <v/>
      </c>
      <c r="E1706" s="19" t="str">
        <f>IF(B1706="","",IFERROR(INDEX(Client_List!$K:$K,MATCH(B1706,Client_List!$B:$B,0)),""))</f>
        <v/>
      </c>
      <c r="F1706" s="19" t="str">
        <f>IF(B1706="","",IFERROR(INDEX(Client_List!$J:$J,MATCH(B1706,Client_List!$B:$B,0)),""))</f>
        <v/>
      </c>
      <c r="G1706" s="19"/>
      <c r="H1706" s="19" t="str">
        <f>IF(B1706="","",IFERROR(A1706-LOOKUP(2,1/($B$4:$B1705=B1706),$A$4:$A1705),""))</f>
        <v/>
      </c>
      <c r="I1706" s="19" t="str">
        <f t="shared" si="26"/>
        <v/>
      </c>
      <c r="J1706" s="19"/>
      <c r="K1706" s="6" t="str">
        <f>IF(B1706="","",IFERROR(AVERAGEIFS($I$4:$I1706,$B$4:$B1706,B1706,$I$4:$I1706,"&gt;"&amp;0),""))</f>
        <v/>
      </c>
      <c r="L1706" s="19" t="str">
        <f>IF(B1706="","",IF(ISNA(MATCH(B1706,Client_List!$B:$B,0)),"⚠ NOT FOUND","✓"))</f>
        <v/>
      </c>
    </row>
    <row r="1707" spans="1:12" ht="14" customHeight="1" x14ac:dyDescent="0.2">
      <c r="A1707" s="58"/>
      <c r="B1707" s="15"/>
      <c r="C1707" s="16" t="str">
        <f>IF(B1707="","",IFERROR(INDEX(Client_List!$C:$C,MATCH(B1707,Client_List!$B:$B,0)),""))</f>
        <v/>
      </c>
      <c r="D1707" s="16" t="str">
        <f>IF(B1707="","",IFERROR(INDEX(Client_List!$D:$D,MATCH(B1707,Client_List!$B:$B,0)),""))</f>
        <v/>
      </c>
      <c r="E1707" s="16" t="str">
        <f>IF(B1707="","",IFERROR(INDEX(Client_List!$K:$K,MATCH(B1707,Client_List!$B:$B,0)),""))</f>
        <v/>
      </c>
      <c r="F1707" s="16" t="str">
        <f>IF(B1707="","",IFERROR(INDEX(Client_List!$J:$J,MATCH(B1707,Client_List!$B:$B,0)),""))</f>
        <v/>
      </c>
      <c r="G1707" s="16"/>
      <c r="H1707" s="16" t="str">
        <f>IF(B1707="","",IFERROR(A1707-LOOKUP(2,1/($B$4:$B1706=B1707),$A$4:$A1706),""))</f>
        <v/>
      </c>
      <c r="I1707" s="16" t="str">
        <f t="shared" si="26"/>
        <v/>
      </c>
      <c r="J1707" s="16"/>
      <c r="K1707" s="6" t="str">
        <f>IF(B1707="","",IFERROR(AVERAGEIFS($I$4:$I1707,$B$4:$B1707,B1707,$I$4:$I1707,"&gt;"&amp;0),""))</f>
        <v/>
      </c>
      <c r="L1707" s="16" t="str">
        <f>IF(B1707="","",IF(ISNA(MATCH(B1707,Client_List!$B:$B,0)),"⚠ NOT FOUND","✓"))</f>
        <v/>
      </c>
    </row>
    <row r="1708" spans="1:12" ht="14" customHeight="1" x14ac:dyDescent="0.2">
      <c r="A1708" s="59"/>
      <c r="B1708" s="18"/>
      <c r="C1708" s="19" t="str">
        <f>IF(B1708="","",IFERROR(INDEX(Client_List!$C:$C,MATCH(B1708,Client_List!$B:$B,0)),""))</f>
        <v/>
      </c>
      <c r="D1708" s="19" t="str">
        <f>IF(B1708="","",IFERROR(INDEX(Client_List!$D:$D,MATCH(B1708,Client_List!$B:$B,0)),""))</f>
        <v/>
      </c>
      <c r="E1708" s="19" t="str">
        <f>IF(B1708="","",IFERROR(INDEX(Client_List!$K:$K,MATCH(B1708,Client_List!$B:$B,0)),""))</f>
        <v/>
      </c>
      <c r="F1708" s="19" t="str">
        <f>IF(B1708="","",IFERROR(INDEX(Client_List!$J:$J,MATCH(B1708,Client_List!$B:$B,0)),""))</f>
        <v/>
      </c>
      <c r="G1708" s="19"/>
      <c r="H1708" s="19" t="str">
        <f>IF(B1708="","",IFERROR(A1708-LOOKUP(2,1/($B$4:$B1707=B1708),$A$4:$A1707),""))</f>
        <v/>
      </c>
      <c r="I1708" s="19" t="str">
        <f t="shared" si="26"/>
        <v/>
      </c>
      <c r="J1708" s="19"/>
      <c r="K1708" s="6" t="str">
        <f>IF(B1708="","",IFERROR(AVERAGEIFS($I$4:$I1708,$B$4:$B1708,B1708,$I$4:$I1708,"&gt;"&amp;0),""))</f>
        <v/>
      </c>
      <c r="L1708" s="19" t="str">
        <f>IF(B1708="","",IF(ISNA(MATCH(B1708,Client_List!$B:$B,0)),"⚠ NOT FOUND","✓"))</f>
        <v/>
      </c>
    </row>
    <row r="1709" spans="1:12" ht="14" customHeight="1" x14ac:dyDescent="0.2">
      <c r="A1709" s="58"/>
      <c r="B1709" s="15"/>
      <c r="C1709" s="16" t="str">
        <f>IF(B1709="","",IFERROR(INDEX(Client_List!$C:$C,MATCH(B1709,Client_List!$B:$B,0)),""))</f>
        <v/>
      </c>
      <c r="D1709" s="16" t="str">
        <f>IF(B1709="","",IFERROR(INDEX(Client_List!$D:$D,MATCH(B1709,Client_List!$B:$B,0)),""))</f>
        <v/>
      </c>
      <c r="E1709" s="16" t="str">
        <f>IF(B1709="","",IFERROR(INDEX(Client_List!$K:$K,MATCH(B1709,Client_List!$B:$B,0)),""))</f>
        <v/>
      </c>
      <c r="F1709" s="16" t="str">
        <f>IF(B1709="","",IFERROR(INDEX(Client_List!$J:$J,MATCH(B1709,Client_List!$B:$B,0)),""))</f>
        <v/>
      </c>
      <c r="G1709" s="16"/>
      <c r="H1709" s="16" t="str">
        <f>IF(B1709="","",IFERROR(A1709-LOOKUP(2,1/($B$4:$B1708=B1709),$A$4:$A1708),""))</f>
        <v/>
      </c>
      <c r="I1709" s="16" t="str">
        <f t="shared" si="26"/>
        <v/>
      </c>
      <c r="J1709" s="16"/>
      <c r="K1709" s="6" t="str">
        <f>IF(B1709="","",IFERROR(AVERAGEIFS($I$4:$I1709,$B$4:$B1709,B1709,$I$4:$I1709,"&gt;"&amp;0),""))</f>
        <v/>
      </c>
      <c r="L1709" s="16" t="str">
        <f>IF(B1709="","",IF(ISNA(MATCH(B1709,Client_List!$B:$B,0)),"⚠ NOT FOUND","✓"))</f>
        <v/>
      </c>
    </row>
    <row r="1710" spans="1:12" ht="14" customHeight="1" x14ac:dyDescent="0.2">
      <c r="A1710" s="59"/>
      <c r="B1710" s="18"/>
      <c r="C1710" s="19" t="str">
        <f>IF(B1710="","",IFERROR(INDEX(Client_List!$C:$C,MATCH(B1710,Client_List!$B:$B,0)),""))</f>
        <v/>
      </c>
      <c r="D1710" s="19" t="str">
        <f>IF(B1710="","",IFERROR(INDEX(Client_List!$D:$D,MATCH(B1710,Client_List!$B:$B,0)),""))</f>
        <v/>
      </c>
      <c r="E1710" s="19" t="str">
        <f>IF(B1710="","",IFERROR(INDEX(Client_List!$K:$K,MATCH(B1710,Client_List!$B:$B,0)),""))</f>
        <v/>
      </c>
      <c r="F1710" s="19" t="str">
        <f>IF(B1710="","",IFERROR(INDEX(Client_List!$J:$J,MATCH(B1710,Client_List!$B:$B,0)),""))</f>
        <v/>
      </c>
      <c r="G1710" s="19"/>
      <c r="H1710" s="19" t="str">
        <f>IF(B1710="","",IFERROR(A1710-LOOKUP(2,1/($B$4:$B1709=B1710),$A$4:$A1709),""))</f>
        <v/>
      </c>
      <c r="I1710" s="19" t="str">
        <f t="shared" si="26"/>
        <v/>
      </c>
      <c r="J1710" s="19"/>
      <c r="K1710" s="6" t="str">
        <f>IF(B1710="","",IFERROR(AVERAGEIFS($I$4:$I1710,$B$4:$B1710,B1710,$I$4:$I1710,"&gt;"&amp;0),""))</f>
        <v/>
      </c>
      <c r="L1710" s="19" t="str">
        <f>IF(B1710="","",IF(ISNA(MATCH(B1710,Client_List!$B:$B,0)),"⚠ NOT FOUND","✓"))</f>
        <v/>
      </c>
    </row>
    <row r="1711" spans="1:12" ht="14" customHeight="1" x14ac:dyDescent="0.2">
      <c r="A1711" s="58"/>
      <c r="B1711" s="15"/>
      <c r="C1711" s="16" t="str">
        <f>IF(B1711="","",IFERROR(INDEX(Client_List!$C:$C,MATCH(B1711,Client_List!$B:$B,0)),""))</f>
        <v/>
      </c>
      <c r="D1711" s="16" t="str">
        <f>IF(B1711="","",IFERROR(INDEX(Client_List!$D:$D,MATCH(B1711,Client_List!$B:$B,0)),""))</f>
        <v/>
      </c>
      <c r="E1711" s="16" t="str">
        <f>IF(B1711="","",IFERROR(INDEX(Client_List!$K:$K,MATCH(B1711,Client_List!$B:$B,0)),""))</f>
        <v/>
      </c>
      <c r="F1711" s="16" t="str">
        <f>IF(B1711="","",IFERROR(INDEX(Client_List!$J:$J,MATCH(B1711,Client_List!$B:$B,0)),""))</f>
        <v/>
      </c>
      <c r="G1711" s="16"/>
      <c r="H1711" s="16" t="str">
        <f>IF(B1711="","",IFERROR(A1711-LOOKUP(2,1/($B$4:$B1710=B1711),$A$4:$A1710),""))</f>
        <v/>
      </c>
      <c r="I1711" s="16" t="str">
        <f t="shared" si="26"/>
        <v/>
      </c>
      <c r="J1711" s="16"/>
      <c r="K1711" s="6" t="str">
        <f>IF(B1711="","",IFERROR(AVERAGEIFS($I$4:$I1711,$B$4:$B1711,B1711,$I$4:$I1711,"&gt;"&amp;0),""))</f>
        <v/>
      </c>
      <c r="L1711" s="16" t="str">
        <f>IF(B1711="","",IF(ISNA(MATCH(B1711,Client_List!$B:$B,0)),"⚠ NOT FOUND","✓"))</f>
        <v/>
      </c>
    </row>
    <row r="1712" spans="1:12" ht="14" customHeight="1" x14ac:dyDescent="0.2">
      <c r="A1712" s="59"/>
      <c r="B1712" s="18"/>
      <c r="C1712" s="19" t="str">
        <f>IF(B1712="","",IFERROR(INDEX(Client_List!$C:$C,MATCH(B1712,Client_List!$B:$B,0)),""))</f>
        <v/>
      </c>
      <c r="D1712" s="19" t="str">
        <f>IF(B1712="","",IFERROR(INDEX(Client_List!$D:$D,MATCH(B1712,Client_List!$B:$B,0)),""))</f>
        <v/>
      </c>
      <c r="E1712" s="19" t="str">
        <f>IF(B1712="","",IFERROR(INDEX(Client_List!$K:$K,MATCH(B1712,Client_List!$B:$B,0)),""))</f>
        <v/>
      </c>
      <c r="F1712" s="19" t="str">
        <f>IF(B1712="","",IFERROR(INDEX(Client_List!$J:$J,MATCH(B1712,Client_List!$B:$B,0)),""))</f>
        <v/>
      </c>
      <c r="G1712" s="19"/>
      <c r="H1712" s="19" t="str">
        <f>IF(B1712="","",IFERROR(A1712-LOOKUP(2,1/($B$4:$B1711=B1712),$A$4:$A1711),""))</f>
        <v/>
      </c>
      <c r="I1712" s="19" t="str">
        <f t="shared" si="26"/>
        <v/>
      </c>
      <c r="J1712" s="19"/>
      <c r="K1712" s="6" t="str">
        <f>IF(B1712="","",IFERROR(AVERAGEIFS($I$4:$I1712,$B$4:$B1712,B1712,$I$4:$I1712,"&gt;"&amp;0),""))</f>
        <v/>
      </c>
      <c r="L1712" s="19" t="str">
        <f>IF(B1712="","",IF(ISNA(MATCH(B1712,Client_List!$B:$B,0)),"⚠ NOT FOUND","✓"))</f>
        <v/>
      </c>
    </row>
    <row r="1713" spans="1:12" ht="14" customHeight="1" x14ac:dyDescent="0.2">
      <c r="A1713" s="58"/>
      <c r="B1713" s="15"/>
      <c r="C1713" s="16" t="str">
        <f>IF(B1713="","",IFERROR(INDEX(Client_List!$C:$C,MATCH(B1713,Client_List!$B:$B,0)),""))</f>
        <v/>
      </c>
      <c r="D1713" s="16" t="str">
        <f>IF(B1713="","",IFERROR(INDEX(Client_List!$D:$D,MATCH(B1713,Client_List!$B:$B,0)),""))</f>
        <v/>
      </c>
      <c r="E1713" s="16" t="str">
        <f>IF(B1713="","",IFERROR(INDEX(Client_List!$K:$K,MATCH(B1713,Client_List!$B:$B,0)),""))</f>
        <v/>
      </c>
      <c r="F1713" s="16" t="str">
        <f>IF(B1713="","",IFERROR(INDEX(Client_List!$J:$J,MATCH(B1713,Client_List!$B:$B,0)),""))</f>
        <v/>
      </c>
      <c r="G1713" s="16"/>
      <c r="H1713" s="16" t="str">
        <f>IF(B1713="","",IFERROR(A1713-LOOKUP(2,1/($B$4:$B1712=B1713),$A$4:$A1712),""))</f>
        <v/>
      </c>
      <c r="I1713" s="16" t="str">
        <f t="shared" si="26"/>
        <v/>
      </c>
      <c r="J1713" s="16"/>
      <c r="K1713" s="6" t="str">
        <f>IF(B1713="","",IFERROR(AVERAGEIFS($I$4:$I1713,$B$4:$B1713,B1713,$I$4:$I1713,"&gt;"&amp;0),""))</f>
        <v/>
      </c>
      <c r="L1713" s="16" t="str">
        <f>IF(B1713="","",IF(ISNA(MATCH(B1713,Client_List!$B:$B,0)),"⚠ NOT FOUND","✓"))</f>
        <v/>
      </c>
    </row>
    <row r="1714" spans="1:12" ht="14" customHeight="1" x14ac:dyDescent="0.2">
      <c r="A1714" s="59"/>
      <c r="B1714" s="18"/>
      <c r="C1714" s="19" t="str">
        <f>IF(B1714="","",IFERROR(INDEX(Client_List!$C:$C,MATCH(B1714,Client_List!$B:$B,0)),""))</f>
        <v/>
      </c>
      <c r="D1714" s="19" t="str">
        <f>IF(B1714="","",IFERROR(INDEX(Client_List!$D:$D,MATCH(B1714,Client_List!$B:$B,0)),""))</f>
        <v/>
      </c>
      <c r="E1714" s="19" t="str">
        <f>IF(B1714="","",IFERROR(INDEX(Client_List!$K:$K,MATCH(B1714,Client_List!$B:$B,0)),""))</f>
        <v/>
      </c>
      <c r="F1714" s="19" t="str">
        <f>IF(B1714="","",IFERROR(INDEX(Client_List!$J:$J,MATCH(B1714,Client_List!$B:$B,0)),""))</f>
        <v/>
      </c>
      <c r="G1714" s="19"/>
      <c r="H1714" s="19" t="str">
        <f>IF(B1714="","",IFERROR(A1714-LOOKUP(2,1/($B$4:$B1713=B1714),$A$4:$A1713),""))</f>
        <v/>
      </c>
      <c r="I1714" s="19" t="str">
        <f t="shared" si="26"/>
        <v/>
      </c>
      <c r="J1714" s="19"/>
      <c r="K1714" s="6" t="str">
        <f>IF(B1714="","",IFERROR(AVERAGEIFS($I$4:$I1714,$B$4:$B1714,B1714,$I$4:$I1714,"&gt;"&amp;0),""))</f>
        <v/>
      </c>
      <c r="L1714" s="19" t="str">
        <f>IF(B1714="","",IF(ISNA(MATCH(B1714,Client_List!$B:$B,0)),"⚠ NOT FOUND","✓"))</f>
        <v/>
      </c>
    </row>
    <row r="1715" spans="1:12" ht="14" customHeight="1" x14ac:dyDescent="0.2">
      <c r="A1715" s="58"/>
      <c r="B1715" s="15"/>
      <c r="C1715" s="16" t="str">
        <f>IF(B1715="","",IFERROR(INDEX(Client_List!$C:$C,MATCH(B1715,Client_List!$B:$B,0)),""))</f>
        <v/>
      </c>
      <c r="D1715" s="16" t="str">
        <f>IF(B1715="","",IFERROR(INDEX(Client_List!$D:$D,MATCH(B1715,Client_List!$B:$B,0)),""))</f>
        <v/>
      </c>
      <c r="E1715" s="16" t="str">
        <f>IF(B1715="","",IFERROR(INDEX(Client_List!$K:$K,MATCH(B1715,Client_List!$B:$B,0)),""))</f>
        <v/>
      </c>
      <c r="F1715" s="16" t="str">
        <f>IF(B1715="","",IFERROR(INDEX(Client_List!$J:$J,MATCH(B1715,Client_List!$B:$B,0)),""))</f>
        <v/>
      </c>
      <c r="G1715" s="16"/>
      <c r="H1715" s="16" t="str">
        <f>IF(B1715="","",IFERROR(A1715-LOOKUP(2,1/($B$4:$B1714=B1715),$A$4:$A1714),""))</f>
        <v/>
      </c>
      <c r="I1715" s="16" t="str">
        <f t="shared" si="26"/>
        <v/>
      </c>
      <c r="J1715" s="16"/>
      <c r="K1715" s="6" t="str">
        <f>IF(B1715="","",IFERROR(AVERAGEIFS($I$4:$I1715,$B$4:$B1715,B1715,$I$4:$I1715,"&gt;"&amp;0),""))</f>
        <v/>
      </c>
      <c r="L1715" s="16" t="str">
        <f>IF(B1715="","",IF(ISNA(MATCH(B1715,Client_List!$B:$B,0)),"⚠ NOT FOUND","✓"))</f>
        <v/>
      </c>
    </row>
    <row r="1716" spans="1:12" ht="14" customHeight="1" x14ac:dyDescent="0.2">
      <c r="A1716" s="59"/>
      <c r="B1716" s="18"/>
      <c r="C1716" s="19" t="str">
        <f>IF(B1716="","",IFERROR(INDEX(Client_List!$C:$C,MATCH(B1716,Client_List!$B:$B,0)),""))</f>
        <v/>
      </c>
      <c r="D1716" s="19" t="str">
        <f>IF(B1716="","",IFERROR(INDEX(Client_List!$D:$D,MATCH(B1716,Client_List!$B:$B,0)),""))</f>
        <v/>
      </c>
      <c r="E1716" s="19" t="str">
        <f>IF(B1716="","",IFERROR(INDEX(Client_List!$K:$K,MATCH(B1716,Client_List!$B:$B,0)),""))</f>
        <v/>
      </c>
      <c r="F1716" s="19" t="str">
        <f>IF(B1716="","",IFERROR(INDEX(Client_List!$J:$J,MATCH(B1716,Client_List!$B:$B,0)),""))</f>
        <v/>
      </c>
      <c r="G1716" s="19"/>
      <c r="H1716" s="19" t="str">
        <f>IF(B1716="","",IFERROR(A1716-LOOKUP(2,1/($B$4:$B1715=B1716),$A$4:$A1715),""))</f>
        <v/>
      </c>
      <c r="I1716" s="19" t="str">
        <f t="shared" si="26"/>
        <v/>
      </c>
      <c r="J1716" s="19"/>
      <c r="K1716" s="6" t="str">
        <f>IF(B1716="","",IFERROR(AVERAGEIFS($I$4:$I1716,$B$4:$B1716,B1716,$I$4:$I1716,"&gt;"&amp;0),""))</f>
        <v/>
      </c>
      <c r="L1716" s="19" t="str">
        <f>IF(B1716="","",IF(ISNA(MATCH(B1716,Client_List!$B:$B,0)),"⚠ NOT FOUND","✓"))</f>
        <v/>
      </c>
    </row>
    <row r="1717" spans="1:12" ht="14" customHeight="1" x14ac:dyDescent="0.2">
      <c r="A1717" s="58"/>
      <c r="B1717" s="15"/>
      <c r="C1717" s="16" t="str">
        <f>IF(B1717="","",IFERROR(INDEX(Client_List!$C:$C,MATCH(B1717,Client_List!$B:$B,0)),""))</f>
        <v/>
      </c>
      <c r="D1717" s="16" t="str">
        <f>IF(B1717="","",IFERROR(INDEX(Client_List!$D:$D,MATCH(B1717,Client_List!$B:$B,0)),""))</f>
        <v/>
      </c>
      <c r="E1717" s="16" t="str">
        <f>IF(B1717="","",IFERROR(INDEX(Client_List!$K:$K,MATCH(B1717,Client_List!$B:$B,0)),""))</f>
        <v/>
      </c>
      <c r="F1717" s="16" t="str">
        <f>IF(B1717="","",IFERROR(INDEX(Client_List!$J:$J,MATCH(B1717,Client_List!$B:$B,0)),""))</f>
        <v/>
      </c>
      <c r="G1717" s="16"/>
      <c r="H1717" s="16" t="str">
        <f>IF(B1717="","",IFERROR(A1717-LOOKUP(2,1/($B$4:$B1716=B1717),$A$4:$A1716),""))</f>
        <v/>
      </c>
      <c r="I1717" s="16" t="str">
        <f t="shared" si="26"/>
        <v/>
      </c>
      <c r="J1717" s="16"/>
      <c r="K1717" s="6" t="str">
        <f>IF(B1717="","",IFERROR(AVERAGEIFS($I$4:$I1717,$B$4:$B1717,B1717,$I$4:$I1717,"&gt;"&amp;0),""))</f>
        <v/>
      </c>
      <c r="L1717" s="16" t="str">
        <f>IF(B1717="","",IF(ISNA(MATCH(B1717,Client_List!$B:$B,0)),"⚠ NOT FOUND","✓"))</f>
        <v/>
      </c>
    </row>
    <row r="1718" spans="1:12" ht="14" customHeight="1" x14ac:dyDescent="0.2">
      <c r="A1718" s="59"/>
      <c r="B1718" s="18"/>
      <c r="C1718" s="19" t="str">
        <f>IF(B1718="","",IFERROR(INDEX(Client_List!$C:$C,MATCH(B1718,Client_List!$B:$B,0)),""))</f>
        <v/>
      </c>
      <c r="D1718" s="19" t="str">
        <f>IF(B1718="","",IFERROR(INDEX(Client_List!$D:$D,MATCH(B1718,Client_List!$B:$B,0)),""))</f>
        <v/>
      </c>
      <c r="E1718" s="19" t="str">
        <f>IF(B1718="","",IFERROR(INDEX(Client_List!$K:$K,MATCH(B1718,Client_List!$B:$B,0)),""))</f>
        <v/>
      </c>
      <c r="F1718" s="19" t="str">
        <f>IF(B1718="","",IFERROR(INDEX(Client_List!$J:$J,MATCH(B1718,Client_List!$B:$B,0)),""))</f>
        <v/>
      </c>
      <c r="G1718" s="19"/>
      <c r="H1718" s="19" t="str">
        <f>IF(B1718="","",IFERROR(A1718-LOOKUP(2,1/($B$4:$B1717=B1718),$A$4:$A1717),""))</f>
        <v/>
      </c>
      <c r="I1718" s="19" t="str">
        <f t="shared" si="26"/>
        <v/>
      </c>
      <c r="J1718" s="19"/>
      <c r="K1718" s="6" t="str">
        <f>IF(B1718="","",IFERROR(AVERAGEIFS($I$4:$I1718,$B$4:$B1718,B1718,$I$4:$I1718,"&gt;"&amp;0),""))</f>
        <v/>
      </c>
      <c r="L1718" s="19" t="str">
        <f>IF(B1718="","",IF(ISNA(MATCH(B1718,Client_List!$B:$B,0)),"⚠ NOT FOUND","✓"))</f>
        <v/>
      </c>
    </row>
    <row r="1719" spans="1:12" ht="14" customHeight="1" x14ac:dyDescent="0.2">
      <c r="A1719" s="58"/>
      <c r="B1719" s="15"/>
      <c r="C1719" s="16" t="str">
        <f>IF(B1719="","",IFERROR(INDEX(Client_List!$C:$C,MATCH(B1719,Client_List!$B:$B,0)),""))</f>
        <v/>
      </c>
      <c r="D1719" s="16" t="str">
        <f>IF(B1719="","",IFERROR(INDEX(Client_List!$D:$D,MATCH(B1719,Client_List!$B:$B,0)),""))</f>
        <v/>
      </c>
      <c r="E1719" s="16" t="str">
        <f>IF(B1719="","",IFERROR(INDEX(Client_List!$K:$K,MATCH(B1719,Client_List!$B:$B,0)),""))</f>
        <v/>
      </c>
      <c r="F1719" s="16" t="str">
        <f>IF(B1719="","",IFERROR(INDEX(Client_List!$J:$J,MATCH(B1719,Client_List!$B:$B,0)),""))</f>
        <v/>
      </c>
      <c r="G1719" s="16"/>
      <c r="H1719" s="16" t="str">
        <f>IF(B1719="","",IFERROR(A1719-LOOKUP(2,1/($B$4:$B1718=B1719),$A$4:$A1718),""))</f>
        <v/>
      </c>
      <c r="I1719" s="16" t="str">
        <f t="shared" si="26"/>
        <v/>
      </c>
      <c r="J1719" s="16"/>
      <c r="K1719" s="6" t="str">
        <f>IF(B1719="","",IFERROR(AVERAGEIFS($I$4:$I1719,$B$4:$B1719,B1719,$I$4:$I1719,"&gt;"&amp;0),""))</f>
        <v/>
      </c>
      <c r="L1719" s="16" t="str">
        <f>IF(B1719="","",IF(ISNA(MATCH(B1719,Client_List!$B:$B,0)),"⚠ NOT FOUND","✓"))</f>
        <v/>
      </c>
    </row>
    <row r="1720" spans="1:12" ht="14" customHeight="1" x14ac:dyDescent="0.2">
      <c r="A1720" s="59"/>
      <c r="B1720" s="18"/>
      <c r="C1720" s="19" t="str">
        <f>IF(B1720="","",IFERROR(INDEX(Client_List!$C:$C,MATCH(B1720,Client_List!$B:$B,0)),""))</f>
        <v/>
      </c>
      <c r="D1720" s="19" t="str">
        <f>IF(B1720="","",IFERROR(INDEX(Client_List!$D:$D,MATCH(B1720,Client_List!$B:$B,0)),""))</f>
        <v/>
      </c>
      <c r="E1720" s="19" t="str">
        <f>IF(B1720="","",IFERROR(INDEX(Client_List!$K:$K,MATCH(B1720,Client_List!$B:$B,0)),""))</f>
        <v/>
      </c>
      <c r="F1720" s="19" t="str">
        <f>IF(B1720="","",IFERROR(INDEX(Client_List!$J:$J,MATCH(B1720,Client_List!$B:$B,0)),""))</f>
        <v/>
      </c>
      <c r="G1720" s="19"/>
      <c r="H1720" s="19" t="str">
        <f>IF(B1720="","",IFERROR(A1720-LOOKUP(2,1/($B$4:$B1719=B1720),$A$4:$A1719),""))</f>
        <v/>
      </c>
      <c r="I1720" s="19" t="str">
        <f t="shared" si="26"/>
        <v/>
      </c>
      <c r="J1720" s="19"/>
      <c r="K1720" s="6" t="str">
        <f>IF(B1720="","",IFERROR(AVERAGEIFS($I$4:$I1720,$B$4:$B1720,B1720,$I$4:$I1720,"&gt;"&amp;0),""))</f>
        <v/>
      </c>
      <c r="L1720" s="19" t="str">
        <f>IF(B1720="","",IF(ISNA(MATCH(B1720,Client_List!$B:$B,0)),"⚠ NOT FOUND","✓"))</f>
        <v/>
      </c>
    </row>
    <row r="1721" spans="1:12" ht="14" customHeight="1" x14ac:dyDescent="0.2">
      <c r="A1721" s="58"/>
      <c r="B1721" s="15"/>
      <c r="C1721" s="16" t="str">
        <f>IF(B1721="","",IFERROR(INDEX(Client_List!$C:$C,MATCH(B1721,Client_List!$B:$B,0)),""))</f>
        <v/>
      </c>
      <c r="D1721" s="16" t="str">
        <f>IF(B1721="","",IFERROR(INDEX(Client_List!$D:$D,MATCH(B1721,Client_List!$B:$B,0)),""))</f>
        <v/>
      </c>
      <c r="E1721" s="16" t="str">
        <f>IF(B1721="","",IFERROR(INDEX(Client_List!$K:$K,MATCH(B1721,Client_List!$B:$B,0)),""))</f>
        <v/>
      </c>
      <c r="F1721" s="16" t="str">
        <f>IF(B1721="","",IFERROR(INDEX(Client_List!$J:$J,MATCH(B1721,Client_List!$B:$B,0)),""))</f>
        <v/>
      </c>
      <c r="G1721" s="16"/>
      <c r="H1721" s="16" t="str">
        <f>IF(B1721="","",IFERROR(A1721-LOOKUP(2,1/($B$4:$B1720=B1721),$A$4:$A1720),""))</f>
        <v/>
      </c>
      <c r="I1721" s="16" t="str">
        <f t="shared" si="26"/>
        <v/>
      </c>
      <c r="J1721" s="16"/>
      <c r="K1721" s="6" t="str">
        <f>IF(B1721="","",IFERROR(AVERAGEIFS($I$4:$I1721,$B$4:$B1721,B1721,$I$4:$I1721,"&gt;"&amp;0),""))</f>
        <v/>
      </c>
      <c r="L1721" s="16" t="str">
        <f>IF(B1721="","",IF(ISNA(MATCH(B1721,Client_List!$B:$B,0)),"⚠ NOT FOUND","✓"))</f>
        <v/>
      </c>
    </row>
    <row r="1722" spans="1:12" ht="14" customHeight="1" x14ac:dyDescent="0.2">
      <c r="A1722" s="59"/>
      <c r="B1722" s="18"/>
      <c r="C1722" s="19" t="str">
        <f>IF(B1722="","",IFERROR(INDEX(Client_List!$C:$C,MATCH(B1722,Client_List!$B:$B,0)),""))</f>
        <v/>
      </c>
      <c r="D1722" s="19" t="str">
        <f>IF(B1722="","",IFERROR(INDEX(Client_List!$D:$D,MATCH(B1722,Client_List!$B:$B,0)),""))</f>
        <v/>
      </c>
      <c r="E1722" s="19" t="str">
        <f>IF(B1722="","",IFERROR(INDEX(Client_List!$K:$K,MATCH(B1722,Client_List!$B:$B,0)),""))</f>
        <v/>
      </c>
      <c r="F1722" s="19" t="str">
        <f>IF(B1722="","",IFERROR(INDEX(Client_List!$J:$J,MATCH(B1722,Client_List!$B:$B,0)),""))</f>
        <v/>
      </c>
      <c r="G1722" s="19"/>
      <c r="H1722" s="19" t="str">
        <f>IF(B1722="","",IFERROR(A1722-LOOKUP(2,1/($B$4:$B1721=B1722),$A$4:$A1721),""))</f>
        <v/>
      </c>
      <c r="I1722" s="19" t="str">
        <f t="shared" si="26"/>
        <v/>
      </c>
      <c r="J1722" s="19"/>
      <c r="K1722" s="6" t="str">
        <f>IF(B1722="","",IFERROR(AVERAGEIFS($I$4:$I1722,$B$4:$B1722,B1722,$I$4:$I1722,"&gt;"&amp;0),""))</f>
        <v/>
      </c>
      <c r="L1722" s="19" t="str">
        <f>IF(B1722="","",IF(ISNA(MATCH(B1722,Client_List!$B:$B,0)),"⚠ NOT FOUND","✓"))</f>
        <v/>
      </c>
    </row>
    <row r="1723" spans="1:12" ht="14" customHeight="1" x14ac:dyDescent="0.2">
      <c r="A1723" s="58"/>
      <c r="B1723" s="15"/>
      <c r="C1723" s="16" t="str">
        <f>IF(B1723="","",IFERROR(INDEX(Client_List!$C:$C,MATCH(B1723,Client_List!$B:$B,0)),""))</f>
        <v/>
      </c>
      <c r="D1723" s="16" t="str">
        <f>IF(B1723="","",IFERROR(INDEX(Client_List!$D:$D,MATCH(B1723,Client_List!$B:$B,0)),""))</f>
        <v/>
      </c>
      <c r="E1723" s="16" t="str">
        <f>IF(B1723="","",IFERROR(INDEX(Client_List!$K:$K,MATCH(B1723,Client_List!$B:$B,0)),""))</f>
        <v/>
      </c>
      <c r="F1723" s="16" t="str">
        <f>IF(B1723="","",IFERROR(INDEX(Client_List!$J:$J,MATCH(B1723,Client_List!$B:$B,0)),""))</f>
        <v/>
      </c>
      <c r="G1723" s="16"/>
      <c r="H1723" s="16" t="str">
        <f>IF(B1723="","",IFERROR(A1723-LOOKUP(2,1/($B$4:$B1722=B1723),$A$4:$A1722),""))</f>
        <v/>
      </c>
      <c r="I1723" s="16" t="str">
        <f t="shared" si="26"/>
        <v/>
      </c>
      <c r="J1723" s="16"/>
      <c r="K1723" s="6" t="str">
        <f>IF(B1723="","",IFERROR(AVERAGEIFS($I$4:$I1723,$B$4:$B1723,B1723,$I$4:$I1723,"&gt;"&amp;0),""))</f>
        <v/>
      </c>
      <c r="L1723" s="16" t="str">
        <f>IF(B1723="","",IF(ISNA(MATCH(B1723,Client_List!$B:$B,0)),"⚠ NOT FOUND","✓"))</f>
        <v/>
      </c>
    </row>
    <row r="1724" spans="1:12" ht="14" customHeight="1" x14ac:dyDescent="0.2">
      <c r="A1724" s="59"/>
      <c r="B1724" s="18"/>
      <c r="C1724" s="19" t="str">
        <f>IF(B1724="","",IFERROR(INDEX(Client_List!$C:$C,MATCH(B1724,Client_List!$B:$B,0)),""))</f>
        <v/>
      </c>
      <c r="D1724" s="19" t="str">
        <f>IF(B1724="","",IFERROR(INDEX(Client_List!$D:$D,MATCH(B1724,Client_List!$B:$B,0)),""))</f>
        <v/>
      </c>
      <c r="E1724" s="19" t="str">
        <f>IF(B1724="","",IFERROR(INDEX(Client_List!$K:$K,MATCH(B1724,Client_List!$B:$B,0)),""))</f>
        <v/>
      </c>
      <c r="F1724" s="19" t="str">
        <f>IF(B1724="","",IFERROR(INDEX(Client_List!$J:$J,MATCH(B1724,Client_List!$B:$B,0)),""))</f>
        <v/>
      </c>
      <c r="G1724" s="19"/>
      <c r="H1724" s="19" t="str">
        <f>IF(B1724="","",IFERROR(A1724-LOOKUP(2,1/($B$4:$B1723=B1724),$A$4:$A1723),""))</f>
        <v/>
      </c>
      <c r="I1724" s="19" t="str">
        <f t="shared" si="26"/>
        <v/>
      </c>
      <c r="J1724" s="19"/>
      <c r="K1724" s="6" t="str">
        <f>IF(B1724="","",IFERROR(AVERAGEIFS($I$4:$I1724,$B$4:$B1724,B1724,$I$4:$I1724,"&gt;"&amp;0),""))</f>
        <v/>
      </c>
      <c r="L1724" s="19" t="str">
        <f>IF(B1724="","",IF(ISNA(MATCH(B1724,Client_List!$B:$B,0)),"⚠ NOT FOUND","✓"))</f>
        <v/>
      </c>
    </row>
    <row r="1725" spans="1:12" ht="14" customHeight="1" x14ac:dyDescent="0.2">
      <c r="A1725" s="58"/>
      <c r="B1725" s="15"/>
      <c r="C1725" s="16" t="str">
        <f>IF(B1725="","",IFERROR(INDEX(Client_List!$C:$C,MATCH(B1725,Client_List!$B:$B,0)),""))</f>
        <v/>
      </c>
      <c r="D1725" s="16" t="str">
        <f>IF(B1725="","",IFERROR(INDEX(Client_List!$D:$D,MATCH(B1725,Client_List!$B:$B,0)),""))</f>
        <v/>
      </c>
      <c r="E1725" s="16" t="str">
        <f>IF(B1725="","",IFERROR(INDEX(Client_List!$K:$K,MATCH(B1725,Client_List!$B:$B,0)),""))</f>
        <v/>
      </c>
      <c r="F1725" s="16" t="str">
        <f>IF(B1725="","",IFERROR(INDEX(Client_List!$J:$J,MATCH(B1725,Client_List!$B:$B,0)),""))</f>
        <v/>
      </c>
      <c r="G1725" s="16"/>
      <c r="H1725" s="16" t="str">
        <f>IF(B1725="","",IFERROR(A1725-LOOKUP(2,1/($B$4:$B1724=B1725),$A$4:$A1724),""))</f>
        <v/>
      </c>
      <c r="I1725" s="16" t="str">
        <f t="shared" si="26"/>
        <v/>
      </c>
      <c r="J1725" s="16"/>
      <c r="K1725" s="6" t="str">
        <f>IF(B1725="","",IFERROR(AVERAGEIFS($I$4:$I1725,$B$4:$B1725,B1725,$I$4:$I1725,"&gt;"&amp;0),""))</f>
        <v/>
      </c>
      <c r="L1725" s="16" t="str">
        <f>IF(B1725="","",IF(ISNA(MATCH(B1725,Client_List!$B:$B,0)),"⚠ NOT FOUND","✓"))</f>
        <v/>
      </c>
    </row>
    <row r="1726" spans="1:12" ht="14" customHeight="1" x14ac:dyDescent="0.2">
      <c r="A1726" s="59"/>
      <c r="B1726" s="18"/>
      <c r="C1726" s="19" t="str">
        <f>IF(B1726="","",IFERROR(INDEX(Client_List!$C:$C,MATCH(B1726,Client_List!$B:$B,0)),""))</f>
        <v/>
      </c>
      <c r="D1726" s="19" t="str">
        <f>IF(B1726="","",IFERROR(INDEX(Client_List!$D:$D,MATCH(B1726,Client_List!$B:$B,0)),""))</f>
        <v/>
      </c>
      <c r="E1726" s="19" t="str">
        <f>IF(B1726="","",IFERROR(INDEX(Client_List!$K:$K,MATCH(B1726,Client_List!$B:$B,0)),""))</f>
        <v/>
      </c>
      <c r="F1726" s="19" t="str">
        <f>IF(B1726="","",IFERROR(INDEX(Client_List!$J:$J,MATCH(B1726,Client_List!$B:$B,0)),""))</f>
        <v/>
      </c>
      <c r="G1726" s="19"/>
      <c r="H1726" s="19" t="str">
        <f>IF(B1726="","",IFERROR(A1726-LOOKUP(2,1/($B$4:$B1725=B1726),$A$4:$A1725),""))</f>
        <v/>
      </c>
      <c r="I1726" s="19" t="str">
        <f t="shared" si="26"/>
        <v/>
      </c>
      <c r="J1726" s="19"/>
      <c r="K1726" s="6" t="str">
        <f>IF(B1726="","",IFERROR(AVERAGEIFS($I$4:$I1726,$B$4:$B1726,B1726,$I$4:$I1726,"&gt;"&amp;0),""))</f>
        <v/>
      </c>
      <c r="L1726" s="19" t="str">
        <f>IF(B1726="","",IF(ISNA(MATCH(B1726,Client_List!$B:$B,0)),"⚠ NOT FOUND","✓"))</f>
        <v/>
      </c>
    </row>
    <row r="1727" spans="1:12" ht="14" customHeight="1" x14ac:dyDescent="0.2">
      <c r="A1727" s="58"/>
      <c r="B1727" s="15"/>
      <c r="C1727" s="16" t="str">
        <f>IF(B1727="","",IFERROR(INDEX(Client_List!$C:$C,MATCH(B1727,Client_List!$B:$B,0)),""))</f>
        <v/>
      </c>
      <c r="D1727" s="16" t="str">
        <f>IF(B1727="","",IFERROR(INDEX(Client_List!$D:$D,MATCH(B1727,Client_List!$B:$B,0)),""))</f>
        <v/>
      </c>
      <c r="E1727" s="16" t="str">
        <f>IF(B1727="","",IFERROR(INDEX(Client_List!$K:$K,MATCH(B1727,Client_List!$B:$B,0)),""))</f>
        <v/>
      </c>
      <c r="F1727" s="16" t="str">
        <f>IF(B1727="","",IFERROR(INDEX(Client_List!$J:$J,MATCH(B1727,Client_List!$B:$B,0)),""))</f>
        <v/>
      </c>
      <c r="G1727" s="16"/>
      <c r="H1727" s="16" t="str">
        <f>IF(B1727="","",IFERROR(A1727-LOOKUP(2,1/($B$4:$B1726=B1727),$A$4:$A1726),""))</f>
        <v/>
      </c>
      <c r="I1727" s="16" t="str">
        <f t="shared" si="26"/>
        <v/>
      </c>
      <c r="J1727" s="16"/>
      <c r="K1727" s="6" t="str">
        <f>IF(B1727="","",IFERROR(AVERAGEIFS($I$4:$I1727,$B$4:$B1727,B1727,$I$4:$I1727,"&gt;"&amp;0),""))</f>
        <v/>
      </c>
      <c r="L1727" s="16" t="str">
        <f>IF(B1727="","",IF(ISNA(MATCH(B1727,Client_List!$B:$B,0)),"⚠ NOT FOUND","✓"))</f>
        <v/>
      </c>
    </row>
    <row r="1728" spans="1:12" ht="14" customHeight="1" x14ac:dyDescent="0.2">
      <c r="A1728" s="59"/>
      <c r="B1728" s="18"/>
      <c r="C1728" s="19" t="str">
        <f>IF(B1728="","",IFERROR(INDEX(Client_List!$C:$C,MATCH(B1728,Client_List!$B:$B,0)),""))</f>
        <v/>
      </c>
      <c r="D1728" s="19" t="str">
        <f>IF(B1728="","",IFERROR(INDEX(Client_List!$D:$D,MATCH(B1728,Client_List!$B:$B,0)),""))</f>
        <v/>
      </c>
      <c r="E1728" s="19" t="str">
        <f>IF(B1728="","",IFERROR(INDEX(Client_List!$K:$K,MATCH(B1728,Client_List!$B:$B,0)),""))</f>
        <v/>
      </c>
      <c r="F1728" s="19" t="str">
        <f>IF(B1728="","",IFERROR(INDEX(Client_List!$J:$J,MATCH(B1728,Client_List!$B:$B,0)),""))</f>
        <v/>
      </c>
      <c r="G1728" s="19"/>
      <c r="H1728" s="19" t="str">
        <f>IF(B1728="","",IFERROR(A1728-LOOKUP(2,1/($B$4:$B1727=B1728),$A$4:$A1727),""))</f>
        <v/>
      </c>
      <c r="I1728" s="19" t="str">
        <f t="shared" si="26"/>
        <v/>
      </c>
      <c r="J1728" s="19"/>
      <c r="K1728" s="6" t="str">
        <f>IF(B1728="","",IFERROR(AVERAGEIFS($I$4:$I1728,$B$4:$B1728,B1728,$I$4:$I1728,"&gt;"&amp;0),""))</f>
        <v/>
      </c>
      <c r="L1728" s="19" t="str">
        <f>IF(B1728="","",IF(ISNA(MATCH(B1728,Client_List!$B:$B,0)),"⚠ NOT FOUND","✓"))</f>
        <v/>
      </c>
    </row>
    <row r="1729" spans="1:12" ht="14" customHeight="1" x14ac:dyDescent="0.2">
      <c r="A1729" s="58"/>
      <c r="B1729" s="15"/>
      <c r="C1729" s="16" t="str">
        <f>IF(B1729="","",IFERROR(INDEX(Client_List!$C:$C,MATCH(B1729,Client_List!$B:$B,0)),""))</f>
        <v/>
      </c>
      <c r="D1729" s="16" t="str">
        <f>IF(B1729="","",IFERROR(INDEX(Client_List!$D:$D,MATCH(B1729,Client_List!$B:$B,0)),""))</f>
        <v/>
      </c>
      <c r="E1729" s="16" t="str">
        <f>IF(B1729="","",IFERROR(INDEX(Client_List!$K:$K,MATCH(B1729,Client_List!$B:$B,0)),""))</f>
        <v/>
      </c>
      <c r="F1729" s="16" t="str">
        <f>IF(B1729="","",IFERROR(INDEX(Client_List!$J:$J,MATCH(B1729,Client_List!$B:$B,0)),""))</f>
        <v/>
      </c>
      <c r="G1729" s="16"/>
      <c r="H1729" s="16" t="str">
        <f>IF(B1729="","",IFERROR(A1729-LOOKUP(2,1/($B$4:$B1728=B1729),$A$4:$A1728),""))</f>
        <v/>
      </c>
      <c r="I1729" s="16" t="str">
        <f t="shared" si="26"/>
        <v/>
      </c>
      <c r="J1729" s="16"/>
      <c r="K1729" s="6" t="str">
        <f>IF(B1729="","",IFERROR(AVERAGEIFS($I$4:$I1729,$B$4:$B1729,B1729,$I$4:$I1729,"&gt;"&amp;0),""))</f>
        <v/>
      </c>
      <c r="L1729" s="16" t="str">
        <f>IF(B1729="","",IF(ISNA(MATCH(B1729,Client_List!$B:$B,0)),"⚠ NOT FOUND","✓"))</f>
        <v/>
      </c>
    </row>
    <row r="1730" spans="1:12" ht="14" customHeight="1" x14ac:dyDescent="0.2">
      <c r="A1730" s="59"/>
      <c r="B1730" s="18"/>
      <c r="C1730" s="19" t="str">
        <f>IF(B1730="","",IFERROR(INDEX(Client_List!$C:$C,MATCH(B1730,Client_List!$B:$B,0)),""))</f>
        <v/>
      </c>
      <c r="D1730" s="19" t="str">
        <f>IF(B1730="","",IFERROR(INDEX(Client_List!$D:$D,MATCH(B1730,Client_List!$B:$B,0)),""))</f>
        <v/>
      </c>
      <c r="E1730" s="19" t="str">
        <f>IF(B1730="","",IFERROR(INDEX(Client_List!$K:$K,MATCH(B1730,Client_List!$B:$B,0)),""))</f>
        <v/>
      </c>
      <c r="F1730" s="19" t="str">
        <f>IF(B1730="","",IFERROR(INDEX(Client_List!$J:$J,MATCH(B1730,Client_List!$B:$B,0)),""))</f>
        <v/>
      </c>
      <c r="G1730" s="19"/>
      <c r="H1730" s="19" t="str">
        <f>IF(B1730="","",IFERROR(A1730-LOOKUP(2,1/($B$4:$B1729=B1730),$A$4:$A1729),""))</f>
        <v/>
      </c>
      <c r="I1730" s="19" t="str">
        <f t="shared" si="26"/>
        <v/>
      </c>
      <c r="J1730" s="19"/>
      <c r="K1730" s="6" t="str">
        <f>IF(B1730="","",IFERROR(AVERAGEIFS($I$4:$I1730,$B$4:$B1730,B1730,$I$4:$I1730,"&gt;"&amp;0),""))</f>
        <v/>
      </c>
      <c r="L1730" s="19" t="str">
        <f>IF(B1730="","",IF(ISNA(MATCH(B1730,Client_List!$B:$B,0)),"⚠ NOT FOUND","✓"))</f>
        <v/>
      </c>
    </row>
    <row r="1731" spans="1:12" ht="14" customHeight="1" x14ac:dyDescent="0.2">
      <c r="A1731" s="58"/>
      <c r="B1731" s="15"/>
      <c r="C1731" s="16" t="str">
        <f>IF(B1731="","",IFERROR(INDEX(Client_List!$C:$C,MATCH(B1731,Client_List!$B:$B,0)),""))</f>
        <v/>
      </c>
      <c r="D1731" s="16" t="str">
        <f>IF(B1731="","",IFERROR(INDEX(Client_List!$D:$D,MATCH(B1731,Client_List!$B:$B,0)),""))</f>
        <v/>
      </c>
      <c r="E1731" s="16" t="str">
        <f>IF(B1731="","",IFERROR(INDEX(Client_List!$K:$K,MATCH(B1731,Client_List!$B:$B,0)),""))</f>
        <v/>
      </c>
      <c r="F1731" s="16" t="str">
        <f>IF(B1731="","",IFERROR(INDEX(Client_List!$J:$J,MATCH(B1731,Client_List!$B:$B,0)),""))</f>
        <v/>
      </c>
      <c r="G1731" s="16"/>
      <c r="H1731" s="16" t="str">
        <f>IF(B1731="","",IFERROR(A1731-LOOKUP(2,1/($B$4:$B1730=B1731),$A$4:$A1730),""))</f>
        <v/>
      </c>
      <c r="I1731" s="16" t="str">
        <f t="shared" si="26"/>
        <v/>
      </c>
      <c r="J1731" s="16"/>
      <c r="K1731" s="6" t="str">
        <f>IF(B1731="","",IFERROR(AVERAGEIFS($I$4:$I1731,$B$4:$B1731,B1731,$I$4:$I1731,"&gt;"&amp;0),""))</f>
        <v/>
      </c>
      <c r="L1731" s="16" t="str">
        <f>IF(B1731="","",IF(ISNA(MATCH(B1731,Client_List!$B:$B,0)),"⚠ NOT FOUND","✓"))</f>
        <v/>
      </c>
    </row>
    <row r="1732" spans="1:12" ht="14" customHeight="1" x14ac:dyDescent="0.2">
      <c r="A1732" s="59"/>
      <c r="B1732" s="18"/>
      <c r="C1732" s="19" t="str">
        <f>IF(B1732="","",IFERROR(INDEX(Client_List!$C:$C,MATCH(B1732,Client_List!$B:$B,0)),""))</f>
        <v/>
      </c>
      <c r="D1732" s="19" t="str">
        <f>IF(B1732="","",IFERROR(INDEX(Client_List!$D:$D,MATCH(B1732,Client_List!$B:$B,0)),""))</f>
        <v/>
      </c>
      <c r="E1732" s="19" t="str">
        <f>IF(B1732="","",IFERROR(INDEX(Client_List!$K:$K,MATCH(B1732,Client_List!$B:$B,0)),""))</f>
        <v/>
      </c>
      <c r="F1732" s="19" t="str">
        <f>IF(B1732="","",IFERROR(INDEX(Client_List!$J:$J,MATCH(B1732,Client_List!$B:$B,0)),""))</f>
        <v/>
      </c>
      <c r="G1732" s="19"/>
      <c r="H1732" s="19" t="str">
        <f>IF(B1732="","",IFERROR(A1732-LOOKUP(2,1/($B$4:$B1731=B1732),$A$4:$A1731),""))</f>
        <v/>
      </c>
      <c r="I1732" s="19" t="str">
        <f t="shared" ref="I1732:I1795" si="27">IF(B1732="","",IFERROR(G1732/H1732,""))</f>
        <v/>
      </c>
      <c r="J1732" s="19"/>
      <c r="K1732" s="6" t="str">
        <f>IF(B1732="","",IFERROR(AVERAGEIFS($I$4:$I1732,$B$4:$B1732,B1732,$I$4:$I1732,"&gt;"&amp;0),""))</f>
        <v/>
      </c>
      <c r="L1732" s="19" t="str">
        <f>IF(B1732="","",IF(ISNA(MATCH(B1732,Client_List!$B:$B,0)),"⚠ NOT FOUND","✓"))</f>
        <v/>
      </c>
    </row>
    <row r="1733" spans="1:12" ht="14" customHeight="1" x14ac:dyDescent="0.2">
      <c r="A1733" s="58"/>
      <c r="B1733" s="15"/>
      <c r="C1733" s="16" t="str">
        <f>IF(B1733="","",IFERROR(INDEX(Client_List!$C:$C,MATCH(B1733,Client_List!$B:$B,0)),""))</f>
        <v/>
      </c>
      <c r="D1733" s="16" t="str">
        <f>IF(B1733="","",IFERROR(INDEX(Client_List!$D:$D,MATCH(B1733,Client_List!$B:$B,0)),""))</f>
        <v/>
      </c>
      <c r="E1733" s="16" t="str">
        <f>IF(B1733="","",IFERROR(INDEX(Client_List!$K:$K,MATCH(B1733,Client_List!$B:$B,0)),""))</f>
        <v/>
      </c>
      <c r="F1733" s="16" t="str">
        <f>IF(B1733="","",IFERROR(INDEX(Client_List!$J:$J,MATCH(B1733,Client_List!$B:$B,0)),""))</f>
        <v/>
      </c>
      <c r="G1733" s="16"/>
      <c r="H1733" s="16" t="str">
        <f>IF(B1733="","",IFERROR(A1733-LOOKUP(2,1/($B$4:$B1732=B1733),$A$4:$A1732),""))</f>
        <v/>
      </c>
      <c r="I1733" s="16" t="str">
        <f t="shared" si="27"/>
        <v/>
      </c>
      <c r="J1733" s="16"/>
      <c r="K1733" s="6" t="str">
        <f>IF(B1733="","",IFERROR(AVERAGEIFS($I$4:$I1733,$B$4:$B1733,B1733,$I$4:$I1733,"&gt;"&amp;0),""))</f>
        <v/>
      </c>
      <c r="L1733" s="16" t="str">
        <f>IF(B1733="","",IF(ISNA(MATCH(B1733,Client_List!$B:$B,0)),"⚠ NOT FOUND","✓"))</f>
        <v/>
      </c>
    </row>
    <row r="1734" spans="1:12" ht="14" customHeight="1" x14ac:dyDescent="0.2">
      <c r="A1734" s="59"/>
      <c r="B1734" s="18"/>
      <c r="C1734" s="19" t="str">
        <f>IF(B1734="","",IFERROR(INDEX(Client_List!$C:$C,MATCH(B1734,Client_List!$B:$B,0)),""))</f>
        <v/>
      </c>
      <c r="D1734" s="19" t="str">
        <f>IF(B1734="","",IFERROR(INDEX(Client_List!$D:$D,MATCH(B1734,Client_List!$B:$B,0)),""))</f>
        <v/>
      </c>
      <c r="E1734" s="19" t="str">
        <f>IF(B1734="","",IFERROR(INDEX(Client_List!$K:$K,MATCH(B1734,Client_List!$B:$B,0)),""))</f>
        <v/>
      </c>
      <c r="F1734" s="19" t="str">
        <f>IF(B1734="","",IFERROR(INDEX(Client_List!$J:$J,MATCH(B1734,Client_List!$B:$B,0)),""))</f>
        <v/>
      </c>
      <c r="G1734" s="19"/>
      <c r="H1734" s="19" t="str">
        <f>IF(B1734="","",IFERROR(A1734-LOOKUP(2,1/($B$4:$B1733=B1734),$A$4:$A1733),""))</f>
        <v/>
      </c>
      <c r="I1734" s="19" t="str">
        <f t="shared" si="27"/>
        <v/>
      </c>
      <c r="J1734" s="19"/>
      <c r="K1734" s="6" t="str">
        <f>IF(B1734="","",IFERROR(AVERAGEIFS($I$4:$I1734,$B$4:$B1734,B1734,$I$4:$I1734,"&gt;"&amp;0),""))</f>
        <v/>
      </c>
      <c r="L1734" s="19" t="str">
        <f>IF(B1734="","",IF(ISNA(MATCH(B1734,Client_List!$B:$B,0)),"⚠ NOT FOUND","✓"))</f>
        <v/>
      </c>
    </row>
    <row r="1735" spans="1:12" ht="14" customHeight="1" x14ac:dyDescent="0.2">
      <c r="A1735" s="58"/>
      <c r="B1735" s="15"/>
      <c r="C1735" s="16" t="str">
        <f>IF(B1735="","",IFERROR(INDEX(Client_List!$C:$C,MATCH(B1735,Client_List!$B:$B,0)),""))</f>
        <v/>
      </c>
      <c r="D1735" s="16" t="str">
        <f>IF(B1735="","",IFERROR(INDEX(Client_List!$D:$D,MATCH(B1735,Client_List!$B:$B,0)),""))</f>
        <v/>
      </c>
      <c r="E1735" s="16" t="str">
        <f>IF(B1735="","",IFERROR(INDEX(Client_List!$K:$K,MATCH(B1735,Client_List!$B:$B,0)),""))</f>
        <v/>
      </c>
      <c r="F1735" s="16" t="str">
        <f>IF(B1735="","",IFERROR(INDEX(Client_List!$J:$J,MATCH(B1735,Client_List!$B:$B,0)),""))</f>
        <v/>
      </c>
      <c r="G1735" s="16"/>
      <c r="H1735" s="16" t="str">
        <f>IF(B1735="","",IFERROR(A1735-LOOKUP(2,1/($B$4:$B1734=B1735),$A$4:$A1734),""))</f>
        <v/>
      </c>
      <c r="I1735" s="16" t="str">
        <f t="shared" si="27"/>
        <v/>
      </c>
      <c r="J1735" s="16"/>
      <c r="K1735" s="6" t="str">
        <f>IF(B1735="","",IFERROR(AVERAGEIFS($I$4:$I1735,$B$4:$B1735,B1735,$I$4:$I1735,"&gt;"&amp;0),""))</f>
        <v/>
      </c>
      <c r="L1735" s="16" t="str">
        <f>IF(B1735="","",IF(ISNA(MATCH(B1735,Client_List!$B:$B,0)),"⚠ NOT FOUND","✓"))</f>
        <v/>
      </c>
    </row>
    <row r="1736" spans="1:12" ht="14" customHeight="1" x14ac:dyDescent="0.2">
      <c r="A1736" s="59"/>
      <c r="B1736" s="18"/>
      <c r="C1736" s="19" t="str">
        <f>IF(B1736="","",IFERROR(INDEX(Client_List!$C:$C,MATCH(B1736,Client_List!$B:$B,0)),""))</f>
        <v/>
      </c>
      <c r="D1736" s="19" t="str">
        <f>IF(B1736="","",IFERROR(INDEX(Client_List!$D:$D,MATCH(B1736,Client_List!$B:$B,0)),""))</f>
        <v/>
      </c>
      <c r="E1736" s="19" t="str">
        <f>IF(B1736="","",IFERROR(INDEX(Client_List!$K:$K,MATCH(B1736,Client_List!$B:$B,0)),""))</f>
        <v/>
      </c>
      <c r="F1736" s="19" t="str">
        <f>IF(B1736="","",IFERROR(INDEX(Client_List!$J:$J,MATCH(B1736,Client_List!$B:$B,0)),""))</f>
        <v/>
      </c>
      <c r="G1736" s="19"/>
      <c r="H1736" s="19" t="str">
        <f>IF(B1736="","",IFERROR(A1736-LOOKUP(2,1/($B$4:$B1735=B1736),$A$4:$A1735),""))</f>
        <v/>
      </c>
      <c r="I1736" s="19" t="str">
        <f t="shared" si="27"/>
        <v/>
      </c>
      <c r="J1736" s="19"/>
      <c r="K1736" s="6" t="str">
        <f>IF(B1736="","",IFERROR(AVERAGEIFS($I$4:$I1736,$B$4:$B1736,B1736,$I$4:$I1736,"&gt;"&amp;0),""))</f>
        <v/>
      </c>
      <c r="L1736" s="19" t="str">
        <f>IF(B1736="","",IF(ISNA(MATCH(B1736,Client_List!$B:$B,0)),"⚠ NOT FOUND","✓"))</f>
        <v/>
      </c>
    </row>
    <row r="1737" spans="1:12" ht="14" customHeight="1" x14ac:dyDescent="0.2">
      <c r="A1737" s="58"/>
      <c r="B1737" s="15"/>
      <c r="C1737" s="16" t="str">
        <f>IF(B1737="","",IFERROR(INDEX(Client_List!$C:$C,MATCH(B1737,Client_List!$B:$B,0)),""))</f>
        <v/>
      </c>
      <c r="D1737" s="16" t="str">
        <f>IF(B1737="","",IFERROR(INDEX(Client_List!$D:$D,MATCH(B1737,Client_List!$B:$B,0)),""))</f>
        <v/>
      </c>
      <c r="E1737" s="16" t="str">
        <f>IF(B1737="","",IFERROR(INDEX(Client_List!$K:$K,MATCH(B1737,Client_List!$B:$B,0)),""))</f>
        <v/>
      </c>
      <c r="F1737" s="16" t="str">
        <f>IF(B1737="","",IFERROR(INDEX(Client_List!$J:$J,MATCH(B1737,Client_List!$B:$B,0)),""))</f>
        <v/>
      </c>
      <c r="G1737" s="16"/>
      <c r="H1737" s="16" t="str">
        <f>IF(B1737="","",IFERROR(A1737-LOOKUP(2,1/($B$4:$B1736=B1737),$A$4:$A1736),""))</f>
        <v/>
      </c>
      <c r="I1737" s="16" t="str">
        <f t="shared" si="27"/>
        <v/>
      </c>
      <c r="J1737" s="16"/>
      <c r="K1737" s="6" t="str">
        <f>IF(B1737="","",IFERROR(AVERAGEIFS($I$4:$I1737,$B$4:$B1737,B1737,$I$4:$I1737,"&gt;"&amp;0),""))</f>
        <v/>
      </c>
      <c r="L1737" s="16" t="str">
        <f>IF(B1737="","",IF(ISNA(MATCH(B1737,Client_List!$B:$B,0)),"⚠ NOT FOUND","✓"))</f>
        <v/>
      </c>
    </row>
    <row r="1738" spans="1:12" ht="14" customHeight="1" x14ac:dyDescent="0.2">
      <c r="A1738" s="59"/>
      <c r="B1738" s="18"/>
      <c r="C1738" s="19" t="str">
        <f>IF(B1738="","",IFERROR(INDEX(Client_List!$C:$C,MATCH(B1738,Client_List!$B:$B,0)),""))</f>
        <v/>
      </c>
      <c r="D1738" s="19" t="str">
        <f>IF(B1738="","",IFERROR(INDEX(Client_List!$D:$D,MATCH(B1738,Client_List!$B:$B,0)),""))</f>
        <v/>
      </c>
      <c r="E1738" s="19" t="str">
        <f>IF(B1738="","",IFERROR(INDEX(Client_List!$K:$K,MATCH(B1738,Client_List!$B:$B,0)),""))</f>
        <v/>
      </c>
      <c r="F1738" s="19" t="str">
        <f>IF(B1738="","",IFERROR(INDEX(Client_List!$J:$J,MATCH(B1738,Client_List!$B:$B,0)),""))</f>
        <v/>
      </c>
      <c r="G1738" s="19"/>
      <c r="H1738" s="19" t="str">
        <f>IF(B1738="","",IFERROR(A1738-LOOKUP(2,1/($B$4:$B1737=B1738),$A$4:$A1737),""))</f>
        <v/>
      </c>
      <c r="I1738" s="19" t="str">
        <f t="shared" si="27"/>
        <v/>
      </c>
      <c r="J1738" s="19"/>
      <c r="K1738" s="6" t="str">
        <f>IF(B1738="","",IFERROR(AVERAGEIFS($I$4:$I1738,$B$4:$B1738,B1738,$I$4:$I1738,"&gt;"&amp;0),""))</f>
        <v/>
      </c>
      <c r="L1738" s="19" t="str">
        <f>IF(B1738="","",IF(ISNA(MATCH(B1738,Client_List!$B:$B,0)),"⚠ NOT FOUND","✓"))</f>
        <v/>
      </c>
    </row>
    <row r="1739" spans="1:12" ht="14" customHeight="1" x14ac:dyDescent="0.2">
      <c r="A1739" s="58"/>
      <c r="B1739" s="15"/>
      <c r="C1739" s="16" t="str">
        <f>IF(B1739="","",IFERROR(INDEX(Client_List!$C:$C,MATCH(B1739,Client_List!$B:$B,0)),""))</f>
        <v/>
      </c>
      <c r="D1739" s="16" t="str">
        <f>IF(B1739="","",IFERROR(INDEX(Client_List!$D:$D,MATCH(B1739,Client_List!$B:$B,0)),""))</f>
        <v/>
      </c>
      <c r="E1739" s="16" t="str">
        <f>IF(B1739="","",IFERROR(INDEX(Client_List!$K:$K,MATCH(B1739,Client_List!$B:$B,0)),""))</f>
        <v/>
      </c>
      <c r="F1739" s="16" t="str">
        <f>IF(B1739="","",IFERROR(INDEX(Client_List!$J:$J,MATCH(B1739,Client_List!$B:$B,0)),""))</f>
        <v/>
      </c>
      <c r="G1739" s="16"/>
      <c r="H1739" s="16" t="str">
        <f>IF(B1739="","",IFERROR(A1739-LOOKUP(2,1/($B$4:$B1738=B1739),$A$4:$A1738),""))</f>
        <v/>
      </c>
      <c r="I1739" s="16" t="str">
        <f t="shared" si="27"/>
        <v/>
      </c>
      <c r="J1739" s="16"/>
      <c r="K1739" s="6" t="str">
        <f>IF(B1739="","",IFERROR(AVERAGEIFS($I$4:$I1739,$B$4:$B1739,B1739,$I$4:$I1739,"&gt;"&amp;0),""))</f>
        <v/>
      </c>
      <c r="L1739" s="16" t="str">
        <f>IF(B1739="","",IF(ISNA(MATCH(B1739,Client_List!$B:$B,0)),"⚠ NOT FOUND","✓"))</f>
        <v/>
      </c>
    </row>
    <row r="1740" spans="1:12" ht="14" customHeight="1" x14ac:dyDescent="0.2">
      <c r="A1740" s="59"/>
      <c r="B1740" s="18"/>
      <c r="C1740" s="19" t="str">
        <f>IF(B1740="","",IFERROR(INDEX(Client_List!$C:$C,MATCH(B1740,Client_List!$B:$B,0)),""))</f>
        <v/>
      </c>
      <c r="D1740" s="19" t="str">
        <f>IF(B1740="","",IFERROR(INDEX(Client_List!$D:$D,MATCH(B1740,Client_List!$B:$B,0)),""))</f>
        <v/>
      </c>
      <c r="E1740" s="19" t="str">
        <f>IF(B1740="","",IFERROR(INDEX(Client_List!$K:$K,MATCH(B1740,Client_List!$B:$B,0)),""))</f>
        <v/>
      </c>
      <c r="F1740" s="19" t="str">
        <f>IF(B1740="","",IFERROR(INDEX(Client_List!$J:$J,MATCH(B1740,Client_List!$B:$B,0)),""))</f>
        <v/>
      </c>
      <c r="G1740" s="19"/>
      <c r="H1740" s="19" t="str">
        <f>IF(B1740="","",IFERROR(A1740-LOOKUP(2,1/($B$4:$B1739=B1740),$A$4:$A1739),""))</f>
        <v/>
      </c>
      <c r="I1740" s="19" t="str">
        <f t="shared" si="27"/>
        <v/>
      </c>
      <c r="J1740" s="19"/>
      <c r="K1740" s="6" t="str">
        <f>IF(B1740="","",IFERROR(AVERAGEIFS($I$4:$I1740,$B$4:$B1740,B1740,$I$4:$I1740,"&gt;"&amp;0),""))</f>
        <v/>
      </c>
      <c r="L1740" s="19" t="str">
        <f>IF(B1740="","",IF(ISNA(MATCH(B1740,Client_List!$B:$B,0)),"⚠ NOT FOUND","✓"))</f>
        <v/>
      </c>
    </row>
    <row r="1741" spans="1:12" ht="14" customHeight="1" x14ac:dyDescent="0.2">
      <c r="A1741" s="58"/>
      <c r="B1741" s="15"/>
      <c r="C1741" s="16" t="str">
        <f>IF(B1741="","",IFERROR(INDEX(Client_List!$C:$C,MATCH(B1741,Client_List!$B:$B,0)),""))</f>
        <v/>
      </c>
      <c r="D1741" s="16" t="str">
        <f>IF(B1741="","",IFERROR(INDEX(Client_List!$D:$D,MATCH(B1741,Client_List!$B:$B,0)),""))</f>
        <v/>
      </c>
      <c r="E1741" s="16" t="str">
        <f>IF(B1741="","",IFERROR(INDEX(Client_List!$K:$K,MATCH(B1741,Client_List!$B:$B,0)),""))</f>
        <v/>
      </c>
      <c r="F1741" s="16" t="str">
        <f>IF(B1741="","",IFERROR(INDEX(Client_List!$J:$J,MATCH(B1741,Client_List!$B:$B,0)),""))</f>
        <v/>
      </c>
      <c r="G1741" s="16"/>
      <c r="H1741" s="16" t="str">
        <f>IF(B1741="","",IFERROR(A1741-LOOKUP(2,1/($B$4:$B1740=B1741),$A$4:$A1740),""))</f>
        <v/>
      </c>
      <c r="I1741" s="16" t="str">
        <f t="shared" si="27"/>
        <v/>
      </c>
      <c r="J1741" s="16"/>
      <c r="K1741" s="6" t="str">
        <f>IF(B1741="","",IFERROR(AVERAGEIFS($I$4:$I1741,$B$4:$B1741,B1741,$I$4:$I1741,"&gt;"&amp;0),""))</f>
        <v/>
      </c>
      <c r="L1741" s="16" t="str">
        <f>IF(B1741="","",IF(ISNA(MATCH(B1741,Client_List!$B:$B,0)),"⚠ NOT FOUND","✓"))</f>
        <v/>
      </c>
    </row>
    <row r="1742" spans="1:12" ht="14" customHeight="1" x14ac:dyDescent="0.2">
      <c r="A1742" s="59"/>
      <c r="B1742" s="18"/>
      <c r="C1742" s="19" t="str">
        <f>IF(B1742="","",IFERROR(INDEX(Client_List!$C:$C,MATCH(B1742,Client_List!$B:$B,0)),""))</f>
        <v/>
      </c>
      <c r="D1742" s="19" t="str">
        <f>IF(B1742="","",IFERROR(INDEX(Client_List!$D:$D,MATCH(B1742,Client_List!$B:$B,0)),""))</f>
        <v/>
      </c>
      <c r="E1742" s="19" t="str">
        <f>IF(B1742="","",IFERROR(INDEX(Client_List!$K:$K,MATCH(B1742,Client_List!$B:$B,0)),""))</f>
        <v/>
      </c>
      <c r="F1742" s="19" t="str">
        <f>IF(B1742="","",IFERROR(INDEX(Client_List!$J:$J,MATCH(B1742,Client_List!$B:$B,0)),""))</f>
        <v/>
      </c>
      <c r="G1742" s="19"/>
      <c r="H1742" s="19" t="str">
        <f>IF(B1742="","",IFERROR(A1742-LOOKUP(2,1/($B$4:$B1741=B1742),$A$4:$A1741),""))</f>
        <v/>
      </c>
      <c r="I1742" s="19" t="str">
        <f t="shared" si="27"/>
        <v/>
      </c>
      <c r="J1742" s="19"/>
      <c r="K1742" s="6" t="str">
        <f>IF(B1742="","",IFERROR(AVERAGEIFS($I$4:$I1742,$B$4:$B1742,B1742,$I$4:$I1742,"&gt;"&amp;0),""))</f>
        <v/>
      </c>
      <c r="L1742" s="19" t="str">
        <f>IF(B1742="","",IF(ISNA(MATCH(B1742,Client_List!$B:$B,0)),"⚠ NOT FOUND","✓"))</f>
        <v/>
      </c>
    </row>
    <row r="1743" spans="1:12" ht="14" customHeight="1" x14ac:dyDescent="0.2">
      <c r="A1743" s="58"/>
      <c r="B1743" s="15"/>
      <c r="C1743" s="16" t="str">
        <f>IF(B1743="","",IFERROR(INDEX(Client_List!$C:$C,MATCH(B1743,Client_List!$B:$B,0)),""))</f>
        <v/>
      </c>
      <c r="D1743" s="16" t="str">
        <f>IF(B1743="","",IFERROR(INDEX(Client_List!$D:$D,MATCH(B1743,Client_List!$B:$B,0)),""))</f>
        <v/>
      </c>
      <c r="E1743" s="16" t="str">
        <f>IF(B1743="","",IFERROR(INDEX(Client_List!$K:$K,MATCH(B1743,Client_List!$B:$B,0)),""))</f>
        <v/>
      </c>
      <c r="F1743" s="16" t="str">
        <f>IF(B1743="","",IFERROR(INDEX(Client_List!$J:$J,MATCH(B1743,Client_List!$B:$B,0)),""))</f>
        <v/>
      </c>
      <c r="G1743" s="16"/>
      <c r="H1743" s="16" t="str">
        <f>IF(B1743="","",IFERROR(A1743-LOOKUP(2,1/($B$4:$B1742=B1743),$A$4:$A1742),""))</f>
        <v/>
      </c>
      <c r="I1743" s="16" t="str">
        <f t="shared" si="27"/>
        <v/>
      </c>
      <c r="J1743" s="16"/>
      <c r="K1743" s="6" t="str">
        <f>IF(B1743="","",IFERROR(AVERAGEIFS($I$4:$I1743,$B$4:$B1743,B1743,$I$4:$I1743,"&gt;"&amp;0),""))</f>
        <v/>
      </c>
      <c r="L1743" s="16" t="str">
        <f>IF(B1743="","",IF(ISNA(MATCH(B1743,Client_List!$B:$B,0)),"⚠ NOT FOUND","✓"))</f>
        <v/>
      </c>
    </row>
    <row r="1744" spans="1:12" ht="14" customHeight="1" x14ac:dyDescent="0.2">
      <c r="A1744" s="59"/>
      <c r="B1744" s="18"/>
      <c r="C1744" s="19" t="str">
        <f>IF(B1744="","",IFERROR(INDEX(Client_List!$C:$C,MATCH(B1744,Client_List!$B:$B,0)),""))</f>
        <v/>
      </c>
      <c r="D1744" s="19" t="str">
        <f>IF(B1744="","",IFERROR(INDEX(Client_List!$D:$D,MATCH(B1744,Client_List!$B:$B,0)),""))</f>
        <v/>
      </c>
      <c r="E1744" s="19" t="str">
        <f>IF(B1744="","",IFERROR(INDEX(Client_List!$K:$K,MATCH(B1744,Client_List!$B:$B,0)),""))</f>
        <v/>
      </c>
      <c r="F1744" s="19" t="str">
        <f>IF(B1744="","",IFERROR(INDEX(Client_List!$J:$J,MATCH(B1744,Client_List!$B:$B,0)),""))</f>
        <v/>
      </c>
      <c r="G1744" s="19"/>
      <c r="H1744" s="19" t="str">
        <f>IF(B1744="","",IFERROR(A1744-LOOKUP(2,1/($B$4:$B1743=B1744),$A$4:$A1743),""))</f>
        <v/>
      </c>
      <c r="I1744" s="19" t="str">
        <f t="shared" si="27"/>
        <v/>
      </c>
      <c r="J1744" s="19"/>
      <c r="K1744" s="6" t="str">
        <f>IF(B1744="","",IFERROR(AVERAGEIFS($I$4:$I1744,$B$4:$B1744,B1744,$I$4:$I1744,"&gt;"&amp;0),""))</f>
        <v/>
      </c>
      <c r="L1744" s="19" t="str">
        <f>IF(B1744="","",IF(ISNA(MATCH(B1744,Client_List!$B:$B,0)),"⚠ NOT FOUND","✓"))</f>
        <v/>
      </c>
    </row>
    <row r="1745" spans="1:12" ht="14" customHeight="1" x14ac:dyDescent="0.2">
      <c r="A1745" s="58"/>
      <c r="B1745" s="15"/>
      <c r="C1745" s="16" t="str">
        <f>IF(B1745="","",IFERROR(INDEX(Client_List!$C:$C,MATCH(B1745,Client_List!$B:$B,0)),""))</f>
        <v/>
      </c>
      <c r="D1745" s="16" t="str">
        <f>IF(B1745="","",IFERROR(INDEX(Client_List!$D:$D,MATCH(B1745,Client_List!$B:$B,0)),""))</f>
        <v/>
      </c>
      <c r="E1745" s="16" t="str">
        <f>IF(B1745="","",IFERROR(INDEX(Client_List!$K:$K,MATCH(B1745,Client_List!$B:$B,0)),""))</f>
        <v/>
      </c>
      <c r="F1745" s="16" t="str">
        <f>IF(B1745="","",IFERROR(INDEX(Client_List!$J:$J,MATCH(B1745,Client_List!$B:$B,0)),""))</f>
        <v/>
      </c>
      <c r="G1745" s="16"/>
      <c r="H1745" s="16" t="str">
        <f>IF(B1745="","",IFERROR(A1745-LOOKUP(2,1/($B$4:$B1744=B1745),$A$4:$A1744),""))</f>
        <v/>
      </c>
      <c r="I1745" s="16" t="str">
        <f t="shared" si="27"/>
        <v/>
      </c>
      <c r="J1745" s="16"/>
      <c r="K1745" s="6" t="str">
        <f>IF(B1745="","",IFERROR(AVERAGEIFS($I$4:$I1745,$B$4:$B1745,B1745,$I$4:$I1745,"&gt;"&amp;0),""))</f>
        <v/>
      </c>
      <c r="L1745" s="16" t="str">
        <f>IF(B1745="","",IF(ISNA(MATCH(B1745,Client_List!$B:$B,0)),"⚠ NOT FOUND","✓"))</f>
        <v/>
      </c>
    </row>
    <row r="1746" spans="1:12" ht="14" customHeight="1" x14ac:dyDescent="0.2">
      <c r="A1746" s="59"/>
      <c r="B1746" s="18"/>
      <c r="C1746" s="19" t="str">
        <f>IF(B1746="","",IFERROR(INDEX(Client_List!$C:$C,MATCH(B1746,Client_List!$B:$B,0)),""))</f>
        <v/>
      </c>
      <c r="D1746" s="19" t="str">
        <f>IF(B1746="","",IFERROR(INDEX(Client_List!$D:$D,MATCH(B1746,Client_List!$B:$B,0)),""))</f>
        <v/>
      </c>
      <c r="E1746" s="19" t="str">
        <f>IF(B1746="","",IFERROR(INDEX(Client_List!$K:$K,MATCH(B1746,Client_List!$B:$B,0)),""))</f>
        <v/>
      </c>
      <c r="F1746" s="19" t="str">
        <f>IF(B1746="","",IFERROR(INDEX(Client_List!$J:$J,MATCH(B1746,Client_List!$B:$B,0)),""))</f>
        <v/>
      </c>
      <c r="G1746" s="19"/>
      <c r="H1746" s="19" t="str">
        <f>IF(B1746="","",IFERROR(A1746-LOOKUP(2,1/($B$4:$B1745=B1746),$A$4:$A1745),""))</f>
        <v/>
      </c>
      <c r="I1746" s="19" t="str">
        <f t="shared" si="27"/>
        <v/>
      </c>
      <c r="J1746" s="19"/>
      <c r="K1746" s="6" t="str">
        <f>IF(B1746="","",IFERROR(AVERAGEIFS($I$4:$I1746,$B$4:$B1746,B1746,$I$4:$I1746,"&gt;"&amp;0),""))</f>
        <v/>
      </c>
      <c r="L1746" s="19" t="str">
        <f>IF(B1746="","",IF(ISNA(MATCH(B1746,Client_List!$B:$B,0)),"⚠ NOT FOUND","✓"))</f>
        <v/>
      </c>
    </row>
    <row r="1747" spans="1:12" ht="14" customHeight="1" x14ac:dyDescent="0.2">
      <c r="A1747" s="58"/>
      <c r="B1747" s="15"/>
      <c r="C1747" s="16" t="str">
        <f>IF(B1747="","",IFERROR(INDEX(Client_List!$C:$C,MATCH(B1747,Client_List!$B:$B,0)),""))</f>
        <v/>
      </c>
      <c r="D1747" s="16" t="str">
        <f>IF(B1747="","",IFERROR(INDEX(Client_List!$D:$D,MATCH(B1747,Client_List!$B:$B,0)),""))</f>
        <v/>
      </c>
      <c r="E1747" s="16" t="str">
        <f>IF(B1747="","",IFERROR(INDEX(Client_List!$K:$K,MATCH(B1747,Client_List!$B:$B,0)),""))</f>
        <v/>
      </c>
      <c r="F1747" s="16" t="str">
        <f>IF(B1747="","",IFERROR(INDEX(Client_List!$J:$J,MATCH(B1747,Client_List!$B:$B,0)),""))</f>
        <v/>
      </c>
      <c r="G1747" s="16"/>
      <c r="H1747" s="16" t="str">
        <f>IF(B1747="","",IFERROR(A1747-LOOKUP(2,1/($B$4:$B1746=B1747),$A$4:$A1746),""))</f>
        <v/>
      </c>
      <c r="I1747" s="16" t="str">
        <f t="shared" si="27"/>
        <v/>
      </c>
      <c r="J1747" s="16"/>
      <c r="K1747" s="6" t="str">
        <f>IF(B1747="","",IFERROR(AVERAGEIFS($I$4:$I1747,$B$4:$B1747,B1747,$I$4:$I1747,"&gt;"&amp;0),""))</f>
        <v/>
      </c>
      <c r="L1747" s="16" t="str">
        <f>IF(B1747="","",IF(ISNA(MATCH(B1747,Client_List!$B:$B,0)),"⚠ NOT FOUND","✓"))</f>
        <v/>
      </c>
    </row>
    <row r="1748" spans="1:12" ht="14" customHeight="1" x14ac:dyDescent="0.2">
      <c r="A1748" s="59"/>
      <c r="B1748" s="18"/>
      <c r="C1748" s="19" t="str">
        <f>IF(B1748="","",IFERROR(INDEX(Client_List!$C:$C,MATCH(B1748,Client_List!$B:$B,0)),""))</f>
        <v/>
      </c>
      <c r="D1748" s="19" t="str">
        <f>IF(B1748="","",IFERROR(INDEX(Client_List!$D:$D,MATCH(B1748,Client_List!$B:$B,0)),""))</f>
        <v/>
      </c>
      <c r="E1748" s="19" t="str">
        <f>IF(B1748="","",IFERROR(INDEX(Client_List!$K:$K,MATCH(B1748,Client_List!$B:$B,0)),""))</f>
        <v/>
      </c>
      <c r="F1748" s="19" t="str">
        <f>IF(B1748="","",IFERROR(INDEX(Client_List!$J:$J,MATCH(B1748,Client_List!$B:$B,0)),""))</f>
        <v/>
      </c>
      <c r="G1748" s="19"/>
      <c r="H1748" s="19" t="str">
        <f>IF(B1748="","",IFERROR(A1748-LOOKUP(2,1/($B$4:$B1747=B1748),$A$4:$A1747),""))</f>
        <v/>
      </c>
      <c r="I1748" s="19" t="str">
        <f t="shared" si="27"/>
        <v/>
      </c>
      <c r="J1748" s="19"/>
      <c r="K1748" s="6" t="str">
        <f>IF(B1748="","",IFERROR(AVERAGEIFS($I$4:$I1748,$B$4:$B1748,B1748,$I$4:$I1748,"&gt;"&amp;0),""))</f>
        <v/>
      </c>
      <c r="L1748" s="19" t="str">
        <f>IF(B1748="","",IF(ISNA(MATCH(B1748,Client_List!$B:$B,0)),"⚠ NOT FOUND","✓"))</f>
        <v/>
      </c>
    </row>
    <row r="1749" spans="1:12" ht="14" customHeight="1" x14ac:dyDescent="0.2">
      <c r="A1749" s="58"/>
      <c r="B1749" s="15"/>
      <c r="C1749" s="16" t="str">
        <f>IF(B1749="","",IFERROR(INDEX(Client_List!$C:$C,MATCH(B1749,Client_List!$B:$B,0)),""))</f>
        <v/>
      </c>
      <c r="D1749" s="16" t="str">
        <f>IF(B1749="","",IFERROR(INDEX(Client_List!$D:$D,MATCH(B1749,Client_List!$B:$B,0)),""))</f>
        <v/>
      </c>
      <c r="E1749" s="16" t="str">
        <f>IF(B1749="","",IFERROR(INDEX(Client_List!$K:$K,MATCH(B1749,Client_List!$B:$B,0)),""))</f>
        <v/>
      </c>
      <c r="F1749" s="16" t="str">
        <f>IF(B1749="","",IFERROR(INDEX(Client_List!$J:$J,MATCH(B1749,Client_List!$B:$B,0)),""))</f>
        <v/>
      </c>
      <c r="G1749" s="16"/>
      <c r="H1749" s="16" t="str">
        <f>IF(B1749="","",IFERROR(A1749-LOOKUP(2,1/($B$4:$B1748=B1749),$A$4:$A1748),""))</f>
        <v/>
      </c>
      <c r="I1749" s="16" t="str">
        <f t="shared" si="27"/>
        <v/>
      </c>
      <c r="J1749" s="16"/>
      <c r="K1749" s="6" t="str">
        <f>IF(B1749="","",IFERROR(AVERAGEIFS($I$4:$I1749,$B$4:$B1749,B1749,$I$4:$I1749,"&gt;"&amp;0),""))</f>
        <v/>
      </c>
      <c r="L1749" s="16" t="str">
        <f>IF(B1749="","",IF(ISNA(MATCH(B1749,Client_List!$B:$B,0)),"⚠ NOT FOUND","✓"))</f>
        <v/>
      </c>
    </row>
    <row r="1750" spans="1:12" ht="14" customHeight="1" x14ac:dyDescent="0.2">
      <c r="A1750" s="59"/>
      <c r="B1750" s="18"/>
      <c r="C1750" s="19" t="str">
        <f>IF(B1750="","",IFERROR(INDEX(Client_List!$C:$C,MATCH(B1750,Client_List!$B:$B,0)),""))</f>
        <v/>
      </c>
      <c r="D1750" s="19" t="str">
        <f>IF(B1750="","",IFERROR(INDEX(Client_List!$D:$D,MATCH(B1750,Client_List!$B:$B,0)),""))</f>
        <v/>
      </c>
      <c r="E1750" s="19" t="str">
        <f>IF(B1750="","",IFERROR(INDEX(Client_List!$K:$K,MATCH(B1750,Client_List!$B:$B,0)),""))</f>
        <v/>
      </c>
      <c r="F1750" s="19" t="str">
        <f>IF(B1750="","",IFERROR(INDEX(Client_List!$J:$J,MATCH(B1750,Client_List!$B:$B,0)),""))</f>
        <v/>
      </c>
      <c r="G1750" s="19"/>
      <c r="H1750" s="19" t="str">
        <f>IF(B1750="","",IFERROR(A1750-LOOKUP(2,1/($B$4:$B1749=B1750),$A$4:$A1749),""))</f>
        <v/>
      </c>
      <c r="I1750" s="19" t="str">
        <f t="shared" si="27"/>
        <v/>
      </c>
      <c r="J1750" s="19"/>
      <c r="K1750" s="6" t="str">
        <f>IF(B1750="","",IFERROR(AVERAGEIFS($I$4:$I1750,$B$4:$B1750,B1750,$I$4:$I1750,"&gt;"&amp;0),""))</f>
        <v/>
      </c>
      <c r="L1750" s="19" t="str">
        <f>IF(B1750="","",IF(ISNA(MATCH(B1750,Client_List!$B:$B,0)),"⚠ NOT FOUND","✓"))</f>
        <v/>
      </c>
    </row>
    <row r="1751" spans="1:12" ht="14" customHeight="1" x14ac:dyDescent="0.2">
      <c r="A1751" s="58"/>
      <c r="B1751" s="15"/>
      <c r="C1751" s="16" t="str">
        <f>IF(B1751="","",IFERROR(INDEX(Client_List!$C:$C,MATCH(B1751,Client_List!$B:$B,0)),""))</f>
        <v/>
      </c>
      <c r="D1751" s="16" t="str">
        <f>IF(B1751="","",IFERROR(INDEX(Client_List!$D:$D,MATCH(B1751,Client_List!$B:$B,0)),""))</f>
        <v/>
      </c>
      <c r="E1751" s="16" t="str">
        <f>IF(B1751="","",IFERROR(INDEX(Client_List!$K:$K,MATCH(B1751,Client_List!$B:$B,0)),""))</f>
        <v/>
      </c>
      <c r="F1751" s="16" t="str">
        <f>IF(B1751="","",IFERROR(INDEX(Client_List!$J:$J,MATCH(B1751,Client_List!$B:$B,0)),""))</f>
        <v/>
      </c>
      <c r="G1751" s="16"/>
      <c r="H1751" s="16" t="str">
        <f>IF(B1751="","",IFERROR(A1751-LOOKUP(2,1/($B$4:$B1750=B1751),$A$4:$A1750),""))</f>
        <v/>
      </c>
      <c r="I1751" s="16" t="str">
        <f t="shared" si="27"/>
        <v/>
      </c>
      <c r="J1751" s="16"/>
      <c r="K1751" s="6" t="str">
        <f>IF(B1751="","",IFERROR(AVERAGEIFS($I$4:$I1751,$B$4:$B1751,B1751,$I$4:$I1751,"&gt;"&amp;0),""))</f>
        <v/>
      </c>
      <c r="L1751" s="16" t="str">
        <f>IF(B1751="","",IF(ISNA(MATCH(B1751,Client_List!$B:$B,0)),"⚠ NOT FOUND","✓"))</f>
        <v/>
      </c>
    </row>
    <row r="1752" spans="1:12" ht="14" customHeight="1" x14ac:dyDescent="0.2">
      <c r="A1752" s="59"/>
      <c r="B1752" s="18"/>
      <c r="C1752" s="19" t="str">
        <f>IF(B1752="","",IFERROR(INDEX(Client_List!$C:$C,MATCH(B1752,Client_List!$B:$B,0)),""))</f>
        <v/>
      </c>
      <c r="D1752" s="19" t="str">
        <f>IF(B1752="","",IFERROR(INDEX(Client_List!$D:$D,MATCH(B1752,Client_List!$B:$B,0)),""))</f>
        <v/>
      </c>
      <c r="E1752" s="19" t="str">
        <f>IF(B1752="","",IFERROR(INDEX(Client_List!$K:$K,MATCH(B1752,Client_List!$B:$B,0)),""))</f>
        <v/>
      </c>
      <c r="F1752" s="19" t="str">
        <f>IF(B1752="","",IFERROR(INDEX(Client_List!$J:$J,MATCH(B1752,Client_List!$B:$B,0)),""))</f>
        <v/>
      </c>
      <c r="G1752" s="19"/>
      <c r="H1752" s="19" t="str">
        <f>IF(B1752="","",IFERROR(A1752-LOOKUP(2,1/($B$4:$B1751=B1752),$A$4:$A1751),""))</f>
        <v/>
      </c>
      <c r="I1752" s="19" t="str">
        <f t="shared" si="27"/>
        <v/>
      </c>
      <c r="J1752" s="19"/>
      <c r="K1752" s="6" t="str">
        <f>IF(B1752="","",IFERROR(AVERAGEIFS($I$4:$I1752,$B$4:$B1752,B1752,$I$4:$I1752,"&gt;"&amp;0),""))</f>
        <v/>
      </c>
      <c r="L1752" s="19" t="str">
        <f>IF(B1752="","",IF(ISNA(MATCH(B1752,Client_List!$B:$B,0)),"⚠ NOT FOUND","✓"))</f>
        <v/>
      </c>
    </row>
    <row r="1753" spans="1:12" ht="14" customHeight="1" x14ac:dyDescent="0.2">
      <c r="A1753" s="58"/>
      <c r="B1753" s="15"/>
      <c r="C1753" s="16" t="str">
        <f>IF(B1753="","",IFERROR(INDEX(Client_List!$C:$C,MATCH(B1753,Client_List!$B:$B,0)),""))</f>
        <v/>
      </c>
      <c r="D1753" s="16" t="str">
        <f>IF(B1753="","",IFERROR(INDEX(Client_List!$D:$D,MATCH(B1753,Client_List!$B:$B,0)),""))</f>
        <v/>
      </c>
      <c r="E1753" s="16" t="str">
        <f>IF(B1753="","",IFERROR(INDEX(Client_List!$K:$K,MATCH(B1753,Client_List!$B:$B,0)),""))</f>
        <v/>
      </c>
      <c r="F1753" s="16" t="str">
        <f>IF(B1753="","",IFERROR(INDEX(Client_List!$J:$J,MATCH(B1753,Client_List!$B:$B,0)),""))</f>
        <v/>
      </c>
      <c r="G1753" s="16"/>
      <c r="H1753" s="16" t="str">
        <f>IF(B1753="","",IFERROR(A1753-LOOKUP(2,1/($B$4:$B1752=B1753),$A$4:$A1752),""))</f>
        <v/>
      </c>
      <c r="I1753" s="16" t="str">
        <f t="shared" si="27"/>
        <v/>
      </c>
      <c r="J1753" s="16"/>
      <c r="K1753" s="6" t="str">
        <f>IF(B1753="","",IFERROR(AVERAGEIFS($I$4:$I1753,$B$4:$B1753,B1753,$I$4:$I1753,"&gt;"&amp;0),""))</f>
        <v/>
      </c>
      <c r="L1753" s="16" t="str">
        <f>IF(B1753="","",IF(ISNA(MATCH(B1753,Client_List!$B:$B,0)),"⚠ NOT FOUND","✓"))</f>
        <v/>
      </c>
    </row>
    <row r="1754" spans="1:12" ht="14" customHeight="1" x14ac:dyDescent="0.2">
      <c r="A1754" s="59"/>
      <c r="B1754" s="18"/>
      <c r="C1754" s="19" t="str">
        <f>IF(B1754="","",IFERROR(INDEX(Client_List!$C:$C,MATCH(B1754,Client_List!$B:$B,0)),""))</f>
        <v/>
      </c>
      <c r="D1754" s="19" t="str">
        <f>IF(B1754="","",IFERROR(INDEX(Client_List!$D:$D,MATCH(B1754,Client_List!$B:$B,0)),""))</f>
        <v/>
      </c>
      <c r="E1754" s="19" t="str">
        <f>IF(B1754="","",IFERROR(INDEX(Client_List!$K:$K,MATCH(B1754,Client_List!$B:$B,0)),""))</f>
        <v/>
      </c>
      <c r="F1754" s="19" t="str">
        <f>IF(B1754="","",IFERROR(INDEX(Client_List!$J:$J,MATCH(B1754,Client_List!$B:$B,0)),""))</f>
        <v/>
      </c>
      <c r="G1754" s="19"/>
      <c r="H1754" s="19" t="str">
        <f>IF(B1754="","",IFERROR(A1754-LOOKUP(2,1/($B$4:$B1753=B1754),$A$4:$A1753),""))</f>
        <v/>
      </c>
      <c r="I1754" s="19" t="str">
        <f t="shared" si="27"/>
        <v/>
      </c>
      <c r="J1754" s="19"/>
      <c r="K1754" s="6" t="str">
        <f>IF(B1754="","",IFERROR(AVERAGEIFS($I$4:$I1754,$B$4:$B1754,B1754,$I$4:$I1754,"&gt;"&amp;0),""))</f>
        <v/>
      </c>
      <c r="L1754" s="19" t="str">
        <f>IF(B1754="","",IF(ISNA(MATCH(B1754,Client_List!$B:$B,0)),"⚠ NOT FOUND","✓"))</f>
        <v/>
      </c>
    </row>
    <row r="1755" spans="1:12" ht="14" customHeight="1" x14ac:dyDescent="0.2">
      <c r="A1755" s="58"/>
      <c r="B1755" s="15"/>
      <c r="C1755" s="16" t="str">
        <f>IF(B1755="","",IFERROR(INDEX(Client_List!$C:$C,MATCH(B1755,Client_List!$B:$B,0)),""))</f>
        <v/>
      </c>
      <c r="D1755" s="16" t="str">
        <f>IF(B1755="","",IFERROR(INDEX(Client_List!$D:$D,MATCH(B1755,Client_List!$B:$B,0)),""))</f>
        <v/>
      </c>
      <c r="E1755" s="16" t="str">
        <f>IF(B1755="","",IFERROR(INDEX(Client_List!$K:$K,MATCH(B1755,Client_List!$B:$B,0)),""))</f>
        <v/>
      </c>
      <c r="F1755" s="16" t="str">
        <f>IF(B1755="","",IFERROR(INDEX(Client_List!$J:$J,MATCH(B1755,Client_List!$B:$B,0)),""))</f>
        <v/>
      </c>
      <c r="G1755" s="16"/>
      <c r="H1755" s="16" t="str">
        <f>IF(B1755="","",IFERROR(A1755-LOOKUP(2,1/($B$4:$B1754=B1755),$A$4:$A1754),""))</f>
        <v/>
      </c>
      <c r="I1755" s="16" t="str">
        <f t="shared" si="27"/>
        <v/>
      </c>
      <c r="J1755" s="16"/>
      <c r="K1755" s="6" t="str">
        <f>IF(B1755="","",IFERROR(AVERAGEIFS($I$4:$I1755,$B$4:$B1755,B1755,$I$4:$I1755,"&gt;"&amp;0),""))</f>
        <v/>
      </c>
      <c r="L1755" s="16" t="str">
        <f>IF(B1755="","",IF(ISNA(MATCH(B1755,Client_List!$B:$B,0)),"⚠ NOT FOUND","✓"))</f>
        <v/>
      </c>
    </row>
    <row r="1756" spans="1:12" ht="14" customHeight="1" x14ac:dyDescent="0.2">
      <c r="A1756" s="59"/>
      <c r="B1756" s="18"/>
      <c r="C1756" s="19" t="str">
        <f>IF(B1756="","",IFERROR(INDEX(Client_List!$C:$C,MATCH(B1756,Client_List!$B:$B,0)),""))</f>
        <v/>
      </c>
      <c r="D1756" s="19" t="str">
        <f>IF(B1756="","",IFERROR(INDEX(Client_List!$D:$D,MATCH(B1756,Client_List!$B:$B,0)),""))</f>
        <v/>
      </c>
      <c r="E1756" s="19" t="str">
        <f>IF(B1756="","",IFERROR(INDEX(Client_List!$K:$K,MATCH(B1756,Client_List!$B:$B,0)),""))</f>
        <v/>
      </c>
      <c r="F1756" s="19" t="str">
        <f>IF(B1756="","",IFERROR(INDEX(Client_List!$J:$J,MATCH(B1756,Client_List!$B:$B,0)),""))</f>
        <v/>
      </c>
      <c r="G1756" s="19"/>
      <c r="H1756" s="19" t="str">
        <f>IF(B1756="","",IFERROR(A1756-LOOKUP(2,1/($B$4:$B1755=B1756),$A$4:$A1755),""))</f>
        <v/>
      </c>
      <c r="I1756" s="19" t="str">
        <f t="shared" si="27"/>
        <v/>
      </c>
      <c r="J1756" s="19"/>
      <c r="K1756" s="6" t="str">
        <f>IF(B1756="","",IFERROR(AVERAGEIFS($I$4:$I1756,$B$4:$B1756,B1756,$I$4:$I1756,"&gt;"&amp;0),""))</f>
        <v/>
      </c>
      <c r="L1756" s="19" t="str">
        <f>IF(B1756="","",IF(ISNA(MATCH(B1756,Client_List!$B:$B,0)),"⚠ NOT FOUND","✓"))</f>
        <v/>
      </c>
    </row>
    <row r="1757" spans="1:12" ht="14" customHeight="1" x14ac:dyDescent="0.2">
      <c r="A1757" s="58"/>
      <c r="B1757" s="15"/>
      <c r="C1757" s="16" t="str">
        <f>IF(B1757="","",IFERROR(INDEX(Client_List!$C:$C,MATCH(B1757,Client_List!$B:$B,0)),""))</f>
        <v/>
      </c>
      <c r="D1757" s="16" t="str">
        <f>IF(B1757="","",IFERROR(INDEX(Client_List!$D:$D,MATCH(B1757,Client_List!$B:$B,0)),""))</f>
        <v/>
      </c>
      <c r="E1757" s="16" t="str">
        <f>IF(B1757="","",IFERROR(INDEX(Client_List!$K:$K,MATCH(B1757,Client_List!$B:$B,0)),""))</f>
        <v/>
      </c>
      <c r="F1757" s="16" t="str">
        <f>IF(B1757="","",IFERROR(INDEX(Client_List!$J:$J,MATCH(B1757,Client_List!$B:$B,0)),""))</f>
        <v/>
      </c>
      <c r="G1757" s="16"/>
      <c r="H1757" s="16" t="str">
        <f>IF(B1757="","",IFERROR(A1757-LOOKUP(2,1/($B$4:$B1756=B1757),$A$4:$A1756),""))</f>
        <v/>
      </c>
      <c r="I1757" s="16" t="str">
        <f t="shared" si="27"/>
        <v/>
      </c>
      <c r="J1757" s="16"/>
      <c r="K1757" s="6" t="str">
        <f>IF(B1757="","",IFERROR(AVERAGEIFS($I$4:$I1757,$B$4:$B1757,B1757,$I$4:$I1757,"&gt;"&amp;0),""))</f>
        <v/>
      </c>
      <c r="L1757" s="16" t="str">
        <f>IF(B1757="","",IF(ISNA(MATCH(B1757,Client_List!$B:$B,0)),"⚠ NOT FOUND","✓"))</f>
        <v/>
      </c>
    </row>
    <row r="1758" spans="1:12" ht="14" customHeight="1" x14ac:dyDescent="0.2">
      <c r="A1758" s="59"/>
      <c r="B1758" s="18"/>
      <c r="C1758" s="19" t="str">
        <f>IF(B1758="","",IFERROR(INDEX(Client_List!$C:$C,MATCH(B1758,Client_List!$B:$B,0)),""))</f>
        <v/>
      </c>
      <c r="D1758" s="19" t="str">
        <f>IF(B1758="","",IFERROR(INDEX(Client_List!$D:$D,MATCH(B1758,Client_List!$B:$B,0)),""))</f>
        <v/>
      </c>
      <c r="E1758" s="19" t="str">
        <f>IF(B1758="","",IFERROR(INDEX(Client_List!$K:$K,MATCH(B1758,Client_List!$B:$B,0)),""))</f>
        <v/>
      </c>
      <c r="F1758" s="19" t="str">
        <f>IF(B1758="","",IFERROR(INDEX(Client_List!$J:$J,MATCH(B1758,Client_List!$B:$B,0)),""))</f>
        <v/>
      </c>
      <c r="G1758" s="19"/>
      <c r="H1758" s="19" t="str">
        <f>IF(B1758="","",IFERROR(A1758-LOOKUP(2,1/($B$4:$B1757=B1758),$A$4:$A1757),""))</f>
        <v/>
      </c>
      <c r="I1758" s="19" t="str">
        <f t="shared" si="27"/>
        <v/>
      </c>
      <c r="J1758" s="19"/>
      <c r="K1758" s="6" t="str">
        <f>IF(B1758="","",IFERROR(AVERAGEIFS($I$4:$I1758,$B$4:$B1758,B1758,$I$4:$I1758,"&gt;"&amp;0),""))</f>
        <v/>
      </c>
      <c r="L1758" s="19" t="str">
        <f>IF(B1758="","",IF(ISNA(MATCH(B1758,Client_List!$B:$B,0)),"⚠ NOT FOUND","✓"))</f>
        <v/>
      </c>
    </row>
    <row r="1759" spans="1:12" ht="14" customHeight="1" x14ac:dyDescent="0.2">
      <c r="A1759" s="58"/>
      <c r="B1759" s="15"/>
      <c r="C1759" s="16" t="str">
        <f>IF(B1759="","",IFERROR(INDEX(Client_List!$C:$C,MATCH(B1759,Client_List!$B:$B,0)),""))</f>
        <v/>
      </c>
      <c r="D1759" s="16" t="str">
        <f>IF(B1759="","",IFERROR(INDEX(Client_List!$D:$D,MATCH(B1759,Client_List!$B:$B,0)),""))</f>
        <v/>
      </c>
      <c r="E1759" s="16" t="str">
        <f>IF(B1759="","",IFERROR(INDEX(Client_List!$K:$K,MATCH(B1759,Client_List!$B:$B,0)),""))</f>
        <v/>
      </c>
      <c r="F1759" s="16" t="str">
        <f>IF(B1759="","",IFERROR(INDEX(Client_List!$J:$J,MATCH(B1759,Client_List!$B:$B,0)),""))</f>
        <v/>
      </c>
      <c r="G1759" s="16"/>
      <c r="H1759" s="16" t="str">
        <f>IF(B1759="","",IFERROR(A1759-LOOKUP(2,1/($B$4:$B1758=B1759),$A$4:$A1758),""))</f>
        <v/>
      </c>
      <c r="I1759" s="16" t="str">
        <f t="shared" si="27"/>
        <v/>
      </c>
      <c r="J1759" s="16"/>
      <c r="K1759" s="6" t="str">
        <f>IF(B1759="","",IFERROR(AVERAGEIFS($I$4:$I1759,$B$4:$B1759,B1759,$I$4:$I1759,"&gt;"&amp;0),""))</f>
        <v/>
      </c>
      <c r="L1759" s="16" t="str">
        <f>IF(B1759="","",IF(ISNA(MATCH(B1759,Client_List!$B:$B,0)),"⚠ NOT FOUND","✓"))</f>
        <v/>
      </c>
    </row>
    <row r="1760" spans="1:12" ht="14" customHeight="1" x14ac:dyDescent="0.2">
      <c r="A1760" s="59"/>
      <c r="B1760" s="18"/>
      <c r="C1760" s="19" t="str">
        <f>IF(B1760="","",IFERROR(INDEX(Client_List!$C:$C,MATCH(B1760,Client_List!$B:$B,0)),""))</f>
        <v/>
      </c>
      <c r="D1760" s="19" t="str">
        <f>IF(B1760="","",IFERROR(INDEX(Client_List!$D:$D,MATCH(B1760,Client_List!$B:$B,0)),""))</f>
        <v/>
      </c>
      <c r="E1760" s="19" t="str">
        <f>IF(B1760="","",IFERROR(INDEX(Client_List!$K:$K,MATCH(B1760,Client_List!$B:$B,0)),""))</f>
        <v/>
      </c>
      <c r="F1760" s="19" t="str">
        <f>IF(B1760="","",IFERROR(INDEX(Client_List!$J:$J,MATCH(B1760,Client_List!$B:$B,0)),""))</f>
        <v/>
      </c>
      <c r="G1760" s="19"/>
      <c r="H1760" s="19" t="str">
        <f>IF(B1760="","",IFERROR(A1760-LOOKUP(2,1/($B$4:$B1759=B1760),$A$4:$A1759),""))</f>
        <v/>
      </c>
      <c r="I1760" s="19" t="str">
        <f t="shared" si="27"/>
        <v/>
      </c>
      <c r="J1760" s="19"/>
      <c r="K1760" s="6" t="str">
        <f>IF(B1760="","",IFERROR(AVERAGEIFS($I$4:$I1760,$B$4:$B1760,B1760,$I$4:$I1760,"&gt;"&amp;0),""))</f>
        <v/>
      </c>
      <c r="L1760" s="19" t="str">
        <f>IF(B1760="","",IF(ISNA(MATCH(B1760,Client_List!$B:$B,0)),"⚠ NOT FOUND","✓"))</f>
        <v/>
      </c>
    </row>
    <row r="1761" spans="1:12" ht="14" customHeight="1" x14ac:dyDescent="0.2">
      <c r="A1761" s="58"/>
      <c r="B1761" s="15"/>
      <c r="C1761" s="16" t="str">
        <f>IF(B1761="","",IFERROR(INDEX(Client_List!$C:$C,MATCH(B1761,Client_List!$B:$B,0)),""))</f>
        <v/>
      </c>
      <c r="D1761" s="16" t="str">
        <f>IF(B1761="","",IFERROR(INDEX(Client_List!$D:$D,MATCH(B1761,Client_List!$B:$B,0)),""))</f>
        <v/>
      </c>
      <c r="E1761" s="16" t="str">
        <f>IF(B1761="","",IFERROR(INDEX(Client_List!$K:$K,MATCH(B1761,Client_List!$B:$B,0)),""))</f>
        <v/>
      </c>
      <c r="F1761" s="16" t="str">
        <f>IF(B1761="","",IFERROR(INDEX(Client_List!$J:$J,MATCH(B1761,Client_List!$B:$B,0)),""))</f>
        <v/>
      </c>
      <c r="G1761" s="16"/>
      <c r="H1761" s="16" t="str">
        <f>IF(B1761="","",IFERROR(A1761-LOOKUP(2,1/($B$4:$B1760=B1761),$A$4:$A1760),""))</f>
        <v/>
      </c>
      <c r="I1761" s="16" t="str">
        <f t="shared" si="27"/>
        <v/>
      </c>
      <c r="J1761" s="16"/>
      <c r="K1761" s="6" t="str">
        <f>IF(B1761="","",IFERROR(AVERAGEIFS($I$4:$I1761,$B$4:$B1761,B1761,$I$4:$I1761,"&gt;"&amp;0),""))</f>
        <v/>
      </c>
      <c r="L1761" s="16" t="str">
        <f>IF(B1761="","",IF(ISNA(MATCH(B1761,Client_List!$B:$B,0)),"⚠ NOT FOUND","✓"))</f>
        <v/>
      </c>
    </row>
    <row r="1762" spans="1:12" ht="14" customHeight="1" x14ac:dyDescent="0.2">
      <c r="A1762" s="59"/>
      <c r="B1762" s="18"/>
      <c r="C1762" s="19" t="str">
        <f>IF(B1762="","",IFERROR(INDEX(Client_List!$C:$C,MATCH(B1762,Client_List!$B:$B,0)),""))</f>
        <v/>
      </c>
      <c r="D1762" s="19" t="str">
        <f>IF(B1762="","",IFERROR(INDEX(Client_List!$D:$D,MATCH(B1762,Client_List!$B:$B,0)),""))</f>
        <v/>
      </c>
      <c r="E1762" s="19" t="str">
        <f>IF(B1762="","",IFERROR(INDEX(Client_List!$K:$K,MATCH(B1762,Client_List!$B:$B,0)),""))</f>
        <v/>
      </c>
      <c r="F1762" s="19" t="str">
        <f>IF(B1762="","",IFERROR(INDEX(Client_List!$J:$J,MATCH(B1762,Client_List!$B:$B,0)),""))</f>
        <v/>
      </c>
      <c r="G1762" s="19"/>
      <c r="H1762" s="19" t="str">
        <f>IF(B1762="","",IFERROR(A1762-LOOKUP(2,1/($B$4:$B1761=B1762),$A$4:$A1761),""))</f>
        <v/>
      </c>
      <c r="I1762" s="19" t="str">
        <f t="shared" si="27"/>
        <v/>
      </c>
      <c r="J1762" s="19"/>
      <c r="K1762" s="6" t="str">
        <f>IF(B1762="","",IFERROR(AVERAGEIFS($I$4:$I1762,$B$4:$B1762,B1762,$I$4:$I1762,"&gt;"&amp;0),""))</f>
        <v/>
      </c>
      <c r="L1762" s="19" t="str">
        <f>IF(B1762="","",IF(ISNA(MATCH(B1762,Client_List!$B:$B,0)),"⚠ NOT FOUND","✓"))</f>
        <v/>
      </c>
    </row>
    <row r="1763" spans="1:12" ht="14" customHeight="1" x14ac:dyDescent="0.2">
      <c r="A1763" s="58"/>
      <c r="B1763" s="15"/>
      <c r="C1763" s="16" t="str">
        <f>IF(B1763="","",IFERROR(INDEX(Client_List!$C:$C,MATCH(B1763,Client_List!$B:$B,0)),""))</f>
        <v/>
      </c>
      <c r="D1763" s="16" t="str">
        <f>IF(B1763="","",IFERROR(INDEX(Client_List!$D:$D,MATCH(B1763,Client_List!$B:$B,0)),""))</f>
        <v/>
      </c>
      <c r="E1763" s="16" t="str">
        <f>IF(B1763="","",IFERROR(INDEX(Client_List!$K:$K,MATCH(B1763,Client_List!$B:$B,0)),""))</f>
        <v/>
      </c>
      <c r="F1763" s="16" t="str">
        <f>IF(B1763="","",IFERROR(INDEX(Client_List!$J:$J,MATCH(B1763,Client_List!$B:$B,0)),""))</f>
        <v/>
      </c>
      <c r="G1763" s="16"/>
      <c r="H1763" s="16" t="str">
        <f>IF(B1763="","",IFERROR(A1763-LOOKUP(2,1/($B$4:$B1762=B1763),$A$4:$A1762),""))</f>
        <v/>
      </c>
      <c r="I1763" s="16" t="str">
        <f t="shared" si="27"/>
        <v/>
      </c>
      <c r="J1763" s="16"/>
      <c r="K1763" s="6" t="str">
        <f>IF(B1763="","",IFERROR(AVERAGEIFS($I$4:$I1763,$B$4:$B1763,B1763,$I$4:$I1763,"&gt;"&amp;0),""))</f>
        <v/>
      </c>
      <c r="L1763" s="16" t="str">
        <f>IF(B1763="","",IF(ISNA(MATCH(B1763,Client_List!$B:$B,0)),"⚠ NOT FOUND","✓"))</f>
        <v/>
      </c>
    </row>
    <row r="1764" spans="1:12" ht="14" customHeight="1" x14ac:dyDescent="0.2">
      <c r="A1764" s="59"/>
      <c r="B1764" s="18"/>
      <c r="C1764" s="19" t="str">
        <f>IF(B1764="","",IFERROR(INDEX(Client_List!$C:$C,MATCH(B1764,Client_List!$B:$B,0)),""))</f>
        <v/>
      </c>
      <c r="D1764" s="19" t="str">
        <f>IF(B1764="","",IFERROR(INDEX(Client_List!$D:$D,MATCH(B1764,Client_List!$B:$B,0)),""))</f>
        <v/>
      </c>
      <c r="E1764" s="19" t="str">
        <f>IF(B1764="","",IFERROR(INDEX(Client_List!$K:$K,MATCH(B1764,Client_List!$B:$B,0)),""))</f>
        <v/>
      </c>
      <c r="F1764" s="19" t="str">
        <f>IF(B1764="","",IFERROR(INDEX(Client_List!$J:$J,MATCH(B1764,Client_List!$B:$B,0)),""))</f>
        <v/>
      </c>
      <c r="G1764" s="19"/>
      <c r="H1764" s="19" t="str">
        <f>IF(B1764="","",IFERROR(A1764-LOOKUP(2,1/($B$4:$B1763=B1764),$A$4:$A1763),""))</f>
        <v/>
      </c>
      <c r="I1764" s="19" t="str">
        <f t="shared" si="27"/>
        <v/>
      </c>
      <c r="J1764" s="19"/>
      <c r="K1764" s="6" t="str">
        <f>IF(B1764="","",IFERROR(AVERAGEIFS($I$4:$I1764,$B$4:$B1764,B1764,$I$4:$I1764,"&gt;"&amp;0),""))</f>
        <v/>
      </c>
      <c r="L1764" s="19" t="str">
        <f>IF(B1764="","",IF(ISNA(MATCH(B1764,Client_List!$B:$B,0)),"⚠ NOT FOUND","✓"))</f>
        <v/>
      </c>
    </row>
    <row r="1765" spans="1:12" ht="14" customHeight="1" x14ac:dyDescent="0.2">
      <c r="A1765" s="58"/>
      <c r="B1765" s="15"/>
      <c r="C1765" s="16" t="str">
        <f>IF(B1765="","",IFERROR(INDEX(Client_List!$C:$C,MATCH(B1765,Client_List!$B:$B,0)),""))</f>
        <v/>
      </c>
      <c r="D1765" s="16" t="str">
        <f>IF(B1765="","",IFERROR(INDEX(Client_List!$D:$D,MATCH(B1765,Client_List!$B:$B,0)),""))</f>
        <v/>
      </c>
      <c r="E1765" s="16" t="str">
        <f>IF(B1765="","",IFERROR(INDEX(Client_List!$K:$K,MATCH(B1765,Client_List!$B:$B,0)),""))</f>
        <v/>
      </c>
      <c r="F1765" s="16" t="str">
        <f>IF(B1765="","",IFERROR(INDEX(Client_List!$J:$J,MATCH(B1765,Client_List!$B:$B,0)),""))</f>
        <v/>
      </c>
      <c r="G1765" s="16"/>
      <c r="H1765" s="16" t="str">
        <f>IF(B1765="","",IFERROR(A1765-LOOKUP(2,1/($B$4:$B1764=B1765),$A$4:$A1764),""))</f>
        <v/>
      </c>
      <c r="I1765" s="16" t="str">
        <f t="shared" si="27"/>
        <v/>
      </c>
      <c r="J1765" s="16"/>
      <c r="K1765" s="6" t="str">
        <f>IF(B1765="","",IFERROR(AVERAGEIFS($I$4:$I1765,$B$4:$B1765,B1765,$I$4:$I1765,"&gt;"&amp;0),""))</f>
        <v/>
      </c>
      <c r="L1765" s="16" t="str">
        <f>IF(B1765="","",IF(ISNA(MATCH(B1765,Client_List!$B:$B,0)),"⚠ NOT FOUND","✓"))</f>
        <v/>
      </c>
    </row>
    <row r="1766" spans="1:12" ht="14" customHeight="1" x14ac:dyDescent="0.2">
      <c r="A1766" s="59"/>
      <c r="B1766" s="18"/>
      <c r="C1766" s="19" t="str">
        <f>IF(B1766="","",IFERROR(INDEX(Client_List!$C:$C,MATCH(B1766,Client_List!$B:$B,0)),""))</f>
        <v/>
      </c>
      <c r="D1766" s="19" t="str">
        <f>IF(B1766="","",IFERROR(INDEX(Client_List!$D:$D,MATCH(B1766,Client_List!$B:$B,0)),""))</f>
        <v/>
      </c>
      <c r="E1766" s="19" t="str">
        <f>IF(B1766="","",IFERROR(INDEX(Client_List!$K:$K,MATCH(B1766,Client_List!$B:$B,0)),""))</f>
        <v/>
      </c>
      <c r="F1766" s="19" t="str">
        <f>IF(B1766="","",IFERROR(INDEX(Client_List!$J:$J,MATCH(B1766,Client_List!$B:$B,0)),""))</f>
        <v/>
      </c>
      <c r="G1766" s="19"/>
      <c r="H1766" s="19" t="str">
        <f>IF(B1766="","",IFERROR(A1766-LOOKUP(2,1/($B$4:$B1765=B1766),$A$4:$A1765),""))</f>
        <v/>
      </c>
      <c r="I1766" s="19" t="str">
        <f t="shared" si="27"/>
        <v/>
      </c>
      <c r="J1766" s="19"/>
      <c r="K1766" s="6" t="str">
        <f>IF(B1766="","",IFERROR(AVERAGEIFS($I$4:$I1766,$B$4:$B1766,B1766,$I$4:$I1766,"&gt;"&amp;0),""))</f>
        <v/>
      </c>
      <c r="L1766" s="19" t="str">
        <f>IF(B1766="","",IF(ISNA(MATCH(B1766,Client_List!$B:$B,0)),"⚠ NOT FOUND","✓"))</f>
        <v/>
      </c>
    </row>
    <row r="1767" spans="1:12" ht="14" customHeight="1" x14ac:dyDescent="0.2">
      <c r="A1767" s="58"/>
      <c r="B1767" s="15"/>
      <c r="C1767" s="16" t="str">
        <f>IF(B1767="","",IFERROR(INDEX(Client_List!$C:$C,MATCH(B1767,Client_List!$B:$B,0)),""))</f>
        <v/>
      </c>
      <c r="D1767" s="16" t="str">
        <f>IF(B1767="","",IFERROR(INDEX(Client_List!$D:$D,MATCH(B1767,Client_List!$B:$B,0)),""))</f>
        <v/>
      </c>
      <c r="E1767" s="16" t="str">
        <f>IF(B1767="","",IFERROR(INDEX(Client_List!$K:$K,MATCH(B1767,Client_List!$B:$B,0)),""))</f>
        <v/>
      </c>
      <c r="F1767" s="16" t="str">
        <f>IF(B1767="","",IFERROR(INDEX(Client_List!$J:$J,MATCH(B1767,Client_List!$B:$B,0)),""))</f>
        <v/>
      </c>
      <c r="G1767" s="16"/>
      <c r="H1767" s="16" t="str">
        <f>IF(B1767="","",IFERROR(A1767-LOOKUP(2,1/($B$4:$B1766=B1767),$A$4:$A1766),""))</f>
        <v/>
      </c>
      <c r="I1767" s="16" t="str">
        <f t="shared" si="27"/>
        <v/>
      </c>
      <c r="J1767" s="16"/>
      <c r="K1767" s="6" t="str">
        <f>IF(B1767="","",IFERROR(AVERAGEIFS($I$4:$I1767,$B$4:$B1767,B1767,$I$4:$I1767,"&gt;"&amp;0),""))</f>
        <v/>
      </c>
      <c r="L1767" s="16" t="str">
        <f>IF(B1767="","",IF(ISNA(MATCH(B1767,Client_List!$B:$B,0)),"⚠ NOT FOUND","✓"))</f>
        <v/>
      </c>
    </row>
    <row r="1768" spans="1:12" ht="14" customHeight="1" x14ac:dyDescent="0.2">
      <c r="A1768" s="59"/>
      <c r="B1768" s="18"/>
      <c r="C1768" s="19" t="str">
        <f>IF(B1768="","",IFERROR(INDEX(Client_List!$C:$C,MATCH(B1768,Client_List!$B:$B,0)),""))</f>
        <v/>
      </c>
      <c r="D1768" s="19" t="str">
        <f>IF(B1768="","",IFERROR(INDEX(Client_List!$D:$D,MATCH(B1768,Client_List!$B:$B,0)),""))</f>
        <v/>
      </c>
      <c r="E1768" s="19" t="str">
        <f>IF(B1768="","",IFERROR(INDEX(Client_List!$K:$K,MATCH(B1768,Client_List!$B:$B,0)),""))</f>
        <v/>
      </c>
      <c r="F1768" s="19" t="str">
        <f>IF(B1768="","",IFERROR(INDEX(Client_List!$J:$J,MATCH(B1768,Client_List!$B:$B,0)),""))</f>
        <v/>
      </c>
      <c r="G1768" s="19"/>
      <c r="H1768" s="19" t="str">
        <f>IF(B1768="","",IFERROR(A1768-LOOKUP(2,1/($B$4:$B1767=B1768),$A$4:$A1767),""))</f>
        <v/>
      </c>
      <c r="I1768" s="19" t="str">
        <f t="shared" si="27"/>
        <v/>
      </c>
      <c r="J1768" s="19"/>
      <c r="K1768" s="6" t="str">
        <f>IF(B1768="","",IFERROR(AVERAGEIFS($I$4:$I1768,$B$4:$B1768,B1768,$I$4:$I1768,"&gt;"&amp;0),""))</f>
        <v/>
      </c>
      <c r="L1768" s="19" t="str">
        <f>IF(B1768="","",IF(ISNA(MATCH(B1768,Client_List!$B:$B,0)),"⚠ NOT FOUND","✓"))</f>
        <v/>
      </c>
    </row>
    <row r="1769" spans="1:12" ht="14" customHeight="1" x14ac:dyDescent="0.2">
      <c r="A1769" s="58"/>
      <c r="B1769" s="15"/>
      <c r="C1769" s="16" t="str">
        <f>IF(B1769="","",IFERROR(INDEX(Client_List!$C:$C,MATCH(B1769,Client_List!$B:$B,0)),""))</f>
        <v/>
      </c>
      <c r="D1769" s="16" t="str">
        <f>IF(B1769="","",IFERROR(INDEX(Client_List!$D:$D,MATCH(B1769,Client_List!$B:$B,0)),""))</f>
        <v/>
      </c>
      <c r="E1769" s="16" t="str">
        <f>IF(B1769="","",IFERROR(INDEX(Client_List!$K:$K,MATCH(B1769,Client_List!$B:$B,0)),""))</f>
        <v/>
      </c>
      <c r="F1769" s="16" t="str">
        <f>IF(B1769="","",IFERROR(INDEX(Client_List!$J:$J,MATCH(B1769,Client_List!$B:$B,0)),""))</f>
        <v/>
      </c>
      <c r="G1769" s="16"/>
      <c r="H1769" s="16" t="str">
        <f>IF(B1769="","",IFERROR(A1769-LOOKUP(2,1/($B$4:$B1768=B1769),$A$4:$A1768),""))</f>
        <v/>
      </c>
      <c r="I1769" s="16" t="str">
        <f t="shared" si="27"/>
        <v/>
      </c>
      <c r="J1769" s="16"/>
      <c r="K1769" s="6" t="str">
        <f>IF(B1769="","",IFERROR(AVERAGEIFS($I$4:$I1769,$B$4:$B1769,B1769,$I$4:$I1769,"&gt;"&amp;0),""))</f>
        <v/>
      </c>
      <c r="L1769" s="16" t="str">
        <f>IF(B1769="","",IF(ISNA(MATCH(B1769,Client_List!$B:$B,0)),"⚠ NOT FOUND","✓"))</f>
        <v/>
      </c>
    </row>
    <row r="1770" spans="1:12" ht="14" customHeight="1" x14ac:dyDescent="0.2">
      <c r="A1770" s="59"/>
      <c r="B1770" s="18"/>
      <c r="C1770" s="19" t="str">
        <f>IF(B1770="","",IFERROR(INDEX(Client_List!$C:$C,MATCH(B1770,Client_List!$B:$B,0)),""))</f>
        <v/>
      </c>
      <c r="D1770" s="19" t="str">
        <f>IF(B1770="","",IFERROR(INDEX(Client_List!$D:$D,MATCH(B1770,Client_List!$B:$B,0)),""))</f>
        <v/>
      </c>
      <c r="E1770" s="19" t="str">
        <f>IF(B1770="","",IFERROR(INDEX(Client_List!$K:$K,MATCH(B1770,Client_List!$B:$B,0)),""))</f>
        <v/>
      </c>
      <c r="F1770" s="19" t="str">
        <f>IF(B1770="","",IFERROR(INDEX(Client_List!$J:$J,MATCH(B1770,Client_List!$B:$B,0)),""))</f>
        <v/>
      </c>
      <c r="G1770" s="19"/>
      <c r="H1770" s="19" t="str">
        <f>IF(B1770="","",IFERROR(A1770-LOOKUP(2,1/($B$4:$B1769=B1770),$A$4:$A1769),""))</f>
        <v/>
      </c>
      <c r="I1770" s="19" t="str">
        <f t="shared" si="27"/>
        <v/>
      </c>
      <c r="J1770" s="19"/>
      <c r="K1770" s="6" t="str">
        <f>IF(B1770="","",IFERROR(AVERAGEIFS($I$4:$I1770,$B$4:$B1770,B1770,$I$4:$I1770,"&gt;"&amp;0),""))</f>
        <v/>
      </c>
      <c r="L1770" s="19" t="str">
        <f>IF(B1770="","",IF(ISNA(MATCH(B1770,Client_List!$B:$B,0)),"⚠ NOT FOUND","✓"))</f>
        <v/>
      </c>
    </row>
    <row r="1771" spans="1:12" ht="14" customHeight="1" x14ac:dyDescent="0.2">
      <c r="A1771" s="58"/>
      <c r="B1771" s="15"/>
      <c r="C1771" s="16" t="str">
        <f>IF(B1771="","",IFERROR(INDEX(Client_List!$C:$C,MATCH(B1771,Client_List!$B:$B,0)),""))</f>
        <v/>
      </c>
      <c r="D1771" s="16" t="str">
        <f>IF(B1771="","",IFERROR(INDEX(Client_List!$D:$D,MATCH(B1771,Client_List!$B:$B,0)),""))</f>
        <v/>
      </c>
      <c r="E1771" s="16" t="str">
        <f>IF(B1771="","",IFERROR(INDEX(Client_List!$K:$K,MATCH(B1771,Client_List!$B:$B,0)),""))</f>
        <v/>
      </c>
      <c r="F1771" s="16" t="str">
        <f>IF(B1771="","",IFERROR(INDEX(Client_List!$J:$J,MATCH(B1771,Client_List!$B:$B,0)),""))</f>
        <v/>
      </c>
      <c r="G1771" s="16"/>
      <c r="H1771" s="16" t="str">
        <f>IF(B1771="","",IFERROR(A1771-LOOKUP(2,1/($B$4:$B1770=B1771),$A$4:$A1770),""))</f>
        <v/>
      </c>
      <c r="I1771" s="16" t="str">
        <f t="shared" si="27"/>
        <v/>
      </c>
      <c r="J1771" s="16"/>
      <c r="K1771" s="6" t="str">
        <f>IF(B1771="","",IFERROR(AVERAGEIFS($I$4:$I1771,$B$4:$B1771,B1771,$I$4:$I1771,"&gt;"&amp;0),""))</f>
        <v/>
      </c>
      <c r="L1771" s="16" t="str">
        <f>IF(B1771="","",IF(ISNA(MATCH(B1771,Client_List!$B:$B,0)),"⚠ NOT FOUND","✓"))</f>
        <v/>
      </c>
    </row>
    <row r="1772" spans="1:12" ht="14" customHeight="1" x14ac:dyDescent="0.2">
      <c r="A1772" s="59"/>
      <c r="B1772" s="18"/>
      <c r="C1772" s="19" t="str">
        <f>IF(B1772="","",IFERROR(INDEX(Client_List!$C:$C,MATCH(B1772,Client_List!$B:$B,0)),""))</f>
        <v/>
      </c>
      <c r="D1772" s="19" t="str">
        <f>IF(B1772="","",IFERROR(INDEX(Client_List!$D:$D,MATCH(B1772,Client_List!$B:$B,0)),""))</f>
        <v/>
      </c>
      <c r="E1772" s="19" t="str">
        <f>IF(B1772="","",IFERROR(INDEX(Client_List!$K:$K,MATCH(B1772,Client_List!$B:$B,0)),""))</f>
        <v/>
      </c>
      <c r="F1772" s="19" t="str">
        <f>IF(B1772="","",IFERROR(INDEX(Client_List!$J:$J,MATCH(B1772,Client_List!$B:$B,0)),""))</f>
        <v/>
      </c>
      <c r="G1772" s="19"/>
      <c r="H1772" s="19" t="str">
        <f>IF(B1772="","",IFERROR(A1772-LOOKUP(2,1/($B$4:$B1771=B1772),$A$4:$A1771),""))</f>
        <v/>
      </c>
      <c r="I1772" s="19" t="str">
        <f t="shared" si="27"/>
        <v/>
      </c>
      <c r="J1772" s="19"/>
      <c r="K1772" s="6" t="str">
        <f>IF(B1772="","",IFERROR(AVERAGEIFS($I$4:$I1772,$B$4:$B1772,B1772,$I$4:$I1772,"&gt;"&amp;0),""))</f>
        <v/>
      </c>
      <c r="L1772" s="19" t="str">
        <f>IF(B1772="","",IF(ISNA(MATCH(B1772,Client_List!$B:$B,0)),"⚠ NOT FOUND","✓"))</f>
        <v/>
      </c>
    </row>
    <row r="1773" spans="1:12" ht="14" customHeight="1" x14ac:dyDescent="0.2">
      <c r="A1773" s="58"/>
      <c r="B1773" s="15"/>
      <c r="C1773" s="16" t="str">
        <f>IF(B1773="","",IFERROR(INDEX(Client_List!$C:$C,MATCH(B1773,Client_List!$B:$B,0)),""))</f>
        <v/>
      </c>
      <c r="D1773" s="16" t="str">
        <f>IF(B1773="","",IFERROR(INDEX(Client_List!$D:$D,MATCH(B1773,Client_List!$B:$B,0)),""))</f>
        <v/>
      </c>
      <c r="E1773" s="16" t="str">
        <f>IF(B1773="","",IFERROR(INDEX(Client_List!$K:$K,MATCH(B1773,Client_List!$B:$B,0)),""))</f>
        <v/>
      </c>
      <c r="F1773" s="16" t="str">
        <f>IF(B1773="","",IFERROR(INDEX(Client_List!$J:$J,MATCH(B1773,Client_List!$B:$B,0)),""))</f>
        <v/>
      </c>
      <c r="G1773" s="16"/>
      <c r="H1773" s="16" t="str">
        <f>IF(B1773="","",IFERROR(A1773-LOOKUP(2,1/($B$4:$B1772=B1773),$A$4:$A1772),""))</f>
        <v/>
      </c>
      <c r="I1773" s="16" t="str">
        <f t="shared" si="27"/>
        <v/>
      </c>
      <c r="J1773" s="16"/>
      <c r="K1773" s="6" t="str">
        <f>IF(B1773="","",IFERROR(AVERAGEIFS($I$4:$I1773,$B$4:$B1773,B1773,$I$4:$I1773,"&gt;"&amp;0),""))</f>
        <v/>
      </c>
      <c r="L1773" s="16" t="str">
        <f>IF(B1773="","",IF(ISNA(MATCH(B1773,Client_List!$B:$B,0)),"⚠ NOT FOUND","✓"))</f>
        <v/>
      </c>
    </row>
    <row r="1774" spans="1:12" ht="14" customHeight="1" x14ac:dyDescent="0.2">
      <c r="A1774" s="59"/>
      <c r="B1774" s="18"/>
      <c r="C1774" s="19" t="str">
        <f>IF(B1774="","",IFERROR(INDEX(Client_List!$C:$C,MATCH(B1774,Client_List!$B:$B,0)),""))</f>
        <v/>
      </c>
      <c r="D1774" s="19" t="str">
        <f>IF(B1774="","",IFERROR(INDEX(Client_List!$D:$D,MATCH(B1774,Client_List!$B:$B,0)),""))</f>
        <v/>
      </c>
      <c r="E1774" s="19" t="str">
        <f>IF(B1774="","",IFERROR(INDEX(Client_List!$K:$K,MATCH(B1774,Client_List!$B:$B,0)),""))</f>
        <v/>
      </c>
      <c r="F1774" s="19" t="str">
        <f>IF(B1774="","",IFERROR(INDEX(Client_List!$J:$J,MATCH(B1774,Client_List!$B:$B,0)),""))</f>
        <v/>
      </c>
      <c r="G1774" s="19"/>
      <c r="H1774" s="19" t="str">
        <f>IF(B1774="","",IFERROR(A1774-LOOKUP(2,1/($B$4:$B1773=B1774),$A$4:$A1773),""))</f>
        <v/>
      </c>
      <c r="I1774" s="19" t="str">
        <f t="shared" si="27"/>
        <v/>
      </c>
      <c r="J1774" s="19"/>
      <c r="K1774" s="6" t="str">
        <f>IF(B1774="","",IFERROR(AVERAGEIFS($I$4:$I1774,$B$4:$B1774,B1774,$I$4:$I1774,"&gt;"&amp;0),""))</f>
        <v/>
      </c>
      <c r="L1774" s="19" t="str">
        <f>IF(B1774="","",IF(ISNA(MATCH(B1774,Client_List!$B:$B,0)),"⚠ NOT FOUND","✓"))</f>
        <v/>
      </c>
    </row>
    <row r="1775" spans="1:12" ht="14" customHeight="1" x14ac:dyDescent="0.2">
      <c r="A1775" s="58"/>
      <c r="B1775" s="15"/>
      <c r="C1775" s="16" t="str">
        <f>IF(B1775="","",IFERROR(INDEX(Client_List!$C:$C,MATCH(B1775,Client_List!$B:$B,0)),""))</f>
        <v/>
      </c>
      <c r="D1775" s="16" t="str">
        <f>IF(B1775="","",IFERROR(INDEX(Client_List!$D:$D,MATCH(B1775,Client_List!$B:$B,0)),""))</f>
        <v/>
      </c>
      <c r="E1775" s="16" t="str">
        <f>IF(B1775="","",IFERROR(INDEX(Client_List!$K:$K,MATCH(B1775,Client_List!$B:$B,0)),""))</f>
        <v/>
      </c>
      <c r="F1775" s="16" t="str">
        <f>IF(B1775="","",IFERROR(INDEX(Client_List!$J:$J,MATCH(B1775,Client_List!$B:$B,0)),""))</f>
        <v/>
      </c>
      <c r="G1775" s="16"/>
      <c r="H1775" s="16" t="str">
        <f>IF(B1775="","",IFERROR(A1775-LOOKUP(2,1/($B$4:$B1774=B1775),$A$4:$A1774),""))</f>
        <v/>
      </c>
      <c r="I1775" s="16" t="str">
        <f t="shared" si="27"/>
        <v/>
      </c>
      <c r="J1775" s="16"/>
      <c r="K1775" s="6" t="str">
        <f>IF(B1775="","",IFERROR(AVERAGEIFS($I$4:$I1775,$B$4:$B1775,B1775,$I$4:$I1775,"&gt;"&amp;0),""))</f>
        <v/>
      </c>
      <c r="L1775" s="16" t="str">
        <f>IF(B1775="","",IF(ISNA(MATCH(B1775,Client_List!$B:$B,0)),"⚠ NOT FOUND","✓"))</f>
        <v/>
      </c>
    </row>
    <row r="1776" spans="1:12" ht="14" customHeight="1" x14ac:dyDescent="0.2">
      <c r="A1776" s="59"/>
      <c r="B1776" s="18"/>
      <c r="C1776" s="19" t="str">
        <f>IF(B1776="","",IFERROR(INDEX(Client_List!$C:$C,MATCH(B1776,Client_List!$B:$B,0)),""))</f>
        <v/>
      </c>
      <c r="D1776" s="19" t="str">
        <f>IF(B1776="","",IFERROR(INDEX(Client_List!$D:$D,MATCH(B1776,Client_List!$B:$B,0)),""))</f>
        <v/>
      </c>
      <c r="E1776" s="19" t="str">
        <f>IF(B1776="","",IFERROR(INDEX(Client_List!$K:$K,MATCH(B1776,Client_List!$B:$B,0)),""))</f>
        <v/>
      </c>
      <c r="F1776" s="19" t="str">
        <f>IF(B1776="","",IFERROR(INDEX(Client_List!$J:$J,MATCH(B1776,Client_List!$B:$B,0)),""))</f>
        <v/>
      </c>
      <c r="G1776" s="19"/>
      <c r="H1776" s="19" t="str">
        <f>IF(B1776="","",IFERROR(A1776-LOOKUP(2,1/($B$4:$B1775=B1776),$A$4:$A1775),""))</f>
        <v/>
      </c>
      <c r="I1776" s="19" t="str">
        <f t="shared" si="27"/>
        <v/>
      </c>
      <c r="J1776" s="19"/>
      <c r="K1776" s="6" t="str">
        <f>IF(B1776="","",IFERROR(AVERAGEIFS($I$4:$I1776,$B$4:$B1776,B1776,$I$4:$I1776,"&gt;"&amp;0),""))</f>
        <v/>
      </c>
      <c r="L1776" s="19" t="str">
        <f>IF(B1776="","",IF(ISNA(MATCH(B1776,Client_List!$B:$B,0)),"⚠ NOT FOUND","✓"))</f>
        <v/>
      </c>
    </row>
    <row r="1777" spans="1:12" ht="14" customHeight="1" x14ac:dyDescent="0.2">
      <c r="A1777" s="58"/>
      <c r="B1777" s="15"/>
      <c r="C1777" s="16" t="str">
        <f>IF(B1777="","",IFERROR(INDEX(Client_List!$C:$C,MATCH(B1777,Client_List!$B:$B,0)),""))</f>
        <v/>
      </c>
      <c r="D1777" s="16" t="str">
        <f>IF(B1777="","",IFERROR(INDEX(Client_List!$D:$D,MATCH(B1777,Client_List!$B:$B,0)),""))</f>
        <v/>
      </c>
      <c r="E1777" s="16" t="str">
        <f>IF(B1777="","",IFERROR(INDEX(Client_List!$K:$K,MATCH(B1777,Client_List!$B:$B,0)),""))</f>
        <v/>
      </c>
      <c r="F1777" s="16" t="str">
        <f>IF(B1777="","",IFERROR(INDEX(Client_List!$J:$J,MATCH(B1777,Client_List!$B:$B,0)),""))</f>
        <v/>
      </c>
      <c r="G1777" s="16"/>
      <c r="H1777" s="16" t="str">
        <f>IF(B1777="","",IFERROR(A1777-LOOKUP(2,1/($B$4:$B1776=B1777),$A$4:$A1776),""))</f>
        <v/>
      </c>
      <c r="I1777" s="16" t="str">
        <f t="shared" si="27"/>
        <v/>
      </c>
      <c r="J1777" s="16"/>
      <c r="K1777" s="6" t="str">
        <f>IF(B1777="","",IFERROR(AVERAGEIFS($I$4:$I1777,$B$4:$B1777,B1777,$I$4:$I1777,"&gt;"&amp;0),""))</f>
        <v/>
      </c>
      <c r="L1777" s="16" t="str">
        <f>IF(B1777="","",IF(ISNA(MATCH(B1777,Client_List!$B:$B,0)),"⚠ NOT FOUND","✓"))</f>
        <v/>
      </c>
    </row>
    <row r="1778" spans="1:12" ht="14" customHeight="1" x14ac:dyDescent="0.2">
      <c r="A1778" s="59"/>
      <c r="B1778" s="18"/>
      <c r="C1778" s="19" t="str">
        <f>IF(B1778="","",IFERROR(INDEX(Client_List!$C:$C,MATCH(B1778,Client_List!$B:$B,0)),""))</f>
        <v/>
      </c>
      <c r="D1778" s="19" t="str">
        <f>IF(B1778="","",IFERROR(INDEX(Client_List!$D:$D,MATCH(B1778,Client_List!$B:$B,0)),""))</f>
        <v/>
      </c>
      <c r="E1778" s="19" t="str">
        <f>IF(B1778="","",IFERROR(INDEX(Client_List!$K:$K,MATCH(B1778,Client_List!$B:$B,0)),""))</f>
        <v/>
      </c>
      <c r="F1778" s="19" t="str">
        <f>IF(B1778="","",IFERROR(INDEX(Client_List!$J:$J,MATCH(B1778,Client_List!$B:$B,0)),""))</f>
        <v/>
      </c>
      <c r="G1778" s="19"/>
      <c r="H1778" s="19" t="str">
        <f>IF(B1778="","",IFERROR(A1778-LOOKUP(2,1/($B$4:$B1777=B1778),$A$4:$A1777),""))</f>
        <v/>
      </c>
      <c r="I1778" s="19" t="str">
        <f t="shared" si="27"/>
        <v/>
      </c>
      <c r="J1778" s="19"/>
      <c r="K1778" s="6" t="str">
        <f>IF(B1778="","",IFERROR(AVERAGEIFS($I$4:$I1778,$B$4:$B1778,B1778,$I$4:$I1778,"&gt;"&amp;0),""))</f>
        <v/>
      </c>
      <c r="L1778" s="19" t="str">
        <f>IF(B1778="","",IF(ISNA(MATCH(B1778,Client_List!$B:$B,0)),"⚠ NOT FOUND","✓"))</f>
        <v/>
      </c>
    </row>
    <row r="1779" spans="1:12" ht="14" customHeight="1" x14ac:dyDescent="0.2">
      <c r="A1779" s="58"/>
      <c r="B1779" s="15"/>
      <c r="C1779" s="16" t="str">
        <f>IF(B1779="","",IFERROR(INDEX(Client_List!$C:$C,MATCH(B1779,Client_List!$B:$B,0)),""))</f>
        <v/>
      </c>
      <c r="D1779" s="16" t="str">
        <f>IF(B1779="","",IFERROR(INDEX(Client_List!$D:$D,MATCH(B1779,Client_List!$B:$B,0)),""))</f>
        <v/>
      </c>
      <c r="E1779" s="16" t="str">
        <f>IF(B1779="","",IFERROR(INDEX(Client_List!$K:$K,MATCH(B1779,Client_List!$B:$B,0)),""))</f>
        <v/>
      </c>
      <c r="F1779" s="16" t="str">
        <f>IF(B1779="","",IFERROR(INDEX(Client_List!$J:$J,MATCH(B1779,Client_List!$B:$B,0)),""))</f>
        <v/>
      </c>
      <c r="G1779" s="16"/>
      <c r="H1779" s="16" t="str">
        <f>IF(B1779="","",IFERROR(A1779-LOOKUP(2,1/($B$4:$B1778=B1779),$A$4:$A1778),""))</f>
        <v/>
      </c>
      <c r="I1779" s="16" t="str">
        <f t="shared" si="27"/>
        <v/>
      </c>
      <c r="J1779" s="16"/>
      <c r="K1779" s="6" t="str">
        <f>IF(B1779="","",IFERROR(AVERAGEIFS($I$4:$I1779,$B$4:$B1779,B1779,$I$4:$I1779,"&gt;"&amp;0),""))</f>
        <v/>
      </c>
      <c r="L1779" s="16" t="str">
        <f>IF(B1779="","",IF(ISNA(MATCH(B1779,Client_List!$B:$B,0)),"⚠ NOT FOUND","✓"))</f>
        <v/>
      </c>
    </row>
    <row r="1780" spans="1:12" ht="14" customHeight="1" x14ac:dyDescent="0.2">
      <c r="A1780" s="59"/>
      <c r="B1780" s="18"/>
      <c r="C1780" s="19" t="str">
        <f>IF(B1780="","",IFERROR(INDEX(Client_List!$C:$C,MATCH(B1780,Client_List!$B:$B,0)),""))</f>
        <v/>
      </c>
      <c r="D1780" s="19" t="str">
        <f>IF(B1780="","",IFERROR(INDEX(Client_List!$D:$D,MATCH(B1780,Client_List!$B:$B,0)),""))</f>
        <v/>
      </c>
      <c r="E1780" s="19" t="str">
        <f>IF(B1780="","",IFERROR(INDEX(Client_List!$K:$K,MATCH(B1780,Client_List!$B:$B,0)),""))</f>
        <v/>
      </c>
      <c r="F1780" s="19" t="str">
        <f>IF(B1780="","",IFERROR(INDEX(Client_List!$J:$J,MATCH(B1780,Client_List!$B:$B,0)),""))</f>
        <v/>
      </c>
      <c r="G1780" s="19"/>
      <c r="H1780" s="19" t="str">
        <f>IF(B1780="","",IFERROR(A1780-LOOKUP(2,1/($B$4:$B1779=B1780),$A$4:$A1779),""))</f>
        <v/>
      </c>
      <c r="I1780" s="19" t="str">
        <f t="shared" si="27"/>
        <v/>
      </c>
      <c r="J1780" s="19"/>
      <c r="K1780" s="6" t="str">
        <f>IF(B1780="","",IFERROR(AVERAGEIFS($I$4:$I1780,$B$4:$B1780,B1780,$I$4:$I1780,"&gt;"&amp;0),""))</f>
        <v/>
      </c>
      <c r="L1780" s="19" t="str">
        <f>IF(B1780="","",IF(ISNA(MATCH(B1780,Client_List!$B:$B,0)),"⚠ NOT FOUND","✓"))</f>
        <v/>
      </c>
    </row>
    <row r="1781" spans="1:12" ht="14" customHeight="1" x14ac:dyDescent="0.2">
      <c r="A1781" s="58"/>
      <c r="B1781" s="15"/>
      <c r="C1781" s="16" t="str">
        <f>IF(B1781="","",IFERROR(INDEX(Client_List!$C:$C,MATCH(B1781,Client_List!$B:$B,0)),""))</f>
        <v/>
      </c>
      <c r="D1781" s="16" t="str">
        <f>IF(B1781="","",IFERROR(INDEX(Client_List!$D:$D,MATCH(B1781,Client_List!$B:$B,0)),""))</f>
        <v/>
      </c>
      <c r="E1781" s="16" t="str">
        <f>IF(B1781="","",IFERROR(INDEX(Client_List!$K:$K,MATCH(B1781,Client_List!$B:$B,0)),""))</f>
        <v/>
      </c>
      <c r="F1781" s="16" t="str">
        <f>IF(B1781="","",IFERROR(INDEX(Client_List!$J:$J,MATCH(B1781,Client_List!$B:$B,0)),""))</f>
        <v/>
      </c>
      <c r="G1781" s="16"/>
      <c r="H1781" s="16" t="str">
        <f>IF(B1781="","",IFERROR(A1781-LOOKUP(2,1/($B$4:$B1780=B1781),$A$4:$A1780),""))</f>
        <v/>
      </c>
      <c r="I1781" s="16" t="str">
        <f t="shared" si="27"/>
        <v/>
      </c>
      <c r="J1781" s="16"/>
      <c r="K1781" s="6" t="str">
        <f>IF(B1781="","",IFERROR(AVERAGEIFS($I$4:$I1781,$B$4:$B1781,B1781,$I$4:$I1781,"&gt;"&amp;0),""))</f>
        <v/>
      </c>
      <c r="L1781" s="16" t="str">
        <f>IF(B1781="","",IF(ISNA(MATCH(B1781,Client_List!$B:$B,0)),"⚠ NOT FOUND","✓"))</f>
        <v/>
      </c>
    </row>
    <row r="1782" spans="1:12" ht="14" customHeight="1" x14ac:dyDescent="0.2">
      <c r="A1782" s="59"/>
      <c r="B1782" s="18"/>
      <c r="C1782" s="19" t="str">
        <f>IF(B1782="","",IFERROR(INDEX(Client_List!$C:$C,MATCH(B1782,Client_List!$B:$B,0)),""))</f>
        <v/>
      </c>
      <c r="D1782" s="19" t="str">
        <f>IF(B1782="","",IFERROR(INDEX(Client_List!$D:$D,MATCH(B1782,Client_List!$B:$B,0)),""))</f>
        <v/>
      </c>
      <c r="E1782" s="19" t="str">
        <f>IF(B1782="","",IFERROR(INDEX(Client_List!$K:$K,MATCH(B1782,Client_List!$B:$B,0)),""))</f>
        <v/>
      </c>
      <c r="F1782" s="19" t="str">
        <f>IF(B1782="","",IFERROR(INDEX(Client_List!$J:$J,MATCH(B1782,Client_List!$B:$B,0)),""))</f>
        <v/>
      </c>
      <c r="G1782" s="19"/>
      <c r="H1782" s="19" t="str">
        <f>IF(B1782="","",IFERROR(A1782-LOOKUP(2,1/($B$4:$B1781=B1782),$A$4:$A1781),""))</f>
        <v/>
      </c>
      <c r="I1782" s="19" t="str">
        <f t="shared" si="27"/>
        <v/>
      </c>
      <c r="J1782" s="19"/>
      <c r="K1782" s="6" t="str">
        <f>IF(B1782="","",IFERROR(AVERAGEIFS($I$4:$I1782,$B$4:$B1782,B1782,$I$4:$I1782,"&gt;"&amp;0),""))</f>
        <v/>
      </c>
      <c r="L1782" s="19" t="str">
        <f>IF(B1782="","",IF(ISNA(MATCH(B1782,Client_List!$B:$B,0)),"⚠ NOT FOUND","✓"))</f>
        <v/>
      </c>
    </row>
    <row r="1783" spans="1:12" ht="14" customHeight="1" x14ac:dyDescent="0.2">
      <c r="A1783" s="58"/>
      <c r="B1783" s="15"/>
      <c r="C1783" s="16" t="str">
        <f>IF(B1783="","",IFERROR(INDEX(Client_List!$C:$C,MATCH(B1783,Client_List!$B:$B,0)),""))</f>
        <v/>
      </c>
      <c r="D1783" s="16" t="str">
        <f>IF(B1783="","",IFERROR(INDEX(Client_List!$D:$D,MATCH(B1783,Client_List!$B:$B,0)),""))</f>
        <v/>
      </c>
      <c r="E1783" s="16" t="str">
        <f>IF(B1783="","",IFERROR(INDEX(Client_List!$K:$K,MATCH(B1783,Client_List!$B:$B,0)),""))</f>
        <v/>
      </c>
      <c r="F1783" s="16" t="str">
        <f>IF(B1783="","",IFERROR(INDEX(Client_List!$J:$J,MATCH(B1783,Client_List!$B:$B,0)),""))</f>
        <v/>
      </c>
      <c r="G1783" s="16"/>
      <c r="H1783" s="16" t="str">
        <f>IF(B1783="","",IFERROR(A1783-LOOKUP(2,1/($B$4:$B1782=B1783),$A$4:$A1782),""))</f>
        <v/>
      </c>
      <c r="I1783" s="16" t="str">
        <f t="shared" si="27"/>
        <v/>
      </c>
      <c r="J1783" s="16"/>
      <c r="K1783" s="6" t="str">
        <f>IF(B1783="","",IFERROR(AVERAGEIFS($I$4:$I1783,$B$4:$B1783,B1783,$I$4:$I1783,"&gt;"&amp;0),""))</f>
        <v/>
      </c>
      <c r="L1783" s="16" t="str">
        <f>IF(B1783="","",IF(ISNA(MATCH(B1783,Client_List!$B:$B,0)),"⚠ NOT FOUND","✓"))</f>
        <v/>
      </c>
    </row>
    <row r="1784" spans="1:12" ht="14" customHeight="1" x14ac:dyDescent="0.2">
      <c r="A1784" s="59"/>
      <c r="B1784" s="18"/>
      <c r="C1784" s="19" t="str">
        <f>IF(B1784="","",IFERROR(INDEX(Client_List!$C:$C,MATCH(B1784,Client_List!$B:$B,0)),""))</f>
        <v/>
      </c>
      <c r="D1784" s="19" t="str">
        <f>IF(B1784="","",IFERROR(INDEX(Client_List!$D:$D,MATCH(B1784,Client_List!$B:$B,0)),""))</f>
        <v/>
      </c>
      <c r="E1784" s="19" t="str">
        <f>IF(B1784="","",IFERROR(INDEX(Client_List!$K:$K,MATCH(B1784,Client_List!$B:$B,0)),""))</f>
        <v/>
      </c>
      <c r="F1784" s="19" t="str">
        <f>IF(B1784="","",IFERROR(INDEX(Client_List!$J:$J,MATCH(B1784,Client_List!$B:$B,0)),""))</f>
        <v/>
      </c>
      <c r="G1784" s="19"/>
      <c r="H1784" s="19" t="str">
        <f>IF(B1784="","",IFERROR(A1784-LOOKUP(2,1/($B$4:$B1783=B1784),$A$4:$A1783),""))</f>
        <v/>
      </c>
      <c r="I1784" s="19" t="str">
        <f t="shared" si="27"/>
        <v/>
      </c>
      <c r="J1784" s="19"/>
      <c r="K1784" s="6" t="str">
        <f>IF(B1784="","",IFERROR(AVERAGEIFS($I$4:$I1784,$B$4:$B1784,B1784,$I$4:$I1784,"&gt;"&amp;0),""))</f>
        <v/>
      </c>
      <c r="L1784" s="19" t="str">
        <f>IF(B1784="","",IF(ISNA(MATCH(B1784,Client_List!$B:$B,0)),"⚠ NOT FOUND","✓"))</f>
        <v/>
      </c>
    </row>
    <row r="1785" spans="1:12" ht="14" customHeight="1" x14ac:dyDescent="0.2">
      <c r="A1785" s="58"/>
      <c r="B1785" s="15"/>
      <c r="C1785" s="16" t="str">
        <f>IF(B1785="","",IFERROR(INDEX(Client_List!$C:$C,MATCH(B1785,Client_List!$B:$B,0)),""))</f>
        <v/>
      </c>
      <c r="D1785" s="16" t="str">
        <f>IF(B1785="","",IFERROR(INDEX(Client_List!$D:$D,MATCH(B1785,Client_List!$B:$B,0)),""))</f>
        <v/>
      </c>
      <c r="E1785" s="16" t="str">
        <f>IF(B1785="","",IFERROR(INDEX(Client_List!$K:$K,MATCH(B1785,Client_List!$B:$B,0)),""))</f>
        <v/>
      </c>
      <c r="F1785" s="16" t="str">
        <f>IF(B1785="","",IFERROR(INDEX(Client_List!$J:$J,MATCH(B1785,Client_List!$B:$B,0)),""))</f>
        <v/>
      </c>
      <c r="G1785" s="16"/>
      <c r="H1785" s="16" t="str">
        <f>IF(B1785="","",IFERROR(A1785-LOOKUP(2,1/($B$4:$B1784=B1785),$A$4:$A1784),""))</f>
        <v/>
      </c>
      <c r="I1785" s="16" t="str">
        <f t="shared" si="27"/>
        <v/>
      </c>
      <c r="J1785" s="16"/>
      <c r="K1785" s="6" t="str">
        <f>IF(B1785="","",IFERROR(AVERAGEIFS($I$4:$I1785,$B$4:$B1785,B1785,$I$4:$I1785,"&gt;"&amp;0),""))</f>
        <v/>
      </c>
      <c r="L1785" s="16" t="str">
        <f>IF(B1785="","",IF(ISNA(MATCH(B1785,Client_List!$B:$B,0)),"⚠ NOT FOUND","✓"))</f>
        <v/>
      </c>
    </row>
    <row r="1786" spans="1:12" ht="14" customHeight="1" x14ac:dyDescent="0.2">
      <c r="A1786" s="59"/>
      <c r="B1786" s="18"/>
      <c r="C1786" s="19" t="str">
        <f>IF(B1786="","",IFERROR(INDEX(Client_List!$C:$C,MATCH(B1786,Client_List!$B:$B,0)),""))</f>
        <v/>
      </c>
      <c r="D1786" s="19" t="str">
        <f>IF(B1786="","",IFERROR(INDEX(Client_List!$D:$D,MATCH(B1786,Client_List!$B:$B,0)),""))</f>
        <v/>
      </c>
      <c r="E1786" s="19" t="str">
        <f>IF(B1786="","",IFERROR(INDEX(Client_List!$K:$K,MATCH(B1786,Client_List!$B:$B,0)),""))</f>
        <v/>
      </c>
      <c r="F1786" s="19" t="str">
        <f>IF(B1786="","",IFERROR(INDEX(Client_List!$J:$J,MATCH(B1786,Client_List!$B:$B,0)),""))</f>
        <v/>
      </c>
      <c r="G1786" s="19"/>
      <c r="H1786" s="19" t="str">
        <f>IF(B1786="","",IFERROR(A1786-LOOKUP(2,1/($B$4:$B1785=B1786),$A$4:$A1785),""))</f>
        <v/>
      </c>
      <c r="I1786" s="19" t="str">
        <f t="shared" si="27"/>
        <v/>
      </c>
      <c r="J1786" s="19"/>
      <c r="K1786" s="6" t="str">
        <f>IF(B1786="","",IFERROR(AVERAGEIFS($I$4:$I1786,$B$4:$B1786,B1786,$I$4:$I1786,"&gt;"&amp;0),""))</f>
        <v/>
      </c>
      <c r="L1786" s="19" t="str">
        <f>IF(B1786="","",IF(ISNA(MATCH(B1786,Client_List!$B:$B,0)),"⚠ NOT FOUND","✓"))</f>
        <v/>
      </c>
    </row>
    <row r="1787" spans="1:12" ht="14" customHeight="1" x14ac:dyDescent="0.2">
      <c r="A1787" s="58"/>
      <c r="B1787" s="15"/>
      <c r="C1787" s="16" t="str">
        <f>IF(B1787="","",IFERROR(INDEX(Client_List!$C:$C,MATCH(B1787,Client_List!$B:$B,0)),""))</f>
        <v/>
      </c>
      <c r="D1787" s="16" t="str">
        <f>IF(B1787="","",IFERROR(INDEX(Client_List!$D:$D,MATCH(B1787,Client_List!$B:$B,0)),""))</f>
        <v/>
      </c>
      <c r="E1787" s="16" t="str">
        <f>IF(B1787="","",IFERROR(INDEX(Client_List!$K:$K,MATCH(B1787,Client_List!$B:$B,0)),""))</f>
        <v/>
      </c>
      <c r="F1787" s="16" t="str">
        <f>IF(B1787="","",IFERROR(INDEX(Client_List!$J:$J,MATCH(B1787,Client_List!$B:$B,0)),""))</f>
        <v/>
      </c>
      <c r="G1787" s="16"/>
      <c r="H1787" s="16" t="str">
        <f>IF(B1787="","",IFERROR(A1787-LOOKUP(2,1/($B$4:$B1786=B1787),$A$4:$A1786),""))</f>
        <v/>
      </c>
      <c r="I1787" s="16" t="str">
        <f t="shared" si="27"/>
        <v/>
      </c>
      <c r="J1787" s="16"/>
      <c r="K1787" s="6" t="str">
        <f>IF(B1787="","",IFERROR(AVERAGEIFS($I$4:$I1787,$B$4:$B1787,B1787,$I$4:$I1787,"&gt;"&amp;0),""))</f>
        <v/>
      </c>
      <c r="L1787" s="16" t="str">
        <f>IF(B1787="","",IF(ISNA(MATCH(B1787,Client_List!$B:$B,0)),"⚠ NOT FOUND","✓"))</f>
        <v/>
      </c>
    </row>
    <row r="1788" spans="1:12" ht="14" customHeight="1" x14ac:dyDescent="0.2">
      <c r="A1788" s="59"/>
      <c r="B1788" s="18"/>
      <c r="C1788" s="19" t="str">
        <f>IF(B1788="","",IFERROR(INDEX(Client_List!$C:$C,MATCH(B1788,Client_List!$B:$B,0)),""))</f>
        <v/>
      </c>
      <c r="D1788" s="19" t="str">
        <f>IF(B1788="","",IFERROR(INDEX(Client_List!$D:$D,MATCH(B1788,Client_List!$B:$B,0)),""))</f>
        <v/>
      </c>
      <c r="E1788" s="19" t="str">
        <f>IF(B1788="","",IFERROR(INDEX(Client_List!$K:$K,MATCH(B1788,Client_List!$B:$B,0)),""))</f>
        <v/>
      </c>
      <c r="F1788" s="19" t="str">
        <f>IF(B1788="","",IFERROR(INDEX(Client_List!$J:$J,MATCH(B1788,Client_List!$B:$B,0)),""))</f>
        <v/>
      </c>
      <c r="G1788" s="19"/>
      <c r="H1788" s="19" t="str">
        <f>IF(B1788="","",IFERROR(A1788-LOOKUP(2,1/($B$4:$B1787=B1788),$A$4:$A1787),""))</f>
        <v/>
      </c>
      <c r="I1788" s="19" t="str">
        <f t="shared" si="27"/>
        <v/>
      </c>
      <c r="J1788" s="19"/>
      <c r="K1788" s="6" t="str">
        <f>IF(B1788="","",IFERROR(AVERAGEIFS($I$4:$I1788,$B$4:$B1788,B1788,$I$4:$I1788,"&gt;"&amp;0),""))</f>
        <v/>
      </c>
      <c r="L1788" s="19" t="str">
        <f>IF(B1788="","",IF(ISNA(MATCH(B1788,Client_List!$B:$B,0)),"⚠ NOT FOUND","✓"))</f>
        <v/>
      </c>
    </row>
    <row r="1789" spans="1:12" ht="14" customHeight="1" x14ac:dyDescent="0.2">
      <c r="A1789" s="58"/>
      <c r="B1789" s="15"/>
      <c r="C1789" s="16" t="str">
        <f>IF(B1789="","",IFERROR(INDEX(Client_List!$C:$C,MATCH(B1789,Client_List!$B:$B,0)),""))</f>
        <v/>
      </c>
      <c r="D1789" s="16" t="str">
        <f>IF(B1789="","",IFERROR(INDEX(Client_List!$D:$D,MATCH(B1789,Client_List!$B:$B,0)),""))</f>
        <v/>
      </c>
      <c r="E1789" s="16" t="str">
        <f>IF(B1789="","",IFERROR(INDEX(Client_List!$K:$K,MATCH(B1789,Client_List!$B:$B,0)),""))</f>
        <v/>
      </c>
      <c r="F1789" s="16" t="str">
        <f>IF(B1789="","",IFERROR(INDEX(Client_List!$J:$J,MATCH(B1789,Client_List!$B:$B,0)),""))</f>
        <v/>
      </c>
      <c r="G1789" s="16"/>
      <c r="H1789" s="16" t="str">
        <f>IF(B1789="","",IFERROR(A1789-LOOKUP(2,1/($B$4:$B1788=B1789),$A$4:$A1788),""))</f>
        <v/>
      </c>
      <c r="I1789" s="16" t="str">
        <f t="shared" si="27"/>
        <v/>
      </c>
      <c r="J1789" s="16"/>
      <c r="K1789" s="6" t="str">
        <f>IF(B1789="","",IFERROR(AVERAGEIFS($I$4:$I1789,$B$4:$B1789,B1789,$I$4:$I1789,"&gt;"&amp;0),""))</f>
        <v/>
      </c>
      <c r="L1789" s="16" t="str">
        <f>IF(B1789="","",IF(ISNA(MATCH(B1789,Client_List!$B:$B,0)),"⚠ NOT FOUND","✓"))</f>
        <v/>
      </c>
    </row>
    <row r="1790" spans="1:12" ht="14" customHeight="1" x14ac:dyDescent="0.2">
      <c r="A1790" s="59"/>
      <c r="B1790" s="18"/>
      <c r="C1790" s="19" t="str">
        <f>IF(B1790="","",IFERROR(INDEX(Client_List!$C:$C,MATCH(B1790,Client_List!$B:$B,0)),""))</f>
        <v/>
      </c>
      <c r="D1790" s="19" t="str">
        <f>IF(B1790="","",IFERROR(INDEX(Client_List!$D:$D,MATCH(B1790,Client_List!$B:$B,0)),""))</f>
        <v/>
      </c>
      <c r="E1790" s="19" t="str">
        <f>IF(B1790="","",IFERROR(INDEX(Client_List!$K:$K,MATCH(B1790,Client_List!$B:$B,0)),""))</f>
        <v/>
      </c>
      <c r="F1790" s="19" t="str">
        <f>IF(B1790="","",IFERROR(INDEX(Client_List!$J:$J,MATCH(B1790,Client_List!$B:$B,0)),""))</f>
        <v/>
      </c>
      <c r="G1790" s="19"/>
      <c r="H1790" s="19" t="str">
        <f>IF(B1790="","",IFERROR(A1790-LOOKUP(2,1/($B$4:$B1789=B1790),$A$4:$A1789),""))</f>
        <v/>
      </c>
      <c r="I1790" s="19" t="str">
        <f t="shared" si="27"/>
        <v/>
      </c>
      <c r="J1790" s="19"/>
      <c r="K1790" s="6" t="str">
        <f>IF(B1790="","",IFERROR(AVERAGEIFS($I$4:$I1790,$B$4:$B1790,B1790,$I$4:$I1790,"&gt;"&amp;0),""))</f>
        <v/>
      </c>
      <c r="L1790" s="19" t="str">
        <f>IF(B1790="","",IF(ISNA(MATCH(B1790,Client_List!$B:$B,0)),"⚠ NOT FOUND","✓"))</f>
        <v/>
      </c>
    </row>
    <row r="1791" spans="1:12" ht="14" customHeight="1" x14ac:dyDescent="0.2">
      <c r="A1791" s="58"/>
      <c r="B1791" s="15"/>
      <c r="C1791" s="16" t="str">
        <f>IF(B1791="","",IFERROR(INDEX(Client_List!$C:$C,MATCH(B1791,Client_List!$B:$B,0)),""))</f>
        <v/>
      </c>
      <c r="D1791" s="16" t="str">
        <f>IF(B1791="","",IFERROR(INDEX(Client_List!$D:$D,MATCH(B1791,Client_List!$B:$B,0)),""))</f>
        <v/>
      </c>
      <c r="E1791" s="16" t="str">
        <f>IF(B1791="","",IFERROR(INDEX(Client_List!$K:$K,MATCH(B1791,Client_List!$B:$B,0)),""))</f>
        <v/>
      </c>
      <c r="F1791" s="16" t="str">
        <f>IF(B1791="","",IFERROR(INDEX(Client_List!$J:$J,MATCH(B1791,Client_List!$B:$B,0)),""))</f>
        <v/>
      </c>
      <c r="G1791" s="16"/>
      <c r="H1791" s="16" t="str">
        <f>IF(B1791="","",IFERROR(A1791-LOOKUP(2,1/($B$4:$B1790=B1791),$A$4:$A1790),""))</f>
        <v/>
      </c>
      <c r="I1791" s="16" t="str">
        <f t="shared" si="27"/>
        <v/>
      </c>
      <c r="J1791" s="16"/>
      <c r="K1791" s="6" t="str">
        <f>IF(B1791="","",IFERROR(AVERAGEIFS($I$4:$I1791,$B$4:$B1791,B1791,$I$4:$I1791,"&gt;"&amp;0),""))</f>
        <v/>
      </c>
      <c r="L1791" s="16" t="str">
        <f>IF(B1791="","",IF(ISNA(MATCH(B1791,Client_List!$B:$B,0)),"⚠ NOT FOUND","✓"))</f>
        <v/>
      </c>
    </row>
    <row r="1792" spans="1:12" ht="14" customHeight="1" x14ac:dyDescent="0.2">
      <c r="A1792" s="59"/>
      <c r="B1792" s="18"/>
      <c r="C1792" s="19" t="str">
        <f>IF(B1792="","",IFERROR(INDEX(Client_List!$C:$C,MATCH(B1792,Client_List!$B:$B,0)),""))</f>
        <v/>
      </c>
      <c r="D1792" s="19" t="str">
        <f>IF(B1792="","",IFERROR(INDEX(Client_List!$D:$D,MATCH(B1792,Client_List!$B:$B,0)),""))</f>
        <v/>
      </c>
      <c r="E1792" s="19" t="str">
        <f>IF(B1792="","",IFERROR(INDEX(Client_List!$K:$K,MATCH(B1792,Client_List!$B:$B,0)),""))</f>
        <v/>
      </c>
      <c r="F1792" s="19" t="str">
        <f>IF(B1792="","",IFERROR(INDEX(Client_List!$J:$J,MATCH(B1792,Client_List!$B:$B,0)),""))</f>
        <v/>
      </c>
      <c r="G1792" s="19"/>
      <c r="H1792" s="19" t="str">
        <f>IF(B1792="","",IFERROR(A1792-LOOKUP(2,1/($B$4:$B1791=B1792),$A$4:$A1791),""))</f>
        <v/>
      </c>
      <c r="I1792" s="19" t="str">
        <f t="shared" si="27"/>
        <v/>
      </c>
      <c r="J1792" s="19"/>
      <c r="K1792" s="6" t="str">
        <f>IF(B1792="","",IFERROR(AVERAGEIFS($I$4:$I1792,$B$4:$B1792,B1792,$I$4:$I1792,"&gt;"&amp;0),""))</f>
        <v/>
      </c>
      <c r="L1792" s="19" t="str">
        <f>IF(B1792="","",IF(ISNA(MATCH(B1792,Client_List!$B:$B,0)),"⚠ NOT FOUND","✓"))</f>
        <v/>
      </c>
    </row>
    <row r="1793" spans="1:12" ht="14" customHeight="1" x14ac:dyDescent="0.2">
      <c r="A1793" s="58"/>
      <c r="B1793" s="15"/>
      <c r="C1793" s="16" t="str">
        <f>IF(B1793="","",IFERROR(INDEX(Client_List!$C:$C,MATCH(B1793,Client_List!$B:$B,0)),""))</f>
        <v/>
      </c>
      <c r="D1793" s="16" t="str">
        <f>IF(B1793="","",IFERROR(INDEX(Client_List!$D:$D,MATCH(B1793,Client_List!$B:$B,0)),""))</f>
        <v/>
      </c>
      <c r="E1793" s="16" t="str">
        <f>IF(B1793="","",IFERROR(INDEX(Client_List!$K:$K,MATCH(B1793,Client_List!$B:$B,0)),""))</f>
        <v/>
      </c>
      <c r="F1793" s="16" t="str">
        <f>IF(B1793="","",IFERROR(INDEX(Client_List!$J:$J,MATCH(B1793,Client_List!$B:$B,0)),""))</f>
        <v/>
      </c>
      <c r="G1793" s="16"/>
      <c r="H1793" s="16" t="str">
        <f>IF(B1793="","",IFERROR(A1793-LOOKUP(2,1/($B$4:$B1792=B1793),$A$4:$A1792),""))</f>
        <v/>
      </c>
      <c r="I1793" s="16" t="str">
        <f t="shared" si="27"/>
        <v/>
      </c>
      <c r="J1793" s="16"/>
      <c r="K1793" s="6" t="str">
        <f>IF(B1793="","",IFERROR(AVERAGEIFS($I$4:$I1793,$B$4:$B1793,B1793,$I$4:$I1793,"&gt;"&amp;0),""))</f>
        <v/>
      </c>
      <c r="L1793" s="16" t="str">
        <f>IF(B1793="","",IF(ISNA(MATCH(B1793,Client_List!$B:$B,0)),"⚠ NOT FOUND","✓"))</f>
        <v/>
      </c>
    </row>
    <row r="1794" spans="1:12" ht="14" customHeight="1" x14ac:dyDescent="0.2">
      <c r="A1794" s="59"/>
      <c r="B1794" s="18"/>
      <c r="C1794" s="19" t="str">
        <f>IF(B1794="","",IFERROR(INDEX(Client_List!$C:$C,MATCH(B1794,Client_List!$B:$B,0)),""))</f>
        <v/>
      </c>
      <c r="D1794" s="19" t="str">
        <f>IF(B1794="","",IFERROR(INDEX(Client_List!$D:$D,MATCH(B1794,Client_List!$B:$B,0)),""))</f>
        <v/>
      </c>
      <c r="E1794" s="19" t="str">
        <f>IF(B1794="","",IFERROR(INDEX(Client_List!$K:$K,MATCH(B1794,Client_List!$B:$B,0)),""))</f>
        <v/>
      </c>
      <c r="F1794" s="19" t="str">
        <f>IF(B1794="","",IFERROR(INDEX(Client_List!$J:$J,MATCH(B1794,Client_List!$B:$B,0)),""))</f>
        <v/>
      </c>
      <c r="G1794" s="19"/>
      <c r="H1794" s="19" t="str">
        <f>IF(B1794="","",IFERROR(A1794-LOOKUP(2,1/($B$4:$B1793=B1794),$A$4:$A1793),""))</f>
        <v/>
      </c>
      <c r="I1794" s="19" t="str">
        <f t="shared" si="27"/>
        <v/>
      </c>
      <c r="J1794" s="19"/>
      <c r="K1794" s="6" t="str">
        <f>IF(B1794="","",IFERROR(AVERAGEIFS($I$4:$I1794,$B$4:$B1794,B1794,$I$4:$I1794,"&gt;"&amp;0),""))</f>
        <v/>
      </c>
      <c r="L1794" s="19" t="str">
        <f>IF(B1794="","",IF(ISNA(MATCH(B1794,Client_List!$B:$B,0)),"⚠ NOT FOUND","✓"))</f>
        <v/>
      </c>
    </row>
    <row r="1795" spans="1:12" ht="14" customHeight="1" x14ac:dyDescent="0.2">
      <c r="A1795" s="58"/>
      <c r="B1795" s="15"/>
      <c r="C1795" s="16" t="str">
        <f>IF(B1795="","",IFERROR(INDEX(Client_List!$C:$C,MATCH(B1795,Client_List!$B:$B,0)),""))</f>
        <v/>
      </c>
      <c r="D1795" s="16" t="str">
        <f>IF(B1795="","",IFERROR(INDEX(Client_List!$D:$D,MATCH(B1795,Client_List!$B:$B,0)),""))</f>
        <v/>
      </c>
      <c r="E1795" s="16" t="str">
        <f>IF(B1795="","",IFERROR(INDEX(Client_List!$K:$K,MATCH(B1795,Client_List!$B:$B,0)),""))</f>
        <v/>
      </c>
      <c r="F1795" s="16" t="str">
        <f>IF(B1795="","",IFERROR(INDEX(Client_List!$J:$J,MATCH(B1795,Client_List!$B:$B,0)),""))</f>
        <v/>
      </c>
      <c r="G1795" s="16"/>
      <c r="H1795" s="16" t="str">
        <f>IF(B1795="","",IFERROR(A1795-LOOKUP(2,1/($B$4:$B1794=B1795),$A$4:$A1794),""))</f>
        <v/>
      </c>
      <c r="I1795" s="16" t="str">
        <f t="shared" si="27"/>
        <v/>
      </c>
      <c r="J1795" s="16"/>
      <c r="K1795" s="6" t="str">
        <f>IF(B1795="","",IFERROR(AVERAGEIFS($I$4:$I1795,$B$4:$B1795,B1795,$I$4:$I1795,"&gt;"&amp;0),""))</f>
        <v/>
      </c>
      <c r="L1795" s="16" t="str">
        <f>IF(B1795="","",IF(ISNA(MATCH(B1795,Client_List!$B:$B,0)),"⚠ NOT FOUND","✓"))</f>
        <v/>
      </c>
    </row>
    <row r="1796" spans="1:12" ht="14" customHeight="1" x14ac:dyDescent="0.2">
      <c r="A1796" s="59"/>
      <c r="B1796" s="18"/>
      <c r="C1796" s="19" t="str">
        <f>IF(B1796="","",IFERROR(INDEX(Client_List!$C:$C,MATCH(B1796,Client_List!$B:$B,0)),""))</f>
        <v/>
      </c>
      <c r="D1796" s="19" t="str">
        <f>IF(B1796="","",IFERROR(INDEX(Client_List!$D:$D,MATCH(B1796,Client_List!$B:$B,0)),""))</f>
        <v/>
      </c>
      <c r="E1796" s="19" t="str">
        <f>IF(B1796="","",IFERROR(INDEX(Client_List!$K:$K,MATCH(B1796,Client_List!$B:$B,0)),""))</f>
        <v/>
      </c>
      <c r="F1796" s="19" t="str">
        <f>IF(B1796="","",IFERROR(INDEX(Client_List!$J:$J,MATCH(B1796,Client_List!$B:$B,0)),""))</f>
        <v/>
      </c>
      <c r="G1796" s="19"/>
      <c r="H1796" s="19" t="str">
        <f>IF(B1796="","",IFERROR(A1796-LOOKUP(2,1/($B$4:$B1795=B1796),$A$4:$A1795),""))</f>
        <v/>
      </c>
      <c r="I1796" s="19" t="str">
        <f t="shared" ref="I1796:I1859" si="28">IF(B1796="","",IFERROR(G1796/H1796,""))</f>
        <v/>
      </c>
      <c r="J1796" s="19"/>
      <c r="K1796" s="6" t="str">
        <f>IF(B1796="","",IFERROR(AVERAGEIFS($I$4:$I1796,$B$4:$B1796,B1796,$I$4:$I1796,"&gt;"&amp;0),""))</f>
        <v/>
      </c>
      <c r="L1796" s="19" t="str">
        <f>IF(B1796="","",IF(ISNA(MATCH(B1796,Client_List!$B:$B,0)),"⚠ NOT FOUND","✓"))</f>
        <v/>
      </c>
    </row>
    <row r="1797" spans="1:12" ht="14" customHeight="1" x14ac:dyDescent="0.2">
      <c r="A1797" s="58"/>
      <c r="B1797" s="15"/>
      <c r="C1797" s="16" t="str">
        <f>IF(B1797="","",IFERROR(INDEX(Client_List!$C:$C,MATCH(B1797,Client_List!$B:$B,0)),""))</f>
        <v/>
      </c>
      <c r="D1797" s="16" t="str">
        <f>IF(B1797="","",IFERROR(INDEX(Client_List!$D:$D,MATCH(B1797,Client_List!$B:$B,0)),""))</f>
        <v/>
      </c>
      <c r="E1797" s="16" t="str">
        <f>IF(B1797="","",IFERROR(INDEX(Client_List!$K:$K,MATCH(B1797,Client_List!$B:$B,0)),""))</f>
        <v/>
      </c>
      <c r="F1797" s="16" t="str">
        <f>IF(B1797="","",IFERROR(INDEX(Client_List!$J:$J,MATCH(B1797,Client_List!$B:$B,0)),""))</f>
        <v/>
      </c>
      <c r="G1797" s="16"/>
      <c r="H1797" s="16" t="str">
        <f>IF(B1797="","",IFERROR(A1797-LOOKUP(2,1/($B$4:$B1796=B1797),$A$4:$A1796),""))</f>
        <v/>
      </c>
      <c r="I1797" s="16" t="str">
        <f t="shared" si="28"/>
        <v/>
      </c>
      <c r="J1797" s="16"/>
      <c r="K1797" s="6" t="str">
        <f>IF(B1797="","",IFERROR(AVERAGEIFS($I$4:$I1797,$B$4:$B1797,B1797,$I$4:$I1797,"&gt;"&amp;0),""))</f>
        <v/>
      </c>
      <c r="L1797" s="16" t="str">
        <f>IF(B1797="","",IF(ISNA(MATCH(B1797,Client_List!$B:$B,0)),"⚠ NOT FOUND","✓"))</f>
        <v/>
      </c>
    </row>
    <row r="1798" spans="1:12" ht="14" customHeight="1" x14ac:dyDescent="0.2">
      <c r="A1798" s="59"/>
      <c r="B1798" s="18"/>
      <c r="C1798" s="19" t="str">
        <f>IF(B1798="","",IFERROR(INDEX(Client_List!$C:$C,MATCH(B1798,Client_List!$B:$B,0)),""))</f>
        <v/>
      </c>
      <c r="D1798" s="19" t="str">
        <f>IF(B1798="","",IFERROR(INDEX(Client_List!$D:$D,MATCH(B1798,Client_List!$B:$B,0)),""))</f>
        <v/>
      </c>
      <c r="E1798" s="19" t="str">
        <f>IF(B1798="","",IFERROR(INDEX(Client_List!$K:$K,MATCH(B1798,Client_List!$B:$B,0)),""))</f>
        <v/>
      </c>
      <c r="F1798" s="19" t="str">
        <f>IF(B1798="","",IFERROR(INDEX(Client_List!$J:$J,MATCH(B1798,Client_List!$B:$B,0)),""))</f>
        <v/>
      </c>
      <c r="G1798" s="19"/>
      <c r="H1798" s="19" t="str">
        <f>IF(B1798="","",IFERROR(A1798-LOOKUP(2,1/($B$4:$B1797=B1798),$A$4:$A1797),""))</f>
        <v/>
      </c>
      <c r="I1798" s="19" t="str">
        <f t="shared" si="28"/>
        <v/>
      </c>
      <c r="J1798" s="19"/>
      <c r="K1798" s="6" t="str">
        <f>IF(B1798="","",IFERROR(AVERAGEIFS($I$4:$I1798,$B$4:$B1798,B1798,$I$4:$I1798,"&gt;"&amp;0),""))</f>
        <v/>
      </c>
      <c r="L1798" s="19" t="str">
        <f>IF(B1798="","",IF(ISNA(MATCH(B1798,Client_List!$B:$B,0)),"⚠ NOT FOUND","✓"))</f>
        <v/>
      </c>
    </row>
    <row r="1799" spans="1:12" ht="14" customHeight="1" x14ac:dyDescent="0.2">
      <c r="A1799" s="58"/>
      <c r="B1799" s="15"/>
      <c r="C1799" s="16" t="str">
        <f>IF(B1799="","",IFERROR(INDEX(Client_List!$C:$C,MATCH(B1799,Client_List!$B:$B,0)),""))</f>
        <v/>
      </c>
      <c r="D1799" s="16" t="str">
        <f>IF(B1799="","",IFERROR(INDEX(Client_List!$D:$D,MATCH(B1799,Client_List!$B:$B,0)),""))</f>
        <v/>
      </c>
      <c r="E1799" s="16" t="str">
        <f>IF(B1799="","",IFERROR(INDEX(Client_List!$K:$K,MATCH(B1799,Client_List!$B:$B,0)),""))</f>
        <v/>
      </c>
      <c r="F1799" s="16" t="str">
        <f>IF(B1799="","",IFERROR(INDEX(Client_List!$J:$J,MATCH(B1799,Client_List!$B:$B,0)),""))</f>
        <v/>
      </c>
      <c r="G1799" s="16"/>
      <c r="H1799" s="16" t="str">
        <f>IF(B1799="","",IFERROR(A1799-LOOKUP(2,1/($B$4:$B1798=B1799),$A$4:$A1798),""))</f>
        <v/>
      </c>
      <c r="I1799" s="16" t="str">
        <f t="shared" si="28"/>
        <v/>
      </c>
      <c r="J1799" s="16"/>
      <c r="K1799" s="6" t="str">
        <f>IF(B1799="","",IFERROR(AVERAGEIFS($I$4:$I1799,$B$4:$B1799,B1799,$I$4:$I1799,"&gt;"&amp;0),""))</f>
        <v/>
      </c>
      <c r="L1799" s="16" t="str">
        <f>IF(B1799="","",IF(ISNA(MATCH(B1799,Client_List!$B:$B,0)),"⚠ NOT FOUND","✓"))</f>
        <v/>
      </c>
    </row>
    <row r="1800" spans="1:12" ht="14" customHeight="1" x14ac:dyDescent="0.2">
      <c r="A1800" s="59"/>
      <c r="B1800" s="18"/>
      <c r="C1800" s="19" t="str">
        <f>IF(B1800="","",IFERROR(INDEX(Client_List!$C:$C,MATCH(B1800,Client_List!$B:$B,0)),""))</f>
        <v/>
      </c>
      <c r="D1800" s="19" t="str">
        <f>IF(B1800="","",IFERROR(INDEX(Client_List!$D:$D,MATCH(B1800,Client_List!$B:$B,0)),""))</f>
        <v/>
      </c>
      <c r="E1800" s="19" t="str">
        <f>IF(B1800="","",IFERROR(INDEX(Client_List!$K:$K,MATCH(B1800,Client_List!$B:$B,0)),""))</f>
        <v/>
      </c>
      <c r="F1800" s="19" t="str">
        <f>IF(B1800="","",IFERROR(INDEX(Client_List!$J:$J,MATCH(B1800,Client_List!$B:$B,0)),""))</f>
        <v/>
      </c>
      <c r="G1800" s="19"/>
      <c r="H1800" s="19" t="str">
        <f>IF(B1800="","",IFERROR(A1800-LOOKUP(2,1/($B$4:$B1799=B1800),$A$4:$A1799),""))</f>
        <v/>
      </c>
      <c r="I1800" s="19" t="str">
        <f t="shared" si="28"/>
        <v/>
      </c>
      <c r="J1800" s="19"/>
      <c r="K1800" s="6" t="str">
        <f>IF(B1800="","",IFERROR(AVERAGEIFS($I$4:$I1800,$B$4:$B1800,B1800,$I$4:$I1800,"&gt;"&amp;0),""))</f>
        <v/>
      </c>
      <c r="L1800" s="19" t="str">
        <f>IF(B1800="","",IF(ISNA(MATCH(B1800,Client_List!$B:$B,0)),"⚠ NOT FOUND","✓"))</f>
        <v/>
      </c>
    </row>
    <row r="1801" spans="1:12" ht="14" customHeight="1" x14ac:dyDescent="0.2">
      <c r="A1801" s="58"/>
      <c r="B1801" s="15"/>
      <c r="C1801" s="16" t="str">
        <f>IF(B1801="","",IFERROR(INDEX(Client_List!$C:$C,MATCH(B1801,Client_List!$B:$B,0)),""))</f>
        <v/>
      </c>
      <c r="D1801" s="16" t="str">
        <f>IF(B1801="","",IFERROR(INDEX(Client_List!$D:$D,MATCH(B1801,Client_List!$B:$B,0)),""))</f>
        <v/>
      </c>
      <c r="E1801" s="16" t="str">
        <f>IF(B1801="","",IFERROR(INDEX(Client_List!$K:$K,MATCH(B1801,Client_List!$B:$B,0)),""))</f>
        <v/>
      </c>
      <c r="F1801" s="16" t="str">
        <f>IF(B1801="","",IFERROR(INDEX(Client_List!$J:$J,MATCH(B1801,Client_List!$B:$B,0)),""))</f>
        <v/>
      </c>
      <c r="G1801" s="16"/>
      <c r="H1801" s="16" t="str">
        <f>IF(B1801="","",IFERROR(A1801-LOOKUP(2,1/($B$4:$B1800=B1801),$A$4:$A1800),""))</f>
        <v/>
      </c>
      <c r="I1801" s="16" t="str">
        <f t="shared" si="28"/>
        <v/>
      </c>
      <c r="J1801" s="16"/>
      <c r="K1801" s="6" t="str">
        <f>IF(B1801="","",IFERROR(AVERAGEIFS($I$4:$I1801,$B$4:$B1801,B1801,$I$4:$I1801,"&gt;"&amp;0),""))</f>
        <v/>
      </c>
      <c r="L1801" s="16" t="str">
        <f>IF(B1801="","",IF(ISNA(MATCH(B1801,Client_List!$B:$B,0)),"⚠ NOT FOUND","✓"))</f>
        <v/>
      </c>
    </row>
    <row r="1802" spans="1:12" ht="14" customHeight="1" x14ac:dyDescent="0.2">
      <c r="A1802" s="59"/>
      <c r="B1802" s="18"/>
      <c r="C1802" s="19" t="str">
        <f>IF(B1802="","",IFERROR(INDEX(Client_List!$C:$C,MATCH(B1802,Client_List!$B:$B,0)),""))</f>
        <v/>
      </c>
      <c r="D1802" s="19" t="str">
        <f>IF(B1802="","",IFERROR(INDEX(Client_List!$D:$D,MATCH(B1802,Client_List!$B:$B,0)),""))</f>
        <v/>
      </c>
      <c r="E1802" s="19" t="str">
        <f>IF(B1802="","",IFERROR(INDEX(Client_List!$K:$K,MATCH(B1802,Client_List!$B:$B,0)),""))</f>
        <v/>
      </c>
      <c r="F1802" s="19" t="str">
        <f>IF(B1802="","",IFERROR(INDEX(Client_List!$J:$J,MATCH(B1802,Client_List!$B:$B,0)),""))</f>
        <v/>
      </c>
      <c r="G1802" s="19"/>
      <c r="H1802" s="19" t="str">
        <f>IF(B1802="","",IFERROR(A1802-LOOKUP(2,1/($B$4:$B1801=B1802),$A$4:$A1801),""))</f>
        <v/>
      </c>
      <c r="I1802" s="19" t="str">
        <f t="shared" si="28"/>
        <v/>
      </c>
      <c r="J1802" s="19"/>
      <c r="K1802" s="6" t="str">
        <f>IF(B1802="","",IFERROR(AVERAGEIFS($I$4:$I1802,$B$4:$B1802,B1802,$I$4:$I1802,"&gt;"&amp;0),""))</f>
        <v/>
      </c>
      <c r="L1802" s="19" t="str">
        <f>IF(B1802="","",IF(ISNA(MATCH(B1802,Client_List!$B:$B,0)),"⚠ NOT FOUND","✓"))</f>
        <v/>
      </c>
    </row>
    <row r="1803" spans="1:12" ht="14" customHeight="1" x14ac:dyDescent="0.2">
      <c r="A1803" s="58"/>
      <c r="B1803" s="15"/>
      <c r="C1803" s="16" t="str">
        <f>IF(B1803="","",IFERROR(INDEX(Client_List!$C:$C,MATCH(B1803,Client_List!$B:$B,0)),""))</f>
        <v/>
      </c>
      <c r="D1803" s="16" t="str">
        <f>IF(B1803="","",IFERROR(INDEX(Client_List!$D:$D,MATCH(B1803,Client_List!$B:$B,0)),""))</f>
        <v/>
      </c>
      <c r="E1803" s="16" t="str">
        <f>IF(B1803="","",IFERROR(INDEX(Client_List!$K:$K,MATCH(B1803,Client_List!$B:$B,0)),""))</f>
        <v/>
      </c>
      <c r="F1803" s="16" t="str">
        <f>IF(B1803="","",IFERROR(INDEX(Client_List!$J:$J,MATCH(B1803,Client_List!$B:$B,0)),""))</f>
        <v/>
      </c>
      <c r="G1803" s="16"/>
      <c r="H1803" s="16" t="str">
        <f>IF(B1803="","",IFERROR(A1803-LOOKUP(2,1/($B$4:$B1802=B1803),$A$4:$A1802),""))</f>
        <v/>
      </c>
      <c r="I1803" s="16" t="str">
        <f t="shared" si="28"/>
        <v/>
      </c>
      <c r="J1803" s="16"/>
      <c r="K1803" s="6" t="str">
        <f>IF(B1803="","",IFERROR(AVERAGEIFS($I$4:$I1803,$B$4:$B1803,B1803,$I$4:$I1803,"&gt;"&amp;0),""))</f>
        <v/>
      </c>
      <c r="L1803" s="16" t="str">
        <f>IF(B1803="","",IF(ISNA(MATCH(B1803,Client_List!$B:$B,0)),"⚠ NOT FOUND","✓"))</f>
        <v/>
      </c>
    </row>
    <row r="1804" spans="1:12" ht="14" customHeight="1" x14ac:dyDescent="0.2">
      <c r="A1804" s="59"/>
      <c r="B1804" s="18"/>
      <c r="C1804" s="19" t="str">
        <f>IF(B1804="","",IFERROR(INDEX(Client_List!$C:$C,MATCH(B1804,Client_List!$B:$B,0)),""))</f>
        <v/>
      </c>
      <c r="D1804" s="19" t="str">
        <f>IF(B1804="","",IFERROR(INDEX(Client_List!$D:$D,MATCH(B1804,Client_List!$B:$B,0)),""))</f>
        <v/>
      </c>
      <c r="E1804" s="19" t="str">
        <f>IF(B1804="","",IFERROR(INDEX(Client_List!$K:$K,MATCH(B1804,Client_List!$B:$B,0)),""))</f>
        <v/>
      </c>
      <c r="F1804" s="19" t="str">
        <f>IF(B1804="","",IFERROR(INDEX(Client_List!$J:$J,MATCH(B1804,Client_List!$B:$B,0)),""))</f>
        <v/>
      </c>
      <c r="G1804" s="19"/>
      <c r="H1804" s="19" t="str">
        <f>IF(B1804="","",IFERROR(A1804-LOOKUP(2,1/($B$4:$B1803=B1804),$A$4:$A1803),""))</f>
        <v/>
      </c>
      <c r="I1804" s="19" t="str">
        <f t="shared" si="28"/>
        <v/>
      </c>
      <c r="J1804" s="19"/>
      <c r="K1804" s="6" t="str">
        <f>IF(B1804="","",IFERROR(AVERAGEIFS($I$4:$I1804,$B$4:$B1804,B1804,$I$4:$I1804,"&gt;"&amp;0),""))</f>
        <v/>
      </c>
      <c r="L1804" s="19" t="str">
        <f>IF(B1804="","",IF(ISNA(MATCH(B1804,Client_List!$B:$B,0)),"⚠ NOT FOUND","✓"))</f>
        <v/>
      </c>
    </row>
    <row r="1805" spans="1:12" ht="14" customHeight="1" x14ac:dyDescent="0.2">
      <c r="A1805" s="58"/>
      <c r="B1805" s="15"/>
      <c r="C1805" s="16" t="str">
        <f>IF(B1805="","",IFERROR(INDEX(Client_List!$C:$C,MATCH(B1805,Client_List!$B:$B,0)),""))</f>
        <v/>
      </c>
      <c r="D1805" s="16" t="str">
        <f>IF(B1805="","",IFERROR(INDEX(Client_List!$D:$D,MATCH(B1805,Client_List!$B:$B,0)),""))</f>
        <v/>
      </c>
      <c r="E1805" s="16" t="str">
        <f>IF(B1805="","",IFERROR(INDEX(Client_List!$K:$K,MATCH(B1805,Client_List!$B:$B,0)),""))</f>
        <v/>
      </c>
      <c r="F1805" s="16" t="str">
        <f>IF(B1805="","",IFERROR(INDEX(Client_List!$J:$J,MATCH(B1805,Client_List!$B:$B,0)),""))</f>
        <v/>
      </c>
      <c r="G1805" s="16"/>
      <c r="H1805" s="16" t="str">
        <f>IF(B1805="","",IFERROR(A1805-LOOKUP(2,1/($B$4:$B1804=B1805),$A$4:$A1804),""))</f>
        <v/>
      </c>
      <c r="I1805" s="16" t="str">
        <f t="shared" si="28"/>
        <v/>
      </c>
      <c r="J1805" s="16"/>
      <c r="K1805" s="6" t="str">
        <f>IF(B1805="","",IFERROR(AVERAGEIFS($I$4:$I1805,$B$4:$B1805,B1805,$I$4:$I1805,"&gt;"&amp;0),""))</f>
        <v/>
      </c>
      <c r="L1805" s="16" t="str">
        <f>IF(B1805="","",IF(ISNA(MATCH(B1805,Client_List!$B:$B,0)),"⚠ NOT FOUND","✓"))</f>
        <v/>
      </c>
    </row>
    <row r="1806" spans="1:12" ht="14" customHeight="1" x14ac:dyDescent="0.2">
      <c r="A1806" s="59"/>
      <c r="B1806" s="18"/>
      <c r="C1806" s="19" t="str">
        <f>IF(B1806="","",IFERROR(INDEX(Client_List!$C:$C,MATCH(B1806,Client_List!$B:$B,0)),""))</f>
        <v/>
      </c>
      <c r="D1806" s="19" t="str">
        <f>IF(B1806="","",IFERROR(INDEX(Client_List!$D:$D,MATCH(B1806,Client_List!$B:$B,0)),""))</f>
        <v/>
      </c>
      <c r="E1806" s="19" t="str">
        <f>IF(B1806="","",IFERROR(INDEX(Client_List!$K:$K,MATCH(B1806,Client_List!$B:$B,0)),""))</f>
        <v/>
      </c>
      <c r="F1806" s="19" t="str">
        <f>IF(B1806="","",IFERROR(INDEX(Client_List!$J:$J,MATCH(B1806,Client_List!$B:$B,0)),""))</f>
        <v/>
      </c>
      <c r="G1806" s="19"/>
      <c r="H1806" s="19" t="str">
        <f>IF(B1806="","",IFERROR(A1806-LOOKUP(2,1/($B$4:$B1805=B1806),$A$4:$A1805),""))</f>
        <v/>
      </c>
      <c r="I1806" s="19" t="str">
        <f t="shared" si="28"/>
        <v/>
      </c>
      <c r="J1806" s="19"/>
      <c r="K1806" s="6" t="str">
        <f>IF(B1806="","",IFERROR(AVERAGEIFS($I$4:$I1806,$B$4:$B1806,B1806,$I$4:$I1806,"&gt;"&amp;0),""))</f>
        <v/>
      </c>
      <c r="L1806" s="19" t="str">
        <f>IF(B1806="","",IF(ISNA(MATCH(B1806,Client_List!$B:$B,0)),"⚠ NOT FOUND","✓"))</f>
        <v/>
      </c>
    </row>
    <row r="1807" spans="1:12" ht="14" customHeight="1" x14ac:dyDescent="0.2">
      <c r="A1807" s="58"/>
      <c r="B1807" s="15"/>
      <c r="C1807" s="16" t="str">
        <f>IF(B1807="","",IFERROR(INDEX(Client_List!$C:$C,MATCH(B1807,Client_List!$B:$B,0)),""))</f>
        <v/>
      </c>
      <c r="D1807" s="16" t="str">
        <f>IF(B1807="","",IFERROR(INDEX(Client_List!$D:$D,MATCH(B1807,Client_List!$B:$B,0)),""))</f>
        <v/>
      </c>
      <c r="E1807" s="16" t="str">
        <f>IF(B1807="","",IFERROR(INDEX(Client_List!$K:$K,MATCH(B1807,Client_List!$B:$B,0)),""))</f>
        <v/>
      </c>
      <c r="F1807" s="16" t="str">
        <f>IF(B1807="","",IFERROR(INDEX(Client_List!$J:$J,MATCH(B1807,Client_List!$B:$B,0)),""))</f>
        <v/>
      </c>
      <c r="G1807" s="16"/>
      <c r="H1807" s="16" t="str">
        <f>IF(B1807="","",IFERROR(A1807-LOOKUP(2,1/($B$4:$B1806=B1807),$A$4:$A1806),""))</f>
        <v/>
      </c>
      <c r="I1807" s="16" t="str">
        <f t="shared" si="28"/>
        <v/>
      </c>
      <c r="J1807" s="16"/>
      <c r="K1807" s="6" t="str">
        <f>IF(B1807="","",IFERROR(AVERAGEIFS($I$4:$I1807,$B$4:$B1807,B1807,$I$4:$I1807,"&gt;"&amp;0),""))</f>
        <v/>
      </c>
      <c r="L1807" s="16" t="str">
        <f>IF(B1807="","",IF(ISNA(MATCH(B1807,Client_List!$B:$B,0)),"⚠ NOT FOUND","✓"))</f>
        <v/>
      </c>
    </row>
    <row r="1808" spans="1:12" ht="14" customHeight="1" x14ac:dyDescent="0.2">
      <c r="A1808" s="59"/>
      <c r="B1808" s="18"/>
      <c r="C1808" s="19" t="str">
        <f>IF(B1808="","",IFERROR(INDEX(Client_List!$C:$C,MATCH(B1808,Client_List!$B:$B,0)),""))</f>
        <v/>
      </c>
      <c r="D1808" s="19" t="str">
        <f>IF(B1808="","",IFERROR(INDEX(Client_List!$D:$D,MATCH(B1808,Client_List!$B:$B,0)),""))</f>
        <v/>
      </c>
      <c r="E1808" s="19" t="str">
        <f>IF(B1808="","",IFERROR(INDEX(Client_List!$K:$K,MATCH(B1808,Client_List!$B:$B,0)),""))</f>
        <v/>
      </c>
      <c r="F1808" s="19" t="str">
        <f>IF(B1808="","",IFERROR(INDEX(Client_List!$J:$J,MATCH(B1808,Client_List!$B:$B,0)),""))</f>
        <v/>
      </c>
      <c r="G1808" s="19"/>
      <c r="H1808" s="19" t="str">
        <f>IF(B1808="","",IFERROR(A1808-LOOKUP(2,1/($B$4:$B1807=B1808),$A$4:$A1807),""))</f>
        <v/>
      </c>
      <c r="I1808" s="19" t="str">
        <f t="shared" si="28"/>
        <v/>
      </c>
      <c r="J1808" s="19"/>
      <c r="K1808" s="6" t="str">
        <f>IF(B1808="","",IFERROR(AVERAGEIFS($I$4:$I1808,$B$4:$B1808,B1808,$I$4:$I1808,"&gt;"&amp;0),""))</f>
        <v/>
      </c>
      <c r="L1808" s="19" t="str">
        <f>IF(B1808="","",IF(ISNA(MATCH(B1808,Client_List!$B:$B,0)),"⚠ NOT FOUND","✓"))</f>
        <v/>
      </c>
    </row>
    <row r="1809" spans="1:12" ht="14" customHeight="1" x14ac:dyDescent="0.2">
      <c r="A1809" s="58"/>
      <c r="B1809" s="15"/>
      <c r="C1809" s="16" t="str">
        <f>IF(B1809="","",IFERROR(INDEX(Client_List!$C:$C,MATCH(B1809,Client_List!$B:$B,0)),""))</f>
        <v/>
      </c>
      <c r="D1809" s="16" t="str">
        <f>IF(B1809="","",IFERROR(INDEX(Client_List!$D:$D,MATCH(B1809,Client_List!$B:$B,0)),""))</f>
        <v/>
      </c>
      <c r="E1809" s="16" t="str">
        <f>IF(B1809="","",IFERROR(INDEX(Client_List!$K:$K,MATCH(B1809,Client_List!$B:$B,0)),""))</f>
        <v/>
      </c>
      <c r="F1809" s="16" t="str">
        <f>IF(B1809="","",IFERROR(INDEX(Client_List!$J:$J,MATCH(B1809,Client_List!$B:$B,0)),""))</f>
        <v/>
      </c>
      <c r="G1809" s="16"/>
      <c r="H1809" s="16" t="str">
        <f>IF(B1809="","",IFERROR(A1809-LOOKUP(2,1/($B$4:$B1808=B1809),$A$4:$A1808),""))</f>
        <v/>
      </c>
      <c r="I1809" s="16" t="str">
        <f t="shared" si="28"/>
        <v/>
      </c>
      <c r="J1809" s="16"/>
      <c r="K1809" s="6" t="str">
        <f>IF(B1809="","",IFERROR(AVERAGEIFS($I$4:$I1809,$B$4:$B1809,B1809,$I$4:$I1809,"&gt;"&amp;0),""))</f>
        <v/>
      </c>
      <c r="L1809" s="16" t="str">
        <f>IF(B1809="","",IF(ISNA(MATCH(B1809,Client_List!$B:$B,0)),"⚠ NOT FOUND","✓"))</f>
        <v/>
      </c>
    </row>
    <row r="1810" spans="1:12" ht="14" customHeight="1" x14ac:dyDescent="0.2">
      <c r="A1810" s="59"/>
      <c r="B1810" s="18"/>
      <c r="C1810" s="19" t="str">
        <f>IF(B1810="","",IFERROR(INDEX(Client_List!$C:$C,MATCH(B1810,Client_List!$B:$B,0)),""))</f>
        <v/>
      </c>
      <c r="D1810" s="19" t="str">
        <f>IF(B1810="","",IFERROR(INDEX(Client_List!$D:$D,MATCH(B1810,Client_List!$B:$B,0)),""))</f>
        <v/>
      </c>
      <c r="E1810" s="19" t="str">
        <f>IF(B1810="","",IFERROR(INDEX(Client_List!$K:$K,MATCH(B1810,Client_List!$B:$B,0)),""))</f>
        <v/>
      </c>
      <c r="F1810" s="19" t="str">
        <f>IF(B1810="","",IFERROR(INDEX(Client_List!$J:$J,MATCH(B1810,Client_List!$B:$B,0)),""))</f>
        <v/>
      </c>
      <c r="G1810" s="19"/>
      <c r="H1810" s="19" t="str">
        <f>IF(B1810="","",IFERROR(A1810-LOOKUP(2,1/($B$4:$B1809=B1810),$A$4:$A1809),""))</f>
        <v/>
      </c>
      <c r="I1810" s="19" t="str">
        <f t="shared" si="28"/>
        <v/>
      </c>
      <c r="J1810" s="19"/>
      <c r="K1810" s="6" t="str">
        <f>IF(B1810="","",IFERROR(AVERAGEIFS($I$4:$I1810,$B$4:$B1810,B1810,$I$4:$I1810,"&gt;"&amp;0),""))</f>
        <v/>
      </c>
      <c r="L1810" s="19" t="str">
        <f>IF(B1810="","",IF(ISNA(MATCH(B1810,Client_List!$B:$B,0)),"⚠ NOT FOUND","✓"))</f>
        <v/>
      </c>
    </row>
    <row r="1811" spans="1:12" ht="14" customHeight="1" x14ac:dyDescent="0.2">
      <c r="A1811" s="58"/>
      <c r="B1811" s="15"/>
      <c r="C1811" s="16" t="str">
        <f>IF(B1811="","",IFERROR(INDEX(Client_List!$C:$C,MATCH(B1811,Client_List!$B:$B,0)),""))</f>
        <v/>
      </c>
      <c r="D1811" s="16" t="str">
        <f>IF(B1811="","",IFERROR(INDEX(Client_List!$D:$D,MATCH(B1811,Client_List!$B:$B,0)),""))</f>
        <v/>
      </c>
      <c r="E1811" s="16" t="str">
        <f>IF(B1811="","",IFERROR(INDEX(Client_List!$K:$K,MATCH(B1811,Client_List!$B:$B,0)),""))</f>
        <v/>
      </c>
      <c r="F1811" s="16" t="str">
        <f>IF(B1811="","",IFERROR(INDEX(Client_List!$J:$J,MATCH(B1811,Client_List!$B:$B,0)),""))</f>
        <v/>
      </c>
      <c r="G1811" s="16"/>
      <c r="H1811" s="16" t="str">
        <f>IF(B1811="","",IFERROR(A1811-LOOKUP(2,1/($B$4:$B1810=B1811),$A$4:$A1810),""))</f>
        <v/>
      </c>
      <c r="I1811" s="16" t="str">
        <f t="shared" si="28"/>
        <v/>
      </c>
      <c r="J1811" s="16"/>
      <c r="K1811" s="6" t="str">
        <f>IF(B1811="","",IFERROR(AVERAGEIFS($I$4:$I1811,$B$4:$B1811,B1811,$I$4:$I1811,"&gt;"&amp;0),""))</f>
        <v/>
      </c>
      <c r="L1811" s="16" t="str">
        <f>IF(B1811="","",IF(ISNA(MATCH(B1811,Client_List!$B:$B,0)),"⚠ NOT FOUND","✓"))</f>
        <v/>
      </c>
    </row>
    <row r="1812" spans="1:12" ht="14" customHeight="1" x14ac:dyDescent="0.2">
      <c r="A1812" s="59"/>
      <c r="B1812" s="18"/>
      <c r="C1812" s="19" t="str">
        <f>IF(B1812="","",IFERROR(INDEX(Client_List!$C:$C,MATCH(B1812,Client_List!$B:$B,0)),""))</f>
        <v/>
      </c>
      <c r="D1812" s="19" t="str">
        <f>IF(B1812="","",IFERROR(INDEX(Client_List!$D:$D,MATCH(B1812,Client_List!$B:$B,0)),""))</f>
        <v/>
      </c>
      <c r="E1812" s="19" t="str">
        <f>IF(B1812="","",IFERROR(INDEX(Client_List!$K:$K,MATCH(B1812,Client_List!$B:$B,0)),""))</f>
        <v/>
      </c>
      <c r="F1812" s="19" t="str">
        <f>IF(B1812="","",IFERROR(INDEX(Client_List!$J:$J,MATCH(B1812,Client_List!$B:$B,0)),""))</f>
        <v/>
      </c>
      <c r="G1812" s="19"/>
      <c r="H1812" s="19" t="str">
        <f>IF(B1812="","",IFERROR(A1812-LOOKUP(2,1/($B$4:$B1811=B1812),$A$4:$A1811),""))</f>
        <v/>
      </c>
      <c r="I1812" s="19" t="str">
        <f t="shared" si="28"/>
        <v/>
      </c>
      <c r="J1812" s="19"/>
      <c r="K1812" s="6" t="str">
        <f>IF(B1812="","",IFERROR(AVERAGEIFS($I$4:$I1812,$B$4:$B1812,B1812,$I$4:$I1812,"&gt;"&amp;0),""))</f>
        <v/>
      </c>
      <c r="L1812" s="19" t="str">
        <f>IF(B1812="","",IF(ISNA(MATCH(B1812,Client_List!$B:$B,0)),"⚠ NOT FOUND","✓"))</f>
        <v/>
      </c>
    </row>
    <row r="1813" spans="1:12" ht="14" customHeight="1" x14ac:dyDescent="0.2">
      <c r="A1813" s="58"/>
      <c r="B1813" s="15"/>
      <c r="C1813" s="16" t="str">
        <f>IF(B1813="","",IFERROR(INDEX(Client_List!$C:$C,MATCH(B1813,Client_List!$B:$B,0)),""))</f>
        <v/>
      </c>
      <c r="D1813" s="16" t="str">
        <f>IF(B1813="","",IFERROR(INDEX(Client_List!$D:$D,MATCH(B1813,Client_List!$B:$B,0)),""))</f>
        <v/>
      </c>
      <c r="E1813" s="16" t="str">
        <f>IF(B1813="","",IFERROR(INDEX(Client_List!$K:$K,MATCH(B1813,Client_List!$B:$B,0)),""))</f>
        <v/>
      </c>
      <c r="F1813" s="16" t="str">
        <f>IF(B1813="","",IFERROR(INDEX(Client_List!$J:$J,MATCH(B1813,Client_List!$B:$B,0)),""))</f>
        <v/>
      </c>
      <c r="G1813" s="16"/>
      <c r="H1813" s="16" t="str">
        <f>IF(B1813="","",IFERROR(A1813-LOOKUP(2,1/($B$4:$B1812=B1813),$A$4:$A1812),""))</f>
        <v/>
      </c>
      <c r="I1813" s="16" t="str">
        <f t="shared" si="28"/>
        <v/>
      </c>
      <c r="J1813" s="16"/>
      <c r="K1813" s="6" t="str">
        <f>IF(B1813="","",IFERROR(AVERAGEIFS($I$4:$I1813,$B$4:$B1813,B1813,$I$4:$I1813,"&gt;"&amp;0),""))</f>
        <v/>
      </c>
      <c r="L1813" s="16" t="str">
        <f>IF(B1813="","",IF(ISNA(MATCH(B1813,Client_List!$B:$B,0)),"⚠ NOT FOUND","✓"))</f>
        <v/>
      </c>
    </row>
    <row r="1814" spans="1:12" ht="14" customHeight="1" x14ac:dyDescent="0.2">
      <c r="A1814" s="59"/>
      <c r="B1814" s="18"/>
      <c r="C1814" s="19" t="str">
        <f>IF(B1814="","",IFERROR(INDEX(Client_List!$C:$C,MATCH(B1814,Client_List!$B:$B,0)),""))</f>
        <v/>
      </c>
      <c r="D1814" s="19" t="str">
        <f>IF(B1814="","",IFERROR(INDEX(Client_List!$D:$D,MATCH(B1814,Client_List!$B:$B,0)),""))</f>
        <v/>
      </c>
      <c r="E1814" s="19" t="str">
        <f>IF(B1814="","",IFERROR(INDEX(Client_List!$K:$K,MATCH(B1814,Client_List!$B:$B,0)),""))</f>
        <v/>
      </c>
      <c r="F1814" s="19" t="str">
        <f>IF(B1814="","",IFERROR(INDEX(Client_List!$J:$J,MATCH(B1814,Client_List!$B:$B,0)),""))</f>
        <v/>
      </c>
      <c r="G1814" s="19"/>
      <c r="H1814" s="19" t="str">
        <f>IF(B1814="","",IFERROR(A1814-LOOKUP(2,1/($B$4:$B1813=B1814),$A$4:$A1813),""))</f>
        <v/>
      </c>
      <c r="I1814" s="19" t="str">
        <f t="shared" si="28"/>
        <v/>
      </c>
      <c r="J1814" s="19"/>
      <c r="K1814" s="6" t="str">
        <f>IF(B1814="","",IFERROR(AVERAGEIFS($I$4:$I1814,$B$4:$B1814,B1814,$I$4:$I1814,"&gt;"&amp;0),""))</f>
        <v/>
      </c>
      <c r="L1814" s="19" t="str">
        <f>IF(B1814="","",IF(ISNA(MATCH(B1814,Client_List!$B:$B,0)),"⚠ NOT FOUND","✓"))</f>
        <v/>
      </c>
    </row>
    <row r="1815" spans="1:12" ht="14" customHeight="1" x14ac:dyDescent="0.2">
      <c r="A1815" s="58"/>
      <c r="B1815" s="15"/>
      <c r="C1815" s="16" t="str">
        <f>IF(B1815="","",IFERROR(INDEX(Client_List!$C:$C,MATCH(B1815,Client_List!$B:$B,0)),""))</f>
        <v/>
      </c>
      <c r="D1815" s="16" t="str">
        <f>IF(B1815="","",IFERROR(INDEX(Client_List!$D:$D,MATCH(B1815,Client_List!$B:$B,0)),""))</f>
        <v/>
      </c>
      <c r="E1815" s="16" t="str">
        <f>IF(B1815="","",IFERROR(INDEX(Client_List!$K:$K,MATCH(B1815,Client_List!$B:$B,0)),""))</f>
        <v/>
      </c>
      <c r="F1815" s="16" t="str">
        <f>IF(B1815="","",IFERROR(INDEX(Client_List!$J:$J,MATCH(B1815,Client_List!$B:$B,0)),""))</f>
        <v/>
      </c>
      <c r="G1815" s="16"/>
      <c r="H1815" s="16" t="str">
        <f>IF(B1815="","",IFERROR(A1815-LOOKUP(2,1/($B$4:$B1814=B1815),$A$4:$A1814),""))</f>
        <v/>
      </c>
      <c r="I1815" s="16" t="str">
        <f t="shared" si="28"/>
        <v/>
      </c>
      <c r="J1815" s="16"/>
      <c r="K1815" s="6" t="str">
        <f>IF(B1815="","",IFERROR(AVERAGEIFS($I$4:$I1815,$B$4:$B1815,B1815,$I$4:$I1815,"&gt;"&amp;0),""))</f>
        <v/>
      </c>
      <c r="L1815" s="16" t="str">
        <f>IF(B1815="","",IF(ISNA(MATCH(B1815,Client_List!$B:$B,0)),"⚠ NOT FOUND","✓"))</f>
        <v/>
      </c>
    </row>
    <row r="1816" spans="1:12" ht="14" customHeight="1" x14ac:dyDescent="0.2">
      <c r="A1816" s="59"/>
      <c r="B1816" s="18"/>
      <c r="C1816" s="19" t="str">
        <f>IF(B1816="","",IFERROR(INDEX(Client_List!$C:$C,MATCH(B1816,Client_List!$B:$B,0)),""))</f>
        <v/>
      </c>
      <c r="D1816" s="19" t="str">
        <f>IF(B1816="","",IFERROR(INDEX(Client_List!$D:$D,MATCH(B1816,Client_List!$B:$B,0)),""))</f>
        <v/>
      </c>
      <c r="E1816" s="19" t="str">
        <f>IF(B1816="","",IFERROR(INDEX(Client_List!$K:$K,MATCH(B1816,Client_List!$B:$B,0)),""))</f>
        <v/>
      </c>
      <c r="F1816" s="19" t="str">
        <f>IF(B1816="","",IFERROR(INDEX(Client_List!$J:$J,MATCH(B1816,Client_List!$B:$B,0)),""))</f>
        <v/>
      </c>
      <c r="G1816" s="19"/>
      <c r="H1816" s="19" t="str">
        <f>IF(B1816="","",IFERROR(A1816-LOOKUP(2,1/($B$4:$B1815=B1816),$A$4:$A1815),""))</f>
        <v/>
      </c>
      <c r="I1816" s="19" t="str">
        <f t="shared" si="28"/>
        <v/>
      </c>
      <c r="J1816" s="19"/>
      <c r="K1816" s="6" t="str">
        <f>IF(B1816="","",IFERROR(AVERAGEIFS($I$4:$I1816,$B$4:$B1816,B1816,$I$4:$I1816,"&gt;"&amp;0),""))</f>
        <v/>
      </c>
      <c r="L1816" s="19" t="str">
        <f>IF(B1816="","",IF(ISNA(MATCH(B1816,Client_List!$B:$B,0)),"⚠ NOT FOUND","✓"))</f>
        <v/>
      </c>
    </row>
    <row r="1817" spans="1:12" ht="14" customHeight="1" x14ac:dyDescent="0.2">
      <c r="A1817" s="58"/>
      <c r="B1817" s="15"/>
      <c r="C1817" s="16" t="str">
        <f>IF(B1817="","",IFERROR(INDEX(Client_List!$C:$C,MATCH(B1817,Client_List!$B:$B,0)),""))</f>
        <v/>
      </c>
      <c r="D1817" s="16" t="str">
        <f>IF(B1817="","",IFERROR(INDEX(Client_List!$D:$D,MATCH(B1817,Client_List!$B:$B,0)),""))</f>
        <v/>
      </c>
      <c r="E1817" s="16" t="str">
        <f>IF(B1817="","",IFERROR(INDEX(Client_List!$K:$K,MATCH(B1817,Client_List!$B:$B,0)),""))</f>
        <v/>
      </c>
      <c r="F1817" s="16" t="str">
        <f>IF(B1817="","",IFERROR(INDEX(Client_List!$J:$J,MATCH(B1817,Client_List!$B:$B,0)),""))</f>
        <v/>
      </c>
      <c r="G1817" s="16"/>
      <c r="H1817" s="16" t="str">
        <f>IF(B1817="","",IFERROR(A1817-LOOKUP(2,1/($B$4:$B1816=B1817),$A$4:$A1816),""))</f>
        <v/>
      </c>
      <c r="I1817" s="16" t="str">
        <f t="shared" si="28"/>
        <v/>
      </c>
      <c r="J1817" s="16"/>
      <c r="K1817" s="6" t="str">
        <f>IF(B1817="","",IFERROR(AVERAGEIFS($I$4:$I1817,$B$4:$B1817,B1817,$I$4:$I1817,"&gt;"&amp;0),""))</f>
        <v/>
      </c>
      <c r="L1817" s="16" t="str">
        <f>IF(B1817="","",IF(ISNA(MATCH(B1817,Client_List!$B:$B,0)),"⚠ NOT FOUND","✓"))</f>
        <v/>
      </c>
    </row>
    <row r="1818" spans="1:12" ht="14" customHeight="1" x14ac:dyDescent="0.2">
      <c r="A1818" s="59"/>
      <c r="B1818" s="18"/>
      <c r="C1818" s="19" t="str">
        <f>IF(B1818="","",IFERROR(INDEX(Client_List!$C:$C,MATCH(B1818,Client_List!$B:$B,0)),""))</f>
        <v/>
      </c>
      <c r="D1818" s="19" t="str">
        <f>IF(B1818="","",IFERROR(INDEX(Client_List!$D:$D,MATCH(B1818,Client_List!$B:$B,0)),""))</f>
        <v/>
      </c>
      <c r="E1818" s="19" t="str">
        <f>IF(B1818="","",IFERROR(INDEX(Client_List!$K:$K,MATCH(B1818,Client_List!$B:$B,0)),""))</f>
        <v/>
      </c>
      <c r="F1818" s="19" t="str">
        <f>IF(B1818="","",IFERROR(INDEX(Client_List!$J:$J,MATCH(B1818,Client_List!$B:$B,0)),""))</f>
        <v/>
      </c>
      <c r="G1818" s="19"/>
      <c r="H1818" s="19" t="str">
        <f>IF(B1818="","",IFERROR(A1818-LOOKUP(2,1/($B$4:$B1817=B1818),$A$4:$A1817),""))</f>
        <v/>
      </c>
      <c r="I1818" s="19" t="str">
        <f t="shared" si="28"/>
        <v/>
      </c>
      <c r="J1818" s="19"/>
      <c r="K1818" s="6" t="str">
        <f>IF(B1818="","",IFERROR(AVERAGEIFS($I$4:$I1818,$B$4:$B1818,B1818,$I$4:$I1818,"&gt;"&amp;0),""))</f>
        <v/>
      </c>
      <c r="L1818" s="19" t="str">
        <f>IF(B1818="","",IF(ISNA(MATCH(B1818,Client_List!$B:$B,0)),"⚠ NOT FOUND","✓"))</f>
        <v/>
      </c>
    </row>
    <row r="1819" spans="1:12" ht="14" customHeight="1" x14ac:dyDescent="0.2">
      <c r="A1819" s="58"/>
      <c r="B1819" s="15"/>
      <c r="C1819" s="16" t="str">
        <f>IF(B1819="","",IFERROR(INDEX(Client_List!$C:$C,MATCH(B1819,Client_List!$B:$B,0)),""))</f>
        <v/>
      </c>
      <c r="D1819" s="16" t="str">
        <f>IF(B1819="","",IFERROR(INDEX(Client_List!$D:$D,MATCH(B1819,Client_List!$B:$B,0)),""))</f>
        <v/>
      </c>
      <c r="E1819" s="16" t="str">
        <f>IF(B1819="","",IFERROR(INDEX(Client_List!$K:$K,MATCH(B1819,Client_List!$B:$B,0)),""))</f>
        <v/>
      </c>
      <c r="F1819" s="16" t="str">
        <f>IF(B1819="","",IFERROR(INDEX(Client_List!$J:$J,MATCH(B1819,Client_List!$B:$B,0)),""))</f>
        <v/>
      </c>
      <c r="G1819" s="16"/>
      <c r="H1819" s="16" t="str">
        <f>IF(B1819="","",IFERROR(A1819-LOOKUP(2,1/($B$4:$B1818=B1819),$A$4:$A1818),""))</f>
        <v/>
      </c>
      <c r="I1819" s="16" t="str">
        <f t="shared" si="28"/>
        <v/>
      </c>
      <c r="J1819" s="16"/>
      <c r="K1819" s="6" t="str">
        <f>IF(B1819="","",IFERROR(AVERAGEIFS($I$4:$I1819,$B$4:$B1819,B1819,$I$4:$I1819,"&gt;"&amp;0),""))</f>
        <v/>
      </c>
      <c r="L1819" s="16" t="str">
        <f>IF(B1819="","",IF(ISNA(MATCH(B1819,Client_List!$B:$B,0)),"⚠ NOT FOUND","✓"))</f>
        <v/>
      </c>
    </row>
    <row r="1820" spans="1:12" ht="14" customHeight="1" x14ac:dyDescent="0.2">
      <c r="A1820" s="59"/>
      <c r="B1820" s="18"/>
      <c r="C1820" s="19" t="str">
        <f>IF(B1820="","",IFERROR(INDEX(Client_List!$C:$C,MATCH(B1820,Client_List!$B:$B,0)),""))</f>
        <v/>
      </c>
      <c r="D1820" s="19" t="str">
        <f>IF(B1820="","",IFERROR(INDEX(Client_List!$D:$D,MATCH(B1820,Client_List!$B:$B,0)),""))</f>
        <v/>
      </c>
      <c r="E1820" s="19" t="str">
        <f>IF(B1820="","",IFERROR(INDEX(Client_List!$K:$K,MATCH(B1820,Client_List!$B:$B,0)),""))</f>
        <v/>
      </c>
      <c r="F1820" s="19" t="str">
        <f>IF(B1820="","",IFERROR(INDEX(Client_List!$J:$J,MATCH(B1820,Client_List!$B:$B,0)),""))</f>
        <v/>
      </c>
      <c r="G1820" s="19"/>
      <c r="H1820" s="19" t="str">
        <f>IF(B1820="","",IFERROR(A1820-LOOKUP(2,1/($B$4:$B1819=B1820),$A$4:$A1819),""))</f>
        <v/>
      </c>
      <c r="I1820" s="19" t="str">
        <f t="shared" si="28"/>
        <v/>
      </c>
      <c r="J1820" s="19"/>
      <c r="K1820" s="6" t="str">
        <f>IF(B1820="","",IFERROR(AVERAGEIFS($I$4:$I1820,$B$4:$B1820,B1820,$I$4:$I1820,"&gt;"&amp;0),""))</f>
        <v/>
      </c>
      <c r="L1820" s="19" t="str">
        <f>IF(B1820="","",IF(ISNA(MATCH(B1820,Client_List!$B:$B,0)),"⚠ NOT FOUND","✓"))</f>
        <v/>
      </c>
    </row>
    <row r="1821" spans="1:12" ht="14" customHeight="1" x14ac:dyDescent="0.2">
      <c r="A1821" s="58"/>
      <c r="B1821" s="15"/>
      <c r="C1821" s="16" t="str">
        <f>IF(B1821="","",IFERROR(INDEX(Client_List!$C:$C,MATCH(B1821,Client_List!$B:$B,0)),""))</f>
        <v/>
      </c>
      <c r="D1821" s="16" t="str">
        <f>IF(B1821="","",IFERROR(INDEX(Client_List!$D:$D,MATCH(B1821,Client_List!$B:$B,0)),""))</f>
        <v/>
      </c>
      <c r="E1821" s="16" t="str">
        <f>IF(B1821="","",IFERROR(INDEX(Client_List!$K:$K,MATCH(B1821,Client_List!$B:$B,0)),""))</f>
        <v/>
      </c>
      <c r="F1821" s="16" t="str">
        <f>IF(B1821="","",IFERROR(INDEX(Client_List!$J:$J,MATCH(B1821,Client_List!$B:$B,0)),""))</f>
        <v/>
      </c>
      <c r="G1821" s="16"/>
      <c r="H1821" s="16" t="str">
        <f>IF(B1821="","",IFERROR(A1821-LOOKUP(2,1/($B$4:$B1820=B1821),$A$4:$A1820),""))</f>
        <v/>
      </c>
      <c r="I1821" s="16" t="str">
        <f t="shared" si="28"/>
        <v/>
      </c>
      <c r="J1821" s="16"/>
      <c r="K1821" s="6" t="str">
        <f>IF(B1821="","",IFERROR(AVERAGEIFS($I$4:$I1821,$B$4:$B1821,B1821,$I$4:$I1821,"&gt;"&amp;0),""))</f>
        <v/>
      </c>
      <c r="L1821" s="16" t="str">
        <f>IF(B1821="","",IF(ISNA(MATCH(B1821,Client_List!$B:$B,0)),"⚠ NOT FOUND","✓"))</f>
        <v/>
      </c>
    </row>
    <row r="1822" spans="1:12" ht="14" customHeight="1" x14ac:dyDescent="0.2">
      <c r="A1822" s="59"/>
      <c r="B1822" s="18"/>
      <c r="C1822" s="19" t="str">
        <f>IF(B1822="","",IFERROR(INDEX(Client_List!$C:$C,MATCH(B1822,Client_List!$B:$B,0)),""))</f>
        <v/>
      </c>
      <c r="D1822" s="19" t="str">
        <f>IF(B1822="","",IFERROR(INDEX(Client_List!$D:$D,MATCH(B1822,Client_List!$B:$B,0)),""))</f>
        <v/>
      </c>
      <c r="E1822" s="19" t="str">
        <f>IF(B1822="","",IFERROR(INDEX(Client_List!$K:$K,MATCH(B1822,Client_List!$B:$B,0)),""))</f>
        <v/>
      </c>
      <c r="F1822" s="19" t="str">
        <f>IF(B1822="","",IFERROR(INDEX(Client_List!$J:$J,MATCH(B1822,Client_List!$B:$B,0)),""))</f>
        <v/>
      </c>
      <c r="G1822" s="19"/>
      <c r="H1822" s="19" t="str">
        <f>IF(B1822="","",IFERROR(A1822-LOOKUP(2,1/($B$4:$B1821=B1822),$A$4:$A1821),""))</f>
        <v/>
      </c>
      <c r="I1822" s="19" t="str">
        <f t="shared" si="28"/>
        <v/>
      </c>
      <c r="J1822" s="19"/>
      <c r="K1822" s="6" t="str">
        <f>IF(B1822="","",IFERROR(AVERAGEIFS($I$4:$I1822,$B$4:$B1822,B1822,$I$4:$I1822,"&gt;"&amp;0),""))</f>
        <v/>
      </c>
      <c r="L1822" s="19" t="str">
        <f>IF(B1822="","",IF(ISNA(MATCH(B1822,Client_List!$B:$B,0)),"⚠ NOT FOUND","✓"))</f>
        <v/>
      </c>
    </row>
    <row r="1823" spans="1:12" ht="14" customHeight="1" x14ac:dyDescent="0.2">
      <c r="A1823" s="58"/>
      <c r="B1823" s="15"/>
      <c r="C1823" s="16" t="str">
        <f>IF(B1823="","",IFERROR(INDEX(Client_List!$C:$C,MATCH(B1823,Client_List!$B:$B,0)),""))</f>
        <v/>
      </c>
      <c r="D1823" s="16" t="str">
        <f>IF(B1823="","",IFERROR(INDEX(Client_List!$D:$D,MATCH(B1823,Client_List!$B:$B,0)),""))</f>
        <v/>
      </c>
      <c r="E1823" s="16" t="str">
        <f>IF(B1823="","",IFERROR(INDEX(Client_List!$K:$K,MATCH(B1823,Client_List!$B:$B,0)),""))</f>
        <v/>
      </c>
      <c r="F1823" s="16" t="str">
        <f>IF(B1823="","",IFERROR(INDEX(Client_List!$J:$J,MATCH(B1823,Client_List!$B:$B,0)),""))</f>
        <v/>
      </c>
      <c r="G1823" s="16"/>
      <c r="H1823" s="16" t="str">
        <f>IF(B1823="","",IFERROR(A1823-LOOKUP(2,1/($B$4:$B1822=B1823),$A$4:$A1822),""))</f>
        <v/>
      </c>
      <c r="I1823" s="16" t="str">
        <f t="shared" si="28"/>
        <v/>
      </c>
      <c r="J1823" s="16"/>
      <c r="K1823" s="6" t="str">
        <f>IF(B1823="","",IFERROR(AVERAGEIFS($I$4:$I1823,$B$4:$B1823,B1823,$I$4:$I1823,"&gt;"&amp;0),""))</f>
        <v/>
      </c>
      <c r="L1823" s="16" t="str">
        <f>IF(B1823="","",IF(ISNA(MATCH(B1823,Client_List!$B:$B,0)),"⚠ NOT FOUND","✓"))</f>
        <v/>
      </c>
    </row>
    <row r="1824" spans="1:12" ht="14" customHeight="1" x14ac:dyDescent="0.2">
      <c r="A1824" s="59"/>
      <c r="B1824" s="18"/>
      <c r="C1824" s="19" t="str">
        <f>IF(B1824="","",IFERROR(INDEX(Client_List!$C:$C,MATCH(B1824,Client_List!$B:$B,0)),""))</f>
        <v/>
      </c>
      <c r="D1824" s="19" t="str">
        <f>IF(B1824="","",IFERROR(INDEX(Client_List!$D:$D,MATCH(B1824,Client_List!$B:$B,0)),""))</f>
        <v/>
      </c>
      <c r="E1824" s="19" t="str">
        <f>IF(B1824="","",IFERROR(INDEX(Client_List!$K:$K,MATCH(B1824,Client_List!$B:$B,0)),""))</f>
        <v/>
      </c>
      <c r="F1824" s="19" t="str">
        <f>IF(B1824="","",IFERROR(INDEX(Client_List!$J:$J,MATCH(B1824,Client_List!$B:$B,0)),""))</f>
        <v/>
      </c>
      <c r="G1824" s="19"/>
      <c r="H1824" s="19" t="str">
        <f>IF(B1824="","",IFERROR(A1824-LOOKUP(2,1/($B$4:$B1823=B1824),$A$4:$A1823),""))</f>
        <v/>
      </c>
      <c r="I1824" s="19" t="str">
        <f t="shared" si="28"/>
        <v/>
      </c>
      <c r="J1824" s="19"/>
      <c r="K1824" s="6" t="str">
        <f>IF(B1824="","",IFERROR(AVERAGEIFS($I$4:$I1824,$B$4:$B1824,B1824,$I$4:$I1824,"&gt;"&amp;0),""))</f>
        <v/>
      </c>
      <c r="L1824" s="19" t="str">
        <f>IF(B1824="","",IF(ISNA(MATCH(B1824,Client_List!$B:$B,0)),"⚠ NOT FOUND","✓"))</f>
        <v/>
      </c>
    </row>
    <row r="1825" spans="1:12" ht="14" customHeight="1" x14ac:dyDescent="0.2">
      <c r="A1825" s="58"/>
      <c r="B1825" s="15"/>
      <c r="C1825" s="16" t="str">
        <f>IF(B1825="","",IFERROR(INDEX(Client_List!$C:$C,MATCH(B1825,Client_List!$B:$B,0)),""))</f>
        <v/>
      </c>
      <c r="D1825" s="16" t="str">
        <f>IF(B1825="","",IFERROR(INDEX(Client_List!$D:$D,MATCH(B1825,Client_List!$B:$B,0)),""))</f>
        <v/>
      </c>
      <c r="E1825" s="16" t="str">
        <f>IF(B1825="","",IFERROR(INDEX(Client_List!$K:$K,MATCH(B1825,Client_List!$B:$B,0)),""))</f>
        <v/>
      </c>
      <c r="F1825" s="16" t="str">
        <f>IF(B1825="","",IFERROR(INDEX(Client_List!$J:$J,MATCH(B1825,Client_List!$B:$B,0)),""))</f>
        <v/>
      </c>
      <c r="G1825" s="16"/>
      <c r="H1825" s="16" t="str">
        <f>IF(B1825="","",IFERROR(A1825-LOOKUP(2,1/($B$4:$B1824=B1825),$A$4:$A1824),""))</f>
        <v/>
      </c>
      <c r="I1825" s="16" t="str">
        <f t="shared" si="28"/>
        <v/>
      </c>
      <c r="J1825" s="16"/>
      <c r="K1825" s="6" t="str">
        <f>IF(B1825="","",IFERROR(AVERAGEIFS($I$4:$I1825,$B$4:$B1825,B1825,$I$4:$I1825,"&gt;"&amp;0),""))</f>
        <v/>
      </c>
      <c r="L1825" s="16" t="str">
        <f>IF(B1825="","",IF(ISNA(MATCH(B1825,Client_List!$B:$B,0)),"⚠ NOT FOUND","✓"))</f>
        <v/>
      </c>
    </row>
    <row r="1826" spans="1:12" ht="14" customHeight="1" x14ac:dyDescent="0.2">
      <c r="A1826" s="59"/>
      <c r="B1826" s="18"/>
      <c r="C1826" s="19" t="str">
        <f>IF(B1826="","",IFERROR(INDEX(Client_List!$C:$C,MATCH(B1826,Client_List!$B:$B,0)),""))</f>
        <v/>
      </c>
      <c r="D1826" s="19" t="str">
        <f>IF(B1826="","",IFERROR(INDEX(Client_List!$D:$D,MATCH(B1826,Client_List!$B:$B,0)),""))</f>
        <v/>
      </c>
      <c r="E1826" s="19" t="str">
        <f>IF(B1826="","",IFERROR(INDEX(Client_List!$K:$K,MATCH(B1826,Client_List!$B:$B,0)),""))</f>
        <v/>
      </c>
      <c r="F1826" s="19" t="str">
        <f>IF(B1826="","",IFERROR(INDEX(Client_List!$J:$J,MATCH(B1826,Client_List!$B:$B,0)),""))</f>
        <v/>
      </c>
      <c r="G1826" s="19"/>
      <c r="H1826" s="19" t="str">
        <f>IF(B1826="","",IFERROR(A1826-LOOKUP(2,1/($B$4:$B1825=B1826),$A$4:$A1825),""))</f>
        <v/>
      </c>
      <c r="I1826" s="19" t="str">
        <f t="shared" si="28"/>
        <v/>
      </c>
      <c r="J1826" s="19"/>
      <c r="K1826" s="6" t="str">
        <f>IF(B1826="","",IFERROR(AVERAGEIFS($I$4:$I1826,$B$4:$B1826,B1826,$I$4:$I1826,"&gt;"&amp;0),""))</f>
        <v/>
      </c>
      <c r="L1826" s="19" t="str">
        <f>IF(B1826="","",IF(ISNA(MATCH(B1826,Client_List!$B:$B,0)),"⚠ NOT FOUND","✓"))</f>
        <v/>
      </c>
    </row>
    <row r="1827" spans="1:12" ht="14" customHeight="1" x14ac:dyDescent="0.2">
      <c r="A1827" s="58"/>
      <c r="B1827" s="15"/>
      <c r="C1827" s="16" t="str">
        <f>IF(B1827="","",IFERROR(INDEX(Client_List!$C:$C,MATCH(B1827,Client_List!$B:$B,0)),""))</f>
        <v/>
      </c>
      <c r="D1827" s="16" t="str">
        <f>IF(B1827="","",IFERROR(INDEX(Client_List!$D:$D,MATCH(B1827,Client_List!$B:$B,0)),""))</f>
        <v/>
      </c>
      <c r="E1827" s="16" t="str">
        <f>IF(B1827="","",IFERROR(INDEX(Client_List!$K:$K,MATCH(B1827,Client_List!$B:$B,0)),""))</f>
        <v/>
      </c>
      <c r="F1827" s="16" t="str">
        <f>IF(B1827="","",IFERROR(INDEX(Client_List!$J:$J,MATCH(B1827,Client_List!$B:$B,0)),""))</f>
        <v/>
      </c>
      <c r="G1827" s="16"/>
      <c r="H1827" s="16" t="str">
        <f>IF(B1827="","",IFERROR(A1827-LOOKUP(2,1/($B$4:$B1826=B1827),$A$4:$A1826),""))</f>
        <v/>
      </c>
      <c r="I1827" s="16" t="str">
        <f t="shared" si="28"/>
        <v/>
      </c>
      <c r="J1827" s="16"/>
      <c r="K1827" s="6" t="str">
        <f>IF(B1827="","",IFERROR(AVERAGEIFS($I$4:$I1827,$B$4:$B1827,B1827,$I$4:$I1827,"&gt;"&amp;0),""))</f>
        <v/>
      </c>
      <c r="L1827" s="16" t="str">
        <f>IF(B1827="","",IF(ISNA(MATCH(B1827,Client_List!$B:$B,0)),"⚠ NOT FOUND","✓"))</f>
        <v/>
      </c>
    </row>
    <row r="1828" spans="1:12" ht="14" customHeight="1" x14ac:dyDescent="0.2">
      <c r="A1828" s="59"/>
      <c r="B1828" s="18"/>
      <c r="C1828" s="19" t="str">
        <f>IF(B1828="","",IFERROR(INDEX(Client_List!$C:$C,MATCH(B1828,Client_List!$B:$B,0)),""))</f>
        <v/>
      </c>
      <c r="D1828" s="19" t="str">
        <f>IF(B1828="","",IFERROR(INDEX(Client_List!$D:$D,MATCH(B1828,Client_List!$B:$B,0)),""))</f>
        <v/>
      </c>
      <c r="E1828" s="19" t="str">
        <f>IF(B1828="","",IFERROR(INDEX(Client_List!$K:$K,MATCH(B1828,Client_List!$B:$B,0)),""))</f>
        <v/>
      </c>
      <c r="F1828" s="19" t="str">
        <f>IF(B1828="","",IFERROR(INDEX(Client_List!$J:$J,MATCH(B1828,Client_List!$B:$B,0)),""))</f>
        <v/>
      </c>
      <c r="G1828" s="19"/>
      <c r="H1828" s="19" t="str">
        <f>IF(B1828="","",IFERROR(A1828-LOOKUP(2,1/($B$4:$B1827=B1828),$A$4:$A1827),""))</f>
        <v/>
      </c>
      <c r="I1828" s="19" t="str">
        <f t="shared" si="28"/>
        <v/>
      </c>
      <c r="J1828" s="19"/>
      <c r="K1828" s="6" t="str">
        <f>IF(B1828="","",IFERROR(AVERAGEIFS($I$4:$I1828,$B$4:$B1828,B1828,$I$4:$I1828,"&gt;"&amp;0),""))</f>
        <v/>
      </c>
      <c r="L1828" s="19" t="str">
        <f>IF(B1828="","",IF(ISNA(MATCH(B1828,Client_List!$B:$B,0)),"⚠ NOT FOUND","✓"))</f>
        <v/>
      </c>
    </row>
    <row r="1829" spans="1:12" ht="14" customHeight="1" x14ac:dyDescent="0.2">
      <c r="A1829" s="58"/>
      <c r="B1829" s="15"/>
      <c r="C1829" s="16" t="str">
        <f>IF(B1829="","",IFERROR(INDEX(Client_List!$C:$C,MATCH(B1829,Client_List!$B:$B,0)),""))</f>
        <v/>
      </c>
      <c r="D1829" s="16" t="str">
        <f>IF(B1829="","",IFERROR(INDEX(Client_List!$D:$D,MATCH(B1829,Client_List!$B:$B,0)),""))</f>
        <v/>
      </c>
      <c r="E1829" s="16" t="str">
        <f>IF(B1829="","",IFERROR(INDEX(Client_List!$K:$K,MATCH(B1829,Client_List!$B:$B,0)),""))</f>
        <v/>
      </c>
      <c r="F1829" s="16" t="str">
        <f>IF(B1829="","",IFERROR(INDEX(Client_List!$J:$J,MATCH(B1829,Client_List!$B:$B,0)),""))</f>
        <v/>
      </c>
      <c r="G1829" s="16"/>
      <c r="H1829" s="16" t="str">
        <f>IF(B1829="","",IFERROR(A1829-LOOKUP(2,1/($B$4:$B1828=B1829),$A$4:$A1828),""))</f>
        <v/>
      </c>
      <c r="I1829" s="16" t="str">
        <f t="shared" si="28"/>
        <v/>
      </c>
      <c r="J1829" s="16"/>
      <c r="K1829" s="6" t="str">
        <f>IF(B1829="","",IFERROR(AVERAGEIFS($I$4:$I1829,$B$4:$B1829,B1829,$I$4:$I1829,"&gt;"&amp;0),""))</f>
        <v/>
      </c>
      <c r="L1829" s="16" t="str">
        <f>IF(B1829="","",IF(ISNA(MATCH(B1829,Client_List!$B:$B,0)),"⚠ NOT FOUND","✓"))</f>
        <v/>
      </c>
    </row>
    <row r="1830" spans="1:12" ht="14" customHeight="1" x14ac:dyDescent="0.2">
      <c r="A1830" s="59"/>
      <c r="B1830" s="18"/>
      <c r="C1830" s="19" t="str">
        <f>IF(B1830="","",IFERROR(INDEX(Client_List!$C:$C,MATCH(B1830,Client_List!$B:$B,0)),""))</f>
        <v/>
      </c>
      <c r="D1830" s="19" t="str">
        <f>IF(B1830="","",IFERROR(INDEX(Client_List!$D:$D,MATCH(B1830,Client_List!$B:$B,0)),""))</f>
        <v/>
      </c>
      <c r="E1830" s="19" t="str">
        <f>IF(B1830="","",IFERROR(INDEX(Client_List!$K:$K,MATCH(B1830,Client_List!$B:$B,0)),""))</f>
        <v/>
      </c>
      <c r="F1830" s="19" t="str">
        <f>IF(B1830="","",IFERROR(INDEX(Client_List!$J:$J,MATCH(B1830,Client_List!$B:$B,0)),""))</f>
        <v/>
      </c>
      <c r="G1830" s="19"/>
      <c r="H1830" s="19" t="str">
        <f>IF(B1830="","",IFERROR(A1830-LOOKUP(2,1/($B$4:$B1829=B1830),$A$4:$A1829),""))</f>
        <v/>
      </c>
      <c r="I1830" s="19" t="str">
        <f t="shared" si="28"/>
        <v/>
      </c>
      <c r="J1830" s="19"/>
      <c r="K1830" s="6" t="str">
        <f>IF(B1830="","",IFERROR(AVERAGEIFS($I$4:$I1830,$B$4:$B1830,B1830,$I$4:$I1830,"&gt;"&amp;0),""))</f>
        <v/>
      </c>
      <c r="L1830" s="19" t="str">
        <f>IF(B1830="","",IF(ISNA(MATCH(B1830,Client_List!$B:$B,0)),"⚠ NOT FOUND","✓"))</f>
        <v/>
      </c>
    </row>
    <row r="1831" spans="1:12" ht="14" customHeight="1" x14ac:dyDescent="0.2">
      <c r="A1831" s="58"/>
      <c r="B1831" s="15"/>
      <c r="C1831" s="16" t="str">
        <f>IF(B1831="","",IFERROR(INDEX(Client_List!$C:$C,MATCH(B1831,Client_List!$B:$B,0)),""))</f>
        <v/>
      </c>
      <c r="D1831" s="16" t="str">
        <f>IF(B1831="","",IFERROR(INDEX(Client_List!$D:$D,MATCH(B1831,Client_List!$B:$B,0)),""))</f>
        <v/>
      </c>
      <c r="E1831" s="16" t="str">
        <f>IF(B1831="","",IFERROR(INDEX(Client_List!$K:$K,MATCH(B1831,Client_List!$B:$B,0)),""))</f>
        <v/>
      </c>
      <c r="F1831" s="16" t="str">
        <f>IF(B1831="","",IFERROR(INDEX(Client_List!$J:$J,MATCH(B1831,Client_List!$B:$B,0)),""))</f>
        <v/>
      </c>
      <c r="G1831" s="16"/>
      <c r="H1831" s="16" t="str">
        <f>IF(B1831="","",IFERROR(A1831-LOOKUP(2,1/($B$4:$B1830=B1831),$A$4:$A1830),""))</f>
        <v/>
      </c>
      <c r="I1831" s="16" t="str">
        <f t="shared" si="28"/>
        <v/>
      </c>
      <c r="J1831" s="16"/>
      <c r="K1831" s="6" t="str">
        <f>IF(B1831="","",IFERROR(AVERAGEIFS($I$4:$I1831,$B$4:$B1831,B1831,$I$4:$I1831,"&gt;"&amp;0),""))</f>
        <v/>
      </c>
      <c r="L1831" s="16" t="str">
        <f>IF(B1831="","",IF(ISNA(MATCH(B1831,Client_List!$B:$B,0)),"⚠ NOT FOUND","✓"))</f>
        <v/>
      </c>
    </row>
    <row r="1832" spans="1:12" ht="14" customHeight="1" x14ac:dyDescent="0.2">
      <c r="A1832" s="59"/>
      <c r="B1832" s="18"/>
      <c r="C1832" s="19" t="str">
        <f>IF(B1832="","",IFERROR(INDEX(Client_List!$C:$C,MATCH(B1832,Client_List!$B:$B,0)),""))</f>
        <v/>
      </c>
      <c r="D1832" s="19" t="str">
        <f>IF(B1832="","",IFERROR(INDEX(Client_List!$D:$D,MATCH(B1832,Client_List!$B:$B,0)),""))</f>
        <v/>
      </c>
      <c r="E1832" s="19" t="str">
        <f>IF(B1832="","",IFERROR(INDEX(Client_List!$K:$K,MATCH(B1832,Client_List!$B:$B,0)),""))</f>
        <v/>
      </c>
      <c r="F1832" s="19" t="str">
        <f>IF(B1832="","",IFERROR(INDEX(Client_List!$J:$J,MATCH(B1832,Client_List!$B:$B,0)),""))</f>
        <v/>
      </c>
      <c r="G1832" s="19"/>
      <c r="H1832" s="19" t="str">
        <f>IF(B1832="","",IFERROR(A1832-LOOKUP(2,1/($B$4:$B1831=B1832),$A$4:$A1831),""))</f>
        <v/>
      </c>
      <c r="I1832" s="19" t="str">
        <f t="shared" si="28"/>
        <v/>
      </c>
      <c r="J1832" s="19"/>
      <c r="K1832" s="6" t="str">
        <f>IF(B1832="","",IFERROR(AVERAGEIFS($I$4:$I1832,$B$4:$B1832,B1832,$I$4:$I1832,"&gt;"&amp;0),""))</f>
        <v/>
      </c>
      <c r="L1832" s="19" t="str">
        <f>IF(B1832="","",IF(ISNA(MATCH(B1832,Client_List!$B:$B,0)),"⚠ NOT FOUND","✓"))</f>
        <v/>
      </c>
    </row>
    <row r="1833" spans="1:12" ht="14" customHeight="1" x14ac:dyDescent="0.2">
      <c r="A1833" s="58"/>
      <c r="B1833" s="15"/>
      <c r="C1833" s="16" t="str">
        <f>IF(B1833="","",IFERROR(INDEX(Client_List!$C:$C,MATCH(B1833,Client_List!$B:$B,0)),""))</f>
        <v/>
      </c>
      <c r="D1833" s="16" t="str">
        <f>IF(B1833="","",IFERROR(INDEX(Client_List!$D:$D,MATCH(B1833,Client_List!$B:$B,0)),""))</f>
        <v/>
      </c>
      <c r="E1833" s="16" t="str">
        <f>IF(B1833="","",IFERROR(INDEX(Client_List!$K:$K,MATCH(B1833,Client_List!$B:$B,0)),""))</f>
        <v/>
      </c>
      <c r="F1833" s="16" t="str">
        <f>IF(B1833="","",IFERROR(INDEX(Client_List!$J:$J,MATCH(B1833,Client_List!$B:$B,0)),""))</f>
        <v/>
      </c>
      <c r="G1833" s="16"/>
      <c r="H1833" s="16" t="str">
        <f>IF(B1833="","",IFERROR(A1833-LOOKUP(2,1/($B$4:$B1832=B1833),$A$4:$A1832),""))</f>
        <v/>
      </c>
      <c r="I1833" s="16" t="str">
        <f t="shared" si="28"/>
        <v/>
      </c>
      <c r="J1833" s="16"/>
      <c r="K1833" s="6" t="str">
        <f>IF(B1833="","",IFERROR(AVERAGEIFS($I$4:$I1833,$B$4:$B1833,B1833,$I$4:$I1833,"&gt;"&amp;0),""))</f>
        <v/>
      </c>
      <c r="L1833" s="16" t="str">
        <f>IF(B1833="","",IF(ISNA(MATCH(B1833,Client_List!$B:$B,0)),"⚠ NOT FOUND","✓"))</f>
        <v/>
      </c>
    </row>
    <row r="1834" spans="1:12" ht="14" customHeight="1" x14ac:dyDescent="0.2">
      <c r="A1834" s="59"/>
      <c r="B1834" s="18"/>
      <c r="C1834" s="19" t="str">
        <f>IF(B1834="","",IFERROR(INDEX(Client_List!$C:$C,MATCH(B1834,Client_List!$B:$B,0)),""))</f>
        <v/>
      </c>
      <c r="D1834" s="19" t="str">
        <f>IF(B1834="","",IFERROR(INDEX(Client_List!$D:$D,MATCH(B1834,Client_List!$B:$B,0)),""))</f>
        <v/>
      </c>
      <c r="E1834" s="19" t="str">
        <f>IF(B1834="","",IFERROR(INDEX(Client_List!$K:$K,MATCH(B1834,Client_List!$B:$B,0)),""))</f>
        <v/>
      </c>
      <c r="F1834" s="19" t="str">
        <f>IF(B1834="","",IFERROR(INDEX(Client_List!$J:$J,MATCH(B1834,Client_List!$B:$B,0)),""))</f>
        <v/>
      </c>
      <c r="G1834" s="19"/>
      <c r="H1834" s="19" t="str">
        <f>IF(B1834="","",IFERROR(A1834-LOOKUP(2,1/($B$4:$B1833=B1834),$A$4:$A1833),""))</f>
        <v/>
      </c>
      <c r="I1834" s="19" t="str">
        <f t="shared" si="28"/>
        <v/>
      </c>
      <c r="J1834" s="19"/>
      <c r="K1834" s="6" t="str">
        <f>IF(B1834="","",IFERROR(AVERAGEIFS($I$4:$I1834,$B$4:$B1834,B1834,$I$4:$I1834,"&gt;"&amp;0),""))</f>
        <v/>
      </c>
      <c r="L1834" s="19" t="str">
        <f>IF(B1834="","",IF(ISNA(MATCH(B1834,Client_List!$B:$B,0)),"⚠ NOT FOUND","✓"))</f>
        <v/>
      </c>
    </row>
    <row r="1835" spans="1:12" ht="14" customHeight="1" x14ac:dyDescent="0.2">
      <c r="A1835" s="58"/>
      <c r="B1835" s="15"/>
      <c r="C1835" s="16" t="str">
        <f>IF(B1835="","",IFERROR(INDEX(Client_List!$C:$C,MATCH(B1835,Client_List!$B:$B,0)),""))</f>
        <v/>
      </c>
      <c r="D1835" s="16" t="str">
        <f>IF(B1835="","",IFERROR(INDEX(Client_List!$D:$D,MATCH(B1835,Client_List!$B:$B,0)),""))</f>
        <v/>
      </c>
      <c r="E1835" s="16" t="str">
        <f>IF(B1835="","",IFERROR(INDEX(Client_List!$K:$K,MATCH(B1835,Client_List!$B:$B,0)),""))</f>
        <v/>
      </c>
      <c r="F1835" s="16" t="str">
        <f>IF(B1835="","",IFERROR(INDEX(Client_List!$J:$J,MATCH(B1835,Client_List!$B:$B,0)),""))</f>
        <v/>
      </c>
      <c r="G1835" s="16"/>
      <c r="H1835" s="16" t="str">
        <f>IF(B1835="","",IFERROR(A1835-LOOKUP(2,1/($B$4:$B1834=B1835),$A$4:$A1834),""))</f>
        <v/>
      </c>
      <c r="I1835" s="16" t="str">
        <f t="shared" si="28"/>
        <v/>
      </c>
      <c r="J1835" s="16"/>
      <c r="K1835" s="6" t="str">
        <f>IF(B1835="","",IFERROR(AVERAGEIFS($I$4:$I1835,$B$4:$B1835,B1835,$I$4:$I1835,"&gt;"&amp;0),""))</f>
        <v/>
      </c>
      <c r="L1835" s="16" t="str">
        <f>IF(B1835="","",IF(ISNA(MATCH(B1835,Client_List!$B:$B,0)),"⚠ NOT FOUND","✓"))</f>
        <v/>
      </c>
    </row>
    <row r="1836" spans="1:12" ht="14" customHeight="1" x14ac:dyDescent="0.2">
      <c r="A1836" s="59"/>
      <c r="B1836" s="18"/>
      <c r="C1836" s="19" t="str">
        <f>IF(B1836="","",IFERROR(INDEX(Client_List!$C:$C,MATCH(B1836,Client_List!$B:$B,0)),""))</f>
        <v/>
      </c>
      <c r="D1836" s="19" t="str">
        <f>IF(B1836="","",IFERROR(INDEX(Client_List!$D:$D,MATCH(B1836,Client_List!$B:$B,0)),""))</f>
        <v/>
      </c>
      <c r="E1836" s="19" t="str">
        <f>IF(B1836="","",IFERROR(INDEX(Client_List!$K:$K,MATCH(B1836,Client_List!$B:$B,0)),""))</f>
        <v/>
      </c>
      <c r="F1836" s="19" t="str">
        <f>IF(B1836="","",IFERROR(INDEX(Client_List!$J:$J,MATCH(B1836,Client_List!$B:$B,0)),""))</f>
        <v/>
      </c>
      <c r="G1836" s="19"/>
      <c r="H1836" s="19" t="str">
        <f>IF(B1836="","",IFERROR(A1836-LOOKUP(2,1/($B$4:$B1835=B1836),$A$4:$A1835),""))</f>
        <v/>
      </c>
      <c r="I1836" s="19" t="str">
        <f t="shared" si="28"/>
        <v/>
      </c>
      <c r="J1836" s="19"/>
      <c r="K1836" s="6" t="str">
        <f>IF(B1836="","",IFERROR(AVERAGEIFS($I$4:$I1836,$B$4:$B1836,B1836,$I$4:$I1836,"&gt;"&amp;0),""))</f>
        <v/>
      </c>
      <c r="L1836" s="19" t="str">
        <f>IF(B1836="","",IF(ISNA(MATCH(B1836,Client_List!$B:$B,0)),"⚠ NOT FOUND","✓"))</f>
        <v/>
      </c>
    </row>
    <row r="1837" spans="1:12" ht="14" customHeight="1" x14ac:dyDescent="0.2">
      <c r="A1837" s="58"/>
      <c r="B1837" s="15"/>
      <c r="C1837" s="16" t="str">
        <f>IF(B1837="","",IFERROR(INDEX(Client_List!$C:$C,MATCH(B1837,Client_List!$B:$B,0)),""))</f>
        <v/>
      </c>
      <c r="D1837" s="16" t="str">
        <f>IF(B1837="","",IFERROR(INDEX(Client_List!$D:$D,MATCH(B1837,Client_List!$B:$B,0)),""))</f>
        <v/>
      </c>
      <c r="E1837" s="16" t="str">
        <f>IF(B1837="","",IFERROR(INDEX(Client_List!$K:$K,MATCH(B1837,Client_List!$B:$B,0)),""))</f>
        <v/>
      </c>
      <c r="F1837" s="16" t="str">
        <f>IF(B1837="","",IFERROR(INDEX(Client_List!$J:$J,MATCH(B1837,Client_List!$B:$B,0)),""))</f>
        <v/>
      </c>
      <c r="G1837" s="16"/>
      <c r="H1837" s="16" t="str">
        <f>IF(B1837="","",IFERROR(A1837-LOOKUP(2,1/($B$4:$B1836=B1837),$A$4:$A1836),""))</f>
        <v/>
      </c>
      <c r="I1837" s="16" t="str">
        <f t="shared" si="28"/>
        <v/>
      </c>
      <c r="J1837" s="16"/>
      <c r="K1837" s="6" t="str">
        <f>IF(B1837="","",IFERROR(AVERAGEIFS($I$4:$I1837,$B$4:$B1837,B1837,$I$4:$I1837,"&gt;"&amp;0),""))</f>
        <v/>
      </c>
      <c r="L1837" s="16" t="str">
        <f>IF(B1837="","",IF(ISNA(MATCH(B1837,Client_List!$B:$B,0)),"⚠ NOT FOUND","✓"))</f>
        <v/>
      </c>
    </row>
    <row r="1838" spans="1:12" ht="14" customHeight="1" x14ac:dyDescent="0.2">
      <c r="A1838" s="59"/>
      <c r="B1838" s="18"/>
      <c r="C1838" s="19" t="str">
        <f>IF(B1838="","",IFERROR(INDEX(Client_List!$C:$C,MATCH(B1838,Client_List!$B:$B,0)),""))</f>
        <v/>
      </c>
      <c r="D1838" s="19" t="str">
        <f>IF(B1838="","",IFERROR(INDEX(Client_List!$D:$D,MATCH(B1838,Client_List!$B:$B,0)),""))</f>
        <v/>
      </c>
      <c r="E1838" s="19" t="str">
        <f>IF(B1838="","",IFERROR(INDEX(Client_List!$K:$K,MATCH(B1838,Client_List!$B:$B,0)),""))</f>
        <v/>
      </c>
      <c r="F1838" s="19" t="str">
        <f>IF(B1838="","",IFERROR(INDEX(Client_List!$J:$J,MATCH(B1838,Client_List!$B:$B,0)),""))</f>
        <v/>
      </c>
      <c r="G1838" s="19"/>
      <c r="H1838" s="19" t="str">
        <f>IF(B1838="","",IFERROR(A1838-LOOKUP(2,1/($B$4:$B1837=B1838),$A$4:$A1837),""))</f>
        <v/>
      </c>
      <c r="I1838" s="19" t="str">
        <f t="shared" si="28"/>
        <v/>
      </c>
      <c r="J1838" s="19"/>
      <c r="K1838" s="6" t="str">
        <f>IF(B1838="","",IFERROR(AVERAGEIFS($I$4:$I1838,$B$4:$B1838,B1838,$I$4:$I1838,"&gt;"&amp;0),""))</f>
        <v/>
      </c>
      <c r="L1838" s="19" t="str">
        <f>IF(B1838="","",IF(ISNA(MATCH(B1838,Client_List!$B:$B,0)),"⚠ NOT FOUND","✓"))</f>
        <v/>
      </c>
    </row>
    <row r="1839" spans="1:12" ht="14" customHeight="1" x14ac:dyDescent="0.2">
      <c r="A1839" s="58"/>
      <c r="B1839" s="15"/>
      <c r="C1839" s="16" t="str">
        <f>IF(B1839="","",IFERROR(INDEX(Client_List!$C:$C,MATCH(B1839,Client_List!$B:$B,0)),""))</f>
        <v/>
      </c>
      <c r="D1839" s="16" t="str">
        <f>IF(B1839="","",IFERROR(INDEX(Client_List!$D:$D,MATCH(B1839,Client_List!$B:$B,0)),""))</f>
        <v/>
      </c>
      <c r="E1839" s="16" t="str">
        <f>IF(B1839="","",IFERROR(INDEX(Client_List!$K:$K,MATCH(B1839,Client_List!$B:$B,0)),""))</f>
        <v/>
      </c>
      <c r="F1839" s="16" t="str">
        <f>IF(B1839="","",IFERROR(INDEX(Client_List!$J:$J,MATCH(B1839,Client_List!$B:$B,0)),""))</f>
        <v/>
      </c>
      <c r="G1839" s="16"/>
      <c r="H1839" s="16" t="str">
        <f>IF(B1839="","",IFERROR(A1839-LOOKUP(2,1/($B$4:$B1838=B1839),$A$4:$A1838),""))</f>
        <v/>
      </c>
      <c r="I1839" s="16" t="str">
        <f t="shared" si="28"/>
        <v/>
      </c>
      <c r="J1839" s="16"/>
      <c r="K1839" s="6" t="str">
        <f>IF(B1839="","",IFERROR(AVERAGEIFS($I$4:$I1839,$B$4:$B1839,B1839,$I$4:$I1839,"&gt;"&amp;0),""))</f>
        <v/>
      </c>
      <c r="L1839" s="16" t="str">
        <f>IF(B1839="","",IF(ISNA(MATCH(B1839,Client_List!$B:$B,0)),"⚠ NOT FOUND","✓"))</f>
        <v/>
      </c>
    </row>
    <row r="1840" spans="1:12" ht="14" customHeight="1" x14ac:dyDescent="0.2">
      <c r="A1840" s="59"/>
      <c r="B1840" s="18"/>
      <c r="C1840" s="19" t="str">
        <f>IF(B1840="","",IFERROR(INDEX(Client_List!$C:$C,MATCH(B1840,Client_List!$B:$B,0)),""))</f>
        <v/>
      </c>
      <c r="D1840" s="19" t="str">
        <f>IF(B1840="","",IFERROR(INDEX(Client_List!$D:$D,MATCH(B1840,Client_List!$B:$B,0)),""))</f>
        <v/>
      </c>
      <c r="E1840" s="19" t="str">
        <f>IF(B1840="","",IFERROR(INDEX(Client_List!$K:$K,MATCH(B1840,Client_List!$B:$B,0)),""))</f>
        <v/>
      </c>
      <c r="F1840" s="19" t="str">
        <f>IF(B1840="","",IFERROR(INDEX(Client_List!$J:$J,MATCH(B1840,Client_List!$B:$B,0)),""))</f>
        <v/>
      </c>
      <c r="G1840" s="19"/>
      <c r="H1840" s="19" t="str">
        <f>IF(B1840="","",IFERROR(A1840-LOOKUP(2,1/($B$4:$B1839=B1840),$A$4:$A1839),""))</f>
        <v/>
      </c>
      <c r="I1840" s="19" t="str">
        <f t="shared" si="28"/>
        <v/>
      </c>
      <c r="J1840" s="19"/>
      <c r="K1840" s="6" t="str">
        <f>IF(B1840="","",IFERROR(AVERAGEIFS($I$4:$I1840,$B$4:$B1840,B1840,$I$4:$I1840,"&gt;"&amp;0),""))</f>
        <v/>
      </c>
      <c r="L1840" s="19" t="str">
        <f>IF(B1840="","",IF(ISNA(MATCH(B1840,Client_List!$B:$B,0)),"⚠ NOT FOUND","✓"))</f>
        <v/>
      </c>
    </row>
    <row r="1841" spans="1:12" ht="14" customHeight="1" x14ac:dyDescent="0.2">
      <c r="A1841" s="58"/>
      <c r="B1841" s="15"/>
      <c r="C1841" s="16" t="str">
        <f>IF(B1841="","",IFERROR(INDEX(Client_List!$C:$C,MATCH(B1841,Client_List!$B:$B,0)),""))</f>
        <v/>
      </c>
      <c r="D1841" s="16" t="str">
        <f>IF(B1841="","",IFERROR(INDEX(Client_List!$D:$D,MATCH(B1841,Client_List!$B:$B,0)),""))</f>
        <v/>
      </c>
      <c r="E1841" s="16" t="str">
        <f>IF(B1841="","",IFERROR(INDEX(Client_List!$K:$K,MATCH(B1841,Client_List!$B:$B,0)),""))</f>
        <v/>
      </c>
      <c r="F1841" s="16" t="str">
        <f>IF(B1841="","",IFERROR(INDEX(Client_List!$J:$J,MATCH(B1841,Client_List!$B:$B,0)),""))</f>
        <v/>
      </c>
      <c r="G1841" s="16"/>
      <c r="H1841" s="16" t="str">
        <f>IF(B1841="","",IFERROR(A1841-LOOKUP(2,1/($B$4:$B1840=B1841),$A$4:$A1840),""))</f>
        <v/>
      </c>
      <c r="I1841" s="16" t="str">
        <f t="shared" si="28"/>
        <v/>
      </c>
      <c r="J1841" s="16"/>
      <c r="K1841" s="6" t="str">
        <f>IF(B1841="","",IFERROR(AVERAGEIFS($I$4:$I1841,$B$4:$B1841,B1841,$I$4:$I1841,"&gt;"&amp;0),""))</f>
        <v/>
      </c>
      <c r="L1841" s="16" t="str">
        <f>IF(B1841="","",IF(ISNA(MATCH(B1841,Client_List!$B:$B,0)),"⚠ NOT FOUND","✓"))</f>
        <v/>
      </c>
    </row>
    <row r="1842" spans="1:12" ht="14" customHeight="1" x14ac:dyDescent="0.2">
      <c r="A1842" s="59"/>
      <c r="B1842" s="18"/>
      <c r="C1842" s="19" t="str">
        <f>IF(B1842="","",IFERROR(INDEX(Client_List!$C:$C,MATCH(B1842,Client_List!$B:$B,0)),""))</f>
        <v/>
      </c>
      <c r="D1842" s="19" t="str">
        <f>IF(B1842="","",IFERROR(INDEX(Client_List!$D:$D,MATCH(B1842,Client_List!$B:$B,0)),""))</f>
        <v/>
      </c>
      <c r="E1842" s="19" t="str">
        <f>IF(B1842="","",IFERROR(INDEX(Client_List!$K:$K,MATCH(B1842,Client_List!$B:$B,0)),""))</f>
        <v/>
      </c>
      <c r="F1842" s="19" t="str">
        <f>IF(B1842="","",IFERROR(INDEX(Client_List!$J:$J,MATCH(B1842,Client_List!$B:$B,0)),""))</f>
        <v/>
      </c>
      <c r="G1842" s="19"/>
      <c r="H1842" s="19" t="str">
        <f>IF(B1842="","",IFERROR(A1842-LOOKUP(2,1/($B$4:$B1841=B1842),$A$4:$A1841),""))</f>
        <v/>
      </c>
      <c r="I1842" s="19" t="str">
        <f t="shared" si="28"/>
        <v/>
      </c>
      <c r="J1842" s="19"/>
      <c r="K1842" s="6" t="str">
        <f>IF(B1842="","",IFERROR(AVERAGEIFS($I$4:$I1842,$B$4:$B1842,B1842,$I$4:$I1842,"&gt;"&amp;0),""))</f>
        <v/>
      </c>
      <c r="L1842" s="19" t="str">
        <f>IF(B1842="","",IF(ISNA(MATCH(B1842,Client_List!$B:$B,0)),"⚠ NOT FOUND","✓"))</f>
        <v/>
      </c>
    </row>
    <row r="1843" spans="1:12" ht="14" customHeight="1" x14ac:dyDescent="0.2">
      <c r="A1843" s="58"/>
      <c r="B1843" s="15"/>
      <c r="C1843" s="16" t="str">
        <f>IF(B1843="","",IFERROR(INDEX(Client_List!$C:$C,MATCH(B1843,Client_List!$B:$B,0)),""))</f>
        <v/>
      </c>
      <c r="D1843" s="16" t="str">
        <f>IF(B1843="","",IFERROR(INDEX(Client_List!$D:$D,MATCH(B1843,Client_List!$B:$B,0)),""))</f>
        <v/>
      </c>
      <c r="E1843" s="16" t="str">
        <f>IF(B1843="","",IFERROR(INDEX(Client_List!$K:$K,MATCH(B1843,Client_List!$B:$B,0)),""))</f>
        <v/>
      </c>
      <c r="F1843" s="16" t="str">
        <f>IF(B1843="","",IFERROR(INDEX(Client_List!$J:$J,MATCH(B1843,Client_List!$B:$B,0)),""))</f>
        <v/>
      </c>
      <c r="G1843" s="16"/>
      <c r="H1843" s="16" t="str">
        <f>IF(B1843="","",IFERROR(A1843-LOOKUP(2,1/($B$4:$B1842=B1843),$A$4:$A1842),""))</f>
        <v/>
      </c>
      <c r="I1843" s="16" t="str">
        <f t="shared" si="28"/>
        <v/>
      </c>
      <c r="J1843" s="16"/>
      <c r="K1843" s="6" t="str">
        <f>IF(B1843="","",IFERROR(AVERAGEIFS($I$4:$I1843,$B$4:$B1843,B1843,$I$4:$I1843,"&gt;"&amp;0),""))</f>
        <v/>
      </c>
      <c r="L1843" s="16" t="str">
        <f>IF(B1843="","",IF(ISNA(MATCH(B1843,Client_List!$B:$B,0)),"⚠ NOT FOUND","✓"))</f>
        <v/>
      </c>
    </row>
    <row r="1844" spans="1:12" ht="14" customHeight="1" x14ac:dyDescent="0.2">
      <c r="A1844" s="59"/>
      <c r="B1844" s="18"/>
      <c r="C1844" s="19" t="str">
        <f>IF(B1844="","",IFERROR(INDEX(Client_List!$C:$C,MATCH(B1844,Client_List!$B:$B,0)),""))</f>
        <v/>
      </c>
      <c r="D1844" s="19" t="str">
        <f>IF(B1844="","",IFERROR(INDEX(Client_List!$D:$D,MATCH(B1844,Client_List!$B:$B,0)),""))</f>
        <v/>
      </c>
      <c r="E1844" s="19" t="str">
        <f>IF(B1844="","",IFERROR(INDEX(Client_List!$K:$K,MATCH(B1844,Client_List!$B:$B,0)),""))</f>
        <v/>
      </c>
      <c r="F1844" s="19" t="str">
        <f>IF(B1844="","",IFERROR(INDEX(Client_List!$J:$J,MATCH(B1844,Client_List!$B:$B,0)),""))</f>
        <v/>
      </c>
      <c r="G1844" s="19"/>
      <c r="H1844" s="19" t="str">
        <f>IF(B1844="","",IFERROR(A1844-LOOKUP(2,1/($B$4:$B1843=B1844),$A$4:$A1843),""))</f>
        <v/>
      </c>
      <c r="I1844" s="19" t="str">
        <f t="shared" si="28"/>
        <v/>
      </c>
      <c r="J1844" s="19"/>
      <c r="K1844" s="6" t="str">
        <f>IF(B1844="","",IFERROR(AVERAGEIFS($I$4:$I1844,$B$4:$B1844,B1844,$I$4:$I1844,"&gt;"&amp;0),""))</f>
        <v/>
      </c>
      <c r="L1844" s="19" t="str">
        <f>IF(B1844="","",IF(ISNA(MATCH(B1844,Client_List!$B:$B,0)),"⚠ NOT FOUND","✓"))</f>
        <v/>
      </c>
    </row>
    <row r="1845" spans="1:12" ht="14" customHeight="1" x14ac:dyDescent="0.2">
      <c r="A1845" s="58"/>
      <c r="B1845" s="15"/>
      <c r="C1845" s="16" t="str">
        <f>IF(B1845="","",IFERROR(INDEX(Client_List!$C:$C,MATCH(B1845,Client_List!$B:$B,0)),""))</f>
        <v/>
      </c>
      <c r="D1845" s="16" t="str">
        <f>IF(B1845="","",IFERROR(INDEX(Client_List!$D:$D,MATCH(B1845,Client_List!$B:$B,0)),""))</f>
        <v/>
      </c>
      <c r="E1845" s="16" t="str">
        <f>IF(B1845="","",IFERROR(INDEX(Client_List!$K:$K,MATCH(B1845,Client_List!$B:$B,0)),""))</f>
        <v/>
      </c>
      <c r="F1845" s="16" t="str">
        <f>IF(B1845="","",IFERROR(INDEX(Client_List!$J:$J,MATCH(B1845,Client_List!$B:$B,0)),""))</f>
        <v/>
      </c>
      <c r="G1845" s="16"/>
      <c r="H1845" s="16" t="str">
        <f>IF(B1845="","",IFERROR(A1845-LOOKUP(2,1/($B$4:$B1844=B1845),$A$4:$A1844),""))</f>
        <v/>
      </c>
      <c r="I1845" s="16" t="str">
        <f t="shared" si="28"/>
        <v/>
      </c>
      <c r="J1845" s="16"/>
      <c r="K1845" s="6" t="str">
        <f>IF(B1845="","",IFERROR(AVERAGEIFS($I$4:$I1845,$B$4:$B1845,B1845,$I$4:$I1845,"&gt;"&amp;0),""))</f>
        <v/>
      </c>
      <c r="L1845" s="16" t="str">
        <f>IF(B1845="","",IF(ISNA(MATCH(B1845,Client_List!$B:$B,0)),"⚠ NOT FOUND","✓"))</f>
        <v/>
      </c>
    </row>
    <row r="1846" spans="1:12" ht="14" customHeight="1" x14ac:dyDescent="0.2">
      <c r="A1846" s="59"/>
      <c r="B1846" s="18"/>
      <c r="C1846" s="19" t="str">
        <f>IF(B1846="","",IFERROR(INDEX(Client_List!$C:$C,MATCH(B1846,Client_List!$B:$B,0)),""))</f>
        <v/>
      </c>
      <c r="D1846" s="19" t="str">
        <f>IF(B1846="","",IFERROR(INDEX(Client_List!$D:$D,MATCH(B1846,Client_List!$B:$B,0)),""))</f>
        <v/>
      </c>
      <c r="E1846" s="19" t="str">
        <f>IF(B1846="","",IFERROR(INDEX(Client_List!$K:$K,MATCH(B1846,Client_List!$B:$B,0)),""))</f>
        <v/>
      </c>
      <c r="F1846" s="19" t="str">
        <f>IF(B1846="","",IFERROR(INDEX(Client_List!$J:$J,MATCH(B1846,Client_List!$B:$B,0)),""))</f>
        <v/>
      </c>
      <c r="G1846" s="19"/>
      <c r="H1846" s="19" t="str">
        <f>IF(B1846="","",IFERROR(A1846-LOOKUP(2,1/($B$4:$B1845=B1846),$A$4:$A1845),""))</f>
        <v/>
      </c>
      <c r="I1846" s="19" t="str">
        <f t="shared" si="28"/>
        <v/>
      </c>
      <c r="J1846" s="19"/>
      <c r="K1846" s="6" t="str">
        <f>IF(B1846="","",IFERROR(AVERAGEIFS($I$4:$I1846,$B$4:$B1846,B1846,$I$4:$I1846,"&gt;"&amp;0),""))</f>
        <v/>
      </c>
      <c r="L1846" s="19" t="str">
        <f>IF(B1846="","",IF(ISNA(MATCH(B1846,Client_List!$B:$B,0)),"⚠ NOT FOUND","✓"))</f>
        <v/>
      </c>
    </row>
    <row r="1847" spans="1:12" ht="14" customHeight="1" x14ac:dyDescent="0.2">
      <c r="A1847" s="58"/>
      <c r="B1847" s="15"/>
      <c r="C1847" s="16" t="str">
        <f>IF(B1847="","",IFERROR(INDEX(Client_List!$C:$C,MATCH(B1847,Client_List!$B:$B,0)),""))</f>
        <v/>
      </c>
      <c r="D1847" s="16" t="str">
        <f>IF(B1847="","",IFERROR(INDEX(Client_List!$D:$D,MATCH(B1847,Client_List!$B:$B,0)),""))</f>
        <v/>
      </c>
      <c r="E1847" s="16" t="str">
        <f>IF(B1847="","",IFERROR(INDEX(Client_List!$K:$K,MATCH(B1847,Client_List!$B:$B,0)),""))</f>
        <v/>
      </c>
      <c r="F1847" s="16" t="str">
        <f>IF(B1847="","",IFERROR(INDEX(Client_List!$J:$J,MATCH(B1847,Client_List!$B:$B,0)),""))</f>
        <v/>
      </c>
      <c r="G1847" s="16"/>
      <c r="H1847" s="16" t="str">
        <f>IF(B1847="","",IFERROR(A1847-LOOKUP(2,1/($B$4:$B1846=B1847),$A$4:$A1846),""))</f>
        <v/>
      </c>
      <c r="I1847" s="16" t="str">
        <f t="shared" si="28"/>
        <v/>
      </c>
      <c r="J1847" s="16"/>
      <c r="K1847" s="6" t="str">
        <f>IF(B1847="","",IFERROR(AVERAGEIFS($I$4:$I1847,$B$4:$B1847,B1847,$I$4:$I1847,"&gt;"&amp;0),""))</f>
        <v/>
      </c>
      <c r="L1847" s="16" t="str">
        <f>IF(B1847="","",IF(ISNA(MATCH(B1847,Client_List!$B:$B,0)),"⚠ NOT FOUND","✓"))</f>
        <v/>
      </c>
    </row>
    <row r="1848" spans="1:12" ht="14" customHeight="1" x14ac:dyDescent="0.2">
      <c r="A1848" s="59"/>
      <c r="B1848" s="18"/>
      <c r="C1848" s="19" t="str">
        <f>IF(B1848="","",IFERROR(INDEX(Client_List!$C:$C,MATCH(B1848,Client_List!$B:$B,0)),""))</f>
        <v/>
      </c>
      <c r="D1848" s="19" t="str">
        <f>IF(B1848="","",IFERROR(INDEX(Client_List!$D:$D,MATCH(B1848,Client_List!$B:$B,0)),""))</f>
        <v/>
      </c>
      <c r="E1848" s="19" t="str">
        <f>IF(B1848="","",IFERROR(INDEX(Client_List!$K:$K,MATCH(B1848,Client_List!$B:$B,0)),""))</f>
        <v/>
      </c>
      <c r="F1848" s="19" t="str">
        <f>IF(B1848="","",IFERROR(INDEX(Client_List!$J:$J,MATCH(B1848,Client_List!$B:$B,0)),""))</f>
        <v/>
      </c>
      <c r="G1848" s="19"/>
      <c r="H1848" s="19" t="str">
        <f>IF(B1848="","",IFERROR(A1848-LOOKUP(2,1/($B$4:$B1847=B1848),$A$4:$A1847),""))</f>
        <v/>
      </c>
      <c r="I1848" s="19" t="str">
        <f t="shared" si="28"/>
        <v/>
      </c>
      <c r="J1848" s="19"/>
      <c r="K1848" s="6" t="str">
        <f>IF(B1848="","",IFERROR(AVERAGEIFS($I$4:$I1848,$B$4:$B1848,B1848,$I$4:$I1848,"&gt;"&amp;0),""))</f>
        <v/>
      </c>
      <c r="L1848" s="19" t="str">
        <f>IF(B1848="","",IF(ISNA(MATCH(B1848,Client_List!$B:$B,0)),"⚠ NOT FOUND","✓"))</f>
        <v/>
      </c>
    </row>
    <row r="1849" spans="1:12" ht="14" customHeight="1" x14ac:dyDescent="0.2">
      <c r="A1849" s="58"/>
      <c r="B1849" s="15"/>
      <c r="C1849" s="16" t="str">
        <f>IF(B1849="","",IFERROR(INDEX(Client_List!$C:$C,MATCH(B1849,Client_List!$B:$B,0)),""))</f>
        <v/>
      </c>
      <c r="D1849" s="16" t="str">
        <f>IF(B1849="","",IFERROR(INDEX(Client_List!$D:$D,MATCH(B1849,Client_List!$B:$B,0)),""))</f>
        <v/>
      </c>
      <c r="E1849" s="16" t="str">
        <f>IF(B1849="","",IFERROR(INDEX(Client_List!$K:$K,MATCH(B1849,Client_List!$B:$B,0)),""))</f>
        <v/>
      </c>
      <c r="F1849" s="16" t="str">
        <f>IF(B1849="","",IFERROR(INDEX(Client_List!$J:$J,MATCH(B1849,Client_List!$B:$B,0)),""))</f>
        <v/>
      </c>
      <c r="G1849" s="16"/>
      <c r="H1849" s="16" t="str">
        <f>IF(B1849="","",IFERROR(A1849-LOOKUP(2,1/($B$4:$B1848=B1849),$A$4:$A1848),""))</f>
        <v/>
      </c>
      <c r="I1849" s="16" t="str">
        <f t="shared" si="28"/>
        <v/>
      </c>
      <c r="J1849" s="16"/>
      <c r="K1849" s="6" t="str">
        <f>IF(B1849="","",IFERROR(AVERAGEIFS($I$4:$I1849,$B$4:$B1849,B1849,$I$4:$I1849,"&gt;"&amp;0),""))</f>
        <v/>
      </c>
      <c r="L1849" s="16" t="str">
        <f>IF(B1849="","",IF(ISNA(MATCH(B1849,Client_List!$B:$B,0)),"⚠ NOT FOUND","✓"))</f>
        <v/>
      </c>
    </row>
    <row r="1850" spans="1:12" ht="14" customHeight="1" x14ac:dyDescent="0.2">
      <c r="A1850" s="59"/>
      <c r="B1850" s="18"/>
      <c r="C1850" s="19" t="str">
        <f>IF(B1850="","",IFERROR(INDEX(Client_List!$C:$C,MATCH(B1850,Client_List!$B:$B,0)),""))</f>
        <v/>
      </c>
      <c r="D1850" s="19" t="str">
        <f>IF(B1850="","",IFERROR(INDEX(Client_List!$D:$D,MATCH(B1850,Client_List!$B:$B,0)),""))</f>
        <v/>
      </c>
      <c r="E1850" s="19" t="str">
        <f>IF(B1850="","",IFERROR(INDEX(Client_List!$K:$K,MATCH(B1850,Client_List!$B:$B,0)),""))</f>
        <v/>
      </c>
      <c r="F1850" s="19" t="str">
        <f>IF(B1850="","",IFERROR(INDEX(Client_List!$J:$J,MATCH(B1850,Client_List!$B:$B,0)),""))</f>
        <v/>
      </c>
      <c r="G1850" s="19"/>
      <c r="H1850" s="19" t="str">
        <f>IF(B1850="","",IFERROR(A1850-LOOKUP(2,1/($B$4:$B1849=B1850),$A$4:$A1849),""))</f>
        <v/>
      </c>
      <c r="I1850" s="19" t="str">
        <f t="shared" si="28"/>
        <v/>
      </c>
      <c r="J1850" s="19"/>
      <c r="K1850" s="6" t="str">
        <f>IF(B1850="","",IFERROR(AVERAGEIFS($I$4:$I1850,$B$4:$B1850,B1850,$I$4:$I1850,"&gt;"&amp;0),""))</f>
        <v/>
      </c>
      <c r="L1850" s="19" t="str">
        <f>IF(B1850="","",IF(ISNA(MATCH(B1850,Client_List!$B:$B,0)),"⚠ NOT FOUND","✓"))</f>
        <v/>
      </c>
    </row>
    <row r="1851" spans="1:12" ht="14" customHeight="1" x14ac:dyDescent="0.2">
      <c r="A1851" s="58"/>
      <c r="B1851" s="15"/>
      <c r="C1851" s="16" t="str">
        <f>IF(B1851="","",IFERROR(INDEX(Client_List!$C:$C,MATCH(B1851,Client_List!$B:$B,0)),""))</f>
        <v/>
      </c>
      <c r="D1851" s="16" t="str">
        <f>IF(B1851="","",IFERROR(INDEX(Client_List!$D:$D,MATCH(B1851,Client_List!$B:$B,0)),""))</f>
        <v/>
      </c>
      <c r="E1851" s="16" t="str">
        <f>IF(B1851="","",IFERROR(INDEX(Client_List!$K:$K,MATCH(B1851,Client_List!$B:$B,0)),""))</f>
        <v/>
      </c>
      <c r="F1851" s="16" t="str">
        <f>IF(B1851="","",IFERROR(INDEX(Client_List!$J:$J,MATCH(B1851,Client_List!$B:$B,0)),""))</f>
        <v/>
      </c>
      <c r="G1851" s="16"/>
      <c r="H1851" s="16" t="str">
        <f>IF(B1851="","",IFERROR(A1851-LOOKUP(2,1/($B$4:$B1850=B1851),$A$4:$A1850),""))</f>
        <v/>
      </c>
      <c r="I1851" s="16" t="str">
        <f t="shared" si="28"/>
        <v/>
      </c>
      <c r="J1851" s="16"/>
      <c r="K1851" s="6" t="str">
        <f>IF(B1851="","",IFERROR(AVERAGEIFS($I$4:$I1851,$B$4:$B1851,B1851,$I$4:$I1851,"&gt;"&amp;0),""))</f>
        <v/>
      </c>
      <c r="L1851" s="16" t="str">
        <f>IF(B1851="","",IF(ISNA(MATCH(B1851,Client_List!$B:$B,0)),"⚠ NOT FOUND","✓"))</f>
        <v/>
      </c>
    </row>
    <row r="1852" spans="1:12" ht="14" customHeight="1" x14ac:dyDescent="0.2">
      <c r="A1852" s="59"/>
      <c r="B1852" s="18"/>
      <c r="C1852" s="19" t="str">
        <f>IF(B1852="","",IFERROR(INDEX(Client_List!$C:$C,MATCH(B1852,Client_List!$B:$B,0)),""))</f>
        <v/>
      </c>
      <c r="D1852" s="19" t="str">
        <f>IF(B1852="","",IFERROR(INDEX(Client_List!$D:$D,MATCH(B1852,Client_List!$B:$B,0)),""))</f>
        <v/>
      </c>
      <c r="E1852" s="19" t="str">
        <f>IF(B1852="","",IFERROR(INDEX(Client_List!$K:$K,MATCH(B1852,Client_List!$B:$B,0)),""))</f>
        <v/>
      </c>
      <c r="F1852" s="19" t="str">
        <f>IF(B1852="","",IFERROR(INDEX(Client_List!$J:$J,MATCH(B1852,Client_List!$B:$B,0)),""))</f>
        <v/>
      </c>
      <c r="G1852" s="19"/>
      <c r="H1852" s="19" t="str">
        <f>IF(B1852="","",IFERROR(A1852-LOOKUP(2,1/($B$4:$B1851=B1852),$A$4:$A1851),""))</f>
        <v/>
      </c>
      <c r="I1852" s="19" t="str">
        <f t="shared" si="28"/>
        <v/>
      </c>
      <c r="J1852" s="19"/>
      <c r="K1852" s="6" t="str">
        <f>IF(B1852="","",IFERROR(AVERAGEIFS($I$4:$I1852,$B$4:$B1852,B1852,$I$4:$I1852,"&gt;"&amp;0),""))</f>
        <v/>
      </c>
      <c r="L1852" s="19" t="str">
        <f>IF(B1852="","",IF(ISNA(MATCH(B1852,Client_List!$B:$B,0)),"⚠ NOT FOUND","✓"))</f>
        <v/>
      </c>
    </row>
    <row r="1853" spans="1:12" ht="14" customHeight="1" x14ac:dyDescent="0.2">
      <c r="A1853" s="58"/>
      <c r="B1853" s="15"/>
      <c r="C1853" s="16" t="str">
        <f>IF(B1853="","",IFERROR(INDEX(Client_List!$C:$C,MATCH(B1853,Client_List!$B:$B,0)),""))</f>
        <v/>
      </c>
      <c r="D1853" s="16" t="str">
        <f>IF(B1853="","",IFERROR(INDEX(Client_List!$D:$D,MATCH(B1853,Client_List!$B:$B,0)),""))</f>
        <v/>
      </c>
      <c r="E1853" s="16" t="str">
        <f>IF(B1853="","",IFERROR(INDEX(Client_List!$K:$K,MATCH(B1853,Client_List!$B:$B,0)),""))</f>
        <v/>
      </c>
      <c r="F1853" s="16" t="str">
        <f>IF(B1853="","",IFERROR(INDEX(Client_List!$J:$J,MATCH(B1853,Client_List!$B:$B,0)),""))</f>
        <v/>
      </c>
      <c r="G1853" s="16"/>
      <c r="H1853" s="16" t="str">
        <f>IF(B1853="","",IFERROR(A1853-LOOKUP(2,1/($B$4:$B1852=B1853),$A$4:$A1852),""))</f>
        <v/>
      </c>
      <c r="I1853" s="16" t="str">
        <f t="shared" si="28"/>
        <v/>
      </c>
      <c r="J1853" s="16"/>
      <c r="K1853" s="6" t="str">
        <f>IF(B1853="","",IFERROR(AVERAGEIFS($I$4:$I1853,$B$4:$B1853,B1853,$I$4:$I1853,"&gt;"&amp;0),""))</f>
        <v/>
      </c>
      <c r="L1853" s="16" t="str">
        <f>IF(B1853="","",IF(ISNA(MATCH(B1853,Client_List!$B:$B,0)),"⚠ NOT FOUND","✓"))</f>
        <v/>
      </c>
    </row>
    <row r="1854" spans="1:12" ht="14" customHeight="1" x14ac:dyDescent="0.2">
      <c r="A1854" s="59"/>
      <c r="B1854" s="18"/>
      <c r="C1854" s="19" t="str">
        <f>IF(B1854="","",IFERROR(INDEX(Client_List!$C:$C,MATCH(B1854,Client_List!$B:$B,0)),""))</f>
        <v/>
      </c>
      <c r="D1854" s="19" t="str">
        <f>IF(B1854="","",IFERROR(INDEX(Client_List!$D:$D,MATCH(B1854,Client_List!$B:$B,0)),""))</f>
        <v/>
      </c>
      <c r="E1854" s="19" t="str">
        <f>IF(B1854="","",IFERROR(INDEX(Client_List!$K:$K,MATCH(B1854,Client_List!$B:$B,0)),""))</f>
        <v/>
      </c>
      <c r="F1854" s="19" t="str">
        <f>IF(B1854="","",IFERROR(INDEX(Client_List!$J:$J,MATCH(B1854,Client_List!$B:$B,0)),""))</f>
        <v/>
      </c>
      <c r="G1854" s="19"/>
      <c r="H1854" s="19" t="str">
        <f>IF(B1854="","",IFERROR(A1854-LOOKUP(2,1/($B$4:$B1853=B1854),$A$4:$A1853),""))</f>
        <v/>
      </c>
      <c r="I1854" s="19" t="str">
        <f t="shared" si="28"/>
        <v/>
      </c>
      <c r="J1854" s="19"/>
      <c r="K1854" s="6" t="str">
        <f>IF(B1854="","",IFERROR(AVERAGEIFS($I$4:$I1854,$B$4:$B1854,B1854,$I$4:$I1854,"&gt;"&amp;0),""))</f>
        <v/>
      </c>
      <c r="L1854" s="19" t="str">
        <f>IF(B1854="","",IF(ISNA(MATCH(B1854,Client_List!$B:$B,0)),"⚠ NOT FOUND","✓"))</f>
        <v/>
      </c>
    </row>
    <row r="1855" spans="1:12" ht="14" customHeight="1" x14ac:dyDescent="0.2">
      <c r="A1855" s="58"/>
      <c r="B1855" s="15"/>
      <c r="C1855" s="16" t="str">
        <f>IF(B1855="","",IFERROR(INDEX(Client_List!$C:$C,MATCH(B1855,Client_List!$B:$B,0)),""))</f>
        <v/>
      </c>
      <c r="D1855" s="16" t="str">
        <f>IF(B1855="","",IFERROR(INDEX(Client_List!$D:$D,MATCH(B1855,Client_List!$B:$B,0)),""))</f>
        <v/>
      </c>
      <c r="E1855" s="16" t="str">
        <f>IF(B1855="","",IFERROR(INDEX(Client_List!$K:$K,MATCH(B1855,Client_List!$B:$B,0)),""))</f>
        <v/>
      </c>
      <c r="F1855" s="16" t="str">
        <f>IF(B1855="","",IFERROR(INDEX(Client_List!$J:$J,MATCH(B1855,Client_List!$B:$B,0)),""))</f>
        <v/>
      </c>
      <c r="G1855" s="16"/>
      <c r="H1855" s="16" t="str">
        <f>IF(B1855="","",IFERROR(A1855-LOOKUP(2,1/($B$4:$B1854=B1855),$A$4:$A1854),""))</f>
        <v/>
      </c>
      <c r="I1855" s="16" t="str">
        <f t="shared" si="28"/>
        <v/>
      </c>
      <c r="J1855" s="16"/>
      <c r="K1855" s="6" t="str">
        <f>IF(B1855="","",IFERROR(AVERAGEIFS($I$4:$I1855,$B$4:$B1855,B1855,$I$4:$I1855,"&gt;"&amp;0),""))</f>
        <v/>
      </c>
      <c r="L1855" s="16" t="str">
        <f>IF(B1855="","",IF(ISNA(MATCH(B1855,Client_List!$B:$B,0)),"⚠ NOT FOUND","✓"))</f>
        <v/>
      </c>
    </row>
    <row r="1856" spans="1:12" ht="14" customHeight="1" x14ac:dyDescent="0.2">
      <c r="A1856" s="59"/>
      <c r="B1856" s="18"/>
      <c r="C1856" s="19" t="str">
        <f>IF(B1856="","",IFERROR(INDEX(Client_List!$C:$C,MATCH(B1856,Client_List!$B:$B,0)),""))</f>
        <v/>
      </c>
      <c r="D1856" s="19" t="str">
        <f>IF(B1856="","",IFERROR(INDEX(Client_List!$D:$D,MATCH(B1856,Client_List!$B:$B,0)),""))</f>
        <v/>
      </c>
      <c r="E1856" s="19" t="str">
        <f>IF(B1856="","",IFERROR(INDEX(Client_List!$K:$K,MATCH(B1856,Client_List!$B:$B,0)),""))</f>
        <v/>
      </c>
      <c r="F1856" s="19" t="str">
        <f>IF(B1856="","",IFERROR(INDEX(Client_List!$J:$J,MATCH(B1856,Client_List!$B:$B,0)),""))</f>
        <v/>
      </c>
      <c r="G1856" s="19"/>
      <c r="H1856" s="19" t="str">
        <f>IF(B1856="","",IFERROR(A1856-LOOKUP(2,1/($B$4:$B1855=B1856),$A$4:$A1855),""))</f>
        <v/>
      </c>
      <c r="I1856" s="19" t="str">
        <f t="shared" si="28"/>
        <v/>
      </c>
      <c r="J1856" s="19"/>
      <c r="K1856" s="6" t="str">
        <f>IF(B1856="","",IFERROR(AVERAGEIFS($I$4:$I1856,$B$4:$B1856,B1856,$I$4:$I1856,"&gt;"&amp;0),""))</f>
        <v/>
      </c>
      <c r="L1856" s="19" t="str">
        <f>IF(B1856="","",IF(ISNA(MATCH(B1856,Client_List!$B:$B,0)),"⚠ NOT FOUND","✓"))</f>
        <v/>
      </c>
    </row>
    <row r="1857" spans="1:12" ht="14" customHeight="1" x14ac:dyDescent="0.2">
      <c r="A1857" s="58"/>
      <c r="B1857" s="15"/>
      <c r="C1857" s="16" t="str">
        <f>IF(B1857="","",IFERROR(INDEX(Client_List!$C:$C,MATCH(B1857,Client_List!$B:$B,0)),""))</f>
        <v/>
      </c>
      <c r="D1857" s="16" t="str">
        <f>IF(B1857="","",IFERROR(INDEX(Client_List!$D:$D,MATCH(B1857,Client_List!$B:$B,0)),""))</f>
        <v/>
      </c>
      <c r="E1857" s="16" t="str">
        <f>IF(B1857="","",IFERROR(INDEX(Client_List!$K:$K,MATCH(B1857,Client_List!$B:$B,0)),""))</f>
        <v/>
      </c>
      <c r="F1857" s="16" t="str">
        <f>IF(B1857="","",IFERROR(INDEX(Client_List!$J:$J,MATCH(B1857,Client_List!$B:$B,0)),""))</f>
        <v/>
      </c>
      <c r="G1857" s="16"/>
      <c r="H1857" s="16" t="str">
        <f>IF(B1857="","",IFERROR(A1857-LOOKUP(2,1/($B$4:$B1856=B1857),$A$4:$A1856),""))</f>
        <v/>
      </c>
      <c r="I1857" s="16" t="str">
        <f t="shared" si="28"/>
        <v/>
      </c>
      <c r="J1857" s="16"/>
      <c r="K1857" s="6" t="str">
        <f>IF(B1857="","",IFERROR(AVERAGEIFS($I$4:$I1857,$B$4:$B1857,B1857,$I$4:$I1857,"&gt;"&amp;0),""))</f>
        <v/>
      </c>
      <c r="L1857" s="16" t="str">
        <f>IF(B1857="","",IF(ISNA(MATCH(B1857,Client_List!$B:$B,0)),"⚠ NOT FOUND","✓"))</f>
        <v/>
      </c>
    </row>
    <row r="1858" spans="1:12" ht="14" customHeight="1" x14ac:dyDescent="0.2">
      <c r="A1858" s="59"/>
      <c r="B1858" s="18"/>
      <c r="C1858" s="19" t="str">
        <f>IF(B1858="","",IFERROR(INDEX(Client_List!$C:$C,MATCH(B1858,Client_List!$B:$B,0)),""))</f>
        <v/>
      </c>
      <c r="D1858" s="19" t="str">
        <f>IF(B1858="","",IFERROR(INDEX(Client_List!$D:$D,MATCH(B1858,Client_List!$B:$B,0)),""))</f>
        <v/>
      </c>
      <c r="E1858" s="19" t="str">
        <f>IF(B1858="","",IFERROR(INDEX(Client_List!$K:$K,MATCH(B1858,Client_List!$B:$B,0)),""))</f>
        <v/>
      </c>
      <c r="F1858" s="19" t="str">
        <f>IF(B1858="","",IFERROR(INDEX(Client_List!$J:$J,MATCH(B1858,Client_List!$B:$B,0)),""))</f>
        <v/>
      </c>
      <c r="G1858" s="19"/>
      <c r="H1858" s="19" t="str">
        <f>IF(B1858="","",IFERROR(A1858-LOOKUP(2,1/($B$4:$B1857=B1858),$A$4:$A1857),""))</f>
        <v/>
      </c>
      <c r="I1858" s="19" t="str">
        <f t="shared" si="28"/>
        <v/>
      </c>
      <c r="J1858" s="19"/>
      <c r="K1858" s="6" t="str">
        <f>IF(B1858="","",IFERROR(AVERAGEIFS($I$4:$I1858,$B$4:$B1858,B1858,$I$4:$I1858,"&gt;"&amp;0),""))</f>
        <v/>
      </c>
      <c r="L1858" s="19" t="str">
        <f>IF(B1858="","",IF(ISNA(MATCH(B1858,Client_List!$B:$B,0)),"⚠ NOT FOUND","✓"))</f>
        <v/>
      </c>
    </row>
    <row r="1859" spans="1:12" ht="14" customHeight="1" x14ac:dyDescent="0.2">
      <c r="A1859" s="58"/>
      <c r="B1859" s="15"/>
      <c r="C1859" s="16" t="str">
        <f>IF(B1859="","",IFERROR(INDEX(Client_List!$C:$C,MATCH(B1859,Client_List!$B:$B,0)),""))</f>
        <v/>
      </c>
      <c r="D1859" s="16" t="str">
        <f>IF(B1859="","",IFERROR(INDEX(Client_List!$D:$D,MATCH(B1859,Client_List!$B:$B,0)),""))</f>
        <v/>
      </c>
      <c r="E1859" s="16" t="str">
        <f>IF(B1859="","",IFERROR(INDEX(Client_List!$K:$K,MATCH(B1859,Client_List!$B:$B,0)),""))</f>
        <v/>
      </c>
      <c r="F1859" s="16" t="str">
        <f>IF(B1859="","",IFERROR(INDEX(Client_List!$J:$J,MATCH(B1859,Client_List!$B:$B,0)),""))</f>
        <v/>
      </c>
      <c r="G1859" s="16"/>
      <c r="H1859" s="16" t="str">
        <f>IF(B1859="","",IFERROR(A1859-LOOKUP(2,1/($B$4:$B1858=B1859),$A$4:$A1858),""))</f>
        <v/>
      </c>
      <c r="I1859" s="16" t="str">
        <f t="shared" si="28"/>
        <v/>
      </c>
      <c r="J1859" s="16"/>
      <c r="K1859" s="6" t="str">
        <f>IF(B1859="","",IFERROR(AVERAGEIFS($I$4:$I1859,$B$4:$B1859,B1859,$I$4:$I1859,"&gt;"&amp;0),""))</f>
        <v/>
      </c>
      <c r="L1859" s="16" t="str">
        <f>IF(B1859="","",IF(ISNA(MATCH(B1859,Client_List!$B:$B,0)),"⚠ NOT FOUND","✓"))</f>
        <v/>
      </c>
    </row>
    <row r="1860" spans="1:12" ht="14" customHeight="1" x14ac:dyDescent="0.2">
      <c r="A1860" s="59"/>
      <c r="B1860" s="18"/>
      <c r="C1860" s="19" t="str">
        <f>IF(B1860="","",IFERROR(INDEX(Client_List!$C:$C,MATCH(B1860,Client_List!$B:$B,0)),""))</f>
        <v/>
      </c>
      <c r="D1860" s="19" t="str">
        <f>IF(B1860="","",IFERROR(INDEX(Client_List!$D:$D,MATCH(B1860,Client_List!$B:$B,0)),""))</f>
        <v/>
      </c>
      <c r="E1860" s="19" t="str">
        <f>IF(B1860="","",IFERROR(INDEX(Client_List!$K:$K,MATCH(B1860,Client_List!$B:$B,0)),""))</f>
        <v/>
      </c>
      <c r="F1860" s="19" t="str">
        <f>IF(B1860="","",IFERROR(INDEX(Client_List!$J:$J,MATCH(B1860,Client_List!$B:$B,0)),""))</f>
        <v/>
      </c>
      <c r="G1860" s="19"/>
      <c r="H1860" s="19" t="str">
        <f>IF(B1860="","",IFERROR(A1860-LOOKUP(2,1/($B$4:$B1859=B1860),$A$4:$A1859),""))</f>
        <v/>
      </c>
      <c r="I1860" s="19" t="str">
        <f t="shared" ref="I1860:I1923" si="29">IF(B1860="","",IFERROR(G1860/H1860,""))</f>
        <v/>
      </c>
      <c r="J1860" s="19"/>
      <c r="K1860" s="6" t="str">
        <f>IF(B1860="","",IFERROR(AVERAGEIFS($I$4:$I1860,$B$4:$B1860,B1860,$I$4:$I1860,"&gt;"&amp;0),""))</f>
        <v/>
      </c>
      <c r="L1860" s="19" t="str">
        <f>IF(B1860="","",IF(ISNA(MATCH(B1860,Client_List!$B:$B,0)),"⚠ NOT FOUND","✓"))</f>
        <v/>
      </c>
    </row>
    <row r="1861" spans="1:12" ht="14" customHeight="1" x14ac:dyDescent="0.2">
      <c r="A1861" s="58"/>
      <c r="B1861" s="15"/>
      <c r="C1861" s="16" t="str">
        <f>IF(B1861="","",IFERROR(INDEX(Client_List!$C:$C,MATCH(B1861,Client_List!$B:$B,0)),""))</f>
        <v/>
      </c>
      <c r="D1861" s="16" t="str">
        <f>IF(B1861="","",IFERROR(INDEX(Client_List!$D:$D,MATCH(B1861,Client_List!$B:$B,0)),""))</f>
        <v/>
      </c>
      <c r="E1861" s="16" t="str">
        <f>IF(B1861="","",IFERROR(INDEX(Client_List!$K:$K,MATCH(B1861,Client_List!$B:$B,0)),""))</f>
        <v/>
      </c>
      <c r="F1861" s="16" t="str">
        <f>IF(B1861="","",IFERROR(INDEX(Client_List!$J:$J,MATCH(B1861,Client_List!$B:$B,0)),""))</f>
        <v/>
      </c>
      <c r="G1861" s="16"/>
      <c r="H1861" s="16" t="str">
        <f>IF(B1861="","",IFERROR(A1861-LOOKUP(2,1/($B$4:$B1860=B1861),$A$4:$A1860),""))</f>
        <v/>
      </c>
      <c r="I1861" s="16" t="str">
        <f t="shared" si="29"/>
        <v/>
      </c>
      <c r="J1861" s="16"/>
      <c r="K1861" s="6" t="str">
        <f>IF(B1861="","",IFERROR(AVERAGEIFS($I$4:$I1861,$B$4:$B1861,B1861,$I$4:$I1861,"&gt;"&amp;0),""))</f>
        <v/>
      </c>
      <c r="L1861" s="16" t="str">
        <f>IF(B1861="","",IF(ISNA(MATCH(B1861,Client_List!$B:$B,0)),"⚠ NOT FOUND","✓"))</f>
        <v/>
      </c>
    </row>
    <row r="1862" spans="1:12" ht="14" customHeight="1" x14ac:dyDescent="0.2">
      <c r="A1862" s="59"/>
      <c r="B1862" s="18"/>
      <c r="C1862" s="19" t="str">
        <f>IF(B1862="","",IFERROR(INDEX(Client_List!$C:$C,MATCH(B1862,Client_List!$B:$B,0)),""))</f>
        <v/>
      </c>
      <c r="D1862" s="19" t="str">
        <f>IF(B1862="","",IFERROR(INDEX(Client_List!$D:$D,MATCH(B1862,Client_List!$B:$B,0)),""))</f>
        <v/>
      </c>
      <c r="E1862" s="19" t="str">
        <f>IF(B1862="","",IFERROR(INDEX(Client_List!$K:$K,MATCH(B1862,Client_List!$B:$B,0)),""))</f>
        <v/>
      </c>
      <c r="F1862" s="19" t="str">
        <f>IF(B1862="","",IFERROR(INDEX(Client_List!$J:$J,MATCH(B1862,Client_List!$B:$B,0)),""))</f>
        <v/>
      </c>
      <c r="G1862" s="19"/>
      <c r="H1862" s="19" t="str">
        <f>IF(B1862="","",IFERROR(A1862-LOOKUP(2,1/($B$4:$B1861=B1862),$A$4:$A1861),""))</f>
        <v/>
      </c>
      <c r="I1862" s="19" t="str">
        <f t="shared" si="29"/>
        <v/>
      </c>
      <c r="J1862" s="19"/>
      <c r="K1862" s="6" t="str">
        <f>IF(B1862="","",IFERROR(AVERAGEIFS($I$4:$I1862,$B$4:$B1862,B1862,$I$4:$I1862,"&gt;"&amp;0),""))</f>
        <v/>
      </c>
      <c r="L1862" s="19" t="str">
        <f>IF(B1862="","",IF(ISNA(MATCH(B1862,Client_List!$B:$B,0)),"⚠ NOT FOUND","✓"))</f>
        <v/>
      </c>
    </row>
    <row r="1863" spans="1:12" ht="14" customHeight="1" x14ac:dyDescent="0.2">
      <c r="A1863" s="58"/>
      <c r="B1863" s="15"/>
      <c r="C1863" s="16" t="str">
        <f>IF(B1863="","",IFERROR(INDEX(Client_List!$C:$C,MATCH(B1863,Client_List!$B:$B,0)),""))</f>
        <v/>
      </c>
      <c r="D1863" s="16" t="str">
        <f>IF(B1863="","",IFERROR(INDEX(Client_List!$D:$D,MATCH(B1863,Client_List!$B:$B,0)),""))</f>
        <v/>
      </c>
      <c r="E1863" s="16" t="str">
        <f>IF(B1863="","",IFERROR(INDEX(Client_List!$K:$K,MATCH(B1863,Client_List!$B:$B,0)),""))</f>
        <v/>
      </c>
      <c r="F1863" s="16" t="str">
        <f>IF(B1863="","",IFERROR(INDEX(Client_List!$J:$J,MATCH(B1863,Client_List!$B:$B,0)),""))</f>
        <v/>
      </c>
      <c r="G1863" s="16"/>
      <c r="H1863" s="16" t="str">
        <f>IF(B1863="","",IFERROR(A1863-LOOKUP(2,1/($B$4:$B1862=B1863),$A$4:$A1862),""))</f>
        <v/>
      </c>
      <c r="I1863" s="16" t="str">
        <f t="shared" si="29"/>
        <v/>
      </c>
      <c r="J1863" s="16"/>
      <c r="K1863" s="6" t="str">
        <f>IF(B1863="","",IFERROR(AVERAGEIFS($I$4:$I1863,$B$4:$B1863,B1863,$I$4:$I1863,"&gt;"&amp;0),""))</f>
        <v/>
      </c>
      <c r="L1863" s="16" t="str">
        <f>IF(B1863="","",IF(ISNA(MATCH(B1863,Client_List!$B:$B,0)),"⚠ NOT FOUND","✓"))</f>
        <v/>
      </c>
    </row>
    <row r="1864" spans="1:12" ht="14" customHeight="1" x14ac:dyDescent="0.2">
      <c r="A1864" s="59"/>
      <c r="B1864" s="18"/>
      <c r="C1864" s="19" t="str">
        <f>IF(B1864="","",IFERROR(INDEX(Client_List!$C:$C,MATCH(B1864,Client_List!$B:$B,0)),""))</f>
        <v/>
      </c>
      <c r="D1864" s="19" t="str">
        <f>IF(B1864="","",IFERROR(INDEX(Client_List!$D:$D,MATCH(B1864,Client_List!$B:$B,0)),""))</f>
        <v/>
      </c>
      <c r="E1864" s="19" t="str">
        <f>IF(B1864="","",IFERROR(INDEX(Client_List!$K:$K,MATCH(B1864,Client_List!$B:$B,0)),""))</f>
        <v/>
      </c>
      <c r="F1864" s="19" t="str">
        <f>IF(B1864="","",IFERROR(INDEX(Client_List!$J:$J,MATCH(B1864,Client_List!$B:$B,0)),""))</f>
        <v/>
      </c>
      <c r="G1864" s="19"/>
      <c r="H1864" s="19" t="str">
        <f>IF(B1864="","",IFERROR(A1864-LOOKUP(2,1/($B$4:$B1863=B1864),$A$4:$A1863),""))</f>
        <v/>
      </c>
      <c r="I1864" s="19" t="str">
        <f t="shared" si="29"/>
        <v/>
      </c>
      <c r="J1864" s="19"/>
      <c r="K1864" s="6" t="str">
        <f>IF(B1864="","",IFERROR(AVERAGEIFS($I$4:$I1864,$B$4:$B1864,B1864,$I$4:$I1864,"&gt;"&amp;0),""))</f>
        <v/>
      </c>
      <c r="L1864" s="19" t="str">
        <f>IF(B1864="","",IF(ISNA(MATCH(B1864,Client_List!$B:$B,0)),"⚠ NOT FOUND","✓"))</f>
        <v/>
      </c>
    </row>
    <row r="1865" spans="1:12" ht="14" customHeight="1" x14ac:dyDescent="0.2">
      <c r="A1865" s="58"/>
      <c r="B1865" s="15"/>
      <c r="C1865" s="16" t="str">
        <f>IF(B1865="","",IFERROR(INDEX(Client_List!$C:$C,MATCH(B1865,Client_List!$B:$B,0)),""))</f>
        <v/>
      </c>
      <c r="D1865" s="16" t="str">
        <f>IF(B1865="","",IFERROR(INDEX(Client_List!$D:$D,MATCH(B1865,Client_List!$B:$B,0)),""))</f>
        <v/>
      </c>
      <c r="E1865" s="16" t="str">
        <f>IF(B1865="","",IFERROR(INDEX(Client_List!$K:$K,MATCH(B1865,Client_List!$B:$B,0)),""))</f>
        <v/>
      </c>
      <c r="F1865" s="16" t="str">
        <f>IF(B1865="","",IFERROR(INDEX(Client_List!$J:$J,MATCH(B1865,Client_List!$B:$B,0)),""))</f>
        <v/>
      </c>
      <c r="G1865" s="16"/>
      <c r="H1865" s="16" t="str">
        <f>IF(B1865="","",IFERROR(A1865-LOOKUP(2,1/($B$4:$B1864=B1865),$A$4:$A1864),""))</f>
        <v/>
      </c>
      <c r="I1865" s="16" t="str">
        <f t="shared" si="29"/>
        <v/>
      </c>
      <c r="J1865" s="16"/>
      <c r="K1865" s="6" t="str">
        <f>IF(B1865="","",IFERROR(AVERAGEIFS($I$4:$I1865,$B$4:$B1865,B1865,$I$4:$I1865,"&gt;"&amp;0),""))</f>
        <v/>
      </c>
      <c r="L1865" s="16" t="str">
        <f>IF(B1865="","",IF(ISNA(MATCH(B1865,Client_List!$B:$B,0)),"⚠ NOT FOUND","✓"))</f>
        <v/>
      </c>
    </row>
    <row r="1866" spans="1:12" ht="14" customHeight="1" x14ac:dyDescent="0.2">
      <c r="A1866" s="59"/>
      <c r="B1866" s="18"/>
      <c r="C1866" s="19" t="str">
        <f>IF(B1866="","",IFERROR(INDEX(Client_List!$C:$C,MATCH(B1866,Client_List!$B:$B,0)),""))</f>
        <v/>
      </c>
      <c r="D1866" s="19" t="str">
        <f>IF(B1866="","",IFERROR(INDEX(Client_List!$D:$D,MATCH(B1866,Client_List!$B:$B,0)),""))</f>
        <v/>
      </c>
      <c r="E1866" s="19" t="str">
        <f>IF(B1866="","",IFERROR(INDEX(Client_List!$K:$K,MATCH(B1866,Client_List!$B:$B,0)),""))</f>
        <v/>
      </c>
      <c r="F1866" s="19" t="str">
        <f>IF(B1866="","",IFERROR(INDEX(Client_List!$J:$J,MATCH(B1866,Client_List!$B:$B,0)),""))</f>
        <v/>
      </c>
      <c r="G1866" s="19"/>
      <c r="H1866" s="19" t="str">
        <f>IF(B1866="","",IFERROR(A1866-LOOKUP(2,1/($B$4:$B1865=B1866),$A$4:$A1865),""))</f>
        <v/>
      </c>
      <c r="I1866" s="19" t="str">
        <f t="shared" si="29"/>
        <v/>
      </c>
      <c r="J1866" s="19"/>
      <c r="K1866" s="6" t="str">
        <f>IF(B1866="","",IFERROR(AVERAGEIFS($I$4:$I1866,$B$4:$B1866,B1866,$I$4:$I1866,"&gt;"&amp;0),""))</f>
        <v/>
      </c>
      <c r="L1866" s="19" t="str">
        <f>IF(B1866="","",IF(ISNA(MATCH(B1866,Client_List!$B:$B,0)),"⚠ NOT FOUND","✓"))</f>
        <v/>
      </c>
    </row>
    <row r="1867" spans="1:12" ht="14" customHeight="1" x14ac:dyDescent="0.2">
      <c r="A1867" s="58"/>
      <c r="B1867" s="15"/>
      <c r="C1867" s="16" t="str">
        <f>IF(B1867="","",IFERROR(INDEX(Client_List!$C:$C,MATCH(B1867,Client_List!$B:$B,0)),""))</f>
        <v/>
      </c>
      <c r="D1867" s="16" t="str">
        <f>IF(B1867="","",IFERROR(INDEX(Client_List!$D:$D,MATCH(B1867,Client_List!$B:$B,0)),""))</f>
        <v/>
      </c>
      <c r="E1867" s="16" t="str">
        <f>IF(B1867="","",IFERROR(INDEX(Client_List!$K:$K,MATCH(B1867,Client_List!$B:$B,0)),""))</f>
        <v/>
      </c>
      <c r="F1867" s="16" t="str">
        <f>IF(B1867="","",IFERROR(INDEX(Client_List!$J:$J,MATCH(B1867,Client_List!$B:$B,0)),""))</f>
        <v/>
      </c>
      <c r="G1867" s="16"/>
      <c r="H1867" s="16" t="str">
        <f>IF(B1867="","",IFERROR(A1867-LOOKUP(2,1/($B$4:$B1866=B1867),$A$4:$A1866),""))</f>
        <v/>
      </c>
      <c r="I1867" s="16" t="str">
        <f t="shared" si="29"/>
        <v/>
      </c>
      <c r="J1867" s="16"/>
      <c r="K1867" s="6" t="str">
        <f>IF(B1867="","",IFERROR(AVERAGEIFS($I$4:$I1867,$B$4:$B1867,B1867,$I$4:$I1867,"&gt;"&amp;0),""))</f>
        <v/>
      </c>
      <c r="L1867" s="16" t="str">
        <f>IF(B1867="","",IF(ISNA(MATCH(B1867,Client_List!$B:$B,0)),"⚠ NOT FOUND","✓"))</f>
        <v/>
      </c>
    </row>
    <row r="1868" spans="1:12" ht="14" customHeight="1" x14ac:dyDescent="0.2">
      <c r="A1868" s="59"/>
      <c r="B1868" s="18"/>
      <c r="C1868" s="19" t="str">
        <f>IF(B1868="","",IFERROR(INDEX(Client_List!$C:$C,MATCH(B1868,Client_List!$B:$B,0)),""))</f>
        <v/>
      </c>
      <c r="D1868" s="19" t="str">
        <f>IF(B1868="","",IFERROR(INDEX(Client_List!$D:$D,MATCH(B1868,Client_List!$B:$B,0)),""))</f>
        <v/>
      </c>
      <c r="E1868" s="19" t="str">
        <f>IF(B1868="","",IFERROR(INDEX(Client_List!$K:$K,MATCH(B1868,Client_List!$B:$B,0)),""))</f>
        <v/>
      </c>
      <c r="F1868" s="19" t="str">
        <f>IF(B1868="","",IFERROR(INDEX(Client_List!$J:$J,MATCH(B1868,Client_List!$B:$B,0)),""))</f>
        <v/>
      </c>
      <c r="G1868" s="19"/>
      <c r="H1868" s="19" t="str">
        <f>IF(B1868="","",IFERROR(A1868-LOOKUP(2,1/($B$4:$B1867=B1868),$A$4:$A1867),""))</f>
        <v/>
      </c>
      <c r="I1868" s="19" t="str">
        <f t="shared" si="29"/>
        <v/>
      </c>
      <c r="J1868" s="19"/>
      <c r="K1868" s="6" t="str">
        <f>IF(B1868="","",IFERROR(AVERAGEIFS($I$4:$I1868,$B$4:$B1868,B1868,$I$4:$I1868,"&gt;"&amp;0),""))</f>
        <v/>
      </c>
      <c r="L1868" s="19" t="str">
        <f>IF(B1868="","",IF(ISNA(MATCH(B1868,Client_List!$B:$B,0)),"⚠ NOT FOUND","✓"))</f>
        <v/>
      </c>
    </row>
    <row r="1869" spans="1:12" ht="14" customHeight="1" x14ac:dyDescent="0.2">
      <c r="A1869" s="58"/>
      <c r="B1869" s="15"/>
      <c r="C1869" s="16" t="str">
        <f>IF(B1869="","",IFERROR(INDEX(Client_List!$C:$C,MATCH(B1869,Client_List!$B:$B,0)),""))</f>
        <v/>
      </c>
      <c r="D1869" s="16" t="str">
        <f>IF(B1869="","",IFERROR(INDEX(Client_List!$D:$D,MATCH(B1869,Client_List!$B:$B,0)),""))</f>
        <v/>
      </c>
      <c r="E1869" s="16" t="str">
        <f>IF(B1869="","",IFERROR(INDEX(Client_List!$K:$K,MATCH(B1869,Client_List!$B:$B,0)),""))</f>
        <v/>
      </c>
      <c r="F1869" s="16" t="str">
        <f>IF(B1869="","",IFERROR(INDEX(Client_List!$J:$J,MATCH(B1869,Client_List!$B:$B,0)),""))</f>
        <v/>
      </c>
      <c r="G1869" s="16"/>
      <c r="H1869" s="16" t="str">
        <f>IF(B1869="","",IFERROR(A1869-LOOKUP(2,1/($B$4:$B1868=B1869),$A$4:$A1868),""))</f>
        <v/>
      </c>
      <c r="I1869" s="16" t="str">
        <f t="shared" si="29"/>
        <v/>
      </c>
      <c r="J1869" s="16"/>
      <c r="K1869" s="6" t="str">
        <f>IF(B1869="","",IFERROR(AVERAGEIFS($I$4:$I1869,$B$4:$B1869,B1869,$I$4:$I1869,"&gt;"&amp;0),""))</f>
        <v/>
      </c>
      <c r="L1869" s="16" t="str">
        <f>IF(B1869="","",IF(ISNA(MATCH(B1869,Client_List!$B:$B,0)),"⚠ NOT FOUND","✓"))</f>
        <v/>
      </c>
    </row>
    <row r="1870" spans="1:12" ht="14" customHeight="1" x14ac:dyDescent="0.2">
      <c r="A1870" s="59"/>
      <c r="B1870" s="18"/>
      <c r="C1870" s="19" t="str">
        <f>IF(B1870="","",IFERROR(INDEX(Client_List!$C:$C,MATCH(B1870,Client_List!$B:$B,0)),""))</f>
        <v/>
      </c>
      <c r="D1870" s="19" t="str">
        <f>IF(B1870="","",IFERROR(INDEX(Client_List!$D:$D,MATCH(B1870,Client_List!$B:$B,0)),""))</f>
        <v/>
      </c>
      <c r="E1870" s="19" t="str">
        <f>IF(B1870="","",IFERROR(INDEX(Client_List!$K:$K,MATCH(B1870,Client_List!$B:$B,0)),""))</f>
        <v/>
      </c>
      <c r="F1870" s="19" t="str">
        <f>IF(B1870="","",IFERROR(INDEX(Client_List!$J:$J,MATCH(B1870,Client_List!$B:$B,0)),""))</f>
        <v/>
      </c>
      <c r="G1870" s="19"/>
      <c r="H1870" s="19" t="str">
        <f>IF(B1870="","",IFERROR(A1870-LOOKUP(2,1/($B$4:$B1869=B1870),$A$4:$A1869),""))</f>
        <v/>
      </c>
      <c r="I1870" s="19" t="str">
        <f t="shared" si="29"/>
        <v/>
      </c>
      <c r="J1870" s="19"/>
      <c r="K1870" s="6" t="str">
        <f>IF(B1870="","",IFERROR(AVERAGEIFS($I$4:$I1870,$B$4:$B1870,B1870,$I$4:$I1870,"&gt;"&amp;0),""))</f>
        <v/>
      </c>
      <c r="L1870" s="19" t="str">
        <f>IF(B1870="","",IF(ISNA(MATCH(B1870,Client_List!$B:$B,0)),"⚠ NOT FOUND","✓"))</f>
        <v/>
      </c>
    </row>
    <row r="1871" spans="1:12" ht="14" customHeight="1" x14ac:dyDescent="0.2">
      <c r="A1871" s="58"/>
      <c r="B1871" s="15"/>
      <c r="C1871" s="16" t="str">
        <f>IF(B1871="","",IFERROR(INDEX(Client_List!$C:$C,MATCH(B1871,Client_List!$B:$B,0)),""))</f>
        <v/>
      </c>
      <c r="D1871" s="16" t="str">
        <f>IF(B1871="","",IFERROR(INDEX(Client_List!$D:$D,MATCH(B1871,Client_List!$B:$B,0)),""))</f>
        <v/>
      </c>
      <c r="E1871" s="16" t="str">
        <f>IF(B1871="","",IFERROR(INDEX(Client_List!$K:$K,MATCH(B1871,Client_List!$B:$B,0)),""))</f>
        <v/>
      </c>
      <c r="F1871" s="16" t="str">
        <f>IF(B1871="","",IFERROR(INDEX(Client_List!$J:$J,MATCH(B1871,Client_List!$B:$B,0)),""))</f>
        <v/>
      </c>
      <c r="G1871" s="16"/>
      <c r="H1871" s="16" t="str">
        <f>IF(B1871="","",IFERROR(A1871-LOOKUP(2,1/($B$4:$B1870=B1871),$A$4:$A1870),""))</f>
        <v/>
      </c>
      <c r="I1871" s="16" t="str">
        <f t="shared" si="29"/>
        <v/>
      </c>
      <c r="J1871" s="16"/>
      <c r="K1871" s="6" t="str">
        <f>IF(B1871="","",IFERROR(AVERAGEIFS($I$4:$I1871,$B$4:$B1871,B1871,$I$4:$I1871,"&gt;"&amp;0),""))</f>
        <v/>
      </c>
      <c r="L1871" s="16" t="str">
        <f>IF(B1871="","",IF(ISNA(MATCH(B1871,Client_List!$B:$B,0)),"⚠ NOT FOUND","✓"))</f>
        <v/>
      </c>
    </row>
    <row r="1872" spans="1:12" ht="14" customHeight="1" x14ac:dyDescent="0.2">
      <c r="A1872" s="59"/>
      <c r="B1872" s="18"/>
      <c r="C1872" s="19" t="str">
        <f>IF(B1872="","",IFERROR(INDEX(Client_List!$C:$C,MATCH(B1872,Client_List!$B:$B,0)),""))</f>
        <v/>
      </c>
      <c r="D1872" s="19" t="str">
        <f>IF(B1872="","",IFERROR(INDEX(Client_List!$D:$D,MATCH(B1872,Client_List!$B:$B,0)),""))</f>
        <v/>
      </c>
      <c r="E1872" s="19" t="str">
        <f>IF(B1872="","",IFERROR(INDEX(Client_List!$K:$K,MATCH(B1872,Client_List!$B:$B,0)),""))</f>
        <v/>
      </c>
      <c r="F1872" s="19" t="str">
        <f>IF(B1872="","",IFERROR(INDEX(Client_List!$J:$J,MATCH(B1872,Client_List!$B:$B,0)),""))</f>
        <v/>
      </c>
      <c r="G1872" s="19"/>
      <c r="H1872" s="19" t="str">
        <f>IF(B1872="","",IFERROR(A1872-LOOKUP(2,1/($B$4:$B1871=B1872),$A$4:$A1871),""))</f>
        <v/>
      </c>
      <c r="I1872" s="19" t="str">
        <f t="shared" si="29"/>
        <v/>
      </c>
      <c r="J1872" s="19"/>
      <c r="K1872" s="6" t="str">
        <f>IF(B1872="","",IFERROR(AVERAGEIFS($I$4:$I1872,$B$4:$B1872,B1872,$I$4:$I1872,"&gt;"&amp;0),""))</f>
        <v/>
      </c>
      <c r="L1872" s="19" t="str">
        <f>IF(B1872="","",IF(ISNA(MATCH(B1872,Client_List!$B:$B,0)),"⚠ NOT FOUND","✓"))</f>
        <v/>
      </c>
    </row>
    <row r="1873" spans="1:12" ht="14" customHeight="1" x14ac:dyDescent="0.2">
      <c r="A1873" s="58"/>
      <c r="B1873" s="15"/>
      <c r="C1873" s="16" t="str">
        <f>IF(B1873="","",IFERROR(INDEX(Client_List!$C:$C,MATCH(B1873,Client_List!$B:$B,0)),""))</f>
        <v/>
      </c>
      <c r="D1873" s="16" t="str">
        <f>IF(B1873="","",IFERROR(INDEX(Client_List!$D:$D,MATCH(B1873,Client_List!$B:$B,0)),""))</f>
        <v/>
      </c>
      <c r="E1873" s="16" t="str">
        <f>IF(B1873="","",IFERROR(INDEX(Client_List!$K:$K,MATCH(B1873,Client_List!$B:$B,0)),""))</f>
        <v/>
      </c>
      <c r="F1873" s="16" t="str">
        <f>IF(B1873="","",IFERROR(INDEX(Client_List!$J:$J,MATCH(B1873,Client_List!$B:$B,0)),""))</f>
        <v/>
      </c>
      <c r="G1873" s="16"/>
      <c r="H1873" s="16" t="str">
        <f>IF(B1873="","",IFERROR(A1873-LOOKUP(2,1/($B$4:$B1872=B1873),$A$4:$A1872),""))</f>
        <v/>
      </c>
      <c r="I1873" s="16" t="str">
        <f t="shared" si="29"/>
        <v/>
      </c>
      <c r="J1873" s="16"/>
      <c r="K1873" s="6" t="str">
        <f>IF(B1873="","",IFERROR(AVERAGEIFS($I$4:$I1873,$B$4:$B1873,B1873,$I$4:$I1873,"&gt;"&amp;0),""))</f>
        <v/>
      </c>
      <c r="L1873" s="16" t="str">
        <f>IF(B1873="","",IF(ISNA(MATCH(B1873,Client_List!$B:$B,0)),"⚠ NOT FOUND","✓"))</f>
        <v/>
      </c>
    </row>
    <row r="1874" spans="1:12" ht="14" customHeight="1" x14ac:dyDescent="0.2">
      <c r="A1874" s="59"/>
      <c r="B1874" s="18"/>
      <c r="C1874" s="19" t="str">
        <f>IF(B1874="","",IFERROR(INDEX(Client_List!$C:$C,MATCH(B1874,Client_List!$B:$B,0)),""))</f>
        <v/>
      </c>
      <c r="D1874" s="19" t="str">
        <f>IF(B1874="","",IFERROR(INDEX(Client_List!$D:$D,MATCH(B1874,Client_List!$B:$B,0)),""))</f>
        <v/>
      </c>
      <c r="E1874" s="19" t="str">
        <f>IF(B1874="","",IFERROR(INDEX(Client_List!$K:$K,MATCH(B1874,Client_List!$B:$B,0)),""))</f>
        <v/>
      </c>
      <c r="F1874" s="19" t="str">
        <f>IF(B1874="","",IFERROR(INDEX(Client_List!$J:$J,MATCH(B1874,Client_List!$B:$B,0)),""))</f>
        <v/>
      </c>
      <c r="G1874" s="19"/>
      <c r="H1874" s="19" t="str">
        <f>IF(B1874="","",IFERROR(A1874-LOOKUP(2,1/($B$4:$B1873=B1874),$A$4:$A1873),""))</f>
        <v/>
      </c>
      <c r="I1874" s="19" t="str">
        <f t="shared" si="29"/>
        <v/>
      </c>
      <c r="J1874" s="19"/>
      <c r="K1874" s="6" t="str">
        <f>IF(B1874="","",IFERROR(AVERAGEIFS($I$4:$I1874,$B$4:$B1874,B1874,$I$4:$I1874,"&gt;"&amp;0),""))</f>
        <v/>
      </c>
      <c r="L1874" s="19" t="str">
        <f>IF(B1874="","",IF(ISNA(MATCH(B1874,Client_List!$B:$B,0)),"⚠ NOT FOUND","✓"))</f>
        <v/>
      </c>
    </row>
    <row r="1875" spans="1:12" ht="14" customHeight="1" x14ac:dyDescent="0.2">
      <c r="A1875" s="58"/>
      <c r="B1875" s="15"/>
      <c r="C1875" s="16" t="str">
        <f>IF(B1875="","",IFERROR(INDEX(Client_List!$C:$C,MATCH(B1875,Client_List!$B:$B,0)),""))</f>
        <v/>
      </c>
      <c r="D1875" s="16" t="str">
        <f>IF(B1875="","",IFERROR(INDEX(Client_List!$D:$D,MATCH(B1875,Client_List!$B:$B,0)),""))</f>
        <v/>
      </c>
      <c r="E1875" s="16" t="str">
        <f>IF(B1875="","",IFERROR(INDEX(Client_List!$K:$K,MATCH(B1875,Client_List!$B:$B,0)),""))</f>
        <v/>
      </c>
      <c r="F1875" s="16" t="str">
        <f>IF(B1875="","",IFERROR(INDEX(Client_List!$J:$J,MATCH(B1875,Client_List!$B:$B,0)),""))</f>
        <v/>
      </c>
      <c r="G1875" s="16"/>
      <c r="H1875" s="16" t="str">
        <f>IF(B1875="","",IFERROR(A1875-LOOKUP(2,1/($B$4:$B1874=B1875),$A$4:$A1874),""))</f>
        <v/>
      </c>
      <c r="I1875" s="16" t="str">
        <f t="shared" si="29"/>
        <v/>
      </c>
      <c r="J1875" s="16"/>
      <c r="K1875" s="6" t="str">
        <f>IF(B1875="","",IFERROR(AVERAGEIFS($I$4:$I1875,$B$4:$B1875,B1875,$I$4:$I1875,"&gt;"&amp;0),""))</f>
        <v/>
      </c>
      <c r="L1875" s="16" t="str">
        <f>IF(B1875="","",IF(ISNA(MATCH(B1875,Client_List!$B:$B,0)),"⚠ NOT FOUND","✓"))</f>
        <v/>
      </c>
    </row>
    <row r="1876" spans="1:12" ht="14" customHeight="1" x14ac:dyDescent="0.2">
      <c r="A1876" s="59"/>
      <c r="B1876" s="18"/>
      <c r="C1876" s="19" t="str">
        <f>IF(B1876="","",IFERROR(INDEX(Client_List!$C:$C,MATCH(B1876,Client_List!$B:$B,0)),""))</f>
        <v/>
      </c>
      <c r="D1876" s="19" t="str">
        <f>IF(B1876="","",IFERROR(INDEX(Client_List!$D:$D,MATCH(B1876,Client_List!$B:$B,0)),""))</f>
        <v/>
      </c>
      <c r="E1876" s="19" t="str">
        <f>IF(B1876="","",IFERROR(INDEX(Client_List!$K:$K,MATCH(B1876,Client_List!$B:$B,0)),""))</f>
        <v/>
      </c>
      <c r="F1876" s="19" t="str">
        <f>IF(B1876="","",IFERROR(INDEX(Client_List!$J:$J,MATCH(B1876,Client_List!$B:$B,0)),""))</f>
        <v/>
      </c>
      <c r="G1876" s="19"/>
      <c r="H1876" s="19" t="str">
        <f>IF(B1876="","",IFERROR(A1876-LOOKUP(2,1/($B$4:$B1875=B1876),$A$4:$A1875),""))</f>
        <v/>
      </c>
      <c r="I1876" s="19" t="str">
        <f t="shared" si="29"/>
        <v/>
      </c>
      <c r="J1876" s="19"/>
      <c r="K1876" s="6" t="str">
        <f>IF(B1876="","",IFERROR(AVERAGEIFS($I$4:$I1876,$B$4:$B1876,B1876,$I$4:$I1876,"&gt;"&amp;0),""))</f>
        <v/>
      </c>
      <c r="L1876" s="19" t="str">
        <f>IF(B1876="","",IF(ISNA(MATCH(B1876,Client_List!$B:$B,0)),"⚠ NOT FOUND","✓"))</f>
        <v/>
      </c>
    </row>
    <row r="1877" spans="1:12" ht="14" customHeight="1" x14ac:dyDescent="0.2">
      <c r="A1877" s="58"/>
      <c r="B1877" s="15"/>
      <c r="C1877" s="16" t="str">
        <f>IF(B1877="","",IFERROR(INDEX(Client_List!$C:$C,MATCH(B1877,Client_List!$B:$B,0)),""))</f>
        <v/>
      </c>
      <c r="D1877" s="16" t="str">
        <f>IF(B1877="","",IFERROR(INDEX(Client_List!$D:$D,MATCH(B1877,Client_List!$B:$B,0)),""))</f>
        <v/>
      </c>
      <c r="E1877" s="16" t="str">
        <f>IF(B1877="","",IFERROR(INDEX(Client_List!$K:$K,MATCH(B1877,Client_List!$B:$B,0)),""))</f>
        <v/>
      </c>
      <c r="F1877" s="16" t="str">
        <f>IF(B1877="","",IFERROR(INDEX(Client_List!$J:$J,MATCH(B1877,Client_List!$B:$B,0)),""))</f>
        <v/>
      </c>
      <c r="G1877" s="16"/>
      <c r="H1877" s="16" t="str">
        <f>IF(B1877="","",IFERROR(A1877-LOOKUP(2,1/($B$4:$B1876=B1877),$A$4:$A1876),""))</f>
        <v/>
      </c>
      <c r="I1877" s="16" t="str">
        <f t="shared" si="29"/>
        <v/>
      </c>
      <c r="J1877" s="16"/>
      <c r="K1877" s="6" t="str">
        <f>IF(B1877="","",IFERROR(AVERAGEIFS($I$4:$I1877,$B$4:$B1877,B1877,$I$4:$I1877,"&gt;"&amp;0),""))</f>
        <v/>
      </c>
      <c r="L1877" s="16" t="str">
        <f>IF(B1877="","",IF(ISNA(MATCH(B1877,Client_List!$B:$B,0)),"⚠ NOT FOUND","✓"))</f>
        <v/>
      </c>
    </row>
    <row r="1878" spans="1:12" ht="14" customHeight="1" x14ac:dyDescent="0.2">
      <c r="A1878" s="59"/>
      <c r="B1878" s="18"/>
      <c r="C1878" s="19" t="str">
        <f>IF(B1878="","",IFERROR(INDEX(Client_List!$C:$C,MATCH(B1878,Client_List!$B:$B,0)),""))</f>
        <v/>
      </c>
      <c r="D1878" s="19" t="str">
        <f>IF(B1878="","",IFERROR(INDEX(Client_List!$D:$D,MATCH(B1878,Client_List!$B:$B,0)),""))</f>
        <v/>
      </c>
      <c r="E1878" s="19" t="str">
        <f>IF(B1878="","",IFERROR(INDEX(Client_List!$K:$K,MATCH(B1878,Client_List!$B:$B,0)),""))</f>
        <v/>
      </c>
      <c r="F1878" s="19" t="str">
        <f>IF(B1878="","",IFERROR(INDEX(Client_List!$J:$J,MATCH(B1878,Client_List!$B:$B,0)),""))</f>
        <v/>
      </c>
      <c r="G1878" s="19"/>
      <c r="H1878" s="19" t="str">
        <f>IF(B1878="","",IFERROR(A1878-LOOKUP(2,1/($B$4:$B1877=B1878),$A$4:$A1877),""))</f>
        <v/>
      </c>
      <c r="I1878" s="19" t="str">
        <f t="shared" si="29"/>
        <v/>
      </c>
      <c r="J1878" s="19"/>
      <c r="K1878" s="6" t="str">
        <f>IF(B1878="","",IFERROR(AVERAGEIFS($I$4:$I1878,$B$4:$B1878,B1878,$I$4:$I1878,"&gt;"&amp;0),""))</f>
        <v/>
      </c>
      <c r="L1878" s="19" t="str">
        <f>IF(B1878="","",IF(ISNA(MATCH(B1878,Client_List!$B:$B,0)),"⚠ NOT FOUND","✓"))</f>
        <v/>
      </c>
    </row>
    <row r="1879" spans="1:12" ht="14" customHeight="1" x14ac:dyDescent="0.2">
      <c r="A1879" s="58"/>
      <c r="B1879" s="15"/>
      <c r="C1879" s="16" t="str">
        <f>IF(B1879="","",IFERROR(INDEX(Client_List!$C:$C,MATCH(B1879,Client_List!$B:$B,0)),""))</f>
        <v/>
      </c>
      <c r="D1879" s="16" t="str">
        <f>IF(B1879="","",IFERROR(INDEX(Client_List!$D:$D,MATCH(B1879,Client_List!$B:$B,0)),""))</f>
        <v/>
      </c>
      <c r="E1879" s="16" t="str">
        <f>IF(B1879="","",IFERROR(INDEX(Client_List!$K:$K,MATCH(B1879,Client_List!$B:$B,0)),""))</f>
        <v/>
      </c>
      <c r="F1879" s="16" t="str">
        <f>IF(B1879="","",IFERROR(INDEX(Client_List!$J:$J,MATCH(B1879,Client_List!$B:$B,0)),""))</f>
        <v/>
      </c>
      <c r="G1879" s="16"/>
      <c r="H1879" s="16" t="str">
        <f>IF(B1879="","",IFERROR(A1879-LOOKUP(2,1/($B$4:$B1878=B1879),$A$4:$A1878),""))</f>
        <v/>
      </c>
      <c r="I1879" s="16" t="str">
        <f t="shared" si="29"/>
        <v/>
      </c>
      <c r="J1879" s="16"/>
      <c r="K1879" s="6" t="str">
        <f>IF(B1879="","",IFERROR(AVERAGEIFS($I$4:$I1879,$B$4:$B1879,B1879,$I$4:$I1879,"&gt;"&amp;0),""))</f>
        <v/>
      </c>
      <c r="L1879" s="16" t="str">
        <f>IF(B1879="","",IF(ISNA(MATCH(B1879,Client_List!$B:$B,0)),"⚠ NOT FOUND","✓"))</f>
        <v/>
      </c>
    </row>
    <row r="1880" spans="1:12" ht="14" customHeight="1" x14ac:dyDescent="0.2">
      <c r="A1880" s="59"/>
      <c r="B1880" s="18"/>
      <c r="C1880" s="19" t="str">
        <f>IF(B1880="","",IFERROR(INDEX(Client_List!$C:$C,MATCH(B1880,Client_List!$B:$B,0)),""))</f>
        <v/>
      </c>
      <c r="D1880" s="19" t="str">
        <f>IF(B1880="","",IFERROR(INDEX(Client_List!$D:$D,MATCH(B1880,Client_List!$B:$B,0)),""))</f>
        <v/>
      </c>
      <c r="E1880" s="19" t="str">
        <f>IF(B1880="","",IFERROR(INDEX(Client_List!$K:$K,MATCH(B1880,Client_List!$B:$B,0)),""))</f>
        <v/>
      </c>
      <c r="F1880" s="19" t="str">
        <f>IF(B1880="","",IFERROR(INDEX(Client_List!$J:$J,MATCH(B1880,Client_List!$B:$B,0)),""))</f>
        <v/>
      </c>
      <c r="G1880" s="19"/>
      <c r="H1880" s="19" t="str">
        <f>IF(B1880="","",IFERROR(A1880-LOOKUP(2,1/($B$4:$B1879=B1880),$A$4:$A1879),""))</f>
        <v/>
      </c>
      <c r="I1880" s="19" t="str">
        <f t="shared" si="29"/>
        <v/>
      </c>
      <c r="J1880" s="19"/>
      <c r="K1880" s="6" t="str">
        <f>IF(B1880="","",IFERROR(AVERAGEIFS($I$4:$I1880,$B$4:$B1880,B1880,$I$4:$I1880,"&gt;"&amp;0),""))</f>
        <v/>
      </c>
      <c r="L1880" s="19" t="str">
        <f>IF(B1880="","",IF(ISNA(MATCH(B1880,Client_List!$B:$B,0)),"⚠ NOT FOUND","✓"))</f>
        <v/>
      </c>
    </row>
    <row r="1881" spans="1:12" ht="14" customHeight="1" x14ac:dyDescent="0.2">
      <c r="A1881" s="58"/>
      <c r="B1881" s="15"/>
      <c r="C1881" s="16" t="str">
        <f>IF(B1881="","",IFERROR(INDEX(Client_List!$C:$C,MATCH(B1881,Client_List!$B:$B,0)),""))</f>
        <v/>
      </c>
      <c r="D1881" s="16" t="str">
        <f>IF(B1881="","",IFERROR(INDEX(Client_List!$D:$D,MATCH(B1881,Client_List!$B:$B,0)),""))</f>
        <v/>
      </c>
      <c r="E1881" s="16" t="str">
        <f>IF(B1881="","",IFERROR(INDEX(Client_List!$K:$K,MATCH(B1881,Client_List!$B:$B,0)),""))</f>
        <v/>
      </c>
      <c r="F1881" s="16" t="str">
        <f>IF(B1881="","",IFERROR(INDEX(Client_List!$J:$J,MATCH(B1881,Client_List!$B:$B,0)),""))</f>
        <v/>
      </c>
      <c r="G1881" s="16"/>
      <c r="H1881" s="16" t="str">
        <f>IF(B1881="","",IFERROR(A1881-LOOKUP(2,1/($B$4:$B1880=B1881),$A$4:$A1880),""))</f>
        <v/>
      </c>
      <c r="I1881" s="16" t="str">
        <f t="shared" si="29"/>
        <v/>
      </c>
      <c r="J1881" s="16"/>
      <c r="K1881" s="6" t="str">
        <f>IF(B1881="","",IFERROR(AVERAGEIFS($I$4:$I1881,$B$4:$B1881,B1881,$I$4:$I1881,"&gt;"&amp;0),""))</f>
        <v/>
      </c>
      <c r="L1881" s="16" t="str">
        <f>IF(B1881="","",IF(ISNA(MATCH(B1881,Client_List!$B:$B,0)),"⚠ NOT FOUND","✓"))</f>
        <v/>
      </c>
    </row>
    <row r="1882" spans="1:12" ht="14" customHeight="1" x14ac:dyDescent="0.2">
      <c r="A1882" s="59"/>
      <c r="B1882" s="18"/>
      <c r="C1882" s="19" t="str">
        <f>IF(B1882="","",IFERROR(INDEX(Client_List!$C:$C,MATCH(B1882,Client_List!$B:$B,0)),""))</f>
        <v/>
      </c>
      <c r="D1882" s="19" t="str">
        <f>IF(B1882="","",IFERROR(INDEX(Client_List!$D:$D,MATCH(B1882,Client_List!$B:$B,0)),""))</f>
        <v/>
      </c>
      <c r="E1882" s="19" t="str">
        <f>IF(B1882="","",IFERROR(INDEX(Client_List!$K:$K,MATCH(B1882,Client_List!$B:$B,0)),""))</f>
        <v/>
      </c>
      <c r="F1882" s="19" t="str">
        <f>IF(B1882="","",IFERROR(INDEX(Client_List!$J:$J,MATCH(B1882,Client_List!$B:$B,0)),""))</f>
        <v/>
      </c>
      <c r="G1882" s="19"/>
      <c r="H1882" s="19" t="str">
        <f>IF(B1882="","",IFERROR(A1882-LOOKUP(2,1/($B$4:$B1881=B1882),$A$4:$A1881),""))</f>
        <v/>
      </c>
      <c r="I1882" s="19" t="str">
        <f t="shared" si="29"/>
        <v/>
      </c>
      <c r="J1882" s="19"/>
      <c r="K1882" s="6" t="str">
        <f>IF(B1882="","",IFERROR(AVERAGEIFS($I$4:$I1882,$B$4:$B1882,B1882,$I$4:$I1882,"&gt;"&amp;0),""))</f>
        <v/>
      </c>
      <c r="L1882" s="19" t="str">
        <f>IF(B1882="","",IF(ISNA(MATCH(B1882,Client_List!$B:$B,0)),"⚠ NOT FOUND","✓"))</f>
        <v/>
      </c>
    </row>
    <row r="1883" spans="1:12" ht="14" customHeight="1" x14ac:dyDescent="0.2">
      <c r="A1883" s="58"/>
      <c r="B1883" s="15"/>
      <c r="C1883" s="16" t="str">
        <f>IF(B1883="","",IFERROR(INDEX(Client_List!$C:$C,MATCH(B1883,Client_List!$B:$B,0)),""))</f>
        <v/>
      </c>
      <c r="D1883" s="16" t="str">
        <f>IF(B1883="","",IFERROR(INDEX(Client_List!$D:$D,MATCH(B1883,Client_List!$B:$B,0)),""))</f>
        <v/>
      </c>
      <c r="E1883" s="16" t="str">
        <f>IF(B1883="","",IFERROR(INDEX(Client_List!$K:$K,MATCH(B1883,Client_List!$B:$B,0)),""))</f>
        <v/>
      </c>
      <c r="F1883" s="16" t="str">
        <f>IF(B1883="","",IFERROR(INDEX(Client_List!$J:$J,MATCH(B1883,Client_List!$B:$B,0)),""))</f>
        <v/>
      </c>
      <c r="G1883" s="16"/>
      <c r="H1883" s="16" t="str">
        <f>IF(B1883="","",IFERROR(A1883-LOOKUP(2,1/($B$4:$B1882=B1883),$A$4:$A1882),""))</f>
        <v/>
      </c>
      <c r="I1883" s="16" t="str">
        <f t="shared" si="29"/>
        <v/>
      </c>
      <c r="J1883" s="16"/>
      <c r="K1883" s="6" t="str">
        <f>IF(B1883="","",IFERROR(AVERAGEIFS($I$4:$I1883,$B$4:$B1883,B1883,$I$4:$I1883,"&gt;"&amp;0),""))</f>
        <v/>
      </c>
      <c r="L1883" s="16" t="str">
        <f>IF(B1883="","",IF(ISNA(MATCH(B1883,Client_List!$B:$B,0)),"⚠ NOT FOUND","✓"))</f>
        <v/>
      </c>
    </row>
    <row r="1884" spans="1:12" ht="14" customHeight="1" x14ac:dyDescent="0.2">
      <c r="A1884" s="59"/>
      <c r="B1884" s="18"/>
      <c r="C1884" s="19" t="str">
        <f>IF(B1884="","",IFERROR(INDEX(Client_List!$C:$C,MATCH(B1884,Client_List!$B:$B,0)),""))</f>
        <v/>
      </c>
      <c r="D1884" s="19" t="str">
        <f>IF(B1884="","",IFERROR(INDEX(Client_List!$D:$D,MATCH(B1884,Client_List!$B:$B,0)),""))</f>
        <v/>
      </c>
      <c r="E1884" s="19" t="str">
        <f>IF(B1884="","",IFERROR(INDEX(Client_List!$K:$K,MATCH(B1884,Client_List!$B:$B,0)),""))</f>
        <v/>
      </c>
      <c r="F1884" s="19" t="str">
        <f>IF(B1884="","",IFERROR(INDEX(Client_List!$J:$J,MATCH(B1884,Client_List!$B:$B,0)),""))</f>
        <v/>
      </c>
      <c r="G1884" s="19"/>
      <c r="H1884" s="19" t="str">
        <f>IF(B1884="","",IFERROR(A1884-LOOKUP(2,1/($B$4:$B1883=B1884),$A$4:$A1883),""))</f>
        <v/>
      </c>
      <c r="I1884" s="19" t="str">
        <f t="shared" si="29"/>
        <v/>
      </c>
      <c r="J1884" s="19"/>
      <c r="K1884" s="6" t="str">
        <f>IF(B1884="","",IFERROR(AVERAGEIFS($I$4:$I1884,$B$4:$B1884,B1884,$I$4:$I1884,"&gt;"&amp;0),""))</f>
        <v/>
      </c>
      <c r="L1884" s="19" t="str">
        <f>IF(B1884="","",IF(ISNA(MATCH(B1884,Client_List!$B:$B,0)),"⚠ NOT FOUND","✓"))</f>
        <v/>
      </c>
    </row>
    <row r="1885" spans="1:12" ht="14" customHeight="1" x14ac:dyDescent="0.2">
      <c r="A1885" s="58"/>
      <c r="B1885" s="15"/>
      <c r="C1885" s="16" t="str">
        <f>IF(B1885="","",IFERROR(INDEX(Client_List!$C:$C,MATCH(B1885,Client_List!$B:$B,0)),""))</f>
        <v/>
      </c>
      <c r="D1885" s="16" t="str">
        <f>IF(B1885="","",IFERROR(INDEX(Client_List!$D:$D,MATCH(B1885,Client_List!$B:$B,0)),""))</f>
        <v/>
      </c>
      <c r="E1885" s="16" t="str">
        <f>IF(B1885="","",IFERROR(INDEX(Client_List!$K:$K,MATCH(B1885,Client_List!$B:$B,0)),""))</f>
        <v/>
      </c>
      <c r="F1885" s="16" t="str">
        <f>IF(B1885="","",IFERROR(INDEX(Client_List!$J:$J,MATCH(B1885,Client_List!$B:$B,0)),""))</f>
        <v/>
      </c>
      <c r="G1885" s="16"/>
      <c r="H1885" s="16" t="str">
        <f>IF(B1885="","",IFERROR(A1885-LOOKUP(2,1/($B$4:$B1884=B1885),$A$4:$A1884),""))</f>
        <v/>
      </c>
      <c r="I1885" s="16" t="str">
        <f t="shared" si="29"/>
        <v/>
      </c>
      <c r="J1885" s="16"/>
      <c r="K1885" s="6" t="str">
        <f>IF(B1885="","",IFERROR(AVERAGEIFS($I$4:$I1885,$B$4:$B1885,B1885,$I$4:$I1885,"&gt;"&amp;0),""))</f>
        <v/>
      </c>
      <c r="L1885" s="16" t="str">
        <f>IF(B1885="","",IF(ISNA(MATCH(B1885,Client_List!$B:$B,0)),"⚠ NOT FOUND","✓"))</f>
        <v/>
      </c>
    </row>
    <row r="1886" spans="1:12" ht="14" customHeight="1" x14ac:dyDescent="0.2">
      <c r="A1886" s="59"/>
      <c r="B1886" s="18"/>
      <c r="C1886" s="19" t="str">
        <f>IF(B1886="","",IFERROR(INDEX(Client_List!$C:$C,MATCH(B1886,Client_List!$B:$B,0)),""))</f>
        <v/>
      </c>
      <c r="D1886" s="19" t="str">
        <f>IF(B1886="","",IFERROR(INDEX(Client_List!$D:$D,MATCH(B1886,Client_List!$B:$B,0)),""))</f>
        <v/>
      </c>
      <c r="E1886" s="19" t="str">
        <f>IF(B1886="","",IFERROR(INDEX(Client_List!$K:$K,MATCH(B1886,Client_List!$B:$B,0)),""))</f>
        <v/>
      </c>
      <c r="F1886" s="19" t="str">
        <f>IF(B1886="","",IFERROR(INDEX(Client_List!$J:$J,MATCH(B1886,Client_List!$B:$B,0)),""))</f>
        <v/>
      </c>
      <c r="G1886" s="19"/>
      <c r="H1886" s="19" t="str">
        <f>IF(B1886="","",IFERROR(A1886-LOOKUP(2,1/($B$4:$B1885=B1886),$A$4:$A1885),""))</f>
        <v/>
      </c>
      <c r="I1886" s="19" t="str">
        <f t="shared" si="29"/>
        <v/>
      </c>
      <c r="J1886" s="19"/>
      <c r="K1886" s="6" t="str">
        <f>IF(B1886="","",IFERROR(AVERAGEIFS($I$4:$I1886,$B$4:$B1886,B1886,$I$4:$I1886,"&gt;"&amp;0),""))</f>
        <v/>
      </c>
      <c r="L1886" s="19" t="str">
        <f>IF(B1886="","",IF(ISNA(MATCH(B1886,Client_List!$B:$B,0)),"⚠ NOT FOUND","✓"))</f>
        <v/>
      </c>
    </row>
    <row r="1887" spans="1:12" ht="14" customHeight="1" x14ac:dyDescent="0.2">
      <c r="A1887" s="58"/>
      <c r="B1887" s="15"/>
      <c r="C1887" s="16" t="str">
        <f>IF(B1887="","",IFERROR(INDEX(Client_List!$C:$C,MATCH(B1887,Client_List!$B:$B,0)),""))</f>
        <v/>
      </c>
      <c r="D1887" s="16" t="str">
        <f>IF(B1887="","",IFERROR(INDEX(Client_List!$D:$D,MATCH(B1887,Client_List!$B:$B,0)),""))</f>
        <v/>
      </c>
      <c r="E1887" s="16" t="str">
        <f>IF(B1887="","",IFERROR(INDEX(Client_List!$K:$K,MATCH(B1887,Client_List!$B:$B,0)),""))</f>
        <v/>
      </c>
      <c r="F1887" s="16" t="str">
        <f>IF(B1887="","",IFERROR(INDEX(Client_List!$J:$J,MATCH(B1887,Client_List!$B:$B,0)),""))</f>
        <v/>
      </c>
      <c r="G1887" s="16"/>
      <c r="H1887" s="16" t="str">
        <f>IF(B1887="","",IFERROR(A1887-LOOKUP(2,1/($B$4:$B1886=B1887),$A$4:$A1886),""))</f>
        <v/>
      </c>
      <c r="I1887" s="16" t="str">
        <f t="shared" si="29"/>
        <v/>
      </c>
      <c r="J1887" s="16"/>
      <c r="K1887" s="6" t="str">
        <f>IF(B1887="","",IFERROR(AVERAGEIFS($I$4:$I1887,$B$4:$B1887,B1887,$I$4:$I1887,"&gt;"&amp;0),""))</f>
        <v/>
      </c>
      <c r="L1887" s="16" t="str">
        <f>IF(B1887="","",IF(ISNA(MATCH(B1887,Client_List!$B:$B,0)),"⚠ NOT FOUND","✓"))</f>
        <v/>
      </c>
    </row>
    <row r="1888" spans="1:12" ht="14" customHeight="1" x14ac:dyDescent="0.2">
      <c r="A1888" s="59"/>
      <c r="B1888" s="18"/>
      <c r="C1888" s="19" t="str">
        <f>IF(B1888="","",IFERROR(INDEX(Client_List!$C:$C,MATCH(B1888,Client_List!$B:$B,0)),""))</f>
        <v/>
      </c>
      <c r="D1888" s="19" t="str">
        <f>IF(B1888="","",IFERROR(INDEX(Client_List!$D:$D,MATCH(B1888,Client_List!$B:$B,0)),""))</f>
        <v/>
      </c>
      <c r="E1888" s="19" t="str">
        <f>IF(B1888="","",IFERROR(INDEX(Client_List!$K:$K,MATCH(B1888,Client_List!$B:$B,0)),""))</f>
        <v/>
      </c>
      <c r="F1888" s="19" t="str">
        <f>IF(B1888="","",IFERROR(INDEX(Client_List!$J:$J,MATCH(B1888,Client_List!$B:$B,0)),""))</f>
        <v/>
      </c>
      <c r="G1888" s="19"/>
      <c r="H1888" s="19" t="str">
        <f>IF(B1888="","",IFERROR(A1888-LOOKUP(2,1/($B$4:$B1887=B1888),$A$4:$A1887),""))</f>
        <v/>
      </c>
      <c r="I1888" s="19" t="str">
        <f t="shared" si="29"/>
        <v/>
      </c>
      <c r="J1888" s="19"/>
      <c r="K1888" s="6" t="str">
        <f>IF(B1888="","",IFERROR(AVERAGEIFS($I$4:$I1888,$B$4:$B1888,B1888,$I$4:$I1888,"&gt;"&amp;0),""))</f>
        <v/>
      </c>
      <c r="L1888" s="19" t="str">
        <f>IF(B1888="","",IF(ISNA(MATCH(B1888,Client_List!$B:$B,0)),"⚠ NOT FOUND","✓"))</f>
        <v/>
      </c>
    </row>
    <row r="1889" spans="1:12" ht="14" customHeight="1" x14ac:dyDescent="0.2">
      <c r="A1889" s="58"/>
      <c r="B1889" s="15"/>
      <c r="C1889" s="16" t="str">
        <f>IF(B1889="","",IFERROR(INDEX(Client_List!$C:$C,MATCH(B1889,Client_List!$B:$B,0)),""))</f>
        <v/>
      </c>
      <c r="D1889" s="16" t="str">
        <f>IF(B1889="","",IFERROR(INDEX(Client_List!$D:$D,MATCH(B1889,Client_List!$B:$B,0)),""))</f>
        <v/>
      </c>
      <c r="E1889" s="16" t="str">
        <f>IF(B1889="","",IFERROR(INDEX(Client_List!$K:$K,MATCH(B1889,Client_List!$B:$B,0)),""))</f>
        <v/>
      </c>
      <c r="F1889" s="16" t="str">
        <f>IF(B1889="","",IFERROR(INDEX(Client_List!$J:$J,MATCH(B1889,Client_List!$B:$B,0)),""))</f>
        <v/>
      </c>
      <c r="G1889" s="16"/>
      <c r="H1889" s="16" t="str">
        <f>IF(B1889="","",IFERROR(A1889-LOOKUP(2,1/($B$4:$B1888=B1889),$A$4:$A1888),""))</f>
        <v/>
      </c>
      <c r="I1889" s="16" t="str">
        <f t="shared" si="29"/>
        <v/>
      </c>
      <c r="J1889" s="16"/>
      <c r="K1889" s="6" t="str">
        <f>IF(B1889="","",IFERROR(AVERAGEIFS($I$4:$I1889,$B$4:$B1889,B1889,$I$4:$I1889,"&gt;"&amp;0),""))</f>
        <v/>
      </c>
      <c r="L1889" s="16" t="str">
        <f>IF(B1889="","",IF(ISNA(MATCH(B1889,Client_List!$B:$B,0)),"⚠ NOT FOUND","✓"))</f>
        <v/>
      </c>
    </row>
    <row r="1890" spans="1:12" ht="14" customHeight="1" x14ac:dyDescent="0.2">
      <c r="A1890" s="59"/>
      <c r="B1890" s="18"/>
      <c r="C1890" s="19" t="str">
        <f>IF(B1890="","",IFERROR(INDEX(Client_List!$C:$C,MATCH(B1890,Client_List!$B:$B,0)),""))</f>
        <v/>
      </c>
      <c r="D1890" s="19" t="str">
        <f>IF(B1890="","",IFERROR(INDEX(Client_List!$D:$D,MATCH(B1890,Client_List!$B:$B,0)),""))</f>
        <v/>
      </c>
      <c r="E1890" s="19" t="str">
        <f>IF(B1890="","",IFERROR(INDEX(Client_List!$K:$K,MATCH(B1890,Client_List!$B:$B,0)),""))</f>
        <v/>
      </c>
      <c r="F1890" s="19" t="str">
        <f>IF(B1890="","",IFERROR(INDEX(Client_List!$J:$J,MATCH(B1890,Client_List!$B:$B,0)),""))</f>
        <v/>
      </c>
      <c r="G1890" s="19"/>
      <c r="H1890" s="19" t="str">
        <f>IF(B1890="","",IFERROR(A1890-LOOKUP(2,1/($B$4:$B1889=B1890),$A$4:$A1889),""))</f>
        <v/>
      </c>
      <c r="I1890" s="19" t="str">
        <f t="shared" si="29"/>
        <v/>
      </c>
      <c r="J1890" s="19"/>
      <c r="K1890" s="6" t="str">
        <f>IF(B1890="","",IFERROR(AVERAGEIFS($I$4:$I1890,$B$4:$B1890,B1890,$I$4:$I1890,"&gt;"&amp;0),""))</f>
        <v/>
      </c>
      <c r="L1890" s="19" t="str">
        <f>IF(B1890="","",IF(ISNA(MATCH(B1890,Client_List!$B:$B,0)),"⚠ NOT FOUND","✓"))</f>
        <v/>
      </c>
    </row>
    <row r="1891" spans="1:12" ht="14" customHeight="1" x14ac:dyDescent="0.2">
      <c r="A1891" s="58"/>
      <c r="B1891" s="15"/>
      <c r="C1891" s="16" t="str">
        <f>IF(B1891="","",IFERROR(INDEX(Client_List!$C:$C,MATCH(B1891,Client_List!$B:$B,0)),""))</f>
        <v/>
      </c>
      <c r="D1891" s="16" t="str">
        <f>IF(B1891="","",IFERROR(INDEX(Client_List!$D:$D,MATCH(B1891,Client_List!$B:$B,0)),""))</f>
        <v/>
      </c>
      <c r="E1891" s="16" t="str">
        <f>IF(B1891="","",IFERROR(INDEX(Client_List!$K:$K,MATCH(B1891,Client_List!$B:$B,0)),""))</f>
        <v/>
      </c>
      <c r="F1891" s="16" t="str">
        <f>IF(B1891="","",IFERROR(INDEX(Client_List!$J:$J,MATCH(B1891,Client_List!$B:$B,0)),""))</f>
        <v/>
      </c>
      <c r="G1891" s="16"/>
      <c r="H1891" s="16" t="str">
        <f>IF(B1891="","",IFERROR(A1891-LOOKUP(2,1/($B$4:$B1890=B1891),$A$4:$A1890),""))</f>
        <v/>
      </c>
      <c r="I1891" s="16" t="str">
        <f t="shared" si="29"/>
        <v/>
      </c>
      <c r="J1891" s="16"/>
      <c r="K1891" s="6" t="str">
        <f>IF(B1891="","",IFERROR(AVERAGEIFS($I$4:$I1891,$B$4:$B1891,B1891,$I$4:$I1891,"&gt;"&amp;0),""))</f>
        <v/>
      </c>
      <c r="L1891" s="16" t="str">
        <f>IF(B1891="","",IF(ISNA(MATCH(B1891,Client_List!$B:$B,0)),"⚠ NOT FOUND","✓"))</f>
        <v/>
      </c>
    </row>
    <row r="1892" spans="1:12" ht="14" customHeight="1" x14ac:dyDescent="0.2">
      <c r="A1892" s="59"/>
      <c r="B1892" s="18"/>
      <c r="C1892" s="19" t="str">
        <f>IF(B1892="","",IFERROR(INDEX(Client_List!$C:$C,MATCH(B1892,Client_List!$B:$B,0)),""))</f>
        <v/>
      </c>
      <c r="D1892" s="19" t="str">
        <f>IF(B1892="","",IFERROR(INDEX(Client_List!$D:$D,MATCH(B1892,Client_List!$B:$B,0)),""))</f>
        <v/>
      </c>
      <c r="E1892" s="19" t="str">
        <f>IF(B1892="","",IFERROR(INDEX(Client_List!$K:$K,MATCH(B1892,Client_List!$B:$B,0)),""))</f>
        <v/>
      </c>
      <c r="F1892" s="19" t="str">
        <f>IF(B1892="","",IFERROR(INDEX(Client_List!$J:$J,MATCH(B1892,Client_List!$B:$B,0)),""))</f>
        <v/>
      </c>
      <c r="G1892" s="19"/>
      <c r="H1892" s="19" t="str">
        <f>IF(B1892="","",IFERROR(A1892-LOOKUP(2,1/($B$4:$B1891=B1892),$A$4:$A1891),""))</f>
        <v/>
      </c>
      <c r="I1892" s="19" t="str">
        <f t="shared" si="29"/>
        <v/>
      </c>
      <c r="J1892" s="19"/>
      <c r="K1892" s="6" t="str">
        <f>IF(B1892="","",IFERROR(AVERAGEIFS($I$4:$I1892,$B$4:$B1892,B1892,$I$4:$I1892,"&gt;"&amp;0),""))</f>
        <v/>
      </c>
      <c r="L1892" s="19" t="str">
        <f>IF(B1892="","",IF(ISNA(MATCH(B1892,Client_List!$B:$B,0)),"⚠ NOT FOUND","✓"))</f>
        <v/>
      </c>
    </row>
    <row r="1893" spans="1:12" ht="14" customHeight="1" x14ac:dyDescent="0.2">
      <c r="A1893" s="58"/>
      <c r="B1893" s="15"/>
      <c r="C1893" s="16" t="str">
        <f>IF(B1893="","",IFERROR(INDEX(Client_List!$C:$C,MATCH(B1893,Client_List!$B:$B,0)),""))</f>
        <v/>
      </c>
      <c r="D1893" s="16" t="str">
        <f>IF(B1893="","",IFERROR(INDEX(Client_List!$D:$D,MATCH(B1893,Client_List!$B:$B,0)),""))</f>
        <v/>
      </c>
      <c r="E1893" s="16" t="str">
        <f>IF(B1893="","",IFERROR(INDEX(Client_List!$K:$K,MATCH(B1893,Client_List!$B:$B,0)),""))</f>
        <v/>
      </c>
      <c r="F1893" s="16" t="str">
        <f>IF(B1893="","",IFERROR(INDEX(Client_List!$J:$J,MATCH(B1893,Client_List!$B:$B,0)),""))</f>
        <v/>
      </c>
      <c r="G1893" s="16"/>
      <c r="H1893" s="16" t="str">
        <f>IF(B1893="","",IFERROR(A1893-LOOKUP(2,1/($B$4:$B1892=B1893),$A$4:$A1892),""))</f>
        <v/>
      </c>
      <c r="I1893" s="16" t="str">
        <f t="shared" si="29"/>
        <v/>
      </c>
      <c r="J1893" s="16"/>
      <c r="K1893" s="6" t="str">
        <f>IF(B1893="","",IFERROR(AVERAGEIFS($I$4:$I1893,$B$4:$B1893,B1893,$I$4:$I1893,"&gt;"&amp;0),""))</f>
        <v/>
      </c>
      <c r="L1893" s="16" t="str">
        <f>IF(B1893="","",IF(ISNA(MATCH(B1893,Client_List!$B:$B,0)),"⚠ NOT FOUND","✓"))</f>
        <v/>
      </c>
    </row>
    <row r="1894" spans="1:12" ht="14" customHeight="1" x14ac:dyDescent="0.2">
      <c r="A1894" s="59"/>
      <c r="B1894" s="18"/>
      <c r="C1894" s="19" t="str">
        <f>IF(B1894="","",IFERROR(INDEX(Client_List!$C:$C,MATCH(B1894,Client_List!$B:$B,0)),""))</f>
        <v/>
      </c>
      <c r="D1894" s="19" t="str">
        <f>IF(B1894="","",IFERROR(INDEX(Client_List!$D:$D,MATCH(B1894,Client_List!$B:$B,0)),""))</f>
        <v/>
      </c>
      <c r="E1894" s="19" t="str">
        <f>IF(B1894="","",IFERROR(INDEX(Client_List!$K:$K,MATCH(B1894,Client_List!$B:$B,0)),""))</f>
        <v/>
      </c>
      <c r="F1894" s="19" t="str">
        <f>IF(B1894="","",IFERROR(INDEX(Client_List!$J:$J,MATCH(B1894,Client_List!$B:$B,0)),""))</f>
        <v/>
      </c>
      <c r="G1894" s="19"/>
      <c r="H1894" s="19" t="str">
        <f>IF(B1894="","",IFERROR(A1894-LOOKUP(2,1/($B$4:$B1893=B1894),$A$4:$A1893),""))</f>
        <v/>
      </c>
      <c r="I1894" s="19" t="str">
        <f t="shared" si="29"/>
        <v/>
      </c>
      <c r="J1894" s="19"/>
      <c r="K1894" s="6" t="str">
        <f>IF(B1894="","",IFERROR(AVERAGEIFS($I$4:$I1894,$B$4:$B1894,B1894,$I$4:$I1894,"&gt;"&amp;0),""))</f>
        <v/>
      </c>
      <c r="L1894" s="19" t="str">
        <f>IF(B1894="","",IF(ISNA(MATCH(B1894,Client_List!$B:$B,0)),"⚠ NOT FOUND","✓"))</f>
        <v/>
      </c>
    </row>
    <row r="1895" spans="1:12" ht="14" customHeight="1" x14ac:dyDescent="0.2">
      <c r="A1895" s="58"/>
      <c r="B1895" s="15"/>
      <c r="C1895" s="16" t="str">
        <f>IF(B1895="","",IFERROR(INDEX(Client_List!$C:$C,MATCH(B1895,Client_List!$B:$B,0)),""))</f>
        <v/>
      </c>
      <c r="D1895" s="16" t="str">
        <f>IF(B1895="","",IFERROR(INDEX(Client_List!$D:$D,MATCH(B1895,Client_List!$B:$B,0)),""))</f>
        <v/>
      </c>
      <c r="E1895" s="16" t="str">
        <f>IF(B1895="","",IFERROR(INDEX(Client_List!$K:$K,MATCH(B1895,Client_List!$B:$B,0)),""))</f>
        <v/>
      </c>
      <c r="F1895" s="16" t="str">
        <f>IF(B1895="","",IFERROR(INDEX(Client_List!$J:$J,MATCH(B1895,Client_List!$B:$B,0)),""))</f>
        <v/>
      </c>
      <c r="G1895" s="16"/>
      <c r="H1895" s="16" t="str">
        <f>IF(B1895="","",IFERROR(A1895-LOOKUP(2,1/($B$4:$B1894=B1895),$A$4:$A1894),""))</f>
        <v/>
      </c>
      <c r="I1895" s="16" t="str">
        <f t="shared" si="29"/>
        <v/>
      </c>
      <c r="J1895" s="16"/>
      <c r="K1895" s="6" t="str">
        <f>IF(B1895="","",IFERROR(AVERAGEIFS($I$4:$I1895,$B$4:$B1895,B1895,$I$4:$I1895,"&gt;"&amp;0),""))</f>
        <v/>
      </c>
      <c r="L1895" s="16" t="str">
        <f>IF(B1895="","",IF(ISNA(MATCH(B1895,Client_List!$B:$B,0)),"⚠ NOT FOUND","✓"))</f>
        <v/>
      </c>
    </row>
    <row r="1896" spans="1:12" ht="14" customHeight="1" x14ac:dyDescent="0.2">
      <c r="A1896" s="59"/>
      <c r="B1896" s="18"/>
      <c r="C1896" s="19" t="str">
        <f>IF(B1896="","",IFERROR(INDEX(Client_List!$C:$C,MATCH(B1896,Client_List!$B:$B,0)),""))</f>
        <v/>
      </c>
      <c r="D1896" s="19" t="str">
        <f>IF(B1896="","",IFERROR(INDEX(Client_List!$D:$D,MATCH(B1896,Client_List!$B:$B,0)),""))</f>
        <v/>
      </c>
      <c r="E1896" s="19" t="str">
        <f>IF(B1896="","",IFERROR(INDEX(Client_List!$K:$K,MATCH(B1896,Client_List!$B:$B,0)),""))</f>
        <v/>
      </c>
      <c r="F1896" s="19" t="str">
        <f>IF(B1896="","",IFERROR(INDEX(Client_List!$J:$J,MATCH(B1896,Client_List!$B:$B,0)),""))</f>
        <v/>
      </c>
      <c r="G1896" s="19"/>
      <c r="H1896" s="19" t="str">
        <f>IF(B1896="","",IFERROR(A1896-LOOKUP(2,1/($B$4:$B1895=B1896),$A$4:$A1895),""))</f>
        <v/>
      </c>
      <c r="I1896" s="19" t="str">
        <f t="shared" si="29"/>
        <v/>
      </c>
      <c r="J1896" s="19"/>
      <c r="K1896" s="6" t="str">
        <f>IF(B1896="","",IFERROR(AVERAGEIFS($I$4:$I1896,$B$4:$B1896,B1896,$I$4:$I1896,"&gt;"&amp;0),""))</f>
        <v/>
      </c>
      <c r="L1896" s="19" t="str">
        <f>IF(B1896="","",IF(ISNA(MATCH(B1896,Client_List!$B:$B,0)),"⚠ NOT FOUND","✓"))</f>
        <v/>
      </c>
    </row>
    <row r="1897" spans="1:12" ht="14" customHeight="1" x14ac:dyDescent="0.2">
      <c r="A1897" s="58"/>
      <c r="B1897" s="15"/>
      <c r="C1897" s="16" t="str">
        <f>IF(B1897="","",IFERROR(INDEX(Client_List!$C:$C,MATCH(B1897,Client_List!$B:$B,0)),""))</f>
        <v/>
      </c>
      <c r="D1897" s="16" t="str">
        <f>IF(B1897="","",IFERROR(INDEX(Client_List!$D:$D,MATCH(B1897,Client_List!$B:$B,0)),""))</f>
        <v/>
      </c>
      <c r="E1897" s="16" t="str">
        <f>IF(B1897="","",IFERROR(INDEX(Client_List!$K:$K,MATCH(B1897,Client_List!$B:$B,0)),""))</f>
        <v/>
      </c>
      <c r="F1897" s="16" t="str">
        <f>IF(B1897="","",IFERROR(INDEX(Client_List!$J:$J,MATCH(B1897,Client_List!$B:$B,0)),""))</f>
        <v/>
      </c>
      <c r="G1897" s="16"/>
      <c r="H1897" s="16" t="str">
        <f>IF(B1897="","",IFERROR(A1897-LOOKUP(2,1/($B$4:$B1896=B1897),$A$4:$A1896),""))</f>
        <v/>
      </c>
      <c r="I1897" s="16" t="str">
        <f t="shared" si="29"/>
        <v/>
      </c>
      <c r="J1897" s="16"/>
      <c r="K1897" s="6" t="str">
        <f>IF(B1897="","",IFERROR(AVERAGEIFS($I$4:$I1897,$B$4:$B1897,B1897,$I$4:$I1897,"&gt;"&amp;0),""))</f>
        <v/>
      </c>
      <c r="L1897" s="16" t="str">
        <f>IF(B1897="","",IF(ISNA(MATCH(B1897,Client_List!$B:$B,0)),"⚠ NOT FOUND","✓"))</f>
        <v/>
      </c>
    </row>
    <row r="1898" spans="1:12" ht="14" customHeight="1" x14ac:dyDescent="0.2">
      <c r="A1898" s="59"/>
      <c r="B1898" s="18"/>
      <c r="C1898" s="19" t="str">
        <f>IF(B1898="","",IFERROR(INDEX(Client_List!$C:$C,MATCH(B1898,Client_List!$B:$B,0)),""))</f>
        <v/>
      </c>
      <c r="D1898" s="19" t="str">
        <f>IF(B1898="","",IFERROR(INDEX(Client_List!$D:$D,MATCH(B1898,Client_List!$B:$B,0)),""))</f>
        <v/>
      </c>
      <c r="E1898" s="19" t="str">
        <f>IF(B1898="","",IFERROR(INDEX(Client_List!$K:$K,MATCH(B1898,Client_List!$B:$B,0)),""))</f>
        <v/>
      </c>
      <c r="F1898" s="19" t="str">
        <f>IF(B1898="","",IFERROR(INDEX(Client_List!$J:$J,MATCH(B1898,Client_List!$B:$B,0)),""))</f>
        <v/>
      </c>
      <c r="G1898" s="19"/>
      <c r="H1898" s="19" t="str">
        <f>IF(B1898="","",IFERROR(A1898-LOOKUP(2,1/($B$4:$B1897=B1898),$A$4:$A1897),""))</f>
        <v/>
      </c>
      <c r="I1898" s="19" t="str">
        <f t="shared" si="29"/>
        <v/>
      </c>
      <c r="J1898" s="19"/>
      <c r="K1898" s="6" t="str">
        <f>IF(B1898="","",IFERROR(AVERAGEIFS($I$4:$I1898,$B$4:$B1898,B1898,$I$4:$I1898,"&gt;"&amp;0),""))</f>
        <v/>
      </c>
      <c r="L1898" s="19" t="str">
        <f>IF(B1898="","",IF(ISNA(MATCH(B1898,Client_List!$B:$B,0)),"⚠ NOT FOUND","✓"))</f>
        <v/>
      </c>
    </row>
    <row r="1899" spans="1:12" ht="14" customHeight="1" x14ac:dyDescent="0.2">
      <c r="A1899" s="58"/>
      <c r="B1899" s="15"/>
      <c r="C1899" s="16" t="str">
        <f>IF(B1899="","",IFERROR(INDEX(Client_List!$C:$C,MATCH(B1899,Client_List!$B:$B,0)),""))</f>
        <v/>
      </c>
      <c r="D1899" s="16" t="str">
        <f>IF(B1899="","",IFERROR(INDEX(Client_List!$D:$D,MATCH(B1899,Client_List!$B:$B,0)),""))</f>
        <v/>
      </c>
      <c r="E1899" s="16" t="str">
        <f>IF(B1899="","",IFERROR(INDEX(Client_List!$K:$K,MATCH(B1899,Client_List!$B:$B,0)),""))</f>
        <v/>
      </c>
      <c r="F1899" s="16" t="str">
        <f>IF(B1899="","",IFERROR(INDEX(Client_List!$J:$J,MATCH(B1899,Client_List!$B:$B,0)),""))</f>
        <v/>
      </c>
      <c r="G1899" s="16"/>
      <c r="H1899" s="16" t="str">
        <f>IF(B1899="","",IFERROR(A1899-LOOKUP(2,1/($B$4:$B1898=B1899),$A$4:$A1898),""))</f>
        <v/>
      </c>
      <c r="I1899" s="16" t="str">
        <f t="shared" si="29"/>
        <v/>
      </c>
      <c r="J1899" s="16"/>
      <c r="K1899" s="6" t="str">
        <f>IF(B1899="","",IFERROR(AVERAGEIFS($I$4:$I1899,$B$4:$B1899,B1899,$I$4:$I1899,"&gt;"&amp;0),""))</f>
        <v/>
      </c>
      <c r="L1899" s="16" t="str">
        <f>IF(B1899="","",IF(ISNA(MATCH(B1899,Client_List!$B:$B,0)),"⚠ NOT FOUND","✓"))</f>
        <v/>
      </c>
    </row>
    <row r="1900" spans="1:12" ht="14" customHeight="1" x14ac:dyDescent="0.2">
      <c r="A1900" s="59"/>
      <c r="B1900" s="18"/>
      <c r="C1900" s="19" t="str">
        <f>IF(B1900="","",IFERROR(INDEX(Client_List!$C:$C,MATCH(B1900,Client_List!$B:$B,0)),""))</f>
        <v/>
      </c>
      <c r="D1900" s="19" t="str">
        <f>IF(B1900="","",IFERROR(INDEX(Client_List!$D:$D,MATCH(B1900,Client_List!$B:$B,0)),""))</f>
        <v/>
      </c>
      <c r="E1900" s="19" t="str">
        <f>IF(B1900="","",IFERROR(INDEX(Client_List!$K:$K,MATCH(B1900,Client_List!$B:$B,0)),""))</f>
        <v/>
      </c>
      <c r="F1900" s="19" t="str">
        <f>IF(B1900="","",IFERROR(INDEX(Client_List!$J:$J,MATCH(B1900,Client_List!$B:$B,0)),""))</f>
        <v/>
      </c>
      <c r="G1900" s="19"/>
      <c r="H1900" s="19" t="str">
        <f>IF(B1900="","",IFERROR(A1900-LOOKUP(2,1/($B$4:$B1899=B1900),$A$4:$A1899),""))</f>
        <v/>
      </c>
      <c r="I1900" s="19" t="str">
        <f t="shared" si="29"/>
        <v/>
      </c>
      <c r="J1900" s="19"/>
      <c r="K1900" s="6" t="str">
        <f>IF(B1900="","",IFERROR(AVERAGEIFS($I$4:$I1900,$B$4:$B1900,B1900,$I$4:$I1900,"&gt;"&amp;0),""))</f>
        <v/>
      </c>
      <c r="L1900" s="19" t="str">
        <f>IF(B1900="","",IF(ISNA(MATCH(B1900,Client_List!$B:$B,0)),"⚠ NOT FOUND","✓"))</f>
        <v/>
      </c>
    </row>
    <row r="1901" spans="1:12" ht="14" customHeight="1" x14ac:dyDescent="0.2">
      <c r="A1901" s="58"/>
      <c r="B1901" s="15"/>
      <c r="C1901" s="16" t="str">
        <f>IF(B1901="","",IFERROR(INDEX(Client_List!$C:$C,MATCH(B1901,Client_List!$B:$B,0)),""))</f>
        <v/>
      </c>
      <c r="D1901" s="16" t="str">
        <f>IF(B1901="","",IFERROR(INDEX(Client_List!$D:$D,MATCH(B1901,Client_List!$B:$B,0)),""))</f>
        <v/>
      </c>
      <c r="E1901" s="16" t="str">
        <f>IF(B1901="","",IFERROR(INDEX(Client_List!$K:$K,MATCH(B1901,Client_List!$B:$B,0)),""))</f>
        <v/>
      </c>
      <c r="F1901" s="16" t="str">
        <f>IF(B1901="","",IFERROR(INDEX(Client_List!$J:$J,MATCH(B1901,Client_List!$B:$B,0)),""))</f>
        <v/>
      </c>
      <c r="G1901" s="16"/>
      <c r="H1901" s="16" t="str">
        <f>IF(B1901="","",IFERROR(A1901-LOOKUP(2,1/($B$4:$B1900=B1901),$A$4:$A1900),""))</f>
        <v/>
      </c>
      <c r="I1901" s="16" t="str">
        <f t="shared" si="29"/>
        <v/>
      </c>
      <c r="J1901" s="16"/>
      <c r="K1901" s="6" t="str">
        <f>IF(B1901="","",IFERROR(AVERAGEIFS($I$4:$I1901,$B$4:$B1901,B1901,$I$4:$I1901,"&gt;"&amp;0),""))</f>
        <v/>
      </c>
      <c r="L1901" s="16" t="str">
        <f>IF(B1901="","",IF(ISNA(MATCH(B1901,Client_List!$B:$B,0)),"⚠ NOT FOUND","✓"))</f>
        <v/>
      </c>
    </row>
    <row r="1902" spans="1:12" ht="14" customHeight="1" x14ac:dyDescent="0.2">
      <c r="A1902" s="59"/>
      <c r="B1902" s="18"/>
      <c r="C1902" s="19" t="str">
        <f>IF(B1902="","",IFERROR(INDEX(Client_List!$C:$C,MATCH(B1902,Client_List!$B:$B,0)),""))</f>
        <v/>
      </c>
      <c r="D1902" s="19" t="str">
        <f>IF(B1902="","",IFERROR(INDEX(Client_List!$D:$D,MATCH(B1902,Client_List!$B:$B,0)),""))</f>
        <v/>
      </c>
      <c r="E1902" s="19" t="str">
        <f>IF(B1902="","",IFERROR(INDEX(Client_List!$K:$K,MATCH(B1902,Client_List!$B:$B,0)),""))</f>
        <v/>
      </c>
      <c r="F1902" s="19" t="str">
        <f>IF(B1902="","",IFERROR(INDEX(Client_List!$J:$J,MATCH(B1902,Client_List!$B:$B,0)),""))</f>
        <v/>
      </c>
      <c r="G1902" s="19"/>
      <c r="H1902" s="19" t="str">
        <f>IF(B1902="","",IFERROR(A1902-LOOKUP(2,1/($B$4:$B1901=B1902),$A$4:$A1901),""))</f>
        <v/>
      </c>
      <c r="I1902" s="19" t="str">
        <f t="shared" si="29"/>
        <v/>
      </c>
      <c r="J1902" s="19"/>
      <c r="K1902" s="6" t="str">
        <f>IF(B1902="","",IFERROR(AVERAGEIFS($I$4:$I1902,$B$4:$B1902,B1902,$I$4:$I1902,"&gt;"&amp;0),""))</f>
        <v/>
      </c>
      <c r="L1902" s="19" t="str">
        <f>IF(B1902="","",IF(ISNA(MATCH(B1902,Client_List!$B:$B,0)),"⚠ NOT FOUND","✓"))</f>
        <v/>
      </c>
    </row>
    <row r="1903" spans="1:12" ht="14" customHeight="1" x14ac:dyDescent="0.2">
      <c r="A1903" s="58"/>
      <c r="B1903" s="15"/>
      <c r="C1903" s="16" t="str">
        <f>IF(B1903="","",IFERROR(INDEX(Client_List!$C:$C,MATCH(B1903,Client_List!$B:$B,0)),""))</f>
        <v/>
      </c>
      <c r="D1903" s="16" t="str">
        <f>IF(B1903="","",IFERROR(INDEX(Client_List!$D:$D,MATCH(B1903,Client_List!$B:$B,0)),""))</f>
        <v/>
      </c>
      <c r="E1903" s="16" t="str">
        <f>IF(B1903="","",IFERROR(INDEX(Client_List!$K:$K,MATCH(B1903,Client_List!$B:$B,0)),""))</f>
        <v/>
      </c>
      <c r="F1903" s="16" t="str">
        <f>IF(B1903="","",IFERROR(INDEX(Client_List!$J:$J,MATCH(B1903,Client_List!$B:$B,0)),""))</f>
        <v/>
      </c>
      <c r="G1903" s="16"/>
      <c r="H1903" s="16" t="str">
        <f>IF(B1903="","",IFERROR(A1903-LOOKUP(2,1/($B$4:$B1902=B1903),$A$4:$A1902),""))</f>
        <v/>
      </c>
      <c r="I1903" s="16" t="str">
        <f t="shared" si="29"/>
        <v/>
      </c>
      <c r="J1903" s="16"/>
      <c r="K1903" s="6" t="str">
        <f>IF(B1903="","",IFERROR(AVERAGEIFS($I$4:$I1903,$B$4:$B1903,B1903,$I$4:$I1903,"&gt;"&amp;0),""))</f>
        <v/>
      </c>
      <c r="L1903" s="16" t="str">
        <f>IF(B1903="","",IF(ISNA(MATCH(B1903,Client_List!$B:$B,0)),"⚠ NOT FOUND","✓"))</f>
        <v/>
      </c>
    </row>
    <row r="1904" spans="1:12" ht="14" customHeight="1" x14ac:dyDescent="0.2">
      <c r="A1904" s="59"/>
      <c r="B1904" s="18"/>
      <c r="C1904" s="19" t="str">
        <f>IF(B1904="","",IFERROR(INDEX(Client_List!$C:$C,MATCH(B1904,Client_List!$B:$B,0)),""))</f>
        <v/>
      </c>
      <c r="D1904" s="19" t="str">
        <f>IF(B1904="","",IFERROR(INDEX(Client_List!$D:$D,MATCH(B1904,Client_List!$B:$B,0)),""))</f>
        <v/>
      </c>
      <c r="E1904" s="19" t="str">
        <f>IF(B1904="","",IFERROR(INDEX(Client_List!$K:$K,MATCH(B1904,Client_List!$B:$B,0)),""))</f>
        <v/>
      </c>
      <c r="F1904" s="19" t="str">
        <f>IF(B1904="","",IFERROR(INDEX(Client_List!$J:$J,MATCH(B1904,Client_List!$B:$B,0)),""))</f>
        <v/>
      </c>
      <c r="G1904" s="19"/>
      <c r="H1904" s="19" t="str">
        <f>IF(B1904="","",IFERROR(A1904-LOOKUP(2,1/($B$4:$B1903=B1904),$A$4:$A1903),""))</f>
        <v/>
      </c>
      <c r="I1904" s="19" t="str">
        <f t="shared" si="29"/>
        <v/>
      </c>
      <c r="J1904" s="19"/>
      <c r="K1904" s="6" t="str">
        <f>IF(B1904="","",IFERROR(AVERAGEIFS($I$4:$I1904,$B$4:$B1904,B1904,$I$4:$I1904,"&gt;"&amp;0),""))</f>
        <v/>
      </c>
      <c r="L1904" s="19" t="str">
        <f>IF(B1904="","",IF(ISNA(MATCH(B1904,Client_List!$B:$B,0)),"⚠ NOT FOUND","✓"))</f>
        <v/>
      </c>
    </row>
    <row r="1905" spans="1:12" ht="14" customHeight="1" x14ac:dyDescent="0.2">
      <c r="A1905" s="58"/>
      <c r="B1905" s="15"/>
      <c r="C1905" s="16" t="str">
        <f>IF(B1905="","",IFERROR(INDEX(Client_List!$C:$C,MATCH(B1905,Client_List!$B:$B,0)),""))</f>
        <v/>
      </c>
      <c r="D1905" s="16" t="str">
        <f>IF(B1905="","",IFERROR(INDEX(Client_List!$D:$D,MATCH(B1905,Client_List!$B:$B,0)),""))</f>
        <v/>
      </c>
      <c r="E1905" s="16" t="str">
        <f>IF(B1905="","",IFERROR(INDEX(Client_List!$K:$K,MATCH(B1905,Client_List!$B:$B,0)),""))</f>
        <v/>
      </c>
      <c r="F1905" s="16" t="str">
        <f>IF(B1905="","",IFERROR(INDEX(Client_List!$J:$J,MATCH(B1905,Client_List!$B:$B,0)),""))</f>
        <v/>
      </c>
      <c r="G1905" s="16"/>
      <c r="H1905" s="16" t="str">
        <f>IF(B1905="","",IFERROR(A1905-LOOKUP(2,1/($B$4:$B1904=B1905),$A$4:$A1904),""))</f>
        <v/>
      </c>
      <c r="I1905" s="16" t="str">
        <f t="shared" si="29"/>
        <v/>
      </c>
      <c r="J1905" s="16"/>
      <c r="K1905" s="6" t="str">
        <f>IF(B1905="","",IFERROR(AVERAGEIFS($I$4:$I1905,$B$4:$B1905,B1905,$I$4:$I1905,"&gt;"&amp;0),""))</f>
        <v/>
      </c>
      <c r="L1905" s="16" t="str">
        <f>IF(B1905="","",IF(ISNA(MATCH(B1905,Client_List!$B:$B,0)),"⚠ NOT FOUND","✓"))</f>
        <v/>
      </c>
    </row>
    <row r="1906" spans="1:12" ht="14" customHeight="1" x14ac:dyDescent="0.2">
      <c r="A1906" s="59"/>
      <c r="B1906" s="18"/>
      <c r="C1906" s="19" t="str">
        <f>IF(B1906="","",IFERROR(INDEX(Client_List!$C:$C,MATCH(B1906,Client_List!$B:$B,0)),""))</f>
        <v/>
      </c>
      <c r="D1906" s="19" t="str">
        <f>IF(B1906="","",IFERROR(INDEX(Client_List!$D:$D,MATCH(B1906,Client_List!$B:$B,0)),""))</f>
        <v/>
      </c>
      <c r="E1906" s="19" t="str">
        <f>IF(B1906="","",IFERROR(INDEX(Client_List!$K:$K,MATCH(B1906,Client_List!$B:$B,0)),""))</f>
        <v/>
      </c>
      <c r="F1906" s="19" t="str">
        <f>IF(B1906="","",IFERROR(INDEX(Client_List!$J:$J,MATCH(B1906,Client_List!$B:$B,0)),""))</f>
        <v/>
      </c>
      <c r="G1906" s="19"/>
      <c r="H1906" s="19" t="str">
        <f>IF(B1906="","",IFERROR(A1906-LOOKUP(2,1/($B$4:$B1905=B1906),$A$4:$A1905),""))</f>
        <v/>
      </c>
      <c r="I1906" s="19" t="str">
        <f t="shared" si="29"/>
        <v/>
      </c>
      <c r="J1906" s="19"/>
      <c r="K1906" s="6" t="str">
        <f>IF(B1906="","",IFERROR(AVERAGEIFS($I$4:$I1906,$B$4:$B1906,B1906,$I$4:$I1906,"&gt;"&amp;0),""))</f>
        <v/>
      </c>
      <c r="L1906" s="19" t="str">
        <f>IF(B1906="","",IF(ISNA(MATCH(B1906,Client_List!$B:$B,0)),"⚠ NOT FOUND","✓"))</f>
        <v/>
      </c>
    </row>
    <row r="1907" spans="1:12" ht="14" customHeight="1" x14ac:dyDescent="0.2">
      <c r="A1907" s="58"/>
      <c r="B1907" s="15"/>
      <c r="C1907" s="16" t="str">
        <f>IF(B1907="","",IFERROR(INDEX(Client_List!$C:$C,MATCH(B1907,Client_List!$B:$B,0)),""))</f>
        <v/>
      </c>
      <c r="D1907" s="16" t="str">
        <f>IF(B1907="","",IFERROR(INDEX(Client_List!$D:$D,MATCH(B1907,Client_List!$B:$B,0)),""))</f>
        <v/>
      </c>
      <c r="E1907" s="16" t="str">
        <f>IF(B1907="","",IFERROR(INDEX(Client_List!$K:$K,MATCH(B1907,Client_List!$B:$B,0)),""))</f>
        <v/>
      </c>
      <c r="F1907" s="16" t="str">
        <f>IF(B1907="","",IFERROR(INDEX(Client_List!$J:$J,MATCH(B1907,Client_List!$B:$B,0)),""))</f>
        <v/>
      </c>
      <c r="G1907" s="16"/>
      <c r="H1907" s="16" t="str">
        <f>IF(B1907="","",IFERROR(A1907-LOOKUP(2,1/($B$4:$B1906=B1907),$A$4:$A1906),""))</f>
        <v/>
      </c>
      <c r="I1907" s="16" t="str">
        <f t="shared" si="29"/>
        <v/>
      </c>
      <c r="J1907" s="16"/>
      <c r="K1907" s="6" t="str">
        <f>IF(B1907="","",IFERROR(AVERAGEIFS($I$4:$I1907,$B$4:$B1907,B1907,$I$4:$I1907,"&gt;"&amp;0),""))</f>
        <v/>
      </c>
      <c r="L1907" s="16" t="str">
        <f>IF(B1907="","",IF(ISNA(MATCH(B1907,Client_List!$B:$B,0)),"⚠ NOT FOUND","✓"))</f>
        <v/>
      </c>
    </row>
    <row r="1908" spans="1:12" ht="14" customHeight="1" x14ac:dyDescent="0.2">
      <c r="A1908" s="59"/>
      <c r="B1908" s="18"/>
      <c r="C1908" s="19" t="str">
        <f>IF(B1908="","",IFERROR(INDEX(Client_List!$C:$C,MATCH(B1908,Client_List!$B:$B,0)),""))</f>
        <v/>
      </c>
      <c r="D1908" s="19" t="str">
        <f>IF(B1908="","",IFERROR(INDEX(Client_List!$D:$D,MATCH(B1908,Client_List!$B:$B,0)),""))</f>
        <v/>
      </c>
      <c r="E1908" s="19" t="str">
        <f>IF(B1908="","",IFERROR(INDEX(Client_List!$K:$K,MATCH(B1908,Client_List!$B:$B,0)),""))</f>
        <v/>
      </c>
      <c r="F1908" s="19" t="str">
        <f>IF(B1908="","",IFERROR(INDEX(Client_List!$J:$J,MATCH(B1908,Client_List!$B:$B,0)),""))</f>
        <v/>
      </c>
      <c r="G1908" s="19"/>
      <c r="H1908" s="19" t="str">
        <f>IF(B1908="","",IFERROR(A1908-LOOKUP(2,1/($B$4:$B1907=B1908),$A$4:$A1907),""))</f>
        <v/>
      </c>
      <c r="I1908" s="19" t="str">
        <f t="shared" si="29"/>
        <v/>
      </c>
      <c r="J1908" s="19"/>
      <c r="K1908" s="6" t="str">
        <f>IF(B1908="","",IFERROR(AVERAGEIFS($I$4:$I1908,$B$4:$B1908,B1908,$I$4:$I1908,"&gt;"&amp;0),""))</f>
        <v/>
      </c>
      <c r="L1908" s="19" t="str">
        <f>IF(B1908="","",IF(ISNA(MATCH(B1908,Client_List!$B:$B,0)),"⚠ NOT FOUND","✓"))</f>
        <v/>
      </c>
    </row>
    <row r="1909" spans="1:12" ht="14" customHeight="1" x14ac:dyDescent="0.2">
      <c r="A1909" s="58"/>
      <c r="B1909" s="15"/>
      <c r="C1909" s="16" t="str">
        <f>IF(B1909="","",IFERROR(INDEX(Client_List!$C:$C,MATCH(B1909,Client_List!$B:$B,0)),""))</f>
        <v/>
      </c>
      <c r="D1909" s="16" t="str">
        <f>IF(B1909="","",IFERROR(INDEX(Client_List!$D:$D,MATCH(B1909,Client_List!$B:$B,0)),""))</f>
        <v/>
      </c>
      <c r="E1909" s="16" t="str">
        <f>IF(B1909="","",IFERROR(INDEX(Client_List!$K:$K,MATCH(B1909,Client_List!$B:$B,0)),""))</f>
        <v/>
      </c>
      <c r="F1909" s="16" t="str">
        <f>IF(B1909="","",IFERROR(INDEX(Client_List!$J:$J,MATCH(B1909,Client_List!$B:$B,0)),""))</f>
        <v/>
      </c>
      <c r="G1909" s="16"/>
      <c r="H1909" s="16" t="str">
        <f>IF(B1909="","",IFERROR(A1909-LOOKUP(2,1/($B$4:$B1908=B1909),$A$4:$A1908),""))</f>
        <v/>
      </c>
      <c r="I1909" s="16" t="str">
        <f t="shared" si="29"/>
        <v/>
      </c>
      <c r="J1909" s="16"/>
      <c r="K1909" s="6" t="str">
        <f>IF(B1909="","",IFERROR(AVERAGEIFS($I$4:$I1909,$B$4:$B1909,B1909,$I$4:$I1909,"&gt;"&amp;0),""))</f>
        <v/>
      </c>
      <c r="L1909" s="16" t="str">
        <f>IF(B1909="","",IF(ISNA(MATCH(B1909,Client_List!$B:$B,0)),"⚠ NOT FOUND","✓"))</f>
        <v/>
      </c>
    </row>
    <row r="1910" spans="1:12" ht="14" customHeight="1" x14ac:dyDescent="0.2">
      <c r="A1910" s="59"/>
      <c r="B1910" s="18"/>
      <c r="C1910" s="19" t="str">
        <f>IF(B1910="","",IFERROR(INDEX(Client_List!$C:$C,MATCH(B1910,Client_List!$B:$B,0)),""))</f>
        <v/>
      </c>
      <c r="D1910" s="19" t="str">
        <f>IF(B1910="","",IFERROR(INDEX(Client_List!$D:$D,MATCH(B1910,Client_List!$B:$B,0)),""))</f>
        <v/>
      </c>
      <c r="E1910" s="19" t="str">
        <f>IF(B1910="","",IFERROR(INDEX(Client_List!$K:$K,MATCH(B1910,Client_List!$B:$B,0)),""))</f>
        <v/>
      </c>
      <c r="F1910" s="19" t="str">
        <f>IF(B1910="","",IFERROR(INDEX(Client_List!$J:$J,MATCH(B1910,Client_List!$B:$B,0)),""))</f>
        <v/>
      </c>
      <c r="G1910" s="19"/>
      <c r="H1910" s="19" t="str">
        <f>IF(B1910="","",IFERROR(A1910-LOOKUP(2,1/($B$4:$B1909=B1910),$A$4:$A1909),""))</f>
        <v/>
      </c>
      <c r="I1910" s="19" t="str">
        <f t="shared" si="29"/>
        <v/>
      </c>
      <c r="J1910" s="19"/>
      <c r="K1910" s="6" t="str">
        <f>IF(B1910="","",IFERROR(AVERAGEIFS($I$4:$I1910,$B$4:$B1910,B1910,$I$4:$I1910,"&gt;"&amp;0),""))</f>
        <v/>
      </c>
      <c r="L1910" s="19" t="str">
        <f>IF(B1910="","",IF(ISNA(MATCH(B1910,Client_List!$B:$B,0)),"⚠ NOT FOUND","✓"))</f>
        <v/>
      </c>
    </row>
    <row r="1911" spans="1:12" ht="14" customHeight="1" x14ac:dyDescent="0.2">
      <c r="A1911" s="58"/>
      <c r="B1911" s="15"/>
      <c r="C1911" s="16" t="str">
        <f>IF(B1911="","",IFERROR(INDEX(Client_List!$C:$C,MATCH(B1911,Client_List!$B:$B,0)),""))</f>
        <v/>
      </c>
      <c r="D1911" s="16" t="str">
        <f>IF(B1911="","",IFERROR(INDEX(Client_List!$D:$D,MATCH(B1911,Client_List!$B:$B,0)),""))</f>
        <v/>
      </c>
      <c r="E1911" s="16" t="str">
        <f>IF(B1911="","",IFERROR(INDEX(Client_List!$K:$K,MATCH(B1911,Client_List!$B:$B,0)),""))</f>
        <v/>
      </c>
      <c r="F1911" s="16" t="str">
        <f>IF(B1911="","",IFERROR(INDEX(Client_List!$J:$J,MATCH(B1911,Client_List!$B:$B,0)),""))</f>
        <v/>
      </c>
      <c r="G1911" s="16"/>
      <c r="H1911" s="16" t="str">
        <f>IF(B1911="","",IFERROR(A1911-LOOKUP(2,1/($B$4:$B1910=B1911),$A$4:$A1910),""))</f>
        <v/>
      </c>
      <c r="I1911" s="16" t="str">
        <f t="shared" si="29"/>
        <v/>
      </c>
      <c r="J1911" s="16"/>
      <c r="K1911" s="6" t="str">
        <f>IF(B1911="","",IFERROR(AVERAGEIFS($I$4:$I1911,$B$4:$B1911,B1911,$I$4:$I1911,"&gt;"&amp;0),""))</f>
        <v/>
      </c>
      <c r="L1911" s="16" t="str">
        <f>IF(B1911="","",IF(ISNA(MATCH(B1911,Client_List!$B:$B,0)),"⚠ NOT FOUND","✓"))</f>
        <v/>
      </c>
    </row>
    <row r="1912" spans="1:12" ht="14" customHeight="1" x14ac:dyDescent="0.2">
      <c r="A1912" s="59"/>
      <c r="B1912" s="18"/>
      <c r="C1912" s="19" t="str">
        <f>IF(B1912="","",IFERROR(INDEX(Client_List!$C:$C,MATCH(B1912,Client_List!$B:$B,0)),""))</f>
        <v/>
      </c>
      <c r="D1912" s="19" t="str">
        <f>IF(B1912="","",IFERROR(INDEX(Client_List!$D:$D,MATCH(B1912,Client_List!$B:$B,0)),""))</f>
        <v/>
      </c>
      <c r="E1912" s="19" t="str">
        <f>IF(B1912="","",IFERROR(INDEX(Client_List!$K:$K,MATCH(B1912,Client_List!$B:$B,0)),""))</f>
        <v/>
      </c>
      <c r="F1912" s="19" t="str">
        <f>IF(B1912="","",IFERROR(INDEX(Client_List!$J:$J,MATCH(B1912,Client_List!$B:$B,0)),""))</f>
        <v/>
      </c>
      <c r="G1912" s="19"/>
      <c r="H1912" s="19" t="str">
        <f>IF(B1912="","",IFERROR(A1912-LOOKUP(2,1/($B$4:$B1911=B1912),$A$4:$A1911),""))</f>
        <v/>
      </c>
      <c r="I1912" s="19" t="str">
        <f t="shared" si="29"/>
        <v/>
      </c>
      <c r="J1912" s="19"/>
      <c r="K1912" s="6" t="str">
        <f>IF(B1912="","",IFERROR(AVERAGEIFS($I$4:$I1912,$B$4:$B1912,B1912,$I$4:$I1912,"&gt;"&amp;0),""))</f>
        <v/>
      </c>
      <c r="L1912" s="19" t="str">
        <f>IF(B1912="","",IF(ISNA(MATCH(B1912,Client_List!$B:$B,0)),"⚠ NOT FOUND","✓"))</f>
        <v/>
      </c>
    </row>
    <row r="1913" spans="1:12" ht="14" customHeight="1" x14ac:dyDescent="0.2">
      <c r="A1913" s="58"/>
      <c r="B1913" s="15"/>
      <c r="C1913" s="16" t="str">
        <f>IF(B1913="","",IFERROR(INDEX(Client_List!$C:$C,MATCH(B1913,Client_List!$B:$B,0)),""))</f>
        <v/>
      </c>
      <c r="D1913" s="16" t="str">
        <f>IF(B1913="","",IFERROR(INDEX(Client_List!$D:$D,MATCH(B1913,Client_List!$B:$B,0)),""))</f>
        <v/>
      </c>
      <c r="E1913" s="16" t="str">
        <f>IF(B1913="","",IFERROR(INDEX(Client_List!$K:$K,MATCH(B1913,Client_List!$B:$B,0)),""))</f>
        <v/>
      </c>
      <c r="F1913" s="16" t="str">
        <f>IF(B1913="","",IFERROR(INDEX(Client_List!$J:$J,MATCH(B1913,Client_List!$B:$B,0)),""))</f>
        <v/>
      </c>
      <c r="G1913" s="16"/>
      <c r="H1913" s="16" t="str">
        <f>IF(B1913="","",IFERROR(A1913-LOOKUP(2,1/($B$4:$B1912=B1913),$A$4:$A1912),""))</f>
        <v/>
      </c>
      <c r="I1913" s="16" t="str">
        <f t="shared" si="29"/>
        <v/>
      </c>
      <c r="J1913" s="16"/>
      <c r="K1913" s="6" t="str">
        <f>IF(B1913="","",IFERROR(AVERAGEIFS($I$4:$I1913,$B$4:$B1913,B1913,$I$4:$I1913,"&gt;"&amp;0),""))</f>
        <v/>
      </c>
      <c r="L1913" s="16" t="str">
        <f>IF(B1913="","",IF(ISNA(MATCH(B1913,Client_List!$B:$B,0)),"⚠ NOT FOUND","✓"))</f>
        <v/>
      </c>
    </row>
    <row r="1914" spans="1:12" ht="14" customHeight="1" x14ac:dyDescent="0.2">
      <c r="A1914" s="59"/>
      <c r="B1914" s="18"/>
      <c r="C1914" s="19" t="str">
        <f>IF(B1914="","",IFERROR(INDEX(Client_List!$C:$C,MATCH(B1914,Client_List!$B:$B,0)),""))</f>
        <v/>
      </c>
      <c r="D1914" s="19" t="str">
        <f>IF(B1914="","",IFERROR(INDEX(Client_List!$D:$D,MATCH(B1914,Client_List!$B:$B,0)),""))</f>
        <v/>
      </c>
      <c r="E1914" s="19" t="str">
        <f>IF(B1914="","",IFERROR(INDEX(Client_List!$K:$K,MATCH(B1914,Client_List!$B:$B,0)),""))</f>
        <v/>
      </c>
      <c r="F1914" s="19" t="str">
        <f>IF(B1914="","",IFERROR(INDEX(Client_List!$J:$J,MATCH(B1914,Client_List!$B:$B,0)),""))</f>
        <v/>
      </c>
      <c r="G1914" s="19"/>
      <c r="H1914" s="19" t="str">
        <f>IF(B1914="","",IFERROR(A1914-LOOKUP(2,1/($B$4:$B1913=B1914),$A$4:$A1913),""))</f>
        <v/>
      </c>
      <c r="I1914" s="19" t="str">
        <f t="shared" si="29"/>
        <v/>
      </c>
      <c r="J1914" s="19"/>
      <c r="K1914" s="6" t="str">
        <f>IF(B1914="","",IFERROR(AVERAGEIFS($I$4:$I1914,$B$4:$B1914,B1914,$I$4:$I1914,"&gt;"&amp;0),""))</f>
        <v/>
      </c>
      <c r="L1914" s="19" t="str">
        <f>IF(B1914="","",IF(ISNA(MATCH(B1914,Client_List!$B:$B,0)),"⚠ NOT FOUND","✓"))</f>
        <v/>
      </c>
    </row>
    <row r="1915" spans="1:12" ht="14" customHeight="1" x14ac:dyDescent="0.2">
      <c r="A1915" s="58"/>
      <c r="B1915" s="15"/>
      <c r="C1915" s="16" t="str">
        <f>IF(B1915="","",IFERROR(INDEX(Client_List!$C:$C,MATCH(B1915,Client_List!$B:$B,0)),""))</f>
        <v/>
      </c>
      <c r="D1915" s="16" t="str">
        <f>IF(B1915="","",IFERROR(INDEX(Client_List!$D:$D,MATCH(B1915,Client_List!$B:$B,0)),""))</f>
        <v/>
      </c>
      <c r="E1915" s="16" t="str">
        <f>IF(B1915="","",IFERROR(INDEX(Client_List!$K:$K,MATCH(B1915,Client_List!$B:$B,0)),""))</f>
        <v/>
      </c>
      <c r="F1915" s="16" t="str">
        <f>IF(B1915="","",IFERROR(INDEX(Client_List!$J:$J,MATCH(B1915,Client_List!$B:$B,0)),""))</f>
        <v/>
      </c>
      <c r="G1915" s="16"/>
      <c r="H1915" s="16" t="str">
        <f>IF(B1915="","",IFERROR(A1915-LOOKUP(2,1/($B$4:$B1914=B1915),$A$4:$A1914),""))</f>
        <v/>
      </c>
      <c r="I1915" s="16" t="str">
        <f t="shared" si="29"/>
        <v/>
      </c>
      <c r="J1915" s="16"/>
      <c r="K1915" s="6" t="str">
        <f>IF(B1915="","",IFERROR(AVERAGEIFS($I$4:$I1915,$B$4:$B1915,B1915,$I$4:$I1915,"&gt;"&amp;0),""))</f>
        <v/>
      </c>
      <c r="L1915" s="16" t="str">
        <f>IF(B1915="","",IF(ISNA(MATCH(B1915,Client_List!$B:$B,0)),"⚠ NOT FOUND","✓"))</f>
        <v/>
      </c>
    </row>
    <row r="1916" spans="1:12" ht="14" customHeight="1" x14ac:dyDescent="0.2">
      <c r="A1916" s="59"/>
      <c r="B1916" s="18"/>
      <c r="C1916" s="19" t="str">
        <f>IF(B1916="","",IFERROR(INDEX(Client_List!$C:$C,MATCH(B1916,Client_List!$B:$B,0)),""))</f>
        <v/>
      </c>
      <c r="D1916" s="19" t="str">
        <f>IF(B1916="","",IFERROR(INDEX(Client_List!$D:$D,MATCH(B1916,Client_List!$B:$B,0)),""))</f>
        <v/>
      </c>
      <c r="E1916" s="19" t="str">
        <f>IF(B1916="","",IFERROR(INDEX(Client_List!$K:$K,MATCH(B1916,Client_List!$B:$B,0)),""))</f>
        <v/>
      </c>
      <c r="F1916" s="19" t="str">
        <f>IF(B1916="","",IFERROR(INDEX(Client_List!$J:$J,MATCH(B1916,Client_List!$B:$B,0)),""))</f>
        <v/>
      </c>
      <c r="G1916" s="19"/>
      <c r="H1916" s="19" t="str">
        <f>IF(B1916="","",IFERROR(A1916-LOOKUP(2,1/($B$4:$B1915=B1916),$A$4:$A1915),""))</f>
        <v/>
      </c>
      <c r="I1916" s="19" t="str">
        <f t="shared" si="29"/>
        <v/>
      </c>
      <c r="J1916" s="19"/>
      <c r="K1916" s="6" t="str">
        <f>IF(B1916="","",IFERROR(AVERAGEIFS($I$4:$I1916,$B$4:$B1916,B1916,$I$4:$I1916,"&gt;"&amp;0),""))</f>
        <v/>
      </c>
      <c r="L1916" s="19" t="str">
        <f>IF(B1916="","",IF(ISNA(MATCH(B1916,Client_List!$B:$B,0)),"⚠ NOT FOUND","✓"))</f>
        <v/>
      </c>
    </row>
    <row r="1917" spans="1:12" ht="14" customHeight="1" x14ac:dyDescent="0.2">
      <c r="A1917" s="58"/>
      <c r="B1917" s="15"/>
      <c r="C1917" s="16" t="str">
        <f>IF(B1917="","",IFERROR(INDEX(Client_List!$C:$C,MATCH(B1917,Client_List!$B:$B,0)),""))</f>
        <v/>
      </c>
      <c r="D1917" s="16" t="str">
        <f>IF(B1917="","",IFERROR(INDEX(Client_List!$D:$D,MATCH(B1917,Client_List!$B:$B,0)),""))</f>
        <v/>
      </c>
      <c r="E1917" s="16" t="str">
        <f>IF(B1917="","",IFERROR(INDEX(Client_List!$K:$K,MATCH(B1917,Client_List!$B:$B,0)),""))</f>
        <v/>
      </c>
      <c r="F1917" s="16" t="str">
        <f>IF(B1917="","",IFERROR(INDEX(Client_List!$J:$J,MATCH(B1917,Client_List!$B:$B,0)),""))</f>
        <v/>
      </c>
      <c r="G1917" s="16"/>
      <c r="H1917" s="16" t="str">
        <f>IF(B1917="","",IFERROR(A1917-LOOKUP(2,1/($B$4:$B1916=B1917),$A$4:$A1916),""))</f>
        <v/>
      </c>
      <c r="I1917" s="16" t="str">
        <f t="shared" si="29"/>
        <v/>
      </c>
      <c r="J1917" s="16"/>
      <c r="K1917" s="6" t="str">
        <f>IF(B1917="","",IFERROR(AVERAGEIFS($I$4:$I1917,$B$4:$B1917,B1917,$I$4:$I1917,"&gt;"&amp;0),""))</f>
        <v/>
      </c>
      <c r="L1917" s="16" t="str">
        <f>IF(B1917="","",IF(ISNA(MATCH(B1917,Client_List!$B:$B,0)),"⚠ NOT FOUND","✓"))</f>
        <v/>
      </c>
    </row>
    <row r="1918" spans="1:12" ht="14" customHeight="1" x14ac:dyDescent="0.2">
      <c r="A1918" s="59"/>
      <c r="B1918" s="18"/>
      <c r="C1918" s="19" t="str">
        <f>IF(B1918="","",IFERROR(INDEX(Client_List!$C:$C,MATCH(B1918,Client_List!$B:$B,0)),""))</f>
        <v/>
      </c>
      <c r="D1918" s="19" t="str">
        <f>IF(B1918="","",IFERROR(INDEX(Client_List!$D:$D,MATCH(B1918,Client_List!$B:$B,0)),""))</f>
        <v/>
      </c>
      <c r="E1918" s="19" t="str">
        <f>IF(B1918="","",IFERROR(INDEX(Client_List!$K:$K,MATCH(B1918,Client_List!$B:$B,0)),""))</f>
        <v/>
      </c>
      <c r="F1918" s="19" t="str">
        <f>IF(B1918="","",IFERROR(INDEX(Client_List!$J:$J,MATCH(B1918,Client_List!$B:$B,0)),""))</f>
        <v/>
      </c>
      <c r="G1918" s="19"/>
      <c r="H1918" s="19" t="str">
        <f>IF(B1918="","",IFERROR(A1918-LOOKUP(2,1/($B$4:$B1917=B1918),$A$4:$A1917),""))</f>
        <v/>
      </c>
      <c r="I1918" s="19" t="str">
        <f t="shared" si="29"/>
        <v/>
      </c>
      <c r="J1918" s="19"/>
      <c r="K1918" s="6" t="str">
        <f>IF(B1918="","",IFERROR(AVERAGEIFS($I$4:$I1918,$B$4:$B1918,B1918,$I$4:$I1918,"&gt;"&amp;0),""))</f>
        <v/>
      </c>
      <c r="L1918" s="19" t="str">
        <f>IF(B1918="","",IF(ISNA(MATCH(B1918,Client_List!$B:$B,0)),"⚠ NOT FOUND","✓"))</f>
        <v/>
      </c>
    </row>
    <row r="1919" spans="1:12" ht="14" customHeight="1" x14ac:dyDescent="0.2">
      <c r="A1919" s="58"/>
      <c r="B1919" s="15"/>
      <c r="C1919" s="16" t="str">
        <f>IF(B1919="","",IFERROR(INDEX(Client_List!$C:$C,MATCH(B1919,Client_List!$B:$B,0)),""))</f>
        <v/>
      </c>
      <c r="D1919" s="16" t="str">
        <f>IF(B1919="","",IFERROR(INDEX(Client_List!$D:$D,MATCH(B1919,Client_List!$B:$B,0)),""))</f>
        <v/>
      </c>
      <c r="E1919" s="16" t="str">
        <f>IF(B1919="","",IFERROR(INDEX(Client_List!$K:$K,MATCH(B1919,Client_List!$B:$B,0)),""))</f>
        <v/>
      </c>
      <c r="F1919" s="16" t="str">
        <f>IF(B1919="","",IFERROR(INDEX(Client_List!$J:$J,MATCH(B1919,Client_List!$B:$B,0)),""))</f>
        <v/>
      </c>
      <c r="G1919" s="16"/>
      <c r="H1919" s="16" t="str">
        <f>IF(B1919="","",IFERROR(A1919-LOOKUP(2,1/($B$4:$B1918=B1919),$A$4:$A1918),""))</f>
        <v/>
      </c>
      <c r="I1919" s="16" t="str">
        <f t="shared" si="29"/>
        <v/>
      </c>
      <c r="J1919" s="16"/>
      <c r="K1919" s="6" t="str">
        <f>IF(B1919="","",IFERROR(AVERAGEIFS($I$4:$I1919,$B$4:$B1919,B1919,$I$4:$I1919,"&gt;"&amp;0),""))</f>
        <v/>
      </c>
      <c r="L1919" s="16" t="str">
        <f>IF(B1919="","",IF(ISNA(MATCH(B1919,Client_List!$B:$B,0)),"⚠ NOT FOUND","✓"))</f>
        <v/>
      </c>
    </row>
    <row r="1920" spans="1:12" ht="14" customHeight="1" x14ac:dyDescent="0.2">
      <c r="A1920" s="59"/>
      <c r="B1920" s="18"/>
      <c r="C1920" s="19" t="str">
        <f>IF(B1920="","",IFERROR(INDEX(Client_List!$C:$C,MATCH(B1920,Client_List!$B:$B,0)),""))</f>
        <v/>
      </c>
      <c r="D1920" s="19" t="str">
        <f>IF(B1920="","",IFERROR(INDEX(Client_List!$D:$D,MATCH(B1920,Client_List!$B:$B,0)),""))</f>
        <v/>
      </c>
      <c r="E1920" s="19" t="str">
        <f>IF(B1920="","",IFERROR(INDEX(Client_List!$K:$K,MATCH(B1920,Client_List!$B:$B,0)),""))</f>
        <v/>
      </c>
      <c r="F1920" s="19" t="str">
        <f>IF(B1920="","",IFERROR(INDEX(Client_List!$J:$J,MATCH(B1920,Client_List!$B:$B,0)),""))</f>
        <v/>
      </c>
      <c r="G1920" s="19"/>
      <c r="H1920" s="19" t="str">
        <f>IF(B1920="","",IFERROR(A1920-LOOKUP(2,1/($B$4:$B1919=B1920),$A$4:$A1919),""))</f>
        <v/>
      </c>
      <c r="I1920" s="19" t="str">
        <f t="shared" si="29"/>
        <v/>
      </c>
      <c r="J1920" s="19"/>
      <c r="K1920" s="6" t="str">
        <f>IF(B1920="","",IFERROR(AVERAGEIFS($I$4:$I1920,$B$4:$B1920,B1920,$I$4:$I1920,"&gt;"&amp;0),""))</f>
        <v/>
      </c>
      <c r="L1920" s="19" t="str">
        <f>IF(B1920="","",IF(ISNA(MATCH(B1920,Client_List!$B:$B,0)),"⚠ NOT FOUND","✓"))</f>
        <v/>
      </c>
    </row>
    <row r="1921" spans="1:12" ht="14" customHeight="1" x14ac:dyDescent="0.2">
      <c r="A1921" s="58"/>
      <c r="B1921" s="15"/>
      <c r="C1921" s="16" t="str">
        <f>IF(B1921="","",IFERROR(INDEX(Client_List!$C:$C,MATCH(B1921,Client_List!$B:$B,0)),""))</f>
        <v/>
      </c>
      <c r="D1921" s="16" t="str">
        <f>IF(B1921="","",IFERROR(INDEX(Client_List!$D:$D,MATCH(B1921,Client_List!$B:$B,0)),""))</f>
        <v/>
      </c>
      <c r="E1921" s="16" t="str">
        <f>IF(B1921="","",IFERROR(INDEX(Client_List!$K:$K,MATCH(B1921,Client_List!$B:$B,0)),""))</f>
        <v/>
      </c>
      <c r="F1921" s="16" t="str">
        <f>IF(B1921="","",IFERROR(INDEX(Client_List!$J:$J,MATCH(B1921,Client_List!$B:$B,0)),""))</f>
        <v/>
      </c>
      <c r="G1921" s="16"/>
      <c r="H1921" s="16" t="str">
        <f>IF(B1921="","",IFERROR(A1921-LOOKUP(2,1/($B$4:$B1920=B1921),$A$4:$A1920),""))</f>
        <v/>
      </c>
      <c r="I1921" s="16" t="str">
        <f t="shared" si="29"/>
        <v/>
      </c>
      <c r="J1921" s="16"/>
      <c r="K1921" s="6" t="str">
        <f>IF(B1921="","",IFERROR(AVERAGEIFS($I$4:$I1921,$B$4:$B1921,B1921,$I$4:$I1921,"&gt;"&amp;0),""))</f>
        <v/>
      </c>
      <c r="L1921" s="16" t="str">
        <f>IF(B1921="","",IF(ISNA(MATCH(B1921,Client_List!$B:$B,0)),"⚠ NOT FOUND","✓"))</f>
        <v/>
      </c>
    </row>
    <row r="1922" spans="1:12" ht="14" customHeight="1" x14ac:dyDescent="0.2">
      <c r="A1922" s="59"/>
      <c r="B1922" s="18"/>
      <c r="C1922" s="19" t="str">
        <f>IF(B1922="","",IFERROR(INDEX(Client_List!$C:$C,MATCH(B1922,Client_List!$B:$B,0)),""))</f>
        <v/>
      </c>
      <c r="D1922" s="19" t="str">
        <f>IF(B1922="","",IFERROR(INDEX(Client_List!$D:$D,MATCH(B1922,Client_List!$B:$B,0)),""))</f>
        <v/>
      </c>
      <c r="E1922" s="19" t="str">
        <f>IF(B1922="","",IFERROR(INDEX(Client_List!$K:$K,MATCH(B1922,Client_List!$B:$B,0)),""))</f>
        <v/>
      </c>
      <c r="F1922" s="19" t="str">
        <f>IF(B1922="","",IFERROR(INDEX(Client_List!$J:$J,MATCH(B1922,Client_List!$B:$B,0)),""))</f>
        <v/>
      </c>
      <c r="G1922" s="19"/>
      <c r="H1922" s="19" t="str">
        <f>IF(B1922="","",IFERROR(A1922-LOOKUP(2,1/($B$4:$B1921=B1922),$A$4:$A1921),""))</f>
        <v/>
      </c>
      <c r="I1922" s="19" t="str">
        <f t="shared" si="29"/>
        <v/>
      </c>
      <c r="J1922" s="19"/>
      <c r="K1922" s="6" t="str">
        <f>IF(B1922="","",IFERROR(AVERAGEIFS($I$4:$I1922,$B$4:$B1922,B1922,$I$4:$I1922,"&gt;"&amp;0),""))</f>
        <v/>
      </c>
      <c r="L1922" s="19" t="str">
        <f>IF(B1922="","",IF(ISNA(MATCH(B1922,Client_List!$B:$B,0)),"⚠ NOT FOUND","✓"))</f>
        <v/>
      </c>
    </row>
    <row r="1923" spans="1:12" ht="14" customHeight="1" x14ac:dyDescent="0.2">
      <c r="A1923" s="58"/>
      <c r="B1923" s="15"/>
      <c r="C1923" s="16" t="str">
        <f>IF(B1923="","",IFERROR(INDEX(Client_List!$C:$C,MATCH(B1923,Client_List!$B:$B,0)),""))</f>
        <v/>
      </c>
      <c r="D1923" s="16" t="str">
        <f>IF(B1923="","",IFERROR(INDEX(Client_List!$D:$D,MATCH(B1923,Client_List!$B:$B,0)),""))</f>
        <v/>
      </c>
      <c r="E1923" s="16" t="str">
        <f>IF(B1923="","",IFERROR(INDEX(Client_List!$K:$K,MATCH(B1923,Client_List!$B:$B,0)),""))</f>
        <v/>
      </c>
      <c r="F1923" s="16" t="str">
        <f>IF(B1923="","",IFERROR(INDEX(Client_List!$J:$J,MATCH(B1923,Client_List!$B:$B,0)),""))</f>
        <v/>
      </c>
      <c r="G1923" s="16"/>
      <c r="H1923" s="16" t="str">
        <f>IF(B1923="","",IFERROR(A1923-LOOKUP(2,1/($B$4:$B1922=B1923),$A$4:$A1922),""))</f>
        <v/>
      </c>
      <c r="I1923" s="16" t="str">
        <f t="shared" si="29"/>
        <v/>
      </c>
      <c r="J1923" s="16"/>
      <c r="K1923" s="6" t="str">
        <f>IF(B1923="","",IFERROR(AVERAGEIFS($I$4:$I1923,$B$4:$B1923,B1923,$I$4:$I1923,"&gt;"&amp;0),""))</f>
        <v/>
      </c>
      <c r="L1923" s="16" t="str">
        <f>IF(B1923="","",IF(ISNA(MATCH(B1923,Client_List!$B:$B,0)),"⚠ NOT FOUND","✓"))</f>
        <v/>
      </c>
    </row>
    <row r="1924" spans="1:12" ht="14" customHeight="1" x14ac:dyDescent="0.2">
      <c r="A1924" s="59"/>
      <c r="B1924" s="18"/>
      <c r="C1924" s="19" t="str">
        <f>IF(B1924="","",IFERROR(INDEX(Client_List!$C:$C,MATCH(B1924,Client_List!$B:$B,0)),""))</f>
        <v/>
      </c>
      <c r="D1924" s="19" t="str">
        <f>IF(B1924="","",IFERROR(INDEX(Client_List!$D:$D,MATCH(B1924,Client_List!$B:$B,0)),""))</f>
        <v/>
      </c>
      <c r="E1924" s="19" t="str">
        <f>IF(B1924="","",IFERROR(INDEX(Client_List!$K:$K,MATCH(B1924,Client_List!$B:$B,0)),""))</f>
        <v/>
      </c>
      <c r="F1924" s="19" t="str">
        <f>IF(B1924="","",IFERROR(INDEX(Client_List!$J:$J,MATCH(B1924,Client_List!$B:$B,0)),""))</f>
        <v/>
      </c>
      <c r="G1924" s="19"/>
      <c r="H1924" s="19" t="str">
        <f>IF(B1924="","",IFERROR(A1924-LOOKUP(2,1/($B$4:$B1923=B1924),$A$4:$A1923),""))</f>
        <v/>
      </c>
      <c r="I1924" s="19" t="str">
        <f t="shared" ref="I1924:I1987" si="30">IF(B1924="","",IFERROR(G1924/H1924,""))</f>
        <v/>
      </c>
      <c r="J1924" s="19"/>
      <c r="K1924" s="6" t="str">
        <f>IF(B1924="","",IFERROR(AVERAGEIFS($I$4:$I1924,$B$4:$B1924,B1924,$I$4:$I1924,"&gt;"&amp;0),""))</f>
        <v/>
      </c>
      <c r="L1924" s="19" t="str">
        <f>IF(B1924="","",IF(ISNA(MATCH(B1924,Client_List!$B:$B,0)),"⚠ NOT FOUND","✓"))</f>
        <v/>
      </c>
    </row>
    <row r="1925" spans="1:12" ht="14" customHeight="1" x14ac:dyDescent="0.2">
      <c r="A1925" s="58"/>
      <c r="B1925" s="15"/>
      <c r="C1925" s="16" t="str">
        <f>IF(B1925="","",IFERROR(INDEX(Client_List!$C:$C,MATCH(B1925,Client_List!$B:$B,0)),""))</f>
        <v/>
      </c>
      <c r="D1925" s="16" t="str">
        <f>IF(B1925="","",IFERROR(INDEX(Client_List!$D:$D,MATCH(B1925,Client_List!$B:$B,0)),""))</f>
        <v/>
      </c>
      <c r="E1925" s="16" t="str">
        <f>IF(B1925="","",IFERROR(INDEX(Client_List!$K:$K,MATCH(B1925,Client_List!$B:$B,0)),""))</f>
        <v/>
      </c>
      <c r="F1925" s="16" t="str">
        <f>IF(B1925="","",IFERROR(INDEX(Client_List!$J:$J,MATCH(B1925,Client_List!$B:$B,0)),""))</f>
        <v/>
      </c>
      <c r="G1925" s="16"/>
      <c r="H1925" s="16" t="str">
        <f>IF(B1925="","",IFERROR(A1925-LOOKUP(2,1/($B$4:$B1924=B1925),$A$4:$A1924),""))</f>
        <v/>
      </c>
      <c r="I1925" s="16" t="str">
        <f t="shared" si="30"/>
        <v/>
      </c>
      <c r="J1925" s="16"/>
      <c r="K1925" s="6" t="str">
        <f>IF(B1925="","",IFERROR(AVERAGEIFS($I$4:$I1925,$B$4:$B1925,B1925,$I$4:$I1925,"&gt;"&amp;0),""))</f>
        <v/>
      </c>
      <c r="L1925" s="16" t="str">
        <f>IF(B1925="","",IF(ISNA(MATCH(B1925,Client_List!$B:$B,0)),"⚠ NOT FOUND","✓"))</f>
        <v/>
      </c>
    </row>
    <row r="1926" spans="1:12" ht="14" customHeight="1" x14ac:dyDescent="0.2">
      <c r="A1926" s="59"/>
      <c r="B1926" s="18"/>
      <c r="C1926" s="19" t="str">
        <f>IF(B1926="","",IFERROR(INDEX(Client_List!$C:$C,MATCH(B1926,Client_List!$B:$B,0)),""))</f>
        <v/>
      </c>
      <c r="D1926" s="19" t="str">
        <f>IF(B1926="","",IFERROR(INDEX(Client_List!$D:$D,MATCH(B1926,Client_List!$B:$B,0)),""))</f>
        <v/>
      </c>
      <c r="E1926" s="19" t="str">
        <f>IF(B1926="","",IFERROR(INDEX(Client_List!$K:$K,MATCH(B1926,Client_List!$B:$B,0)),""))</f>
        <v/>
      </c>
      <c r="F1926" s="19" t="str">
        <f>IF(B1926="","",IFERROR(INDEX(Client_List!$J:$J,MATCH(B1926,Client_List!$B:$B,0)),""))</f>
        <v/>
      </c>
      <c r="G1926" s="19"/>
      <c r="H1926" s="19" t="str">
        <f>IF(B1926="","",IFERROR(A1926-LOOKUP(2,1/($B$4:$B1925=B1926),$A$4:$A1925),""))</f>
        <v/>
      </c>
      <c r="I1926" s="19" t="str">
        <f t="shared" si="30"/>
        <v/>
      </c>
      <c r="J1926" s="19"/>
      <c r="K1926" s="6" t="str">
        <f>IF(B1926="","",IFERROR(AVERAGEIFS($I$4:$I1926,$B$4:$B1926,B1926,$I$4:$I1926,"&gt;"&amp;0),""))</f>
        <v/>
      </c>
      <c r="L1926" s="19" t="str">
        <f>IF(B1926="","",IF(ISNA(MATCH(B1926,Client_List!$B:$B,0)),"⚠ NOT FOUND","✓"))</f>
        <v/>
      </c>
    </row>
    <row r="1927" spans="1:12" ht="14" customHeight="1" x14ac:dyDescent="0.2">
      <c r="A1927" s="58"/>
      <c r="B1927" s="15"/>
      <c r="C1927" s="16" t="str">
        <f>IF(B1927="","",IFERROR(INDEX(Client_List!$C:$C,MATCH(B1927,Client_List!$B:$B,0)),""))</f>
        <v/>
      </c>
      <c r="D1927" s="16" t="str">
        <f>IF(B1927="","",IFERROR(INDEX(Client_List!$D:$D,MATCH(B1927,Client_List!$B:$B,0)),""))</f>
        <v/>
      </c>
      <c r="E1927" s="16" t="str">
        <f>IF(B1927="","",IFERROR(INDEX(Client_List!$K:$K,MATCH(B1927,Client_List!$B:$B,0)),""))</f>
        <v/>
      </c>
      <c r="F1927" s="16" t="str">
        <f>IF(B1927="","",IFERROR(INDEX(Client_List!$J:$J,MATCH(B1927,Client_List!$B:$B,0)),""))</f>
        <v/>
      </c>
      <c r="G1927" s="16"/>
      <c r="H1927" s="16" t="str">
        <f>IF(B1927="","",IFERROR(A1927-LOOKUP(2,1/($B$4:$B1926=B1927),$A$4:$A1926),""))</f>
        <v/>
      </c>
      <c r="I1927" s="16" t="str">
        <f t="shared" si="30"/>
        <v/>
      </c>
      <c r="J1927" s="16"/>
      <c r="K1927" s="6" t="str">
        <f>IF(B1927="","",IFERROR(AVERAGEIFS($I$4:$I1927,$B$4:$B1927,B1927,$I$4:$I1927,"&gt;"&amp;0),""))</f>
        <v/>
      </c>
      <c r="L1927" s="16" t="str">
        <f>IF(B1927="","",IF(ISNA(MATCH(B1927,Client_List!$B:$B,0)),"⚠ NOT FOUND","✓"))</f>
        <v/>
      </c>
    </row>
    <row r="1928" spans="1:12" ht="14" customHeight="1" x14ac:dyDescent="0.2">
      <c r="A1928" s="59"/>
      <c r="B1928" s="18"/>
      <c r="C1928" s="19" t="str">
        <f>IF(B1928="","",IFERROR(INDEX(Client_List!$C:$C,MATCH(B1928,Client_List!$B:$B,0)),""))</f>
        <v/>
      </c>
      <c r="D1928" s="19" t="str">
        <f>IF(B1928="","",IFERROR(INDEX(Client_List!$D:$D,MATCH(B1928,Client_List!$B:$B,0)),""))</f>
        <v/>
      </c>
      <c r="E1928" s="19" t="str">
        <f>IF(B1928="","",IFERROR(INDEX(Client_List!$K:$K,MATCH(B1928,Client_List!$B:$B,0)),""))</f>
        <v/>
      </c>
      <c r="F1928" s="19" t="str">
        <f>IF(B1928="","",IFERROR(INDEX(Client_List!$J:$J,MATCH(B1928,Client_List!$B:$B,0)),""))</f>
        <v/>
      </c>
      <c r="G1928" s="19"/>
      <c r="H1928" s="19" t="str">
        <f>IF(B1928="","",IFERROR(A1928-LOOKUP(2,1/($B$4:$B1927=B1928),$A$4:$A1927),""))</f>
        <v/>
      </c>
      <c r="I1928" s="19" t="str">
        <f t="shared" si="30"/>
        <v/>
      </c>
      <c r="J1928" s="19"/>
      <c r="K1928" s="6" t="str">
        <f>IF(B1928="","",IFERROR(AVERAGEIFS($I$4:$I1928,$B$4:$B1928,B1928,$I$4:$I1928,"&gt;"&amp;0),""))</f>
        <v/>
      </c>
      <c r="L1928" s="19" t="str">
        <f>IF(B1928="","",IF(ISNA(MATCH(B1928,Client_List!$B:$B,0)),"⚠ NOT FOUND","✓"))</f>
        <v/>
      </c>
    </row>
    <row r="1929" spans="1:12" ht="14" customHeight="1" x14ac:dyDescent="0.2">
      <c r="A1929" s="58"/>
      <c r="B1929" s="15"/>
      <c r="C1929" s="16" t="str">
        <f>IF(B1929="","",IFERROR(INDEX(Client_List!$C:$C,MATCH(B1929,Client_List!$B:$B,0)),""))</f>
        <v/>
      </c>
      <c r="D1929" s="16" t="str">
        <f>IF(B1929="","",IFERROR(INDEX(Client_List!$D:$D,MATCH(B1929,Client_List!$B:$B,0)),""))</f>
        <v/>
      </c>
      <c r="E1929" s="16" t="str">
        <f>IF(B1929="","",IFERROR(INDEX(Client_List!$K:$K,MATCH(B1929,Client_List!$B:$B,0)),""))</f>
        <v/>
      </c>
      <c r="F1929" s="16" t="str">
        <f>IF(B1929="","",IFERROR(INDEX(Client_List!$J:$J,MATCH(B1929,Client_List!$B:$B,0)),""))</f>
        <v/>
      </c>
      <c r="G1929" s="16"/>
      <c r="H1929" s="16" t="str">
        <f>IF(B1929="","",IFERROR(A1929-LOOKUP(2,1/($B$4:$B1928=B1929),$A$4:$A1928),""))</f>
        <v/>
      </c>
      <c r="I1929" s="16" t="str">
        <f t="shared" si="30"/>
        <v/>
      </c>
      <c r="J1929" s="16"/>
      <c r="K1929" s="6" t="str">
        <f>IF(B1929="","",IFERROR(AVERAGEIFS($I$4:$I1929,$B$4:$B1929,B1929,$I$4:$I1929,"&gt;"&amp;0),""))</f>
        <v/>
      </c>
      <c r="L1929" s="16" t="str">
        <f>IF(B1929="","",IF(ISNA(MATCH(B1929,Client_List!$B:$B,0)),"⚠ NOT FOUND","✓"))</f>
        <v/>
      </c>
    </row>
    <row r="1930" spans="1:12" ht="14" customHeight="1" x14ac:dyDescent="0.2">
      <c r="A1930" s="59"/>
      <c r="B1930" s="18"/>
      <c r="C1930" s="19" t="str">
        <f>IF(B1930="","",IFERROR(INDEX(Client_List!$C:$C,MATCH(B1930,Client_List!$B:$B,0)),""))</f>
        <v/>
      </c>
      <c r="D1930" s="19" t="str">
        <f>IF(B1930="","",IFERROR(INDEX(Client_List!$D:$D,MATCH(B1930,Client_List!$B:$B,0)),""))</f>
        <v/>
      </c>
      <c r="E1930" s="19" t="str">
        <f>IF(B1930="","",IFERROR(INDEX(Client_List!$K:$K,MATCH(B1930,Client_List!$B:$B,0)),""))</f>
        <v/>
      </c>
      <c r="F1930" s="19" t="str">
        <f>IF(B1930="","",IFERROR(INDEX(Client_List!$J:$J,MATCH(B1930,Client_List!$B:$B,0)),""))</f>
        <v/>
      </c>
      <c r="G1930" s="19"/>
      <c r="H1930" s="19" t="str">
        <f>IF(B1930="","",IFERROR(A1930-LOOKUP(2,1/($B$4:$B1929=B1930),$A$4:$A1929),""))</f>
        <v/>
      </c>
      <c r="I1930" s="19" t="str">
        <f t="shared" si="30"/>
        <v/>
      </c>
      <c r="J1930" s="19"/>
      <c r="K1930" s="6" t="str">
        <f>IF(B1930="","",IFERROR(AVERAGEIFS($I$4:$I1930,$B$4:$B1930,B1930,$I$4:$I1930,"&gt;"&amp;0),""))</f>
        <v/>
      </c>
      <c r="L1930" s="19" t="str">
        <f>IF(B1930="","",IF(ISNA(MATCH(B1930,Client_List!$B:$B,0)),"⚠ NOT FOUND","✓"))</f>
        <v/>
      </c>
    </row>
    <row r="1931" spans="1:12" ht="14" customHeight="1" x14ac:dyDescent="0.2">
      <c r="A1931" s="58"/>
      <c r="B1931" s="15"/>
      <c r="C1931" s="16" t="str">
        <f>IF(B1931="","",IFERROR(INDEX(Client_List!$C:$C,MATCH(B1931,Client_List!$B:$B,0)),""))</f>
        <v/>
      </c>
      <c r="D1931" s="16" t="str">
        <f>IF(B1931="","",IFERROR(INDEX(Client_List!$D:$D,MATCH(B1931,Client_List!$B:$B,0)),""))</f>
        <v/>
      </c>
      <c r="E1931" s="16" t="str">
        <f>IF(B1931="","",IFERROR(INDEX(Client_List!$K:$K,MATCH(B1931,Client_List!$B:$B,0)),""))</f>
        <v/>
      </c>
      <c r="F1931" s="16" t="str">
        <f>IF(B1931="","",IFERROR(INDEX(Client_List!$J:$J,MATCH(B1931,Client_List!$B:$B,0)),""))</f>
        <v/>
      </c>
      <c r="G1931" s="16"/>
      <c r="H1931" s="16" t="str">
        <f>IF(B1931="","",IFERROR(A1931-LOOKUP(2,1/($B$4:$B1930=B1931),$A$4:$A1930),""))</f>
        <v/>
      </c>
      <c r="I1931" s="16" t="str">
        <f t="shared" si="30"/>
        <v/>
      </c>
      <c r="J1931" s="16"/>
      <c r="K1931" s="6" t="str">
        <f>IF(B1931="","",IFERROR(AVERAGEIFS($I$4:$I1931,$B$4:$B1931,B1931,$I$4:$I1931,"&gt;"&amp;0),""))</f>
        <v/>
      </c>
      <c r="L1931" s="16" t="str">
        <f>IF(B1931="","",IF(ISNA(MATCH(B1931,Client_List!$B:$B,0)),"⚠ NOT FOUND","✓"))</f>
        <v/>
      </c>
    </row>
    <row r="1932" spans="1:12" ht="14" customHeight="1" x14ac:dyDescent="0.2">
      <c r="A1932" s="59"/>
      <c r="B1932" s="18"/>
      <c r="C1932" s="19" t="str">
        <f>IF(B1932="","",IFERROR(INDEX(Client_List!$C:$C,MATCH(B1932,Client_List!$B:$B,0)),""))</f>
        <v/>
      </c>
      <c r="D1932" s="19" t="str">
        <f>IF(B1932="","",IFERROR(INDEX(Client_List!$D:$D,MATCH(B1932,Client_List!$B:$B,0)),""))</f>
        <v/>
      </c>
      <c r="E1932" s="19" t="str">
        <f>IF(B1932="","",IFERROR(INDEX(Client_List!$K:$K,MATCH(B1932,Client_List!$B:$B,0)),""))</f>
        <v/>
      </c>
      <c r="F1932" s="19" t="str">
        <f>IF(B1932="","",IFERROR(INDEX(Client_List!$J:$J,MATCH(B1932,Client_List!$B:$B,0)),""))</f>
        <v/>
      </c>
      <c r="G1932" s="19"/>
      <c r="H1932" s="19" t="str">
        <f>IF(B1932="","",IFERROR(A1932-LOOKUP(2,1/($B$4:$B1931=B1932),$A$4:$A1931),""))</f>
        <v/>
      </c>
      <c r="I1932" s="19" t="str">
        <f t="shared" si="30"/>
        <v/>
      </c>
      <c r="J1932" s="19"/>
      <c r="K1932" s="6" t="str">
        <f>IF(B1932="","",IFERROR(AVERAGEIFS($I$4:$I1932,$B$4:$B1932,B1932,$I$4:$I1932,"&gt;"&amp;0),""))</f>
        <v/>
      </c>
      <c r="L1932" s="19" t="str">
        <f>IF(B1932="","",IF(ISNA(MATCH(B1932,Client_List!$B:$B,0)),"⚠ NOT FOUND","✓"))</f>
        <v/>
      </c>
    </row>
    <row r="1933" spans="1:12" ht="14" customHeight="1" x14ac:dyDescent="0.2">
      <c r="A1933" s="58"/>
      <c r="B1933" s="15"/>
      <c r="C1933" s="16" t="str">
        <f>IF(B1933="","",IFERROR(INDEX(Client_List!$C:$C,MATCH(B1933,Client_List!$B:$B,0)),""))</f>
        <v/>
      </c>
      <c r="D1933" s="16" t="str">
        <f>IF(B1933="","",IFERROR(INDEX(Client_List!$D:$D,MATCH(B1933,Client_List!$B:$B,0)),""))</f>
        <v/>
      </c>
      <c r="E1933" s="16" t="str">
        <f>IF(B1933="","",IFERROR(INDEX(Client_List!$K:$K,MATCH(B1933,Client_List!$B:$B,0)),""))</f>
        <v/>
      </c>
      <c r="F1933" s="16" t="str">
        <f>IF(B1933="","",IFERROR(INDEX(Client_List!$J:$J,MATCH(B1933,Client_List!$B:$B,0)),""))</f>
        <v/>
      </c>
      <c r="G1933" s="16"/>
      <c r="H1933" s="16" t="str">
        <f>IF(B1933="","",IFERROR(A1933-LOOKUP(2,1/($B$4:$B1932=B1933),$A$4:$A1932),""))</f>
        <v/>
      </c>
      <c r="I1933" s="16" t="str">
        <f t="shared" si="30"/>
        <v/>
      </c>
      <c r="J1933" s="16"/>
      <c r="K1933" s="6" t="str">
        <f>IF(B1933="","",IFERROR(AVERAGEIFS($I$4:$I1933,$B$4:$B1933,B1933,$I$4:$I1933,"&gt;"&amp;0),""))</f>
        <v/>
      </c>
      <c r="L1933" s="16" t="str">
        <f>IF(B1933="","",IF(ISNA(MATCH(B1933,Client_List!$B:$B,0)),"⚠ NOT FOUND","✓"))</f>
        <v/>
      </c>
    </row>
    <row r="1934" spans="1:12" ht="14" customHeight="1" x14ac:dyDescent="0.2">
      <c r="A1934" s="59"/>
      <c r="B1934" s="18"/>
      <c r="C1934" s="19" t="str">
        <f>IF(B1934="","",IFERROR(INDEX(Client_List!$C:$C,MATCH(B1934,Client_List!$B:$B,0)),""))</f>
        <v/>
      </c>
      <c r="D1934" s="19" t="str">
        <f>IF(B1934="","",IFERROR(INDEX(Client_List!$D:$D,MATCH(B1934,Client_List!$B:$B,0)),""))</f>
        <v/>
      </c>
      <c r="E1934" s="19" t="str">
        <f>IF(B1934="","",IFERROR(INDEX(Client_List!$K:$K,MATCH(B1934,Client_List!$B:$B,0)),""))</f>
        <v/>
      </c>
      <c r="F1934" s="19" t="str">
        <f>IF(B1934="","",IFERROR(INDEX(Client_List!$J:$J,MATCH(B1934,Client_List!$B:$B,0)),""))</f>
        <v/>
      </c>
      <c r="G1934" s="19"/>
      <c r="H1934" s="19" t="str">
        <f>IF(B1934="","",IFERROR(A1934-LOOKUP(2,1/($B$4:$B1933=B1934),$A$4:$A1933),""))</f>
        <v/>
      </c>
      <c r="I1934" s="19" t="str">
        <f t="shared" si="30"/>
        <v/>
      </c>
      <c r="J1934" s="19"/>
      <c r="K1934" s="6" t="str">
        <f>IF(B1934="","",IFERROR(AVERAGEIFS($I$4:$I1934,$B$4:$B1934,B1934,$I$4:$I1934,"&gt;"&amp;0),""))</f>
        <v/>
      </c>
      <c r="L1934" s="19" t="str">
        <f>IF(B1934="","",IF(ISNA(MATCH(B1934,Client_List!$B:$B,0)),"⚠ NOT FOUND","✓"))</f>
        <v/>
      </c>
    </row>
    <row r="1935" spans="1:12" ht="14" customHeight="1" x14ac:dyDescent="0.2">
      <c r="A1935" s="58"/>
      <c r="B1935" s="15"/>
      <c r="C1935" s="16" t="str">
        <f>IF(B1935="","",IFERROR(INDEX(Client_List!$C:$C,MATCH(B1935,Client_List!$B:$B,0)),""))</f>
        <v/>
      </c>
      <c r="D1935" s="16" t="str">
        <f>IF(B1935="","",IFERROR(INDEX(Client_List!$D:$D,MATCH(B1935,Client_List!$B:$B,0)),""))</f>
        <v/>
      </c>
      <c r="E1935" s="16" t="str">
        <f>IF(B1935="","",IFERROR(INDEX(Client_List!$K:$K,MATCH(B1935,Client_List!$B:$B,0)),""))</f>
        <v/>
      </c>
      <c r="F1935" s="16" t="str">
        <f>IF(B1935="","",IFERROR(INDEX(Client_List!$J:$J,MATCH(B1935,Client_List!$B:$B,0)),""))</f>
        <v/>
      </c>
      <c r="G1935" s="16"/>
      <c r="H1935" s="16" t="str">
        <f>IF(B1935="","",IFERROR(A1935-LOOKUP(2,1/($B$4:$B1934=B1935),$A$4:$A1934),""))</f>
        <v/>
      </c>
      <c r="I1935" s="16" t="str">
        <f t="shared" si="30"/>
        <v/>
      </c>
      <c r="J1935" s="16"/>
      <c r="K1935" s="6" t="str">
        <f>IF(B1935="","",IFERROR(AVERAGEIFS($I$4:$I1935,$B$4:$B1935,B1935,$I$4:$I1935,"&gt;"&amp;0),""))</f>
        <v/>
      </c>
      <c r="L1935" s="16" t="str">
        <f>IF(B1935="","",IF(ISNA(MATCH(B1935,Client_List!$B:$B,0)),"⚠ NOT FOUND","✓"))</f>
        <v/>
      </c>
    </row>
    <row r="1936" spans="1:12" ht="14" customHeight="1" x14ac:dyDescent="0.2">
      <c r="A1936" s="59"/>
      <c r="B1936" s="18"/>
      <c r="C1936" s="19" t="str">
        <f>IF(B1936="","",IFERROR(INDEX(Client_List!$C:$C,MATCH(B1936,Client_List!$B:$B,0)),""))</f>
        <v/>
      </c>
      <c r="D1936" s="19" t="str">
        <f>IF(B1936="","",IFERROR(INDEX(Client_List!$D:$D,MATCH(B1936,Client_List!$B:$B,0)),""))</f>
        <v/>
      </c>
      <c r="E1936" s="19" t="str">
        <f>IF(B1936="","",IFERROR(INDEX(Client_List!$K:$K,MATCH(B1936,Client_List!$B:$B,0)),""))</f>
        <v/>
      </c>
      <c r="F1936" s="19" t="str">
        <f>IF(B1936="","",IFERROR(INDEX(Client_List!$J:$J,MATCH(B1936,Client_List!$B:$B,0)),""))</f>
        <v/>
      </c>
      <c r="G1936" s="19"/>
      <c r="H1936" s="19" t="str">
        <f>IF(B1936="","",IFERROR(A1936-LOOKUP(2,1/($B$4:$B1935=B1936),$A$4:$A1935),""))</f>
        <v/>
      </c>
      <c r="I1936" s="19" t="str">
        <f t="shared" si="30"/>
        <v/>
      </c>
      <c r="J1936" s="19"/>
      <c r="K1936" s="6" t="str">
        <f>IF(B1936="","",IFERROR(AVERAGEIFS($I$4:$I1936,$B$4:$B1936,B1936,$I$4:$I1936,"&gt;"&amp;0),""))</f>
        <v/>
      </c>
      <c r="L1936" s="19" t="str">
        <f>IF(B1936="","",IF(ISNA(MATCH(B1936,Client_List!$B:$B,0)),"⚠ NOT FOUND","✓"))</f>
        <v/>
      </c>
    </row>
    <row r="1937" spans="1:12" ht="14" customHeight="1" x14ac:dyDescent="0.2">
      <c r="A1937" s="58"/>
      <c r="B1937" s="15"/>
      <c r="C1937" s="16" t="str">
        <f>IF(B1937="","",IFERROR(INDEX(Client_List!$C:$C,MATCH(B1937,Client_List!$B:$B,0)),""))</f>
        <v/>
      </c>
      <c r="D1937" s="16" t="str">
        <f>IF(B1937="","",IFERROR(INDEX(Client_List!$D:$D,MATCH(B1937,Client_List!$B:$B,0)),""))</f>
        <v/>
      </c>
      <c r="E1937" s="16" t="str">
        <f>IF(B1937="","",IFERROR(INDEX(Client_List!$K:$K,MATCH(B1937,Client_List!$B:$B,0)),""))</f>
        <v/>
      </c>
      <c r="F1937" s="16" t="str">
        <f>IF(B1937="","",IFERROR(INDEX(Client_List!$J:$J,MATCH(B1937,Client_List!$B:$B,0)),""))</f>
        <v/>
      </c>
      <c r="G1937" s="16"/>
      <c r="H1937" s="16" t="str">
        <f>IF(B1937="","",IFERROR(A1937-LOOKUP(2,1/($B$4:$B1936=B1937),$A$4:$A1936),""))</f>
        <v/>
      </c>
      <c r="I1937" s="16" t="str">
        <f t="shared" si="30"/>
        <v/>
      </c>
      <c r="J1937" s="16"/>
      <c r="K1937" s="6" t="str">
        <f>IF(B1937="","",IFERROR(AVERAGEIFS($I$4:$I1937,$B$4:$B1937,B1937,$I$4:$I1937,"&gt;"&amp;0),""))</f>
        <v/>
      </c>
      <c r="L1937" s="16" t="str">
        <f>IF(B1937="","",IF(ISNA(MATCH(B1937,Client_List!$B:$B,0)),"⚠ NOT FOUND","✓"))</f>
        <v/>
      </c>
    </row>
    <row r="1938" spans="1:12" ht="14" customHeight="1" x14ac:dyDescent="0.2">
      <c r="A1938" s="59"/>
      <c r="B1938" s="18"/>
      <c r="C1938" s="19" t="str">
        <f>IF(B1938="","",IFERROR(INDEX(Client_List!$C:$C,MATCH(B1938,Client_List!$B:$B,0)),""))</f>
        <v/>
      </c>
      <c r="D1938" s="19" t="str">
        <f>IF(B1938="","",IFERROR(INDEX(Client_List!$D:$D,MATCH(B1938,Client_List!$B:$B,0)),""))</f>
        <v/>
      </c>
      <c r="E1938" s="19" t="str">
        <f>IF(B1938="","",IFERROR(INDEX(Client_List!$K:$K,MATCH(B1938,Client_List!$B:$B,0)),""))</f>
        <v/>
      </c>
      <c r="F1938" s="19" t="str">
        <f>IF(B1938="","",IFERROR(INDEX(Client_List!$J:$J,MATCH(B1938,Client_List!$B:$B,0)),""))</f>
        <v/>
      </c>
      <c r="G1938" s="19"/>
      <c r="H1938" s="19" t="str">
        <f>IF(B1938="","",IFERROR(A1938-LOOKUP(2,1/($B$4:$B1937=B1938),$A$4:$A1937),""))</f>
        <v/>
      </c>
      <c r="I1938" s="19" t="str">
        <f t="shared" si="30"/>
        <v/>
      </c>
      <c r="J1938" s="19"/>
      <c r="K1938" s="6" t="str">
        <f>IF(B1938="","",IFERROR(AVERAGEIFS($I$4:$I1938,$B$4:$B1938,B1938,$I$4:$I1938,"&gt;"&amp;0),""))</f>
        <v/>
      </c>
      <c r="L1938" s="19" t="str">
        <f>IF(B1938="","",IF(ISNA(MATCH(B1938,Client_List!$B:$B,0)),"⚠ NOT FOUND","✓"))</f>
        <v/>
      </c>
    </row>
    <row r="1939" spans="1:12" ht="14" customHeight="1" x14ac:dyDescent="0.2">
      <c r="A1939" s="58"/>
      <c r="B1939" s="15"/>
      <c r="C1939" s="16" t="str">
        <f>IF(B1939="","",IFERROR(INDEX(Client_List!$C:$C,MATCH(B1939,Client_List!$B:$B,0)),""))</f>
        <v/>
      </c>
      <c r="D1939" s="16" t="str">
        <f>IF(B1939="","",IFERROR(INDEX(Client_List!$D:$D,MATCH(B1939,Client_List!$B:$B,0)),""))</f>
        <v/>
      </c>
      <c r="E1939" s="16" t="str">
        <f>IF(B1939="","",IFERROR(INDEX(Client_List!$K:$K,MATCH(B1939,Client_List!$B:$B,0)),""))</f>
        <v/>
      </c>
      <c r="F1939" s="16" t="str">
        <f>IF(B1939="","",IFERROR(INDEX(Client_List!$J:$J,MATCH(B1939,Client_List!$B:$B,0)),""))</f>
        <v/>
      </c>
      <c r="G1939" s="16"/>
      <c r="H1939" s="16" t="str">
        <f>IF(B1939="","",IFERROR(A1939-LOOKUP(2,1/($B$4:$B1938=B1939),$A$4:$A1938),""))</f>
        <v/>
      </c>
      <c r="I1939" s="16" t="str">
        <f t="shared" si="30"/>
        <v/>
      </c>
      <c r="J1939" s="16"/>
      <c r="K1939" s="6" t="str">
        <f>IF(B1939="","",IFERROR(AVERAGEIFS($I$4:$I1939,$B$4:$B1939,B1939,$I$4:$I1939,"&gt;"&amp;0),""))</f>
        <v/>
      </c>
      <c r="L1939" s="16" t="str">
        <f>IF(B1939="","",IF(ISNA(MATCH(B1939,Client_List!$B:$B,0)),"⚠ NOT FOUND","✓"))</f>
        <v/>
      </c>
    </row>
    <row r="1940" spans="1:12" ht="14" customHeight="1" x14ac:dyDescent="0.2">
      <c r="A1940" s="59"/>
      <c r="B1940" s="18"/>
      <c r="C1940" s="19" t="str">
        <f>IF(B1940="","",IFERROR(INDEX(Client_List!$C:$C,MATCH(B1940,Client_List!$B:$B,0)),""))</f>
        <v/>
      </c>
      <c r="D1940" s="19" t="str">
        <f>IF(B1940="","",IFERROR(INDEX(Client_List!$D:$D,MATCH(B1940,Client_List!$B:$B,0)),""))</f>
        <v/>
      </c>
      <c r="E1940" s="19" t="str">
        <f>IF(B1940="","",IFERROR(INDEX(Client_List!$K:$K,MATCH(B1940,Client_List!$B:$B,0)),""))</f>
        <v/>
      </c>
      <c r="F1940" s="19" t="str">
        <f>IF(B1940="","",IFERROR(INDEX(Client_List!$J:$J,MATCH(B1940,Client_List!$B:$B,0)),""))</f>
        <v/>
      </c>
      <c r="G1940" s="19"/>
      <c r="H1940" s="19" t="str">
        <f>IF(B1940="","",IFERROR(A1940-LOOKUP(2,1/($B$4:$B1939=B1940),$A$4:$A1939),""))</f>
        <v/>
      </c>
      <c r="I1940" s="19" t="str">
        <f t="shared" si="30"/>
        <v/>
      </c>
      <c r="J1940" s="19"/>
      <c r="K1940" s="6" t="str">
        <f>IF(B1940="","",IFERROR(AVERAGEIFS($I$4:$I1940,$B$4:$B1940,B1940,$I$4:$I1940,"&gt;"&amp;0),""))</f>
        <v/>
      </c>
      <c r="L1940" s="19" t="str">
        <f>IF(B1940="","",IF(ISNA(MATCH(B1940,Client_List!$B:$B,0)),"⚠ NOT FOUND","✓"))</f>
        <v/>
      </c>
    </row>
    <row r="1941" spans="1:12" ht="14" customHeight="1" x14ac:dyDescent="0.2">
      <c r="A1941" s="58"/>
      <c r="B1941" s="15"/>
      <c r="C1941" s="16" t="str">
        <f>IF(B1941="","",IFERROR(INDEX(Client_List!$C:$C,MATCH(B1941,Client_List!$B:$B,0)),""))</f>
        <v/>
      </c>
      <c r="D1941" s="16" t="str">
        <f>IF(B1941="","",IFERROR(INDEX(Client_List!$D:$D,MATCH(B1941,Client_List!$B:$B,0)),""))</f>
        <v/>
      </c>
      <c r="E1941" s="16" t="str">
        <f>IF(B1941="","",IFERROR(INDEX(Client_List!$K:$K,MATCH(B1941,Client_List!$B:$B,0)),""))</f>
        <v/>
      </c>
      <c r="F1941" s="16" t="str">
        <f>IF(B1941="","",IFERROR(INDEX(Client_List!$J:$J,MATCH(B1941,Client_List!$B:$B,0)),""))</f>
        <v/>
      </c>
      <c r="G1941" s="16"/>
      <c r="H1941" s="16" t="str">
        <f>IF(B1941="","",IFERROR(A1941-LOOKUP(2,1/($B$4:$B1940=B1941),$A$4:$A1940),""))</f>
        <v/>
      </c>
      <c r="I1941" s="16" t="str">
        <f t="shared" si="30"/>
        <v/>
      </c>
      <c r="J1941" s="16"/>
      <c r="K1941" s="6" t="str">
        <f>IF(B1941="","",IFERROR(AVERAGEIFS($I$4:$I1941,$B$4:$B1941,B1941,$I$4:$I1941,"&gt;"&amp;0),""))</f>
        <v/>
      </c>
      <c r="L1941" s="16" t="str">
        <f>IF(B1941="","",IF(ISNA(MATCH(B1941,Client_List!$B:$B,0)),"⚠ NOT FOUND","✓"))</f>
        <v/>
      </c>
    </row>
    <row r="1942" spans="1:12" ht="14" customHeight="1" x14ac:dyDescent="0.2">
      <c r="A1942" s="59"/>
      <c r="B1942" s="18"/>
      <c r="C1942" s="19" t="str">
        <f>IF(B1942="","",IFERROR(INDEX(Client_List!$C:$C,MATCH(B1942,Client_List!$B:$B,0)),""))</f>
        <v/>
      </c>
      <c r="D1942" s="19" t="str">
        <f>IF(B1942="","",IFERROR(INDEX(Client_List!$D:$D,MATCH(B1942,Client_List!$B:$B,0)),""))</f>
        <v/>
      </c>
      <c r="E1942" s="19" t="str">
        <f>IF(B1942="","",IFERROR(INDEX(Client_List!$K:$K,MATCH(B1942,Client_List!$B:$B,0)),""))</f>
        <v/>
      </c>
      <c r="F1942" s="19" t="str">
        <f>IF(B1942="","",IFERROR(INDEX(Client_List!$J:$J,MATCH(B1942,Client_List!$B:$B,0)),""))</f>
        <v/>
      </c>
      <c r="G1942" s="19"/>
      <c r="H1942" s="19" t="str">
        <f>IF(B1942="","",IFERROR(A1942-LOOKUP(2,1/($B$4:$B1941=B1942),$A$4:$A1941),""))</f>
        <v/>
      </c>
      <c r="I1942" s="19" t="str">
        <f t="shared" si="30"/>
        <v/>
      </c>
      <c r="J1942" s="19"/>
      <c r="K1942" s="6" t="str">
        <f>IF(B1942="","",IFERROR(AVERAGEIFS($I$4:$I1942,$B$4:$B1942,B1942,$I$4:$I1942,"&gt;"&amp;0),""))</f>
        <v/>
      </c>
      <c r="L1942" s="19" t="str">
        <f>IF(B1942="","",IF(ISNA(MATCH(B1942,Client_List!$B:$B,0)),"⚠ NOT FOUND","✓"))</f>
        <v/>
      </c>
    </row>
    <row r="1943" spans="1:12" ht="14" customHeight="1" x14ac:dyDescent="0.2">
      <c r="A1943" s="58"/>
      <c r="B1943" s="15"/>
      <c r="C1943" s="16" t="str">
        <f>IF(B1943="","",IFERROR(INDEX(Client_List!$C:$C,MATCH(B1943,Client_List!$B:$B,0)),""))</f>
        <v/>
      </c>
      <c r="D1943" s="16" t="str">
        <f>IF(B1943="","",IFERROR(INDEX(Client_List!$D:$D,MATCH(B1943,Client_List!$B:$B,0)),""))</f>
        <v/>
      </c>
      <c r="E1943" s="16" t="str">
        <f>IF(B1943="","",IFERROR(INDEX(Client_List!$K:$K,MATCH(B1943,Client_List!$B:$B,0)),""))</f>
        <v/>
      </c>
      <c r="F1943" s="16" t="str">
        <f>IF(B1943="","",IFERROR(INDEX(Client_List!$J:$J,MATCH(B1943,Client_List!$B:$B,0)),""))</f>
        <v/>
      </c>
      <c r="G1943" s="16"/>
      <c r="H1943" s="16" t="str">
        <f>IF(B1943="","",IFERROR(A1943-LOOKUP(2,1/($B$4:$B1942=B1943),$A$4:$A1942),""))</f>
        <v/>
      </c>
      <c r="I1943" s="16" t="str">
        <f t="shared" si="30"/>
        <v/>
      </c>
      <c r="J1943" s="16"/>
      <c r="K1943" s="6" t="str">
        <f>IF(B1943="","",IFERROR(AVERAGEIFS($I$4:$I1943,$B$4:$B1943,B1943,$I$4:$I1943,"&gt;"&amp;0),""))</f>
        <v/>
      </c>
      <c r="L1943" s="16" t="str">
        <f>IF(B1943="","",IF(ISNA(MATCH(B1943,Client_List!$B:$B,0)),"⚠ NOT FOUND","✓"))</f>
        <v/>
      </c>
    </row>
    <row r="1944" spans="1:12" ht="14" customHeight="1" x14ac:dyDescent="0.2">
      <c r="A1944" s="59"/>
      <c r="B1944" s="18"/>
      <c r="C1944" s="19" t="str">
        <f>IF(B1944="","",IFERROR(INDEX(Client_List!$C:$C,MATCH(B1944,Client_List!$B:$B,0)),""))</f>
        <v/>
      </c>
      <c r="D1944" s="19" t="str">
        <f>IF(B1944="","",IFERROR(INDEX(Client_List!$D:$D,MATCH(B1944,Client_List!$B:$B,0)),""))</f>
        <v/>
      </c>
      <c r="E1944" s="19" t="str">
        <f>IF(B1944="","",IFERROR(INDEX(Client_List!$K:$K,MATCH(B1944,Client_List!$B:$B,0)),""))</f>
        <v/>
      </c>
      <c r="F1944" s="19" t="str">
        <f>IF(B1944="","",IFERROR(INDEX(Client_List!$J:$J,MATCH(B1944,Client_List!$B:$B,0)),""))</f>
        <v/>
      </c>
      <c r="G1944" s="19"/>
      <c r="H1944" s="19" t="str">
        <f>IF(B1944="","",IFERROR(A1944-LOOKUP(2,1/($B$4:$B1943=B1944),$A$4:$A1943),""))</f>
        <v/>
      </c>
      <c r="I1944" s="19" t="str">
        <f t="shared" si="30"/>
        <v/>
      </c>
      <c r="J1944" s="19"/>
      <c r="K1944" s="6" t="str">
        <f>IF(B1944="","",IFERROR(AVERAGEIFS($I$4:$I1944,$B$4:$B1944,B1944,$I$4:$I1944,"&gt;"&amp;0),""))</f>
        <v/>
      </c>
      <c r="L1944" s="19" t="str">
        <f>IF(B1944="","",IF(ISNA(MATCH(B1944,Client_List!$B:$B,0)),"⚠ NOT FOUND","✓"))</f>
        <v/>
      </c>
    </row>
    <row r="1945" spans="1:12" ht="14" customHeight="1" x14ac:dyDescent="0.2">
      <c r="A1945" s="58"/>
      <c r="B1945" s="15"/>
      <c r="C1945" s="16" t="str">
        <f>IF(B1945="","",IFERROR(INDEX(Client_List!$C:$C,MATCH(B1945,Client_List!$B:$B,0)),""))</f>
        <v/>
      </c>
      <c r="D1945" s="16" t="str">
        <f>IF(B1945="","",IFERROR(INDEX(Client_List!$D:$D,MATCH(B1945,Client_List!$B:$B,0)),""))</f>
        <v/>
      </c>
      <c r="E1945" s="16" t="str">
        <f>IF(B1945="","",IFERROR(INDEX(Client_List!$K:$K,MATCH(B1945,Client_List!$B:$B,0)),""))</f>
        <v/>
      </c>
      <c r="F1945" s="16" t="str">
        <f>IF(B1945="","",IFERROR(INDEX(Client_List!$J:$J,MATCH(B1945,Client_List!$B:$B,0)),""))</f>
        <v/>
      </c>
      <c r="G1945" s="16"/>
      <c r="H1945" s="16" t="str">
        <f>IF(B1945="","",IFERROR(A1945-LOOKUP(2,1/($B$4:$B1944=B1945),$A$4:$A1944),""))</f>
        <v/>
      </c>
      <c r="I1945" s="16" t="str">
        <f t="shared" si="30"/>
        <v/>
      </c>
      <c r="J1945" s="16"/>
      <c r="K1945" s="6" t="str">
        <f>IF(B1945="","",IFERROR(AVERAGEIFS($I$4:$I1945,$B$4:$B1945,B1945,$I$4:$I1945,"&gt;"&amp;0),""))</f>
        <v/>
      </c>
      <c r="L1945" s="16" t="str">
        <f>IF(B1945="","",IF(ISNA(MATCH(B1945,Client_List!$B:$B,0)),"⚠ NOT FOUND","✓"))</f>
        <v/>
      </c>
    </row>
    <row r="1946" spans="1:12" ht="14" customHeight="1" x14ac:dyDescent="0.2">
      <c r="A1946" s="59"/>
      <c r="B1946" s="18"/>
      <c r="C1946" s="19" t="str">
        <f>IF(B1946="","",IFERROR(INDEX(Client_List!$C:$C,MATCH(B1946,Client_List!$B:$B,0)),""))</f>
        <v/>
      </c>
      <c r="D1946" s="19" t="str">
        <f>IF(B1946="","",IFERROR(INDEX(Client_List!$D:$D,MATCH(B1946,Client_List!$B:$B,0)),""))</f>
        <v/>
      </c>
      <c r="E1946" s="19" t="str">
        <f>IF(B1946="","",IFERROR(INDEX(Client_List!$K:$K,MATCH(B1946,Client_List!$B:$B,0)),""))</f>
        <v/>
      </c>
      <c r="F1946" s="19" t="str">
        <f>IF(B1946="","",IFERROR(INDEX(Client_List!$J:$J,MATCH(B1946,Client_List!$B:$B,0)),""))</f>
        <v/>
      </c>
      <c r="G1946" s="19"/>
      <c r="H1946" s="19" t="str">
        <f>IF(B1946="","",IFERROR(A1946-LOOKUP(2,1/($B$4:$B1945=B1946),$A$4:$A1945),""))</f>
        <v/>
      </c>
      <c r="I1946" s="19" t="str">
        <f t="shared" si="30"/>
        <v/>
      </c>
      <c r="J1946" s="19"/>
      <c r="K1946" s="6" t="str">
        <f>IF(B1946="","",IFERROR(AVERAGEIFS($I$4:$I1946,$B$4:$B1946,B1946,$I$4:$I1946,"&gt;"&amp;0),""))</f>
        <v/>
      </c>
      <c r="L1946" s="19" t="str">
        <f>IF(B1946="","",IF(ISNA(MATCH(B1946,Client_List!$B:$B,0)),"⚠ NOT FOUND","✓"))</f>
        <v/>
      </c>
    </row>
    <row r="1947" spans="1:12" ht="14" customHeight="1" x14ac:dyDescent="0.2">
      <c r="A1947" s="58"/>
      <c r="B1947" s="15"/>
      <c r="C1947" s="16" t="str">
        <f>IF(B1947="","",IFERROR(INDEX(Client_List!$C:$C,MATCH(B1947,Client_List!$B:$B,0)),""))</f>
        <v/>
      </c>
      <c r="D1947" s="16" t="str">
        <f>IF(B1947="","",IFERROR(INDEX(Client_List!$D:$D,MATCH(B1947,Client_List!$B:$B,0)),""))</f>
        <v/>
      </c>
      <c r="E1947" s="16" t="str">
        <f>IF(B1947="","",IFERROR(INDEX(Client_List!$K:$K,MATCH(B1947,Client_List!$B:$B,0)),""))</f>
        <v/>
      </c>
      <c r="F1947" s="16" t="str">
        <f>IF(B1947="","",IFERROR(INDEX(Client_List!$J:$J,MATCH(B1947,Client_List!$B:$B,0)),""))</f>
        <v/>
      </c>
      <c r="G1947" s="16"/>
      <c r="H1947" s="16" t="str">
        <f>IF(B1947="","",IFERROR(A1947-LOOKUP(2,1/($B$4:$B1946=B1947),$A$4:$A1946),""))</f>
        <v/>
      </c>
      <c r="I1947" s="16" t="str">
        <f t="shared" si="30"/>
        <v/>
      </c>
      <c r="J1947" s="16"/>
      <c r="K1947" s="6" t="str">
        <f>IF(B1947="","",IFERROR(AVERAGEIFS($I$4:$I1947,$B$4:$B1947,B1947,$I$4:$I1947,"&gt;"&amp;0),""))</f>
        <v/>
      </c>
      <c r="L1947" s="16" t="str">
        <f>IF(B1947="","",IF(ISNA(MATCH(B1947,Client_List!$B:$B,0)),"⚠ NOT FOUND","✓"))</f>
        <v/>
      </c>
    </row>
    <row r="1948" spans="1:12" ht="14" customHeight="1" x14ac:dyDescent="0.2">
      <c r="A1948" s="59"/>
      <c r="B1948" s="18"/>
      <c r="C1948" s="19" t="str">
        <f>IF(B1948="","",IFERROR(INDEX(Client_List!$C:$C,MATCH(B1948,Client_List!$B:$B,0)),""))</f>
        <v/>
      </c>
      <c r="D1948" s="19" t="str">
        <f>IF(B1948="","",IFERROR(INDEX(Client_List!$D:$D,MATCH(B1948,Client_List!$B:$B,0)),""))</f>
        <v/>
      </c>
      <c r="E1948" s="19" t="str">
        <f>IF(B1948="","",IFERROR(INDEX(Client_List!$K:$K,MATCH(B1948,Client_List!$B:$B,0)),""))</f>
        <v/>
      </c>
      <c r="F1948" s="19" t="str">
        <f>IF(B1948="","",IFERROR(INDEX(Client_List!$J:$J,MATCH(B1948,Client_List!$B:$B,0)),""))</f>
        <v/>
      </c>
      <c r="G1948" s="19"/>
      <c r="H1948" s="19" t="str">
        <f>IF(B1948="","",IFERROR(A1948-LOOKUP(2,1/($B$4:$B1947=B1948),$A$4:$A1947),""))</f>
        <v/>
      </c>
      <c r="I1948" s="19" t="str">
        <f t="shared" si="30"/>
        <v/>
      </c>
      <c r="J1948" s="19"/>
      <c r="K1948" s="6" t="str">
        <f>IF(B1948="","",IFERROR(AVERAGEIFS($I$4:$I1948,$B$4:$B1948,B1948,$I$4:$I1948,"&gt;"&amp;0),""))</f>
        <v/>
      </c>
      <c r="L1948" s="19" t="str">
        <f>IF(B1948="","",IF(ISNA(MATCH(B1948,Client_List!$B:$B,0)),"⚠ NOT FOUND","✓"))</f>
        <v/>
      </c>
    </row>
    <row r="1949" spans="1:12" ht="14" customHeight="1" x14ac:dyDescent="0.2">
      <c r="A1949" s="58"/>
      <c r="B1949" s="15"/>
      <c r="C1949" s="16" t="str">
        <f>IF(B1949="","",IFERROR(INDEX(Client_List!$C:$C,MATCH(B1949,Client_List!$B:$B,0)),""))</f>
        <v/>
      </c>
      <c r="D1949" s="16" t="str">
        <f>IF(B1949="","",IFERROR(INDEX(Client_List!$D:$D,MATCH(B1949,Client_List!$B:$B,0)),""))</f>
        <v/>
      </c>
      <c r="E1949" s="16" t="str">
        <f>IF(B1949="","",IFERROR(INDEX(Client_List!$K:$K,MATCH(B1949,Client_List!$B:$B,0)),""))</f>
        <v/>
      </c>
      <c r="F1949" s="16" t="str">
        <f>IF(B1949="","",IFERROR(INDEX(Client_List!$J:$J,MATCH(B1949,Client_List!$B:$B,0)),""))</f>
        <v/>
      </c>
      <c r="G1949" s="16"/>
      <c r="H1949" s="16" t="str">
        <f>IF(B1949="","",IFERROR(A1949-LOOKUP(2,1/($B$4:$B1948=B1949),$A$4:$A1948),""))</f>
        <v/>
      </c>
      <c r="I1949" s="16" t="str">
        <f t="shared" si="30"/>
        <v/>
      </c>
      <c r="J1949" s="16"/>
      <c r="K1949" s="6" t="str">
        <f>IF(B1949="","",IFERROR(AVERAGEIFS($I$4:$I1949,$B$4:$B1949,B1949,$I$4:$I1949,"&gt;"&amp;0),""))</f>
        <v/>
      </c>
      <c r="L1949" s="16" t="str">
        <f>IF(B1949="","",IF(ISNA(MATCH(B1949,Client_List!$B:$B,0)),"⚠ NOT FOUND","✓"))</f>
        <v/>
      </c>
    </row>
    <row r="1950" spans="1:12" ht="14" customHeight="1" x14ac:dyDescent="0.2">
      <c r="A1950" s="59"/>
      <c r="B1950" s="18"/>
      <c r="C1950" s="19" t="str">
        <f>IF(B1950="","",IFERROR(INDEX(Client_List!$C:$C,MATCH(B1950,Client_List!$B:$B,0)),""))</f>
        <v/>
      </c>
      <c r="D1950" s="19" t="str">
        <f>IF(B1950="","",IFERROR(INDEX(Client_List!$D:$D,MATCH(B1950,Client_List!$B:$B,0)),""))</f>
        <v/>
      </c>
      <c r="E1950" s="19" t="str">
        <f>IF(B1950="","",IFERROR(INDEX(Client_List!$K:$K,MATCH(B1950,Client_List!$B:$B,0)),""))</f>
        <v/>
      </c>
      <c r="F1950" s="19" t="str">
        <f>IF(B1950="","",IFERROR(INDEX(Client_List!$J:$J,MATCH(B1950,Client_List!$B:$B,0)),""))</f>
        <v/>
      </c>
      <c r="G1950" s="19"/>
      <c r="H1950" s="19" t="str">
        <f>IF(B1950="","",IFERROR(A1950-LOOKUP(2,1/($B$4:$B1949=B1950),$A$4:$A1949),""))</f>
        <v/>
      </c>
      <c r="I1950" s="19" t="str">
        <f t="shared" si="30"/>
        <v/>
      </c>
      <c r="J1950" s="19"/>
      <c r="K1950" s="6" t="str">
        <f>IF(B1950="","",IFERROR(AVERAGEIFS($I$4:$I1950,$B$4:$B1950,B1950,$I$4:$I1950,"&gt;"&amp;0),""))</f>
        <v/>
      </c>
      <c r="L1950" s="19" t="str">
        <f>IF(B1950="","",IF(ISNA(MATCH(B1950,Client_List!$B:$B,0)),"⚠ NOT FOUND","✓"))</f>
        <v/>
      </c>
    </row>
    <row r="1951" spans="1:12" ht="14" customHeight="1" x14ac:dyDescent="0.2">
      <c r="A1951" s="58"/>
      <c r="B1951" s="15"/>
      <c r="C1951" s="16" t="str">
        <f>IF(B1951="","",IFERROR(INDEX(Client_List!$C:$C,MATCH(B1951,Client_List!$B:$B,0)),""))</f>
        <v/>
      </c>
      <c r="D1951" s="16" t="str">
        <f>IF(B1951="","",IFERROR(INDEX(Client_List!$D:$D,MATCH(B1951,Client_List!$B:$B,0)),""))</f>
        <v/>
      </c>
      <c r="E1951" s="16" t="str">
        <f>IF(B1951="","",IFERROR(INDEX(Client_List!$K:$K,MATCH(B1951,Client_List!$B:$B,0)),""))</f>
        <v/>
      </c>
      <c r="F1951" s="16" t="str">
        <f>IF(B1951="","",IFERROR(INDEX(Client_List!$J:$J,MATCH(B1951,Client_List!$B:$B,0)),""))</f>
        <v/>
      </c>
      <c r="G1951" s="16"/>
      <c r="H1951" s="16" t="str">
        <f>IF(B1951="","",IFERROR(A1951-LOOKUP(2,1/($B$4:$B1950=B1951),$A$4:$A1950),""))</f>
        <v/>
      </c>
      <c r="I1951" s="16" t="str">
        <f t="shared" si="30"/>
        <v/>
      </c>
      <c r="J1951" s="16"/>
      <c r="K1951" s="6" t="str">
        <f>IF(B1951="","",IFERROR(AVERAGEIFS($I$4:$I1951,$B$4:$B1951,B1951,$I$4:$I1951,"&gt;"&amp;0),""))</f>
        <v/>
      </c>
      <c r="L1951" s="16" t="str">
        <f>IF(B1951="","",IF(ISNA(MATCH(B1951,Client_List!$B:$B,0)),"⚠ NOT FOUND","✓"))</f>
        <v/>
      </c>
    </row>
    <row r="1952" spans="1:12" ht="14" customHeight="1" x14ac:dyDescent="0.2">
      <c r="A1952" s="59"/>
      <c r="B1952" s="18"/>
      <c r="C1952" s="19" t="str">
        <f>IF(B1952="","",IFERROR(INDEX(Client_List!$C:$C,MATCH(B1952,Client_List!$B:$B,0)),""))</f>
        <v/>
      </c>
      <c r="D1952" s="19" t="str">
        <f>IF(B1952="","",IFERROR(INDEX(Client_List!$D:$D,MATCH(B1952,Client_List!$B:$B,0)),""))</f>
        <v/>
      </c>
      <c r="E1952" s="19" t="str">
        <f>IF(B1952="","",IFERROR(INDEX(Client_List!$K:$K,MATCH(B1952,Client_List!$B:$B,0)),""))</f>
        <v/>
      </c>
      <c r="F1952" s="19" t="str">
        <f>IF(B1952="","",IFERROR(INDEX(Client_List!$J:$J,MATCH(B1952,Client_List!$B:$B,0)),""))</f>
        <v/>
      </c>
      <c r="G1952" s="19"/>
      <c r="H1952" s="19" t="str">
        <f>IF(B1952="","",IFERROR(A1952-LOOKUP(2,1/($B$4:$B1951=B1952),$A$4:$A1951),""))</f>
        <v/>
      </c>
      <c r="I1952" s="19" t="str">
        <f t="shared" si="30"/>
        <v/>
      </c>
      <c r="J1952" s="19"/>
      <c r="K1952" s="6" t="str">
        <f>IF(B1952="","",IFERROR(AVERAGEIFS($I$4:$I1952,$B$4:$B1952,B1952,$I$4:$I1952,"&gt;"&amp;0),""))</f>
        <v/>
      </c>
      <c r="L1952" s="19" t="str">
        <f>IF(B1952="","",IF(ISNA(MATCH(B1952,Client_List!$B:$B,0)),"⚠ NOT FOUND","✓"))</f>
        <v/>
      </c>
    </row>
    <row r="1953" spans="1:12" ht="14" customHeight="1" x14ac:dyDescent="0.2">
      <c r="A1953" s="58"/>
      <c r="B1953" s="15"/>
      <c r="C1953" s="16" t="str">
        <f>IF(B1953="","",IFERROR(INDEX(Client_List!$C:$C,MATCH(B1953,Client_List!$B:$B,0)),""))</f>
        <v/>
      </c>
      <c r="D1953" s="16" t="str">
        <f>IF(B1953="","",IFERROR(INDEX(Client_List!$D:$D,MATCH(B1953,Client_List!$B:$B,0)),""))</f>
        <v/>
      </c>
      <c r="E1953" s="16" t="str">
        <f>IF(B1953="","",IFERROR(INDEX(Client_List!$K:$K,MATCH(B1953,Client_List!$B:$B,0)),""))</f>
        <v/>
      </c>
      <c r="F1953" s="16" t="str">
        <f>IF(B1953="","",IFERROR(INDEX(Client_List!$J:$J,MATCH(B1953,Client_List!$B:$B,0)),""))</f>
        <v/>
      </c>
      <c r="G1953" s="16"/>
      <c r="H1953" s="16" t="str">
        <f>IF(B1953="","",IFERROR(A1953-LOOKUP(2,1/($B$4:$B1952=B1953),$A$4:$A1952),""))</f>
        <v/>
      </c>
      <c r="I1953" s="16" t="str">
        <f t="shared" si="30"/>
        <v/>
      </c>
      <c r="J1953" s="16"/>
      <c r="K1953" s="6" t="str">
        <f>IF(B1953="","",IFERROR(AVERAGEIFS($I$4:$I1953,$B$4:$B1953,B1953,$I$4:$I1953,"&gt;"&amp;0),""))</f>
        <v/>
      </c>
      <c r="L1953" s="16" t="str">
        <f>IF(B1953="","",IF(ISNA(MATCH(B1953,Client_List!$B:$B,0)),"⚠ NOT FOUND","✓"))</f>
        <v/>
      </c>
    </row>
    <row r="1954" spans="1:12" ht="14" customHeight="1" x14ac:dyDescent="0.2">
      <c r="A1954" s="59"/>
      <c r="B1954" s="18"/>
      <c r="C1954" s="19" t="str">
        <f>IF(B1954="","",IFERROR(INDEX(Client_List!$C:$C,MATCH(B1954,Client_List!$B:$B,0)),""))</f>
        <v/>
      </c>
      <c r="D1954" s="19" t="str">
        <f>IF(B1954="","",IFERROR(INDEX(Client_List!$D:$D,MATCH(B1954,Client_List!$B:$B,0)),""))</f>
        <v/>
      </c>
      <c r="E1954" s="19" t="str">
        <f>IF(B1954="","",IFERROR(INDEX(Client_List!$K:$K,MATCH(B1954,Client_List!$B:$B,0)),""))</f>
        <v/>
      </c>
      <c r="F1954" s="19" t="str">
        <f>IF(B1954="","",IFERROR(INDEX(Client_List!$J:$J,MATCH(B1954,Client_List!$B:$B,0)),""))</f>
        <v/>
      </c>
      <c r="G1954" s="19"/>
      <c r="H1954" s="19" t="str">
        <f>IF(B1954="","",IFERROR(A1954-LOOKUP(2,1/($B$4:$B1953=B1954),$A$4:$A1953),""))</f>
        <v/>
      </c>
      <c r="I1954" s="19" t="str">
        <f t="shared" si="30"/>
        <v/>
      </c>
      <c r="J1954" s="19"/>
      <c r="K1954" s="6" t="str">
        <f>IF(B1954="","",IFERROR(AVERAGEIFS($I$4:$I1954,$B$4:$B1954,B1954,$I$4:$I1954,"&gt;"&amp;0),""))</f>
        <v/>
      </c>
      <c r="L1954" s="19" t="str">
        <f>IF(B1954="","",IF(ISNA(MATCH(B1954,Client_List!$B:$B,0)),"⚠ NOT FOUND","✓"))</f>
        <v/>
      </c>
    </row>
    <row r="1955" spans="1:12" ht="14" customHeight="1" x14ac:dyDescent="0.2">
      <c r="A1955" s="58"/>
      <c r="B1955" s="15"/>
      <c r="C1955" s="16" t="str">
        <f>IF(B1955="","",IFERROR(INDEX(Client_List!$C:$C,MATCH(B1955,Client_List!$B:$B,0)),""))</f>
        <v/>
      </c>
      <c r="D1955" s="16" t="str">
        <f>IF(B1955="","",IFERROR(INDEX(Client_List!$D:$D,MATCH(B1955,Client_List!$B:$B,0)),""))</f>
        <v/>
      </c>
      <c r="E1955" s="16" t="str">
        <f>IF(B1955="","",IFERROR(INDEX(Client_List!$K:$K,MATCH(B1955,Client_List!$B:$B,0)),""))</f>
        <v/>
      </c>
      <c r="F1955" s="16" t="str">
        <f>IF(B1955="","",IFERROR(INDEX(Client_List!$J:$J,MATCH(B1955,Client_List!$B:$B,0)),""))</f>
        <v/>
      </c>
      <c r="G1955" s="16"/>
      <c r="H1955" s="16" t="str">
        <f>IF(B1955="","",IFERROR(A1955-LOOKUP(2,1/($B$4:$B1954=B1955),$A$4:$A1954),""))</f>
        <v/>
      </c>
      <c r="I1955" s="16" t="str">
        <f t="shared" si="30"/>
        <v/>
      </c>
      <c r="J1955" s="16"/>
      <c r="K1955" s="6" t="str">
        <f>IF(B1955="","",IFERROR(AVERAGEIFS($I$4:$I1955,$B$4:$B1955,B1955,$I$4:$I1955,"&gt;"&amp;0),""))</f>
        <v/>
      </c>
      <c r="L1955" s="16" t="str">
        <f>IF(B1955="","",IF(ISNA(MATCH(B1955,Client_List!$B:$B,0)),"⚠ NOT FOUND","✓"))</f>
        <v/>
      </c>
    </row>
    <row r="1956" spans="1:12" ht="14" customHeight="1" x14ac:dyDescent="0.2">
      <c r="A1956" s="59"/>
      <c r="B1956" s="18"/>
      <c r="C1956" s="19" t="str">
        <f>IF(B1956="","",IFERROR(INDEX(Client_List!$C:$C,MATCH(B1956,Client_List!$B:$B,0)),""))</f>
        <v/>
      </c>
      <c r="D1956" s="19" t="str">
        <f>IF(B1956="","",IFERROR(INDEX(Client_List!$D:$D,MATCH(B1956,Client_List!$B:$B,0)),""))</f>
        <v/>
      </c>
      <c r="E1956" s="19" t="str">
        <f>IF(B1956="","",IFERROR(INDEX(Client_List!$K:$K,MATCH(B1956,Client_List!$B:$B,0)),""))</f>
        <v/>
      </c>
      <c r="F1956" s="19" t="str">
        <f>IF(B1956="","",IFERROR(INDEX(Client_List!$J:$J,MATCH(B1956,Client_List!$B:$B,0)),""))</f>
        <v/>
      </c>
      <c r="G1956" s="19"/>
      <c r="H1956" s="19" t="str">
        <f>IF(B1956="","",IFERROR(A1956-LOOKUP(2,1/($B$4:$B1955=B1956),$A$4:$A1955),""))</f>
        <v/>
      </c>
      <c r="I1956" s="19" t="str">
        <f t="shared" si="30"/>
        <v/>
      </c>
      <c r="J1956" s="19"/>
      <c r="K1956" s="6" t="str">
        <f>IF(B1956="","",IFERROR(AVERAGEIFS($I$4:$I1956,$B$4:$B1956,B1956,$I$4:$I1956,"&gt;"&amp;0),""))</f>
        <v/>
      </c>
      <c r="L1956" s="19" t="str">
        <f>IF(B1956="","",IF(ISNA(MATCH(B1956,Client_List!$B:$B,0)),"⚠ NOT FOUND","✓"))</f>
        <v/>
      </c>
    </row>
    <row r="1957" spans="1:12" ht="14" customHeight="1" x14ac:dyDescent="0.2">
      <c r="A1957" s="58"/>
      <c r="B1957" s="15"/>
      <c r="C1957" s="16" t="str">
        <f>IF(B1957="","",IFERROR(INDEX(Client_List!$C:$C,MATCH(B1957,Client_List!$B:$B,0)),""))</f>
        <v/>
      </c>
      <c r="D1957" s="16" t="str">
        <f>IF(B1957="","",IFERROR(INDEX(Client_List!$D:$D,MATCH(B1957,Client_List!$B:$B,0)),""))</f>
        <v/>
      </c>
      <c r="E1957" s="16" t="str">
        <f>IF(B1957="","",IFERROR(INDEX(Client_List!$K:$K,MATCH(B1957,Client_List!$B:$B,0)),""))</f>
        <v/>
      </c>
      <c r="F1957" s="16" t="str">
        <f>IF(B1957="","",IFERROR(INDEX(Client_List!$J:$J,MATCH(B1957,Client_List!$B:$B,0)),""))</f>
        <v/>
      </c>
      <c r="G1957" s="16"/>
      <c r="H1957" s="16" t="str">
        <f>IF(B1957="","",IFERROR(A1957-LOOKUP(2,1/($B$4:$B1956=B1957),$A$4:$A1956),""))</f>
        <v/>
      </c>
      <c r="I1957" s="16" t="str">
        <f t="shared" si="30"/>
        <v/>
      </c>
      <c r="J1957" s="16"/>
      <c r="K1957" s="6" t="str">
        <f>IF(B1957="","",IFERROR(AVERAGEIFS($I$4:$I1957,$B$4:$B1957,B1957,$I$4:$I1957,"&gt;"&amp;0),""))</f>
        <v/>
      </c>
      <c r="L1957" s="16" t="str">
        <f>IF(B1957="","",IF(ISNA(MATCH(B1957,Client_List!$B:$B,0)),"⚠ NOT FOUND","✓"))</f>
        <v/>
      </c>
    </row>
    <row r="1958" spans="1:12" ht="14" customHeight="1" x14ac:dyDescent="0.2">
      <c r="A1958" s="59"/>
      <c r="B1958" s="18"/>
      <c r="C1958" s="19" t="str">
        <f>IF(B1958="","",IFERROR(INDEX(Client_List!$C:$C,MATCH(B1958,Client_List!$B:$B,0)),""))</f>
        <v/>
      </c>
      <c r="D1958" s="19" t="str">
        <f>IF(B1958="","",IFERROR(INDEX(Client_List!$D:$D,MATCH(B1958,Client_List!$B:$B,0)),""))</f>
        <v/>
      </c>
      <c r="E1958" s="19" t="str">
        <f>IF(B1958="","",IFERROR(INDEX(Client_List!$K:$K,MATCH(B1958,Client_List!$B:$B,0)),""))</f>
        <v/>
      </c>
      <c r="F1958" s="19" t="str">
        <f>IF(B1958="","",IFERROR(INDEX(Client_List!$J:$J,MATCH(B1958,Client_List!$B:$B,0)),""))</f>
        <v/>
      </c>
      <c r="G1958" s="19"/>
      <c r="H1958" s="19" t="str">
        <f>IF(B1958="","",IFERROR(A1958-LOOKUP(2,1/($B$4:$B1957=B1958),$A$4:$A1957),""))</f>
        <v/>
      </c>
      <c r="I1958" s="19" t="str">
        <f t="shared" si="30"/>
        <v/>
      </c>
      <c r="J1958" s="19"/>
      <c r="K1958" s="6" t="str">
        <f>IF(B1958="","",IFERROR(AVERAGEIFS($I$4:$I1958,$B$4:$B1958,B1958,$I$4:$I1958,"&gt;"&amp;0),""))</f>
        <v/>
      </c>
      <c r="L1958" s="19" t="str">
        <f>IF(B1958="","",IF(ISNA(MATCH(B1958,Client_List!$B:$B,0)),"⚠ NOT FOUND","✓"))</f>
        <v/>
      </c>
    </row>
    <row r="1959" spans="1:12" ht="14" customHeight="1" x14ac:dyDescent="0.2">
      <c r="A1959" s="58"/>
      <c r="B1959" s="15"/>
      <c r="C1959" s="16" t="str">
        <f>IF(B1959="","",IFERROR(INDEX(Client_List!$C:$C,MATCH(B1959,Client_List!$B:$B,0)),""))</f>
        <v/>
      </c>
      <c r="D1959" s="16" t="str">
        <f>IF(B1959="","",IFERROR(INDEX(Client_List!$D:$D,MATCH(B1959,Client_List!$B:$B,0)),""))</f>
        <v/>
      </c>
      <c r="E1959" s="16" t="str">
        <f>IF(B1959="","",IFERROR(INDEX(Client_List!$K:$K,MATCH(B1959,Client_List!$B:$B,0)),""))</f>
        <v/>
      </c>
      <c r="F1959" s="16" t="str">
        <f>IF(B1959="","",IFERROR(INDEX(Client_List!$J:$J,MATCH(B1959,Client_List!$B:$B,0)),""))</f>
        <v/>
      </c>
      <c r="G1959" s="16"/>
      <c r="H1959" s="16" t="str">
        <f>IF(B1959="","",IFERROR(A1959-LOOKUP(2,1/($B$4:$B1958=B1959),$A$4:$A1958),""))</f>
        <v/>
      </c>
      <c r="I1959" s="16" t="str">
        <f t="shared" si="30"/>
        <v/>
      </c>
      <c r="J1959" s="16"/>
      <c r="K1959" s="6" t="str">
        <f>IF(B1959="","",IFERROR(AVERAGEIFS($I$4:$I1959,$B$4:$B1959,B1959,$I$4:$I1959,"&gt;"&amp;0),""))</f>
        <v/>
      </c>
      <c r="L1959" s="16" t="str">
        <f>IF(B1959="","",IF(ISNA(MATCH(B1959,Client_List!$B:$B,0)),"⚠ NOT FOUND","✓"))</f>
        <v/>
      </c>
    </row>
    <row r="1960" spans="1:12" ht="14" customHeight="1" x14ac:dyDescent="0.2">
      <c r="A1960" s="59"/>
      <c r="B1960" s="18"/>
      <c r="C1960" s="19" t="str">
        <f>IF(B1960="","",IFERROR(INDEX(Client_List!$C:$C,MATCH(B1960,Client_List!$B:$B,0)),""))</f>
        <v/>
      </c>
      <c r="D1960" s="19" t="str">
        <f>IF(B1960="","",IFERROR(INDEX(Client_List!$D:$D,MATCH(B1960,Client_List!$B:$B,0)),""))</f>
        <v/>
      </c>
      <c r="E1960" s="19" t="str">
        <f>IF(B1960="","",IFERROR(INDEX(Client_List!$K:$K,MATCH(B1960,Client_List!$B:$B,0)),""))</f>
        <v/>
      </c>
      <c r="F1960" s="19" t="str">
        <f>IF(B1960="","",IFERROR(INDEX(Client_List!$J:$J,MATCH(B1960,Client_List!$B:$B,0)),""))</f>
        <v/>
      </c>
      <c r="G1960" s="19"/>
      <c r="H1960" s="19" t="str">
        <f>IF(B1960="","",IFERROR(A1960-LOOKUP(2,1/($B$4:$B1959=B1960),$A$4:$A1959),""))</f>
        <v/>
      </c>
      <c r="I1960" s="19" t="str">
        <f t="shared" si="30"/>
        <v/>
      </c>
      <c r="J1960" s="19"/>
      <c r="K1960" s="6" t="str">
        <f>IF(B1960="","",IFERROR(AVERAGEIFS($I$4:$I1960,$B$4:$B1960,B1960,$I$4:$I1960,"&gt;"&amp;0),""))</f>
        <v/>
      </c>
      <c r="L1960" s="19" t="str">
        <f>IF(B1960="","",IF(ISNA(MATCH(B1960,Client_List!$B:$B,0)),"⚠ NOT FOUND","✓"))</f>
        <v/>
      </c>
    </row>
    <row r="1961" spans="1:12" ht="14" customHeight="1" x14ac:dyDescent="0.2">
      <c r="A1961" s="58"/>
      <c r="B1961" s="15"/>
      <c r="C1961" s="16" t="str">
        <f>IF(B1961="","",IFERROR(INDEX(Client_List!$C:$C,MATCH(B1961,Client_List!$B:$B,0)),""))</f>
        <v/>
      </c>
      <c r="D1961" s="16" t="str">
        <f>IF(B1961="","",IFERROR(INDEX(Client_List!$D:$D,MATCH(B1961,Client_List!$B:$B,0)),""))</f>
        <v/>
      </c>
      <c r="E1961" s="16" t="str">
        <f>IF(B1961="","",IFERROR(INDEX(Client_List!$K:$K,MATCH(B1961,Client_List!$B:$B,0)),""))</f>
        <v/>
      </c>
      <c r="F1961" s="16" t="str">
        <f>IF(B1961="","",IFERROR(INDEX(Client_List!$J:$J,MATCH(B1961,Client_List!$B:$B,0)),""))</f>
        <v/>
      </c>
      <c r="G1961" s="16"/>
      <c r="H1961" s="16" t="str">
        <f>IF(B1961="","",IFERROR(A1961-LOOKUP(2,1/($B$4:$B1960=B1961),$A$4:$A1960),""))</f>
        <v/>
      </c>
      <c r="I1961" s="16" t="str">
        <f t="shared" si="30"/>
        <v/>
      </c>
      <c r="J1961" s="16"/>
      <c r="K1961" s="6" t="str">
        <f>IF(B1961="","",IFERROR(AVERAGEIFS($I$4:$I1961,$B$4:$B1961,B1961,$I$4:$I1961,"&gt;"&amp;0),""))</f>
        <v/>
      </c>
      <c r="L1961" s="16" t="str">
        <f>IF(B1961="","",IF(ISNA(MATCH(B1961,Client_List!$B:$B,0)),"⚠ NOT FOUND","✓"))</f>
        <v/>
      </c>
    </row>
    <row r="1962" spans="1:12" ht="14" customHeight="1" x14ac:dyDescent="0.2">
      <c r="A1962" s="59"/>
      <c r="B1962" s="18"/>
      <c r="C1962" s="19" t="str">
        <f>IF(B1962="","",IFERROR(INDEX(Client_List!$C:$C,MATCH(B1962,Client_List!$B:$B,0)),""))</f>
        <v/>
      </c>
      <c r="D1962" s="19" t="str">
        <f>IF(B1962="","",IFERROR(INDEX(Client_List!$D:$D,MATCH(B1962,Client_List!$B:$B,0)),""))</f>
        <v/>
      </c>
      <c r="E1962" s="19" t="str">
        <f>IF(B1962="","",IFERROR(INDEX(Client_List!$K:$K,MATCH(B1962,Client_List!$B:$B,0)),""))</f>
        <v/>
      </c>
      <c r="F1962" s="19" t="str">
        <f>IF(B1962="","",IFERROR(INDEX(Client_List!$J:$J,MATCH(B1962,Client_List!$B:$B,0)),""))</f>
        <v/>
      </c>
      <c r="G1962" s="19"/>
      <c r="H1962" s="19" t="str">
        <f>IF(B1962="","",IFERROR(A1962-LOOKUP(2,1/($B$4:$B1961=B1962),$A$4:$A1961),""))</f>
        <v/>
      </c>
      <c r="I1962" s="19" t="str">
        <f t="shared" si="30"/>
        <v/>
      </c>
      <c r="J1962" s="19"/>
      <c r="K1962" s="6" t="str">
        <f>IF(B1962="","",IFERROR(AVERAGEIFS($I$4:$I1962,$B$4:$B1962,B1962,$I$4:$I1962,"&gt;"&amp;0),""))</f>
        <v/>
      </c>
      <c r="L1962" s="19" t="str">
        <f>IF(B1962="","",IF(ISNA(MATCH(B1962,Client_List!$B:$B,0)),"⚠ NOT FOUND","✓"))</f>
        <v/>
      </c>
    </row>
    <row r="1963" spans="1:12" ht="14" customHeight="1" x14ac:dyDescent="0.2">
      <c r="A1963" s="58"/>
      <c r="B1963" s="15"/>
      <c r="C1963" s="16" t="str">
        <f>IF(B1963="","",IFERROR(INDEX(Client_List!$C:$C,MATCH(B1963,Client_List!$B:$B,0)),""))</f>
        <v/>
      </c>
      <c r="D1963" s="16" t="str">
        <f>IF(B1963="","",IFERROR(INDEX(Client_List!$D:$D,MATCH(B1963,Client_List!$B:$B,0)),""))</f>
        <v/>
      </c>
      <c r="E1963" s="16" t="str">
        <f>IF(B1963="","",IFERROR(INDEX(Client_List!$K:$K,MATCH(B1963,Client_List!$B:$B,0)),""))</f>
        <v/>
      </c>
      <c r="F1963" s="16" t="str">
        <f>IF(B1963="","",IFERROR(INDEX(Client_List!$J:$J,MATCH(B1963,Client_List!$B:$B,0)),""))</f>
        <v/>
      </c>
      <c r="G1963" s="16"/>
      <c r="H1963" s="16" t="str">
        <f>IF(B1963="","",IFERROR(A1963-LOOKUP(2,1/($B$4:$B1962=B1963),$A$4:$A1962),""))</f>
        <v/>
      </c>
      <c r="I1963" s="16" t="str">
        <f t="shared" si="30"/>
        <v/>
      </c>
      <c r="J1963" s="16"/>
      <c r="K1963" s="6" t="str">
        <f>IF(B1963="","",IFERROR(AVERAGEIFS($I$4:$I1963,$B$4:$B1963,B1963,$I$4:$I1963,"&gt;"&amp;0),""))</f>
        <v/>
      </c>
      <c r="L1963" s="16" t="str">
        <f>IF(B1963="","",IF(ISNA(MATCH(B1963,Client_List!$B:$B,0)),"⚠ NOT FOUND","✓"))</f>
        <v/>
      </c>
    </row>
    <row r="1964" spans="1:12" ht="14" customHeight="1" x14ac:dyDescent="0.2">
      <c r="A1964" s="59"/>
      <c r="B1964" s="18"/>
      <c r="C1964" s="19" t="str">
        <f>IF(B1964="","",IFERROR(INDEX(Client_List!$C:$C,MATCH(B1964,Client_List!$B:$B,0)),""))</f>
        <v/>
      </c>
      <c r="D1964" s="19" t="str">
        <f>IF(B1964="","",IFERROR(INDEX(Client_List!$D:$D,MATCH(B1964,Client_List!$B:$B,0)),""))</f>
        <v/>
      </c>
      <c r="E1964" s="19" t="str">
        <f>IF(B1964="","",IFERROR(INDEX(Client_List!$K:$K,MATCH(B1964,Client_List!$B:$B,0)),""))</f>
        <v/>
      </c>
      <c r="F1964" s="19" t="str">
        <f>IF(B1964="","",IFERROR(INDEX(Client_List!$J:$J,MATCH(B1964,Client_List!$B:$B,0)),""))</f>
        <v/>
      </c>
      <c r="G1964" s="19"/>
      <c r="H1964" s="19" t="str">
        <f>IF(B1964="","",IFERROR(A1964-LOOKUP(2,1/($B$4:$B1963=B1964),$A$4:$A1963),""))</f>
        <v/>
      </c>
      <c r="I1964" s="19" t="str">
        <f t="shared" si="30"/>
        <v/>
      </c>
      <c r="J1964" s="19"/>
      <c r="K1964" s="6" t="str">
        <f>IF(B1964="","",IFERROR(AVERAGEIFS($I$4:$I1964,$B$4:$B1964,B1964,$I$4:$I1964,"&gt;"&amp;0),""))</f>
        <v/>
      </c>
      <c r="L1964" s="19" t="str">
        <f>IF(B1964="","",IF(ISNA(MATCH(B1964,Client_List!$B:$B,0)),"⚠ NOT FOUND","✓"))</f>
        <v/>
      </c>
    </row>
    <row r="1965" spans="1:12" ht="14" customHeight="1" x14ac:dyDescent="0.2">
      <c r="A1965" s="58"/>
      <c r="B1965" s="15"/>
      <c r="C1965" s="16" t="str">
        <f>IF(B1965="","",IFERROR(INDEX(Client_List!$C:$C,MATCH(B1965,Client_List!$B:$B,0)),""))</f>
        <v/>
      </c>
      <c r="D1965" s="16" t="str">
        <f>IF(B1965="","",IFERROR(INDEX(Client_List!$D:$D,MATCH(B1965,Client_List!$B:$B,0)),""))</f>
        <v/>
      </c>
      <c r="E1965" s="16" t="str">
        <f>IF(B1965="","",IFERROR(INDEX(Client_List!$K:$K,MATCH(B1965,Client_List!$B:$B,0)),""))</f>
        <v/>
      </c>
      <c r="F1965" s="16" t="str">
        <f>IF(B1965="","",IFERROR(INDEX(Client_List!$J:$J,MATCH(B1965,Client_List!$B:$B,0)),""))</f>
        <v/>
      </c>
      <c r="G1965" s="16"/>
      <c r="H1965" s="16" t="str">
        <f>IF(B1965="","",IFERROR(A1965-LOOKUP(2,1/($B$4:$B1964=B1965),$A$4:$A1964),""))</f>
        <v/>
      </c>
      <c r="I1965" s="16" t="str">
        <f t="shared" si="30"/>
        <v/>
      </c>
      <c r="J1965" s="16"/>
      <c r="K1965" s="6" t="str">
        <f>IF(B1965="","",IFERROR(AVERAGEIFS($I$4:$I1965,$B$4:$B1965,B1965,$I$4:$I1965,"&gt;"&amp;0),""))</f>
        <v/>
      </c>
      <c r="L1965" s="16" t="str">
        <f>IF(B1965="","",IF(ISNA(MATCH(B1965,Client_List!$B:$B,0)),"⚠ NOT FOUND","✓"))</f>
        <v/>
      </c>
    </row>
    <row r="1966" spans="1:12" ht="14" customHeight="1" x14ac:dyDescent="0.2">
      <c r="A1966" s="59"/>
      <c r="B1966" s="18"/>
      <c r="C1966" s="19" t="str">
        <f>IF(B1966="","",IFERROR(INDEX(Client_List!$C:$C,MATCH(B1966,Client_List!$B:$B,0)),""))</f>
        <v/>
      </c>
      <c r="D1966" s="19" t="str">
        <f>IF(B1966="","",IFERROR(INDEX(Client_List!$D:$D,MATCH(B1966,Client_List!$B:$B,0)),""))</f>
        <v/>
      </c>
      <c r="E1966" s="19" t="str">
        <f>IF(B1966="","",IFERROR(INDEX(Client_List!$K:$K,MATCH(B1966,Client_List!$B:$B,0)),""))</f>
        <v/>
      </c>
      <c r="F1966" s="19" t="str">
        <f>IF(B1966="","",IFERROR(INDEX(Client_List!$J:$J,MATCH(B1966,Client_List!$B:$B,0)),""))</f>
        <v/>
      </c>
      <c r="G1966" s="19"/>
      <c r="H1966" s="19" t="str">
        <f>IF(B1966="","",IFERROR(A1966-LOOKUP(2,1/($B$4:$B1965=B1966),$A$4:$A1965),""))</f>
        <v/>
      </c>
      <c r="I1966" s="19" t="str">
        <f t="shared" si="30"/>
        <v/>
      </c>
      <c r="J1966" s="19"/>
      <c r="K1966" s="6" t="str">
        <f>IF(B1966="","",IFERROR(AVERAGEIFS($I$4:$I1966,$B$4:$B1966,B1966,$I$4:$I1966,"&gt;"&amp;0),""))</f>
        <v/>
      </c>
      <c r="L1966" s="19" t="str">
        <f>IF(B1966="","",IF(ISNA(MATCH(B1966,Client_List!$B:$B,0)),"⚠ NOT FOUND","✓"))</f>
        <v/>
      </c>
    </row>
    <row r="1967" spans="1:12" ht="14" customHeight="1" x14ac:dyDescent="0.2">
      <c r="A1967" s="58"/>
      <c r="B1967" s="15"/>
      <c r="C1967" s="16" t="str">
        <f>IF(B1967="","",IFERROR(INDEX(Client_List!$C:$C,MATCH(B1967,Client_List!$B:$B,0)),""))</f>
        <v/>
      </c>
      <c r="D1967" s="16" t="str">
        <f>IF(B1967="","",IFERROR(INDEX(Client_List!$D:$D,MATCH(B1967,Client_List!$B:$B,0)),""))</f>
        <v/>
      </c>
      <c r="E1967" s="16" t="str">
        <f>IF(B1967="","",IFERROR(INDEX(Client_List!$K:$K,MATCH(B1967,Client_List!$B:$B,0)),""))</f>
        <v/>
      </c>
      <c r="F1967" s="16" t="str">
        <f>IF(B1967="","",IFERROR(INDEX(Client_List!$J:$J,MATCH(B1967,Client_List!$B:$B,0)),""))</f>
        <v/>
      </c>
      <c r="G1967" s="16"/>
      <c r="H1967" s="16" t="str">
        <f>IF(B1967="","",IFERROR(A1967-LOOKUP(2,1/($B$4:$B1966=B1967),$A$4:$A1966),""))</f>
        <v/>
      </c>
      <c r="I1967" s="16" t="str">
        <f t="shared" si="30"/>
        <v/>
      </c>
      <c r="J1967" s="16"/>
      <c r="K1967" s="6" t="str">
        <f>IF(B1967="","",IFERROR(AVERAGEIFS($I$4:$I1967,$B$4:$B1967,B1967,$I$4:$I1967,"&gt;"&amp;0),""))</f>
        <v/>
      </c>
      <c r="L1967" s="16" t="str">
        <f>IF(B1967="","",IF(ISNA(MATCH(B1967,Client_List!$B:$B,0)),"⚠ NOT FOUND","✓"))</f>
        <v/>
      </c>
    </row>
    <row r="1968" spans="1:12" ht="14" customHeight="1" x14ac:dyDescent="0.2">
      <c r="A1968" s="59"/>
      <c r="B1968" s="18"/>
      <c r="C1968" s="19" t="str">
        <f>IF(B1968="","",IFERROR(INDEX(Client_List!$C:$C,MATCH(B1968,Client_List!$B:$B,0)),""))</f>
        <v/>
      </c>
      <c r="D1968" s="19" t="str">
        <f>IF(B1968="","",IFERROR(INDEX(Client_List!$D:$D,MATCH(B1968,Client_List!$B:$B,0)),""))</f>
        <v/>
      </c>
      <c r="E1968" s="19" t="str">
        <f>IF(B1968="","",IFERROR(INDEX(Client_List!$K:$K,MATCH(B1968,Client_List!$B:$B,0)),""))</f>
        <v/>
      </c>
      <c r="F1968" s="19" t="str">
        <f>IF(B1968="","",IFERROR(INDEX(Client_List!$J:$J,MATCH(B1968,Client_List!$B:$B,0)),""))</f>
        <v/>
      </c>
      <c r="G1968" s="19"/>
      <c r="H1968" s="19" t="str">
        <f>IF(B1968="","",IFERROR(A1968-LOOKUP(2,1/($B$4:$B1967=B1968),$A$4:$A1967),""))</f>
        <v/>
      </c>
      <c r="I1968" s="19" t="str">
        <f t="shared" si="30"/>
        <v/>
      </c>
      <c r="J1968" s="19"/>
      <c r="K1968" s="6" t="str">
        <f>IF(B1968="","",IFERROR(AVERAGEIFS($I$4:$I1968,$B$4:$B1968,B1968,$I$4:$I1968,"&gt;"&amp;0),""))</f>
        <v/>
      </c>
      <c r="L1968" s="19" t="str">
        <f>IF(B1968="","",IF(ISNA(MATCH(B1968,Client_List!$B:$B,0)),"⚠ NOT FOUND","✓"))</f>
        <v/>
      </c>
    </row>
    <row r="1969" spans="1:12" ht="14" customHeight="1" x14ac:dyDescent="0.2">
      <c r="A1969" s="58"/>
      <c r="B1969" s="15"/>
      <c r="C1969" s="16" t="str">
        <f>IF(B1969="","",IFERROR(INDEX(Client_List!$C:$C,MATCH(B1969,Client_List!$B:$B,0)),""))</f>
        <v/>
      </c>
      <c r="D1969" s="16" t="str">
        <f>IF(B1969="","",IFERROR(INDEX(Client_List!$D:$D,MATCH(B1969,Client_List!$B:$B,0)),""))</f>
        <v/>
      </c>
      <c r="E1969" s="16" t="str">
        <f>IF(B1969="","",IFERROR(INDEX(Client_List!$K:$K,MATCH(B1969,Client_List!$B:$B,0)),""))</f>
        <v/>
      </c>
      <c r="F1969" s="16" t="str">
        <f>IF(B1969="","",IFERROR(INDEX(Client_List!$J:$J,MATCH(B1969,Client_List!$B:$B,0)),""))</f>
        <v/>
      </c>
      <c r="G1969" s="16"/>
      <c r="H1969" s="16" t="str">
        <f>IF(B1969="","",IFERROR(A1969-LOOKUP(2,1/($B$4:$B1968=B1969),$A$4:$A1968),""))</f>
        <v/>
      </c>
      <c r="I1969" s="16" t="str">
        <f t="shared" si="30"/>
        <v/>
      </c>
      <c r="J1969" s="16"/>
      <c r="K1969" s="6" t="str">
        <f>IF(B1969="","",IFERROR(AVERAGEIFS($I$4:$I1969,$B$4:$B1969,B1969,$I$4:$I1969,"&gt;"&amp;0),""))</f>
        <v/>
      </c>
      <c r="L1969" s="16" t="str">
        <f>IF(B1969="","",IF(ISNA(MATCH(B1969,Client_List!$B:$B,0)),"⚠ NOT FOUND","✓"))</f>
        <v/>
      </c>
    </row>
    <row r="1970" spans="1:12" ht="14" customHeight="1" x14ac:dyDescent="0.2">
      <c r="A1970" s="59"/>
      <c r="B1970" s="18"/>
      <c r="C1970" s="19" t="str">
        <f>IF(B1970="","",IFERROR(INDEX(Client_List!$C:$C,MATCH(B1970,Client_List!$B:$B,0)),""))</f>
        <v/>
      </c>
      <c r="D1970" s="19" t="str">
        <f>IF(B1970="","",IFERROR(INDEX(Client_List!$D:$D,MATCH(B1970,Client_List!$B:$B,0)),""))</f>
        <v/>
      </c>
      <c r="E1970" s="19" t="str">
        <f>IF(B1970="","",IFERROR(INDEX(Client_List!$K:$K,MATCH(B1970,Client_List!$B:$B,0)),""))</f>
        <v/>
      </c>
      <c r="F1970" s="19" t="str">
        <f>IF(B1970="","",IFERROR(INDEX(Client_List!$J:$J,MATCH(B1970,Client_List!$B:$B,0)),""))</f>
        <v/>
      </c>
      <c r="G1970" s="19"/>
      <c r="H1970" s="19" t="str">
        <f>IF(B1970="","",IFERROR(A1970-LOOKUP(2,1/($B$4:$B1969=B1970),$A$4:$A1969),""))</f>
        <v/>
      </c>
      <c r="I1970" s="19" t="str">
        <f t="shared" si="30"/>
        <v/>
      </c>
      <c r="J1970" s="19"/>
      <c r="K1970" s="6" t="str">
        <f>IF(B1970="","",IFERROR(AVERAGEIFS($I$4:$I1970,$B$4:$B1970,B1970,$I$4:$I1970,"&gt;"&amp;0),""))</f>
        <v/>
      </c>
      <c r="L1970" s="19" t="str">
        <f>IF(B1970="","",IF(ISNA(MATCH(B1970,Client_List!$B:$B,0)),"⚠ NOT FOUND","✓"))</f>
        <v/>
      </c>
    </row>
    <row r="1971" spans="1:12" ht="14" customHeight="1" x14ac:dyDescent="0.2">
      <c r="A1971" s="58"/>
      <c r="B1971" s="15"/>
      <c r="C1971" s="16" t="str">
        <f>IF(B1971="","",IFERROR(INDEX(Client_List!$C:$C,MATCH(B1971,Client_List!$B:$B,0)),""))</f>
        <v/>
      </c>
      <c r="D1971" s="16" t="str">
        <f>IF(B1971="","",IFERROR(INDEX(Client_List!$D:$D,MATCH(B1971,Client_List!$B:$B,0)),""))</f>
        <v/>
      </c>
      <c r="E1971" s="16" t="str">
        <f>IF(B1971="","",IFERROR(INDEX(Client_List!$K:$K,MATCH(B1971,Client_List!$B:$B,0)),""))</f>
        <v/>
      </c>
      <c r="F1971" s="16" t="str">
        <f>IF(B1971="","",IFERROR(INDEX(Client_List!$J:$J,MATCH(B1971,Client_List!$B:$B,0)),""))</f>
        <v/>
      </c>
      <c r="G1971" s="16"/>
      <c r="H1971" s="16" t="str">
        <f>IF(B1971="","",IFERROR(A1971-LOOKUP(2,1/($B$4:$B1970=B1971),$A$4:$A1970),""))</f>
        <v/>
      </c>
      <c r="I1971" s="16" t="str">
        <f t="shared" si="30"/>
        <v/>
      </c>
      <c r="J1971" s="16"/>
      <c r="K1971" s="6" t="str">
        <f>IF(B1971="","",IFERROR(AVERAGEIFS($I$4:$I1971,$B$4:$B1971,B1971,$I$4:$I1971,"&gt;"&amp;0),""))</f>
        <v/>
      </c>
      <c r="L1971" s="16" t="str">
        <f>IF(B1971="","",IF(ISNA(MATCH(B1971,Client_List!$B:$B,0)),"⚠ NOT FOUND","✓"))</f>
        <v/>
      </c>
    </row>
    <row r="1972" spans="1:12" ht="14" customHeight="1" x14ac:dyDescent="0.2">
      <c r="A1972" s="59"/>
      <c r="B1972" s="18"/>
      <c r="C1972" s="19" t="str">
        <f>IF(B1972="","",IFERROR(INDEX(Client_List!$C:$C,MATCH(B1972,Client_List!$B:$B,0)),""))</f>
        <v/>
      </c>
      <c r="D1972" s="19" t="str">
        <f>IF(B1972="","",IFERROR(INDEX(Client_List!$D:$D,MATCH(B1972,Client_List!$B:$B,0)),""))</f>
        <v/>
      </c>
      <c r="E1972" s="19" t="str">
        <f>IF(B1972="","",IFERROR(INDEX(Client_List!$K:$K,MATCH(B1972,Client_List!$B:$B,0)),""))</f>
        <v/>
      </c>
      <c r="F1972" s="19" t="str">
        <f>IF(B1972="","",IFERROR(INDEX(Client_List!$J:$J,MATCH(B1972,Client_List!$B:$B,0)),""))</f>
        <v/>
      </c>
      <c r="G1972" s="19"/>
      <c r="H1972" s="19" t="str">
        <f>IF(B1972="","",IFERROR(A1972-LOOKUP(2,1/($B$4:$B1971=B1972),$A$4:$A1971),""))</f>
        <v/>
      </c>
      <c r="I1972" s="19" t="str">
        <f t="shared" si="30"/>
        <v/>
      </c>
      <c r="J1972" s="19"/>
      <c r="K1972" s="6" t="str">
        <f>IF(B1972="","",IFERROR(AVERAGEIFS($I$4:$I1972,$B$4:$B1972,B1972,$I$4:$I1972,"&gt;"&amp;0),""))</f>
        <v/>
      </c>
      <c r="L1972" s="19" t="str">
        <f>IF(B1972="","",IF(ISNA(MATCH(B1972,Client_List!$B:$B,0)),"⚠ NOT FOUND","✓"))</f>
        <v/>
      </c>
    </row>
    <row r="1973" spans="1:12" ht="14" customHeight="1" x14ac:dyDescent="0.2">
      <c r="A1973" s="58"/>
      <c r="B1973" s="15"/>
      <c r="C1973" s="16" t="str">
        <f>IF(B1973="","",IFERROR(INDEX(Client_List!$C:$C,MATCH(B1973,Client_List!$B:$B,0)),""))</f>
        <v/>
      </c>
      <c r="D1973" s="16" t="str">
        <f>IF(B1973="","",IFERROR(INDEX(Client_List!$D:$D,MATCH(B1973,Client_List!$B:$B,0)),""))</f>
        <v/>
      </c>
      <c r="E1973" s="16" t="str">
        <f>IF(B1973="","",IFERROR(INDEX(Client_List!$K:$K,MATCH(B1973,Client_List!$B:$B,0)),""))</f>
        <v/>
      </c>
      <c r="F1973" s="16" t="str">
        <f>IF(B1973="","",IFERROR(INDEX(Client_List!$J:$J,MATCH(B1973,Client_List!$B:$B,0)),""))</f>
        <v/>
      </c>
      <c r="G1973" s="16"/>
      <c r="H1973" s="16" t="str">
        <f>IF(B1973="","",IFERROR(A1973-LOOKUP(2,1/($B$4:$B1972=B1973),$A$4:$A1972),""))</f>
        <v/>
      </c>
      <c r="I1973" s="16" t="str">
        <f t="shared" si="30"/>
        <v/>
      </c>
      <c r="J1973" s="16"/>
      <c r="K1973" s="6" t="str">
        <f>IF(B1973="","",IFERROR(AVERAGEIFS($I$4:$I1973,$B$4:$B1973,B1973,$I$4:$I1973,"&gt;"&amp;0),""))</f>
        <v/>
      </c>
      <c r="L1973" s="16" t="str">
        <f>IF(B1973="","",IF(ISNA(MATCH(B1973,Client_List!$B:$B,0)),"⚠ NOT FOUND","✓"))</f>
        <v/>
      </c>
    </row>
    <row r="1974" spans="1:12" ht="14" customHeight="1" x14ac:dyDescent="0.2">
      <c r="A1974" s="59"/>
      <c r="B1974" s="18"/>
      <c r="C1974" s="19" t="str">
        <f>IF(B1974="","",IFERROR(INDEX(Client_List!$C:$C,MATCH(B1974,Client_List!$B:$B,0)),""))</f>
        <v/>
      </c>
      <c r="D1974" s="19" t="str">
        <f>IF(B1974="","",IFERROR(INDEX(Client_List!$D:$D,MATCH(B1974,Client_List!$B:$B,0)),""))</f>
        <v/>
      </c>
      <c r="E1974" s="19" t="str">
        <f>IF(B1974="","",IFERROR(INDEX(Client_List!$K:$K,MATCH(B1974,Client_List!$B:$B,0)),""))</f>
        <v/>
      </c>
      <c r="F1974" s="19" t="str">
        <f>IF(B1974="","",IFERROR(INDEX(Client_List!$J:$J,MATCH(B1974,Client_List!$B:$B,0)),""))</f>
        <v/>
      </c>
      <c r="G1974" s="19"/>
      <c r="H1974" s="19" t="str">
        <f>IF(B1974="","",IFERROR(A1974-LOOKUP(2,1/($B$4:$B1973=B1974),$A$4:$A1973),""))</f>
        <v/>
      </c>
      <c r="I1974" s="19" t="str">
        <f t="shared" si="30"/>
        <v/>
      </c>
      <c r="J1974" s="19"/>
      <c r="K1974" s="6" t="str">
        <f>IF(B1974="","",IFERROR(AVERAGEIFS($I$4:$I1974,$B$4:$B1974,B1974,$I$4:$I1974,"&gt;"&amp;0),""))</f>
        <v/>
      </c>
      <c r="L1974" s="19" t="str">
        <f>IF(B1974="","",IF(ISNA(MATCH(B1974,Client_List!$B:$B,0)),"⚠ NOT FOUND","✓"))</f>
        <v/>
      </c>
    </row>
    <row r="1975" spans="1:12" ht="14" customHeight="1" x14ac:dyDescent="0.2">
      <c r="A1975" s="58"/>
      <c r="B1975" s="15"/>
      <c r="C1975" s="16" t="str">
        <f>IF(B1975="","",IFERROR(INDEX(Client_List!$C:$C,MATCH(B1975,Client_List!$B:$B,0)),""))</f>
        <v/>
      </c>
      <c r="D1975" s="16" t="str">
        <f>IF(B1975="","",IFERROR(INDEX(Client_List!$D:$D,MATCH(B1975,Client_List!$B:$B,0)),""))</f>
        <v/>
      </c>
      <c r="E1975" s="16" t="str">
        <f>IF(B1975="","",IFERROR(INDEX(Client_List!$K:$K,MATCH(B1975,Client_List!$B:$B,0)),""))</f>
        <v/>
      </c>
      <c r="F1975" s="16" t="str">
        <f>IF(B1975="","",IFERROR(INDEX(Client_List!$J:$J,MATCH(B1975,Client_List!$B:$B,0)),""))</f>
        <v/>
      </c>
      <c r="G1975" s="16"/>
      <c r="H1975" s="16" t="str">
        <f>IF(B1975="","",IFERROR(A1975-LOOKUP(2,1/($B$4:$B1974=B1975),$A$4:$A1974),""))</f>
        <v/>
      </c>
      <c r="I1975" s="16" t="str">
        <f t="shared" si="30"/>
        <v/>
      </c>
      <c r="J1975" s="16"/>
      <c r="K1975" s="6" t="str">
        <f>IF(B1975="","",IFERROR(AVERAGEIFS($I$4:$I1975,$B$4:$B1975,B1975,$I$4:$I1975,"&gt;"&amp;0),""))</f>
        <v/>
      </c>
      <c r="L1975" s="16" t="str">
        <f>IF(B1975="","",IF(ISNA(MATCH(B1975,Client_List!$B:$B,0)),"⚠ NOT FOUND","✓"))</f>
        <v/>
      </c>
    </row>
    <row r="1976" spans="1:12" ht="14" customHeight="1" x14ac:dyDescent="0.2">
      <c r="A1976" s="59"/>
      <c r="B1976" s="18"/>
      <c r="C1976" s="19" t="str">
        <f>IF(B1976="","",IFERROR(INDEX(Client_List!$C:$C,MATCH(B1976,Client_List!$B:$B,0)),""))</f>
        <v/>
      </c>
      <c r="D1976" s="19" t="str">
        <f>IF(B1976="","",IFERROR(INDEX(Client_List!$D:$D,MATCH(B1976,Client_List!$B:$B,0)),""))</f>
        <v/>
      </c>
      <c r="E1976" s="19" t="str">
        <f>IF(B1976="","",IFERROR(INDEX(Client_List!$K:$K,MATCH(B1976,Client_List!$B:$B,0)),""))</f>
        <v/>
      </c>
      <c r="F1976" s="19" t="str">
        <f>IF(B1976="","",IFERROR(INDEX(Client_List!$J:$J,MATCH(B1976,Client_List!$B:$B,0)),""))</f>
        <v/>
      </c>
      <c r="G1976" s="19"/>
      <c r="H1976" s="19" t="str">
        <f>IF(B1976="","",IFERROR(A1976-LOOKUP(2,1/($B$4:$B1975=B1976),$A$4:$A1975),""))</f>
        <v/>
      </c>
      <c r="I1976" s="19" t="str">
        <f t="shared" si="30"/>
        <v/>
      </c>
      <c r="J1976" s="19"/>
      <c r="K1976" s="6" t="str">
        <f>IF(B1976="","",IFERROR(AVERAGEIFS($I$4:$I1976,$B$4:$B1976,B1976,$I$4:$I1976,"&gt;"&amp;0),""))</f>
        <v/>
      </c>
      <c r="L1976" s="19" t="str">
        <f>IF(B1976="","",IF(ISNA(MATCH(B1976,Client_List!$B:$B,0)),"⚠ NOT FOUND","✓"))</f>
        <v/>
      </c>
    </row>
    <row r="1977" spans="1:12" ht="14" customHeight="1" x14ac:dyDescent="0.2">
      <c r="A1977" s="58"/>
      <c r="B1977" s="15"/>
      <c r="C1977" s="16" t="str">
        <f>IF(B1977="","",IFERROR(INDEX(Client_List!$C:$C,MATCH(B1977,Client_List!$B:$B,0)),""))</f>
        <v/>
      </c>
      <c r="D1977" s="16" t="str">
        <f>IF(B1977="","",IFERROR(INDEX(Client_List!$D:$D,MATCH(B1977,Client_List!$B:$B,0)),""))</f>
        <v/>
      </c>
      <c r="E1977" s="16" t="str">
        <f>IF(B1977="","",IFERROR(INDEX(Client_List!$K:$K,MATCH(B1977,Client_List!$B:$B,0)),""))</f>
        <v/>
      </c>
      <c r="F1977" s="16" t="str">
        <f>IF(B1977="","",IFERROR(INDEX(Client_List!$J:$J,MATCH(B1977,Client_List!$B:$B,0)),""))</f>
        <v/>
      </c>
      <c r="G1977" s="16"/>
      <c r="H1977" s="16" t="str">
        <f>IF(B1977="","",IFERROR(A1977-LOOKUP(2,1/($B$4:$B1976=B1977),$A$4:$A1976),""))</f>
        <v/>
      </c>
      <c r="I1977" s="16" t="str">
        <f t="shared" si="30"/>
        <v/>
      </c>
      <c r="J1977" s="16"/>
      <c r="K1977" s="6" t="str">
        <f>IF(B1977="","",IFERROR(AVERAGEIFS($I$4:$I1977,$B$4:$B1977,B1977,$I$4:$I1977,"&gt;"&amp;0),""))</f>
        <v/>
      </c>
      <c r="L1977" s="16" t="str">
        <f>IF(B1977="","",IF(ISNA(MATCH(B1977,Client_List!$B:$B,0)),"⚠ NOT FOUND","✓"))</f>
        <v/>
      </c>
    </row>
    <row r="1978" spans="1:12" ht="14" customHeight="1" x14ac:dyDescent="0.2">
      <c r="A1978" s="59"/>
      <c r="B1978" s="18"/>
      <c r="C1978" s="19" t="str">
        <f>IF(B1978="","",IFERROR(INDEX(Client_List!$C:$C,MATCH(B1978,Client_List!$B:$B,0)),""))</f>
        <v/>
      </c>
      <c r="D1978" s="19" t="str">
        <f>IF(B1978="","",IFERROR(INDEX(Client_List!$D:$D,MATCH(B1978,Client_List!$B:$B,0)),""))</f>
        <v/>
      </c>
      <c r="E1978" s="19" t="str">
        <f>IF(B1978="","",IFERROR(INDEX(Client_List!$K:$K,MATCH(B1978,Client_List!$B:$B,0)),""))</f>
        <v/>
      </c>
      <c r="F1978" s="19" t="str">
        <f>IF(B1978="","",IFERROR(INDEX(Client_List!$J:$J,MATCH(B1978,Client_List!$B:$B,0)),""))</f>
        <v/>
      </c>
      <c r="G1978" s="19"/>
      <c r="H1978" s="19" t="str">
        <f>IF(B1978="","",IFERROR(A1978-LOOKUP(2,1/($B$4:$B1977=B1978),$A$4:$A1977),""))</f>
        <v/>
      </c>
      <c r="I1978" s="19" t="str">
        <f t="shared" si="30"/>
        <v/>
      </c>
      <c r="J1978" s="19"/>
      <c r="K1978" s="6" t="str">
        <f>IF(B1978="","",IFERROR(AVERAGEIFS($I$4:$I1978,$B$4:$B1978,B1978,$I$4:$I1978,"&gt;"&amp;0),""))</f>
        <v/>
      </c>
      <c r="L1978" s="19" t="str">
        <f>IF(B1978="","",IF(ISNA(MATCH(B1978,Client_List!$B:$B,0)),"⚠ NOT FOUND","✓"))</f>
        <v/>
      </c>
    </row>
    <row r="1979" spans="1:12" ht="14" customHeight="1" x14ac:dyDescent="0.2">
      <c r="A1979" s="58"/>
      <c r="B1979" s="15"/>
      <c r="C1979" s="16" t="str">
        <f>IF(B1979="","",IFERROR(INDEX(Client_List!$C:$C,MATCH(B1979,Client_List!$B:$B,0)),""))</f>
        <v/>
      </c>
      <c r="D1979" s="16" t="str">
        <f>IF(B1979="","",IFERROR(INDEX(Client_List!$D:$D,MATCH(B1979,Client_List!$B:$B,0)),""))</f>
        <v/>
      </c>
      <c r="E1979" s="16" t="str">
        <f>IF(B1979="","",IFERROR(INDEX(Client_List!$K:$K,MATCH(B1979,Client_List!$B:$B,0)),""))</f>
        <v/>
      </c>
      <c r="F1979" s="16" t="str">
        <f>IF(B1979="","",IFERROR(INDEX(Client_List!$J:$J,MATCH(B1979,Client_List!$B:$B,0)),""))</f>
        <v/>
      </c>
      <c r="G1979" s="16"/>
      <c r="H1979" s="16" t="str">
        <f>IF(B1979="","",IFERROR(A1979-LOOKUP(2,1/($B$4:$B1978=B1979),$A$4:$A1978),""))</f>
        <v/>
      </c>
      <c r="I1979" s="16" t="str">
        <f t="shared" si="30"/>
        <v/>
      </c>
      <c r="J1979" s="16"/>
      <c r="K1979" s="6" t="str">
        <f>IF(B1979="","",IFERROR(AVERAGEIFS($I$4:$I1979,$B$4:$B1979,B1979,$I$4:$I1979,"&gt;"&amp;0),""))</f>
        <v/>
      </c>
      <c r="L1979" s="16" t="str">
        <f>IF(B1979="","",IF(ISNA(MATCH(B1979,Client_List!$B:$B,0)),"⚠ NOT FOUND","✓"))</f>
        <v/>
      </c>
    </row>
    <row r="1980" spans="1:12" ht="14" customHeight="1" x14ac:dyDescent="0.2">
      <c r="A1980" s="59"/>
      <c r="B1980" s="18"/>
      <c r="C1980" s="19" t="str">
        <f>IF(B1980="","",IFERROR(INDEX(Client_List!$C:$C,MATCH(B1980,Client_List!$B:$B,0)),""))</f>
        <v/>
      </c>
      <c r="D1980" s="19" t="str">
        <f>IF(B1980="","",IFERROR(INDEX(Client_List!$D:$D,MATCH(B1980,Client_List!$B:$B,0)),""))</f>
        <v/>
      </c>
      <c r="E1980" s="19" t="str">
        <f>IF(B1980="","",IFERROR(INDEX(Client_List!$K:$K,MATCH(B1980,Client_List!$B:$B,0)),""))</f>
        <v/>
      </c>
      <c r="F1980" s="19" t="str">
        <f>IF(B1980="","",IFERROR(INDEX(Client_List!$J:$J,MATCH(B1980,Client_List!$B:$B,0)),""))</f>
        <v/>
      </c>
      <c r="G1980" s="19"/>
      <c r="H1980" s="19" t="str">
        <f>IF(B1980="","",IFERROR(A1980-LOOKUP(2,1/($B$4:$B1979=B1980),$A$4:$A1979),""))</f>
        <v/>
      </c>
      <c r="I1980" s="19" t="str">
        <f t="shared" si="30"/>
        <v/>
      </c>
      <c r="J1980" s="19"/>
      <c r="K1980" s="6" t="str">
        <f>IF(B1980="","",IFERROR(AVERAGEIFS($I$4:$I1980,$B$4:$B1980,B1980,$I$4:$I1980,"&gt;"&amp;0),""))</f>
        <v/>
      </c>
      <c r="L1980" s="19" t="str">
        <f>IF(B1980="","",IF(ISNA(MATCH(B1980,Client_List!$B:$B,0)),"⚠ NOT FOUND","✓"))</f>
        <v/>
      </c>
    </row>
    <row r="1981" spans="1:12" ht="14" customHeight="1" x14ac:dyDescent="0.2">
      <c r="A1981" s="58"/>
      <c r="B1981" s="15"/>
      <c r="C1981" s="16" t="str">
        <f>IF(B1981="","",IFERROR(INDEX(Client_List!$C:$C,MATCH(B1981,Client_List!$B:$B,0)),""))</f>
        <v/>
      </c>
      <c r="D1981" s="16" t="str">
        <f>IF(B1981="","",IFERROR(INDEX(Client_List!$D:$D,MATCH(B1981,Client_List!$B:$B,0)),""))</f>
        <v/>
      </c>
      <c r="E1981" s="16" t="str">
        <f>IF(B1981="","",IFERROR(INDEX(Client_List!$K:$K,MATCH(B1981,Client_List!$B:$B,0)),""))</f>
        <v/>
      </c>
      <c r="F1981" s="16" t="str">
        <f>IF(B1981="","",IFERROR(INDEX(Client_List!$J:$J,MATCH(B1981,Client_List!$B:$B,0)),""))</f>
        <v/>
      </c>
      <c r="G1981" s="16"/>
      <c r="H1981" s="16" t="str">
        <f>IF(B1981="","",IFERROR(A1981-LOOKUP(2,1/($B$4:$B1980=B1981),$A$4:$A1980),""))</f>
        <v/>
      </c>
      <c r="I1981" s="16" t="str">
        <f t="shared" si="30"/>
        <v/>
      </c>
      <c r="J1981" s="16"/>
      <c r="K1981" s="6" t="str">
        <f>IF(B1981="","",IFERROR(AVERAGEIFS($I$4:$I1981,$B$4:$B1981,B1981,$I$4:$I1981,"&gt;"&amp;0),""))</f>
        <v/>
      </c>
      <c r="L1981" s="16" t="str">
        <f>IF(B1981="","",IF(ISNA(MATCH(B1981,Client_List!$B:$B,0)),"⚠ NOT FOUND","✓"))</f>
        <v/>
      </c>
    </row>
    <row r="1982" spans="1:12" ht="14" customHeight="1" x14ac:dyDescent="0.2">
      <c r="A1982" s="59"/>
      <c r="B1982" s="18"/>
      <c r="C1982" s="19" t="str">
        <f>IF(B1982="","",IFERROR(INDEX(Client_List!$C:$C,MATCH(B1982,Client_List!$B:$B,0)),""))</f>
        <v/>
      </c>
      <c r="D1982" s="19" t="str">
        <f>IF(B1982="","",IFERROR(INDEX(Client_List!$D:$D,MATCH(B1982,Client_List!$B:$B,0)),""))</f>
        <v/>
      </c>
      <c r="E1982" s="19" t="str">
        <f>IF(B1982="","",IFERROR(INDEX(Client_List!$K:$K,MATCH(B1982,Client_List!$B:$B,0)),""))</f>
        <v/>
      </c>
      <c r="F1982" s="19" t="str">
        <f>IF(B1982="","",IFERROR(INDEX(Client_List!$J:$J,MATCH(B1982,Client_List!$B:$B,0)),""))</f>
        <v/>
      </c>
      <c r="G1982" s="19"/>
      <c r="H1982" s="19" t="str">
        <f>IF(B1982="","",IFERROR(A1982-LOOKUP(2,1/($B$4:$B1981=B1982),$A$4:$A1981),""))</f>
        <v/>
      </c>
      <c r="I1982" s="19" t="str">
        <f t="shared" si="30"/>
        <v/>
      </c>
      <c r="J1982" s="19"/>
      <c r="K1982" s="6" t="str">
        <f>IF(B1982="","",IFERROR(AVERAGEIFS($I$4:$I1982,$B$4:$B1982,B1982,$I$4:$I1982,"&gt;"&amp;0),""))</f>
        <v/>
      </c>
      <c r="L1982" s="19" t="str">
        <f>IF(B1982="","",IF(ISNA(MATCH(B1982,Client_List!$B:$B,0)),"⚠ NOT FOUND","✓"))</f>
        <v/>
      </c>
    </row>
    <row r="1983" spans="1:12" ht="14" customHeight="1" x14ac:dyDescent="0.2">
      <c r="A1983" s="58"/>
      <c r="B1983" s="15"/>
      <c r="C1983" s="16" t="str">
        <f>IF(B1983="","",IFERROR(INDEX(Client_List!$C:$C,MATCH(B1983,Client_List!$B:$B,0)),""))</f>
        <v/>
      </c>
      <c r="D1983" s="16" t="str">
        <f>IF(B1983="","",IFERROR(INDEX(Client_List!$D:$D,MATCH(B1983,Client_List!$B:$B,0)),""))</f>
        <v/>
      </c>
      <c r="E1983" s="16" t="str">
        <f>IF(B1983="","",IFERROR(INDEX(Client_List!$K:$K,MATCH(B1983,Client_List!$B:$B,0)),""))</f>
        <v/>
      </c>
      <c r="F1983" s="16" t="str">
        <f>IF(B1983="","",IFERROR(INDEX(Client_List!$J:$J,MATCH(B1983,Client_List!$B:$B,0)),""))</f>
        <v/>
      </c>
      <c r="G1983" s="16"/>
      <c r="H1983" s="16" t="str">
        <f>IF(B1983="","",IFERROR(A1983-LOOKUP(2,1/($B$4:$B1982=B1983),$A$4:$A1982),""))</f>
        <v/>
      </c>
      <c r="I1983" s="16" t="str">
        <f t="shared" si="30"/>
        <v/>
      </c>
      <c r="J1983" s="16"/>
      <c r="K1983" s="6" t="str">
        <f>IF(B1983="","",IFERROR(AVERAGEIFS($I$4:$I1983,$B$4:$B1983,B1983,$I$4:$I1983,"&gt;"&amp;0),""))</f>
        <v/>
      </c>
      <c r="L1983" s="16" t="str">
        <f>IF(B1983="","",IF(ISNA(MATCH(B1983,Client_List!$B:$B,0)),"⚠ NOT FOUND","✓"))</f>
        <v/>
      </c>
    </row>
    <row r="1984" spans="1:12" ht="14" customHeight="1" x14ac:dyDescent="0.2">
      <c r="A1984" s="59"/>
      <c r="B1984" s="18"/>
      <c r="C1984" s="19" t="str">
        <f>IF(B1984="","",IFERROR(INDEX(Client_List!$C:$C,MATCH(B1984,Client_List!$B:$B,0)),""))</f>
        <v/>
      </c>
      <c r="D1984" s="19" t="str">
        <f>IF(B1984="","",IFERROR(INDEX(Client_List!$D:$D,MATCH(B1984,Client_List!$B:$B,0)),""))</f>
        <v/>
      </c>
      <c r="E1984" s="19" t="str">
        <f>IF(B1984="","",IFERROR(INDEX(Client_List!$K:$K,MATCH(B1984,Client_List!$B:$B,0)),""))</f>
        <v/>
      </c>
      <c r="F1984" s="19" t="str">
        <f>IF(B1984="","",IFERROR(INDEX(Client_List!$J:$J,MATCH(B1984,Client_List!$B:$B,0)),""))</f>
        <v/>
      </c>
      <c r="G1984" s="19"/>
      <c r="H1984" s="19" t="str">
        <f>IF(B1984="","",IFERROR(A1984-LOOKUP(2,1/($B$4:$B1983=B1984),$A$4:$A1983),""))</f>
        <v/>
      </c>
      <c r="I1984" s="19" t="str">
        <f t="shared" si="30"/>
        <v/>
      </c>
      <c r="J1984" s="19"/>
      <c r="K1984" s="6" t="str">
        <f>IF(B1984="","",IFERROR(AVERAGEIFS($I$4:$I1984,$B$4:$B1984,B1984,$I$4:$I1984,"&gt;"&amp;0),""))</f>
        <v/>
      </c>
      <c r="L1984" s="19" t="str">
        <f>IF(B1984="","",IF(ISNA(MATCH(B1984,Client_List!$B:$B,0)),"⚠ NOT FOUND","✓"))</f>
        <v/>
      </c>
    </row>
    <row r="1985" spans="1:12" ht="14" customHeight="1" x14ac:dyDescent="0.2">
      <c r="A1985" s="58"/>
      <c r="B1985" s="15"/>
      <c r="C1985" s="16" t="str">
        <f>IF(B1985="","",IFERROR(INDEX(Client_List!$C:$C,MATCH(B1985,Client_List!$B:$B,0)),""))</f>
        <v/>
      </c>
      <c r="D1985" s="16" t="str">
        <f>IF(B1985="","",IFERROR(INDEX(Client_List!$D:$D,MATCH(B1985,Client_List!$B:$B,0)),""))</f>
        <v/>
      </c>
      <c r="E1985" s="16" t="str">
        <f>IF(B1985="","",IFERROR(INDEX(Client_List!$K:$K,MATCH(B1985,Client_List!$B:$B,0)),""))</f>
        <v/>
      </c>
      <c r="F1985" s="16" t="str">
        <f>IF(B1985="","",IFERROR(INDEX(Client_List!$J:$J,MATCH(B1985,Client_List!$B:$B,0)),""))</f>
        <v/>
      </c>
      <c r="G1985" s="16"/>
      <c r="H1985" s="16" t="str">
        <f>IF(B1985="","",IFERROR(A1985-LOOKUP(2,1/($B$4:$B1984=B1985),$A$4:$A1984),""))</f>
        <v/>
      </c>
      <c r="I1985" s="16" t="str">
        <f t="shared" si="30"/>
        <v/>
      </c>
      <c r="J1985" s="16"/>
      <c r="K1985" s="6" t="str">
        <f>IF(B1985="","",IFERROR(AVERAGEIFS($I$4:$I1985,$B$4:$B1985,B1985,$I$4:$I1985,"&gt;"&amp;0),""))</f>
        <v/>
      </c>
      <c r="L1985" s="16" t="str">
        <f>IF(B1985="","",IF(ISNA(MATCH(B1985,Client_List!$B:$B,0)),"⚠ NOT FOUND","✓"))</f>
        <v/>
      </c>
    </row>
    <row r="1986" spans="1:12" ht="14" customHeight="1" x14ac:dyDescent="0.2">
      <c r="A1986" s="59"/>
      <c r="B1986" s="18"/>
      <c r="C1986" s="19" t="str">
        <f>IF(B1986="","",IFERROR(INDEX(Client_List!$C:$C,MATCH(B1986,Client_List!$B:$B,0)),""))</f>
        <v/>
      </c>
      <c r="D1986" s="19" t="str">
        <f>IF(B1986="","",IFERROR(INDEX(Client_List!$D:$D,MATCH(B1986,Client_List!$B:$B,0)),""))</f>
        <v/>
      </c>
      <c r="E1986" s="19" t="str">
        <f>IF(B1986="","",IFERROR(INDEX(Client_List!$K:$K,MATCH(B1986,Client_List!$B:$B,0)),""))</f>
        <v/>
      </c>
      <c r="F1986" s="19" t="str">
        <f>IF(B1986="","",IFERROR(INDEX(Client_List!$J:$J,MATCH(B1986,Client_List!$B:$B,0)),""))</f>
        <v/>
      </c>
      <c r="G1986" s="19"/>
      <c r="H1986" s="19" t="str">
        <f>IF(B1986="","",IFERROR(A1986-LOOKUP(2,1/($B$4:$B1985=B1986),$A$4:$A1985),""))</f>
        <v/>
      </c>
      <c r="I1986" s="19" t="str">
        <f t="shared" si="30"/>
        <v/>
      </c>
      <c r="J1986" s="19"/>
      <c r="K1986" s="6" t="str">
        <f>IF(B1986="","",IFERROR(AVERAGEIFS($I$4:$I1986,$B$4:$B1986,B1986,$I$4:$I1986,"&gt;"&amp;0),""))</f>
        <v/>
      </c>
      <c r="L1986" s="19" t="str">
        <f>IF(B1986="","",IF(ISNA(MATCH(B1986,Client_List!$B:$B,0)),"⚠ NOT FOUND","✓"))</f>
        <v/>
      </c>
    </row>
    <row r="1987" spans="1:12" ht="14" customHeight="1" x14ac:dyDescent="0.2">
      <c r="A1987" s="58"/>
      <c r="B1987" s="15"/>
      <c r="C1987" s="16" t="str">
        <f>IF(B1987="","",IFERROR(INDEX(Client_List!$C:$C,MATCH(B1987,Client_List!$B:$B,0)),""))</f>
        <v/>
      </c>
      <c r="D1987" s="16" t="str">
        <f>IF(B1987="","",IFERROR(INDEX(Client_List!$D:$D,MATCH(B1987,Client_List!$B:$B,0)),""))</f>
        <v/>
      </c>
      <c r="E1987" s="16" t="str">
        <f>IF(B1987="","",IFERROR(INDEX(Client_List!$K:$K,MATCH(B1987,Client_List!$B:$B,0)),""))</f>
        <v/>
      </c>
      <c r="F1987" s="16" t="str">
        <f>IF(B1987="","",IFERROR(INDEX(Client_List!$J:$J,MATCH(B1987,Client_List!$B:$B,0)),""))</f>
        <v/>
      </c>
      <c r="G1987" s="16"/>
      <c r="H1987" s="16" t="str">
        <f>IF(B1987="","",IFERROR(A1987-LOOKUP(2,1/($B$4:$B1986=B1987),$A$4:$A1986),""))</f>
        <v/>
      </c>
      <c r="I1987" s="16" t="str">
        <f t="shared" si="30"/>
        <v/>
      </c>
      <c r="J1987" s="16"/>
      <c r="K1987" s="6" t="str">
        <f>IF(B1987="","",IFERROR(AVERAGEIFS($I$4:$I1987,$B$4:$B1987,B1987,$I$4:$I1987,"&gt;"&amp;0),""))</f>
        <v/>
      </c>
      <c r="L1987" s="16" t="str">
        <f>IF(B1987="","",IF(ISNA(MATCH(B1987,Client_List!$B:$B,0)),"⚠ NOT FOUND","✓"))</f>
        <v/>
      </c>
    </row>
    <row r="1988" spans="1:12" ht="14" customHeight="1" x14ac:dyDescent="0.2">
      <c r="A1988" s="59"/>
      <c r="B1988" s="18"/>
      <c r="C1988" s="19" t="str">
        <f>IF(B1988="","",IFERROR(INDEX(Client_List!$C:$C,MATCH(B1988,Client_List!$B:$B,0)),""))</f>
        <v/>
      </c>
      <c r="D1988" s="19" t="str">
        <f>IF(B1988="","",IFERROR(INDEX(Client_List!$D:$D,MATCH(B1988,Client_List!$B:$B,0)),""))</f>
        <v/>
      </c>
      <c r="E1988" s="19" t="str">
        <f>IF(B1988="","",IFERROR(INDEX(Client_List!$K:$K,MATCH(B1988,Client_List!$B:$B,0)),""))</f>
        <v/>
      </c>
      <c r="F1988" s="19" t="str">
        <f>IF(B1988="","",IFERROR(INDEX(Client_List!$J:$J,MATCH(B1988,Client_List!$B:$B,0)),""))</f>
        <v/>
      </c>
      <c r="G1988" s="19"/>
      <c r="H1988" s="19" t="str">
        <f>IF(B1988="","",IFERROR(A1988-LOOKUP(2,1/($B$4:$B1987=B1988),$A$4:$A1987),""))</f>
        <v/>
      </c>
      <c r="I1988" s="19" t="str">
        <f t="shared" ref="I1988:I2051" si="31">IF(B1988="","",IFERROR(G1988/H1988,""))</f>
        <v/>
      </c>
      <c r="J1988" s="19"/>
      <c r="K1988" s="6" t="str">
        <f>IF(B1988="","",IFERROR(AVERAGEIFS($I$4:$I1988,$B$4:$B1988,B1988,$I$4:$I1988,"&gt;"&amp;0),""))</f>
        <v/>
      </c>
      <c r="L1988" s="19" t="str">
        <f>IF(B1988="","",IF(ISNA(MATCH(B1988,Client_List!$B:$B,0)),"⚠ NOT FOUND","✓"))</f>
        <v/>
      </c>
    </row>
    <row r="1989" spans="1:12" ht="14" customHeight="1" x14ac:dyDescent="0.2">
      <c r="A1989" s="58"/>
      <c r="B1989" s="15"/>
      <c r="C1989" s="16" t="str">
        <f>IF(B1989="","",IFERROR(INDEX(Client_List!$C:$C,MATCH(B1989,Client_List!$B:$B,0)),""))</f>
        <v/>
      </c>
      <c r="D1989" s="16" t="str">
        <f>IF(B1989="","",IFERROR(INDEX(Client_List!$D:$D,MATCH(B1989,Client_List!$B:$B,0)),""))</f>
        <v/>
      </c>
      <c r="E1989" s="16" t="str">
        <f>IF(B1989="","",IFERROR(INDEX(Client_List!$K:$K,MATCH(B1989,Client_List!$B:$B,0)),""))</f>
        <v/>
      </c>
      <c r="F1989" s="16" t="str">
        <f>IF(B1989="","",IFERROR(INDEX(Client_List!$J:$J,MATCH(B1989,Client_List!$B:$B,0)),""))</f>
        <v/>
      </c>
      <c r="G1989" s="16"/>
      <c r="H1989" s="16" t="str">
        <f>IF(B1989="","",IFERROR(A1989-LOOKUP(2,1/($B$4:$B1988=B1989),$A$4:$A1988),""))</f>
        <v/>
      </c>
      <c r="I1989" s="16" t="str">
        <f t="shared" si="31"/>
        <v/>
      </c>
      <c r="J1989" s="16"/>
      <c r="K1989" s="6" t="str">
        <f>IF(B1989="","",IFERROR(AVERAGEIFS($I$4:$I1989,$B$4:$B1989,B1989,$I$4:$I1989,"&gt;"&amp;0),""))</f>
        <v/>
      </c>
      <c r="L1989" s="16" t="str">
        <f>IF(B1989="","",IF(ISNA(MATCH(B1989,Client_List!$B:$B,0)),"⚠ NOT FOUND","✓"))</f>
        <v/>
      </c>
    </row>
    <row r="1990" spans="1:12" ht="14" customHeight="1" x14ac:dyDescent="0.2">
      <c r="A1990" s="59"/>
      <c r="B1990" s="18"/>
      <c r="C1990" s="19" t="str">
        <f>IF(B1990="","",IFERROR(INDEX(Client_List!$C:$C,MATCH(B1990,Client_List!$B:$B,0)),""))</f>
        <v/>
      </c>
      <c r="D1990" s="19" t="str">
        <f>IF(B1990="","",IFERROR(INDEX(Client_List!$D:$D,MATCH(B1990,Client_List!$B:$B,0)),""))</f>
        <v/>
      </c>
      <c r="E1990" s="19" t="str">
        <f>IF(B1990="","",IFERROR(INDEX(Client_List!$K:$K,MATCH(B1990,Client_List!$B:$B,0)),""))</f>
        <v/>
      </c>
      <c r="F1990" s="19" t="str">
        <f>IF(B1990="","",IFERROR(INDEX(Client_List!$J:$J,MATCH(B1990,Client_List!$B:$B,0)),""))</f>
        <v/>
      </c>
      <c r="G1990" s="19"/>
      <c r="H1990" s="19" t="str">
        <f>IF(B1990="","",IFERROR(A1990-LOOKUP(2,1/($B$4:$B1989=B1990),$A$4:$A1989),""))</f>
        <v/>
      </c>
      <c r="I1990" s="19" t="str">
        <f t="shared" si="31"/>
        <v/>
      </c>
      <c r="J1990" s="19"/>
      <c r="K1990" s="6" t="str">
        <f>IF(B1990="","",IFERROR(AVERAGEIFS($I$4:$I1990,$B$4:$B1990,B1990,$I$4:$I1990,"&gt;"&amp;0),""))</f>
        <v/>
      </c>
      <c r="L1990" s="19" t="str">
        <f>IF(B1990="","",IF(ISNA(MATCH(B1990,Client_List!$B:$B,0)),"⚠ NOT FOUND","✓"))</f>
        <v/>
      </c>
    </row>
    <row r="1991" spans="1:12" ht="14" customHeight="1" x14ac:dyDescent="0.2">
      <c r="A1991" s="58"/>
      <c r="B1991" s="15"/>
      <c r="C1991" s="16" t="str">
        <f>IF(B1991="","",IFERROR(INDEX(Client_List!$C:$C,MATCH(B1991,Client_List!$B:$B,0)),""))</f>
        <v/>
      </c>
      <c r="D1991" s="16" t="str">
        <f>IF(B1991="","",IFERROR(INDEX(Client_List!$D:$D,MATCH(B1991,Client_List!$B:$B,0)),""))</f>
        <v/>
      </c>
      <c r="E1991" s="16" t="str">
        <f>IF(B1991="","",IFERROR(INDEX(Client_List!$K:$K,MATCH(B1991,Client_List!$B:$B,0)),""))</f>
        <v/>
      </c>
      <c r="F1991" s="16" t="str">
        <f>IF(B1991="","",IFERROR(INDEX(Client_List!$J:$J,MATCH(B1991,Client_List!$B:$B,0)),""))</f>
        <v/>
      </c>
      <c r="G1991" s="16"/>
      <c r="H1991" s="16" t="str">
        <f>IF(B1991="","",IFERROR(A1991-LOOKUP(2,1/($B$4:$B1990=B1991),$A$4:$A1990),""))</f>
        <v/>
      </c>
      <c r="I1991" s="16" t="str">
        <f t="shared" si="31"/>
        <v/>
      </c>
      <c r="J1991" s="16"/>
      <c r="K1991" s="6" t="str">
        <f>IF(B1991="","",IFERROR(AVERAGEIFS($I$4:$I1991,$B$4:$B1991,B1991,$I$4:$I1991,"&gt;"&amp;0),""))</f>
        <v/>
      </c>
      <c r="L1991" s="16" t="str">
        <f>IF(B1991="","",IF(ISNA(MATCH(B1991,Client_List!$B:$B,0)),"⚠ NOT FOUND","✓"))</f>
        <v/>
      </c>
    </row>
    <row r="1992" spans="1:12" ht="14" customHeight="1" x14ac:dyDescent="0.2">
      <c r="A1992" s="59"/>
      <c r="B1992" s="18"/>
      <c r="C1992" s="19" t="str">
        <f>IF(B1992="","",IFERROR(INDEX(Client_List!$C:$C,MATCH(B1992,Client_List!$B:$B,0)),""))</f>
        <v/>
      </c>
      <c r="D1992" s="19" t="str">
        <f>IF(B1992="","",IFERROR(INDEX(Client_List!$D:$D,MATCH(B1992,Client_List!$B:$B,0)),""))</f>
        <v/>
      </c>
      <c r="E1992" s="19" t="str">
        <f>IF(B1992="","",IFERROR(INDEX(Client_List!$K:$K,MATCH(B1992,Client_List!$B:$B,0)),""))</f>
        <v/>
      </c>
      <c r="F1992" s="19" t="str">
        <f>IF(B1992="","",IFERROR(INDEX(Client_List!$J:$J,MATCH(B1992,Client_List!$B:$B,0)),""))</f>
        <v/>
      </c>
      <c r="G1992" s="19"/>
      <c r="H1992" s="19" t="str">
        <f>IF(B1992="","",IFERROR(A1992-LOOKUP(2,1/($B$4:$B1991=B1992),$A$4:$A1991),""))</f>
        <v/>
      </c>
      <c r="I1992" s="19" t="str">
        <f t="shared" si="31"/>
        <v/>
      </c>
      <c r="J1992" s="19"/>
      <c r="K1992" s="6" t="str">
        <f>IF(B1992="","",IFERROR(AVERAGEIFS($I$4:$I1992,$B$4:$B1992,B1992,$I$4:$I1992,"&gt;"&amp;0),""))</f>
        <v/>
      </c>
      <c r="L1992" s="19" t="str">
        <f>IF(B1992="","",IF(ISNA(MATCH(B1992,Client_List!$B:$B,0)),"⚠ NOT FOUND","✓"))</f>
        <v/>
      </c>
    </row>
    <row r="1993" spans="1:12" ht="14" customHeight="1" x14ac:dyDescent="0.2">
      <c r="A1993" s="58"/>
      <c r="B1993" s="15"/>
      <c r="C1993" s="16" t="str">
        <f>IF(B1993="","",IFERROR(INDEX(Client_List!$C:$C,MATCH(B1993,Client_List!$B:$B,0)),""))</f>
        <v/>
      </c>
      <c r="D1993" s="16" t="str">
        <f>IF(B1993="","",IFERROR(INDEX(Client_List!$D:$D,MATCH(B1993,Client_List!$B:$B,0)),""))</f>
        <v/>
      </c>
      <c r="E1993" s="16" t="str">
        <f>IF(B1993="","",IFERROR(INDEX(Client_List!$K:$K,MATCH(B1993,Client_List!$B:$B,0)),""))</f>
        <v/>
      </c>
      <c r="F1993" s="16" t="str">
        <f>IF(B1993="","",IFERROR(INDEX(Client_List!$J:$J,MATCH(B1993,Client_List!$B:$B,0)),""))</f>
        <v/>
      </c>
      <c r="G1993" s="16"/>
      <c r="H1993" s="16" t="str">
        <f>IF(B1993="","",IFERROR(A1993-LOOKUP(2,1/($B$4:$B1992=B1993),$A$4:$A1992),""))</f>
        <v/>
      </c>
      <c r="I1993" s="16" t="str">
        <f t="shared" si="31"/>
        <v/>
      </c>
      <c r="J1993" s="16"/>
      <c r="K1993" s="6" t="str">
        <f>IF(B1993="","",IFERROR(AVERAGEIFS($I$4:$I1993,$B$4:$B1993,B1993,$I$4:$I1993,"&gt;"&amp;0),""))</f>
        <v/>
      </c>
      <c r="L1993" s="16" t="str">
        <f>IF(B1993="","",IF(ISNA(MATCH(B1993,Client_List!$B:$B,0)),"⚠ NOT FOUND","✓"))</f>
        <v/>
      </c>
    </row>
    <row r="1994" spans="1:12" ht="14" customHeight="1" x14ac:dyDescent="0.2">
      <c r="A1994" s="59"/>
      <c r="B1994" s="18"/>
      <c r="C1994" s="19" t="str">
        <f>IF(B1994="","",IFERROR(INDEX(Client_List!$C:$C,MATCH(B1994,Client_List!$B:$B,0)),""))</f>
        <v/>
      </c>
      <c r="D1994" s="19" t="str">
        <f>IF(B1994="","",IFERROR(INDEX(Client_List!$D:$D,MATCH(B1994,Client_List!$B:$B,0)),""))</f>
        <v/>
      </c>
      <c r="E1994" s="19" t="str">
        <f>IF(B1994="","",IFERROR(INDEX(Client_List!$K:$K,MATCH(B1994,Client_List!$B:$B,0)),""))</f>
        <v/>
      </c>
      <c r="F1994" s="19" t="str">
        <f>IF(B1994="","",IFERROR(INDEX(Client_List!$J:$J,MATCH(B1994,Client_List!$B:$B,0)),""))</f>
        <v/>
      </c>
      <c r="G1994" s="19"/>
      <c r="H1994" s="19" t="str">
        <f>IF(B1994="","",IFERROR(A1994-LOOKUP(2,1/($B$4:$B1993=B1994),$A$4:$A1993),""))</f>
        <v/>
      </c>
      <c r="I1994" s="19" t="str">
        <f t="shared" si="31"/>
        <v/>
      </c>
      <c r="J1994" s="19"/>
      <c r="K1994" s="6" t="str">
        <f>IF(B1994="","",IFERROR(AVERAGEIFS($I$4:$I1994,$B$4:$B1994,B1994,$I$4:$I1994,"&gt;"&amp;0),""))</f>
        <v/>
      </c>
      <c r="L1994" s="19" t="str">
        <f>IF(B1994="","",IF(ISNA(MATCH(B1994,Client_List!$B:$B,0)),"⚠ NOT FOUND","✓"))</f>
        <v/>
      </c>
    </row>
    <row r="1995" spans="1:12" ht="14" customHeight="1" x14ac:dyDescent="0.2">
      <c r="A1995" s="58"/>
      <c r="B1995" s="15"/>
      <c r="C1995" s="16" t="str">
        <f>IF(B1995="","",IFERROR(INDEX(Client_List!$C:$C,MATCH(B1995,Client_List!$B:$B,0)),""))</f>
        <v/>
      </c>
      <c r="D1995" s="16" t="str">
        <f>IF(B1995="","",IFERROR(INDEX(Client_List!$D:$D,MATCH(B1995,Client_List!$B:$B,0)),""))</f>
        <v/>
      </c>
      <c r="E1995" s="16" t="str">
        <f>IF(B1995="","",IFERROR(INDEX(Client_List!$K:$K,MATCH(B1995,Client_List!$B:$B,0)),""))</f>
        <v/>
      </c>
      <c r="F1995" s="16" t="str">
        <f>IF(B1995="","",IFERROR(INDEX(Client_List!$J:$J,MATCH(B1995,Client_List!$B:$B,0)),""))</f>
        <v/>
      </c>
      <c r="G1995" s="16"/>
      <c r="H1995" s="16" t="str">
        <f>IF(B1995="","",IFERROR(A1995-LOOKUP(2,1/($B$4:$B1994=B1995),$A$4:$A1994),""))</f>
        <v/>
      </c>
      <c r="I1995" s="16" t="str">
        <f t="shared" si="31"/>
        <v/>
      </c>
      <c r="J1995" s="16"/>
      <c r="K1995" s="6" t="str">
        <f>IF(B1995="","",IFERROR(AVERAGEIFS($I$4:$I1995,$B$4:$B1995,B1995,$I$4:$I1995,"&gt;"&amp;0),""))</f>
        <v/>
      </c>
      <c r="L1995" s="16" t="str">
        <f>IF(B1995="","",IF(ISNA(MATCH(B1995,Client_List!$B:$B,0)),"⚠ NOT FOUND","✓"))</f>
        <v/>
      </c>
    </row>
    <row r="1996" spans="1:12" ht="14" customHeight="1" x14ac:dyDescent="0.2">
      <c r="A1996" s="59"/>
      <c r="B1996" s="18"/>
      <c r="C1996" s="19" t="str">
        <f>IF(B1996="","",IFERROR(INDEX(Client_List!$C:$C,MATCH(B1996,Client_List!$B:$B,0)),""))</f>
        <v/>
      </c>
      <c r="D1996" s="19" t="str">
        <f>IF(B1996="","",IFERROR(INDEX(Client_List!$D:$D,MATCH(B1996,Client_List!$B:$B,0)),""))</f>
        <v/>
      </c>
      <c r="E1996" s="19" t="str">
        <f>IF(B1996="","",IFERROR(INDEX(Client_List!$K:$K,MATCH(B1996,Client_List!$B:$B,0)),""))</f>
        <v/>
      </c>
      <c r="F1996" s="19" t="str">
        <f>IF(B1996="","",IFERROR(INDEX(Client_List!$J:$J,MATCH(B1996,Client_List!$B:$B,0)),""))</f>
        <v/>
      </c>
      <c r="G1996" s="19"/>
      <c r="H1996" s="19" t="str">
        <f>IF(B1996="","",IFERROR(A1996-LOOKUP(2,1/($B$4:$B1995=B1996),$A$4:$A1995),""))</f>
        <v/>
      </c>
      <c r="I1996" s="19" t="str">
        <f t="shared" si="31"/>
        <v/>
      </c>
      <c r="J1996" s="19"/>
      <c r="K1996" s="6" t="str">
        <f>IF(B1996="","",IFERROR(AVERAGEIFS($I$4:$I1996,$B$4:$B1996,B1996,$I$4:$I1996,"&gt;"&amp;0),""))</f>
        <v/>
      </c>
      <c r="L1996" s="19" t="str">
        <f>IF(B1996="","",IF(ISNA(MATCH(B1996,Client_List!$B:$B,0)),"⚠ NOT FOUND","✓"))</f>
        <v/>
      </c>
    </row>
    <row r="1997" spans="1:12" ht="14" customHeight="1" x14ac:dyDescent="0.2">
      <c r="A1997" s="58"/>
      <c r="B1997" s="15"/>
      <c r="C1997" s="16" t="str">
        <f>IF(B1997="","",IFERROR(INDEX(Client_List!$C:$C,MATCH(B1997,Client_List!$B:$B,0)),""))</f>
        <v/>
      </c>
      <c r="D1997" s="16" t="str">
        <f>IF(B1997="","",IFERROR(INDEX(Client_List!$D:$D,MATCH(B1997,Client_List!$B:$B,0)),""))</f>
        <v/>
      </c>
      <c r="E1997" s="16" t="str">
        <f>IF(B1997="","",IFERROR(INDEX(Client_List!$K:$K,MATCH(B1997,Client_List!$B:$B,0)),""))</f>
        <v/>
      </c>
      <c r="F1997" s="16" t="str">
        <f>IF(B1997="","",IFERROR(INDEX(Client_List!$J:$J,MATCH(B1997,Client_List!$B:$B,0)),""))</f>
        <v/>
      </c>
      <c r="G1997" s="16"/>
      <c r="H1997" s="16" t="str">
        <f>IF(B1997="","",IFERROR(A1997-LOOKUP(2,1/($B$4:$B1996=B1997),$A$4:$A1996),""))</f>
        <v/>
      </c>
      <c r="I1997" s="16" t="str">
        <f t="shared" si="31"/>
        <v/>
      </c>
      <c r="J1997" s="16"/>
      <c r="K1997" s="6" t="str">
        <f>IF(B1997="","",IFERROR(AVERAGEIFS($I$4:$I1997,$B$4:$B1997,B1997,$I$4:$I1997,"&gt;"&amp;0),""))</f>
        <v/>
      </c>
      <c r="L1997" s="16" t="str">
        <f>IF(B1997="","",IF(ISNA(MATCH(B1997,Client_List!$B:$B,0)),"⚠ NOT FOUND","✓"))</f>
        <v/>
      </c>
    </row>
    <row r="1998" spans="1:12" ht="14" customHeight="1" x14ac:dyDescent="0.2">
      <c r="A1998" s="59"/>
      <c r="B1998" s="18"/>
      <c r="C1998" s="19" t="str">
        <f>IF(B1998="","",IFERROR(INDEX(Client_List!$C:$C,MATCH(B1998,Client_List!$B:$B,0)),""))</f>
        <v/>
      </c>
      <c r="D1998" s="19" t="str">
        <f>IF(B1998="","",IFERROR(INDEX(Client_List!$D:$D,MATCH(B1998,Client_List!$B:$B,0)),""))</f>
        <v/>
      </c>
      <c r="E1998" s="19" t="str">
        <f>IF(B1998="","",IFERROR(INDEX(Client_List!$K:$K,MATCH(B1998,Client_List!$B:$B,0)),""))</f>
        <v/>
      </c>
      <c r="F1998" s="19" t="str">
        <f>IF(B1998="","",IFERROR(INDEX(Client_List!$J:$J,MATCH(B1998,Client_List!$B:$B,0)),""))</f>
        <v/>
      </c>
      <c r="G1998" s="19"/>
      <c r="H1998" s="19" t="str">
        <f>IF(B1998="","",IFERROR(A1998-LOOKUP(2,1/($B$4:$B1997=B1998),$A$4:$A1997),""))</f>
        <v/>
      </c>
      <c r="I1998" s="19" t="str">
        <f t="shared" si="31"/>
        <v/>
      </c>
      <c r="J1998" s="19"/>
      <c r="K1998" s="6" t="str">
        <f>IF(B1998="","",IFERROR(AVERAGEIFS($I$4:$I1998,$B$4:$B1998,B1998,$I$4:$I1998,"&gt;"&amp;0),""))</f>
        <v/>
      </c>
      <c r="L1998" s="19" t="str">
        <f>IF(B1998="","",IF(ISNA(MATCH(B1998,Client_List!$B:$B,0)),"⚠ NOT FOUND","✓"))</f>
        <v/>
      </c>
    </row>
    <row r="1999" spans="1:12" ht="14" customHeight="1" x14ac:dyDescent="0.2">
      <c r="A1999" s="58"/>
      <c r="B1999" s="15"/>
      <c r="C1999" s="16" t="str">
        <f>IF(B1999="","",IFERROR(INDEX(Client_List!$C:$C,MATCH(B1999,Client_List!$B:$B,0)),""))</f>
        <v/>
      </c>
      <c r="D1999" s="16" t="str">
        <f>IF(B1999="","",IFERROR(INDEX(Client_List!$D:$D,MATCH(B1999,Client_List!$B:$B,0)),""))</f>
        <v/>
      </c>
      <c r="E1999" s="16" t="str">
        <f>IF(B1999="","",IFERROR(INDEX(Client_List!$K:$K,MATCH(B1999,Client_List!$B:$B,0)),""))</f>
        <v/>
      </c>
      <c r="F1999" s="16" t="str">
        <f>IF(B1999="","",IFERROR(INDEX(Client_List!$J:$J,MATCH(B1999,Client_List!$B:$B,0)),""))</f>
        <v/>
      </c>
      <c r="G1999" s="16"/>
      <c r="H1999" s="16" t="str">
        <f>IF(B1999="","",IFERROR(A1999-LOOKUP(2,1/($B$4:$B1998=B1999),$A$4:$A1998),""))</f>
        <v/>
      </c>
      <c r="I1999" s="16" t="str">
        <f t="shared" si="31"/>
        <v/>
      </c>
      <c r="J1999" s="16"/>
      <c r="K1999" s="6" t="str">
        <f>IF(B1999="","",IFERROR(AVERAGEIFS($I$4:$I1999,$B$4:$B1999,B1999,$I$4:$I1999,"&gt;"&amp;0),""))</f>
        <v/>
      </c>
      <c r="L1999" s="16" t="str">
        <f>IF(B1999="","",IF(ISNA(MATCH(B1999,Client_List!$B:$B,0)),"⚠ NOT FOUND","✓"))</f>
        <v/>
      </c>
    </row>
    <row r="2000" spans="1:12" ht="14" customHeight="1" x14ac:dyDescent="0.2">
      <c r="A2000" s="59"/>
      <c r="B2000" s="18"/>
      <c r="C2000" s="19" t="str">
        <f>IF(B2000="","",IFERROR(INDEX(Client_List!$C:$C,MATCH(B2000,Client_List!$B:$B,0)),""))</f>
        <v/>
      </c>
      <c r="D2000" s="19" t="str">
        <f>IF(B2000="","",IFERROR(INDEX(Client_List!$D:$D,MATCH(B2000,Client_List!$B:$B,0)),""))</f>
        <v/>
      </c>
      <c r="E2000" s="19" t="str">
        <f>IF(B2000="","",IFERROR(INDEX(Client_List!$K:$K,MATCH(B2000,Client_List!$B:$B,0)),""))</f>
        <v/>
      </c>
      <c r="F2000" s="19" t="str">
        <f>IF(B2000="","",IFERROR(INDEX(Client_List!$J:$J,MATCH(B2000,Client_List!$B:$B,0)),""))</f>
        <v/>
      </c>
      <c r="G2000" s="19"/>
      <c r="H2000" s="19" t="str">
        <f>IF(B2000="","",IFERROR(A2000-LOOKUP(2,1/($B$4:$B1999=B2000),$A$4:$A1999),""))</f>
        <v/>
      </c>
      <c r="I2000" s="19" t="str">
        <f t="shared" si="31"/>
        <v/>
      </c>
      <c r="J2000" s="19"/>
      <c r="K2000" s="6" t="str">
        <f>IF(B2000="","",IFERROR(AVERAGEIFS($I$4:$I2000,$B$4:$B2000,B2000,$I$4:$I2000,"&gt;"&amp;0),""))</f>
        <v/>
      </c>
      <c r="L2000" s="19" t="str">
        <f>IF(B2000="","",IF(ISNA(MATCH(B2000,Client_List!$B:$B,0)),"⚠ NOT FOUND","✓"))</f>
        <v/>
      </c>
    </row>
    <row r="2001" spans="1:12" ht="14" customHeight="1" x14ac:dyDescent="0.2">
      <c r="A2001" s="58"/>
      <c r="B2001" s="15"/>
      <c r="C2001" s="16" t="str">
        <f>IF(B2001="","",IFERROR(INDEX(Client_List!$C:$C,MATCH(B2001,Client_List!$B:$B,0)),""))</f>
        <v/>
      </c>
      <c r="D2001" s="16" t="str">
        <f>IF(B2001="","",IFERROR(INDEX(Client_List!$D:$D,MATCH(B2001,Client_List!$B:$B,0)),""))</f>
        <v/>
      </c>
      <c r="E2001" s="16" t="str">
        <f>IF(B2001="","",IFERROR(INDEX(Client_List!$K:$K,MATCH(B2001,Client_List!$B:$B,0)),""))</f>
        <v/>
      </c>
      <c r="F2001" s="16" t="str">
        <f>IF(B2001="","",IFERROR(INDEX(Client_List!$J:$J,MATCH(B2001,Client_List!$B:$B,0)),""))</f>
        <v/>
      </c>
      <c r="G2001" s="16"/>
      <c r="H2001" s="16" t="str">
        <f>IF(B2001="","",IFERROR(A2001-LOOKUP(2,1/($B$4:$B2000=B2001),$A$4:$A2000),""))</f>
        <v/>
      </c>
      <c r="I2001" s="16" t="str">
        <f t="shared" si="31"/>
        <v/>
      </c>
      <c r="J2001" s="16"/>
      <c r="K2001" s="6" t="str">
        <f>IF(B2001="","",IFERROR(AVERAGEIFS($I$4:$I2001,$B$4:$B2001,B2001,$I$4:$I2001,"&gt;"&amp;0),""))</f>
        <v/>
      </c>
      <c r="L2001" s="16" t="str">
        <f>IF(B2001="","",IF(ISNA(MATCH(B2001,Client_List!$B:$B,0)),"⚠ NOT FOUND","✓"))</f>
        <v/>
      </c>
    </row>
    <row r="2002" spans="1:12" ht="14" customHeight="1" x14ac:dyDescent="0.2">
      <c r="A2002" s="59"/>
      <c r="B2002" s="18"/>
      <c r="C2002" s="19" t="str">
        <f>IF(B2002="","",IFERROR(INDEX(Client_List!$C:$C,MATCH(B2002,Client_List!$B:$B,0)),""))</f>
        <v/>
      </c>
      <c r="D2002" s="19" t="str">
        <f>IF(B2002="","",IFERROR(INDEX(Client_List!$D:$D,MATCH(B2002,Client_List!$B:$B,0)),""))</f>
        <v/>
      </c>
      <c r="E2002" s="19" t="str">
        <f>IF(B2002="","",IFERROR(INDEX(Client_List!$K:$K,MATCH(B2002,Client_List!$B:$B,0)),""))</f>
        <v/>
      </c>
      <c r="F2002" s="19" t="str">
        <f>IF(B2002="","",IFERROR(INDEX(Client_List!$J:$J,MATCH(B2002,Client_List!$B:$B,0)),""))</f>
        <v/>
      </c>
      <c r="G2002" s="19"/>
      <c r="H2002" s="19" t="str">
        <f>IF(B2002="","",IFERROR(A2002-LOOKUP(2,1/($B$4:$B2001=B2002),$A$4:$A2001),""))</f>
        <v/>
      </c>
      <c r="I2002" s="19" t="str">
        <f t="shared" si="31"/>
        <v/>
      </c>
      <c r="J2002" s="19"/>
      <c r="K2002" s="6" t="str">
        <f>IF(B2002="","",IFERROR(AVERAGEIFS($I$4:$I2002,$B$4:$B2002,B2002,$I$4:$I2002,"&gt;"&amp;0),""))</f>
        <v/>
      </c>
      <c r="L2002" s="19" t="str">
        <f>IF(B2002="","",IF(ISNA(MATCH(B2002,Client_List!$B:$B,0)),"⚠ NOT FOUND","✓"))</f>
        <v/>
      </c>
    </row>
    <row r="2003" spans="1:12" ht="14" customHeight="1" x14ac:dyDescent="0.2">
      <c r="A2003" s="58"/>
      <c r="B2003" s="15"/>
      <c r="C2003" s="16" t="str">
        <f>IF(B2003="","",IFERROR(INDEX(Client_List!$C:$C,MATCH(B2003,Client_List!$B:$B,0)),""))</f>
        <v/>
      </c>
      <c r="D2003" s="16" t="str">
        <f>IF(B2003="","",IFERROR(INDEX(Client_List!$D:$D,MATCH(B2003,Client_List!$B:$B,0)),""))</f>
        <v/>
      </c>
      <c r="E2003" s="16" t="str">
        <f>IF(B2003="","",IFERROR(INDEX(Client_List!$K:$K,MATCH(B2003,Client_List!$B:$B,0)),""))</f>
        <v/>
      </c>
      <c r="F2003" s="16" t="str">
        <f>IF(B2003="","",IFERROR(INDEX(Client_List!$J:$J,MATCH(B2003,Client_List!$B:$B,0)),""))</f>
        <v/>
      </c>
      <c r="G2003" s="16"/>
      <c r="H2003" s="16" t="str">
        <f>IF(B2003="","",IFERROR(A2003-LOOKUP(2,1/($B$4:$B2002=B2003),$A$4:$A2002),""))</f>
        <v/>
      </c>
      <c r="I2003" s="16" t="str">
        <f t="shared" si="31"/>
        <v/>
      </c>
      <c r="J2003" s="16"/>
      <c r="K2003" s="6" t="str">
        <f>IF(B2003="","",IFERROR(AVERAGEIFS($I$4:$I2003,$B$4:$B2003,B2003,$I$4:$I2003,"&gt;"&amp;0),""))</f>
        <v/>
      </c>
      <c r="L2003" s="16" t="str">
        <f>IF(B2003="","",IF(ISNA(MATCH(B2003,Client_List!$B:$B,0)),"⚠ NOT FOUND","✓"))</f>
        <v/>
      </c>
    </row>
    <row r="2004" spans="1:12" ht="14" customHeight="1" x14ac:dyDescent="0.2">
      <c r="A2004" s="59"/>
      <c r="B2004" s="18"/>
      <c r="C2004" s="19" t="str">
        <f>IF(B2004="","",IFERROR(INDEX(Client_List!$C:$C,MATCH(B2004,Client_List!$B:$B,0)),""))</f>
        <v/>
      </c>
      <c r="D2004" s="19" t="str">
        <f>IF(B2004="","",IFERROR(INDEX(Client_List!$D:$D,MATCH(B2004,Client_List!$B:$B,0)),""))</f>
        <v/>
      </c>
      <c r="E2004" s="19" t="str">
        <f>IF(B2004="","",IFERROR(INDEX(Client_List!$K:$K,MATCH(B2004,Client_List!$B:$B,0)),""))</f>
        <v/>
      </c>
      <c r="F2004" s="19" t="str">
        <f>IF(B2004="","",IFERROR(INDEX(Client_List!$J:$J,MATCH(B2004,Client_List!$B:$B,0)),""))</f>
        <v/>
      </c>
      <c r="G2004" s="19"/>
      <c r="H2004" s="19" t="str">
        <f>IF(B2004="","",IFERROR(A2004-LOOKUP(2,1/($B$4:$B2003=B2004),$A$4:$A2003),""))</f>
        <v/>
      </c>
      <c r="I2004" s="19" t="str">
        <f t="shared" si="31"/>
        <v/>
      </c>
      <c r="J2004" s="19"/>
      <c r="K2004" s="6" t="str">
        <f>IF(B2004="","",IFERROR(AVERAGEIFS($I$4:$I2004,$B$4:$B2004,B2004,$I$4:$I2004,"&gt;"&amp;0),""))</f>
        <v/>
      </c>
      <c r="L2004" s="19" t="str">
        <f>IF(B2004="","",IF(ISNA(MATCH(B2004,Client_List!$B:$B,0)),"⚠ NOT FOUND","✓"))</f>
        <v/>
      </c>
    </row>
    <row r="2005" spans="1:12" ht="14" customHeight="1" x14ac:dyDescent="0.2">
      <c r="A2005" s="58"/>
      <c r="B2005" s="15"/>
      <c r="C2005" s="16" t="str">
        <f>IF(B2005="","",IFERROR(INDEX(Client_List!$C:$C,MATCH(B2005,Client_List!$B:$B,0)),""))</f>
        <v/>
      </c>
      <c r="D2005" s="16" t="str">
        <f>IF(B2005="","",IFERROR(INDEX(Client_List!$D:$D,MATCH(B2005,Client_List!$B:$B,0)),""))</f>
        <v/>
      </c>
      <c r="E2005" s="16" t="str">
        <f>IF(B2005="","",IFERROR(INDEX(Client_List!$K:$K,MATCH(B2005,Client_List!$B:$B,0)),""))</f>
        <v/>
      </c>
      <c r="F2005" s="16" t="str">
        <f>IF(B2005="","",IFERROR(INDEX(Client_List!$J:$J,MATCH(B2005,Client_List!$B:$B,0)),""))</f>
        <v/>
      </c>
      <c r="G2005" s="16"/>
      <c r="H2005" s="16" t="str">
        <f>IF(B2005="","",IFERROR(A2005-LOOKUP(2,1/($B$4:$B2004=B2005),$A$4:$A2004),""))</f>
        <v/>
      </c>
      <c r="I2005" s="16" t="str">
        <f t="shared" si="31"/>
        <v/>
      </c>
      <c r="J2005" s="16"/>
      <c r="K2005" s="6" t="str">
        <f>IF(B2005="","",IFERROR(AVERAGEIFS($I$4:$I2005,$B$4:$B2005,B2005,$I$4:$I2005,"&gt;"&amp;0),""))</f>
        <v/>
      </c>
      <c r="L2005" s="16" t="str">
        <f>IF(B2005="","",IF(ISNA(MATCH(B2005,Client_List!$B:$B,0)),"⚠ NOT FOUND","✓"))</f>
        <v/>
      </c>
    </row>
    <row r="2006" spans="1:12" ht="14" customHeight="1" x14ac:dyDescent="0.2">
      <c r="A2006" s="59"/>
      <c r="B2006" s="18"/>
      <c r="C2006" s="19" t="str">
        <f>IF(B2006="","",IFERROR(INDEX(Client_List!$C:$C,MATCH(B2006,Client_List!$B:$B,0)),""))</f>
        <v/>
      </c>
      <c r="D2006" s="19" t="str">
        <f>IF(B2006="","",IFERROR(INDEX(Client_List!$D:$D,MATCH(B2006,Client_List!$B:$B,0)),""))</f>
        <v/>
      </c>
      <c r="E2006" s="19" t="str">
        <f>IF(B2006="","",IFERROR(INDEX(Client_List!$K:$K,MATCH(B2006,Client_List!$B:$B,0)),""))</f>
        <v/>
      </c>
      <c r="F2006" s="19" t="str">
        <f>IF(B2006="","",IFERROR(INDEX(Client_List!$J:$J,MATCH(B2006,Client_List!$B:$B,0)),""))</f>
        <v/>
      </c>
      <c r="G2006" s="19"/>
      <c r="H2006" s="19" t="str">
        <f>IF(B2006="","",IFERROR(A2006-LOOKUP(2,1/($B$4:$B2005=B2006),$A$4:$A2005),""))</f>
        <v/>
      </c>
      <c r="I2006" s="19" t="str">
        <f t="shared" si="31"/>
        <v/>
      </c>
      <c r="J2006" s="19"/>
      <c r="K2006" s="6" t="str">
        <f>IF(B2006="","",IFERROR(AVERAGEIFS($I$4:$I2006,$B$4:$B2006,B2006,$I$4:$I2006,"&gt;"&amp;0),""))</f>
        <v/>
      </c>
      <c r="L2006" s="19" t="str">
        <f>IF(B2006="","",IF(ISNA(MATCH(B2006,Client_List!$B:$B,0)),"⚠ NOT FOUND","✓"))</f>
        <v/>
      </c>
    </row>
    <row r="2007" spans="1:12" ht="14" customHeight="1" x14ac:dyDescent="0.2">
      <c r="A2007" s="58"/>
      <c r="B2007" s="15"/>
      <c r="C2007" s="16" t="str">
        <f>IF(B2007="","",IFERROR(INDEX(Client_List!$C:$C,MATCH(B2007,Client_List!$B:$B,0)),""))</f>
        <v/>
      </c>
      <c r="D2007" s="16" t="str">
        <f>IF(B2007="","",IFERROR(INDEX(Client_List!$D:$D,MATCH(B2007,Client_List!$B:$B,0)),""))</f>
        <v/>
      </c>
      <c r="E2007" s="16" t="str">
        <f>IF(B2007="","",IFERROR(INDEX(Client_List!$K:$K,MATCH(B2007,Client_List!$B:$B,0)),""))</f>
        <v/>
      </c>
      <c r="F2007" s="16" t="str">
        <f>IF(B2007="","",IFERROR(INDEX(Client_List!$J:$J,MATCH(B2007,Client_List!$B:$B,0)),""))</f>
        <v/>
      </c>
      <c r="G2007" s="16"/>
      <c r="H2007" s="16" t="str">
        <f>IF(B2007="","",IFERROR(A2007-LOOKUP(2,1/($B$4:$B2006=B2007),$A$4:$A2006),""))</f>
        <v/>
      </c>
      <c r="I2007" s="16" t="str">
        <f t="shared" si="31"/>
        <v/>
      </c>
      <c r="J2007" s="16"/>
      <c r="K2007" s="6" t="str">
        <f>IF(B2007="","",IFERROR(AVERAGEIFS($I$4:$I2007,$B$4:$B2007,B2007,$I$4:$I2007,"&gt;"&amp;0),""))</f>
        <v/>
      </c>
      <c r="L2007" s="16" t="str">
        <f>IF(B2007="","",IF(ISNA(MATCH(B2007,Client_List!$B:$B,0)),"⚠ NOT FOUND","✓"))</f>
        <v/>
      </c>
    </row>
    <row r="2008" spans="1:12" ht="14" customHeight="1" x14ac:dyDescent="0.2">
      <c r="A2008" s="59"/>
      <c r="B2008" s="18"/>
      <c r="C2008" s="19" t="str">
        <f>IF(B2008="","",IFERROR(INDEX(Client_List!$C:$C,MATCH(B2008,Client_List!$B:$B,0)),""))</f>
        <v/>
      </c>
      <c r="D2008" s="19" t="str">
        <f>IF(B2008="","",IFERROR(INDEX(Client_List!$D:$D,MATCH(B2008,Client_List!$B:$B,0)),""))</f>
        <v/>
      </c>
      <c r="E2008" s="19" t="str">
        <f>IF(B2008="","",IFERROR(INDEX(Client_List!$K:$K,MATCH(B2008,Client_List!$B:$B,0)),""))</f>
        <v/>
      </c>
      <c r="F2008" s="19" t="str">
        <f>IF(B2008="","",IFERROR(INDEX(Client_List!$J:$J,MATCH(B2008,Client_List!$B:$B,0)),""))</f>
        <v/>
      </c>
      <c r="G2008" s="19"/>
      <c r="H2008" s="19" t="str">
        <f>IF(B2008="","",IFERROR(A2008-LOOKUP(2,1/($B$4:$B2007=B2008),$A$4:$A2007),""))</f>
        <v/>
      </c>
      <c r="I2008" s="19" t="str">
        <f t="shared" si="31"/>
        <v/>
      </c>
      <c r="J2008" s="19"/>
      <c r="K2008" s="6" t="str">
        <f>IF(B2008="","",IFERROR(AVERAGEIFS($I$4:$I2008,$B$4:$B2008,B2008,$I$4:$I2008,"&gt;"&amp;0),""))</f>
        <v/>
      </c>
      <c r="L2008" s="19" t="str">
        <f>IF(B2008="","",IF(ISNA(MATCH(B2008,Client_List!$B:$B,0)),"⚠ NOT FOUND","✓"))</f>
        <v/>
      </c>
    </row>
    <row r="2009" spans="1:12" ht="14" customHeight="1" x14ac:dyDescent="0.2">
      <c r="A2009" s="58"/>
      <c r="B2009" s="15"/>
      <c r="C2009" s="16" t="str">
        <f>IF(B2009="","",IFERROR(INDEX(Client_List!$C:$C,MATCH(B2009,Client_List!$B:$B,0)),""))</f>
        <v/>
      </c>
      <c r="D2009" s="16" t="str">
        <f>IF(B2009="","",IFERROR(INDEX(Client_List!$D:$D,MATCH(B2009,Client_List!$B:$B,0)),""))</f>
        <v/>
      </c>
      <c r="E2009" s="16" t="str">
        <f>IF(B2009="","",IFERROR(INDEX(Client_List!$K:$K,MATCH(B2009,Client_List!$B:$B,0)),""))</f>
        <v/>
      </c>
      <c r="F2009" s="16" t="str">
        <f>IF(B2009="","",IFERROR(INDEX(Client_List!$J:$J,MATCH(B2009,Client_List!$B:$B,0)),""))</f>
        <v/>
      </c>
      <c r="G2009" s="16"/>
      <c r="H2009" s="16" t="str">
        <f>IF(B2009="","",IFERROR(A2009-LOOKUP(2,1/($B$4:$B2008=B2009),$A$4:$A2008),""))</f>
        <v/>
      </c>
      <c r="I2009" s="16" t="str">
        <f t="shared" si="31"/>
        <v/>
      </c>
      <c r="J2009" s="16"/>
      <c r="K2009" s="6" t="str">
        <f>IF(B2009="","",IFERROR(AVERAGEIFS($I$4:$I2009,$B$4:$B2009,B2009,$I$4:$I2009,"&gt;"&amp;0),""))</f>
        <v/>
      </c>
      <c r="L2009" s="16" t="str">
        <f>IF(B2009="","",IF(ISNA(MATCH(B2009,Client_List!$B:$B,0)),"⚠ NOT FOUND","✓"))</f>
        <v/>
      </c>
    </row>
    <row r="2010" spans="1:12" ht="14" customHeight="1" x14ac:dyDescent="0.2">
      <c r="A2010" s="59"/>
      <c r="B2010" s="18"/>
      <c r="C2010" s="19" t="str">
        <f>IF(B2010="","",IFERROR(INDEX(Client_List!$C:$C,MATCH(B2010,Client_List!$B:$B,0)),""))</f>
        <v/>
      </c>
      <c r="D2010" s="19" t="str">
        <f>IF(B2010="","",IFERROR(INDEX(Client_List!$D:$D,MATCH(B2010,Client_List!$B:$B,0)),""))</f>
        <v/>
      </c>
      <c r="E2010" s="19" t="str">
        <f>IF(B2010="","",IFERROR(INDEX(Client_List!$K:$K,MATCH(B2010,Client_List!$B:$B,0)),""))</f>
        <v/>
      </c>
      <c r="F2010" s="19" t="str">
        <f>IF(B2010="","",IFERROR(INDEX(Client_List!$J:$J,MATCH(B2010,Client_List!$B:$B,0)),""))</f>
        <v/>
      </c>
      <c r="G2010" s="19"/>
      <c r="H2010" s="19" t="str">
        <f>IF(B2010="","",IFERROR(A2010-LOOKUP(2,1/($B$4:$B2009=B2010),$A$4:$A2009),""))</f>
        <v/>
      </c>
      <c r="I2010" s="19" t="str">
        <f t="shared" si="31"/>
        <v/>
      </c>
      <c r="J2010" s="19"/>
      <c r="K2010" s="6" t="str">
        <f>IF(B2010="","",IFERROR(AVERAGEIFS($I$4:$I2010,$B$4:$B2010,B2010,$I$4:$I2010,"&gt;"&amp;0),""))</f>
        <v/>
      </c>
      <c r="L2010" s="19" t="str">
        <f>IF(B2010="","",IF(ISNA(MATCH(B2010,Client_List!$B:$B,0)),"⚠ NOT FOUND","✓"))</f>
        <v/>
      </c>
    </row>
    <row r="2011" spans="1:12" ht="14" customHeight="1" x14ac:dyDescent="0.2">
      <c r="A2011" s="58"/>
      <c r="B2011" s="15"/>
      <c r="C2011" s="16" t="str">
        <f>IF(B2011="","",IFERROR(INDEX(Client_List!$C:$C,MATCH(B2011,Client_List!$B:$B,0)),""))</f>
        <v/>
      </c>
      <c r="D2011" s="16" t="str">
        <f>IF(B2011="","",IFERROR(INDEX(Client_List!$D:$D,MATCH(B2011,Client_List!$B:$B,0)),""))</f>
        <v/>
      </c>
      <c r="E2011" s="16" t="str">
        <f>IF(B2011="","",IFERROR(INDEX(Client_List!$K:$K,MATCH(B2011,Client_List!$B:$B,0)),""))</f>
        <v/>
      </c>
      <c r="F2011" s="16" t="str">
        <f>IF(B2011="","",IFERROR(INDEX(Client_List!$J:$J,MATCH(B2011,Client_List!$B:$B,0)),""))</f>
        <v/>
      </c>
      <c r="G2011" s="16"/>
      <c r="H2011" s="16" t="str">
        <f>IF(B2011="","",IFERROR(A2011-LOOKUP(2,1/($B$4:$B2010=B2011),$A$4:$A2010),""))</f>
        <v/>
      </c>
      <c r="I2011" s="16" t="str">
        <f t="shared" si="31"/>
        <v/>
      </c>
      <c r="J2011" s="16"/>
      <c r="K2011" s="6" t="str">
        <f>IF(B2011="","",IFERROR(AVERAGEIFS($I$4:$I2011,$B$4:$B2011,B2011,$I$4:$I2011,"&gt;"&amp;0),""))</f>
        <v/>
      </c>
      <c r="L2011" s="16" t="str">
        <f>IF(B2011="","",IF(ISNA(MATCH(B2011,Client_List!$B:$B,0)),"⚠ NOT FOUND","✓"))</f>
        <v/>
      </c>
    </row>
    <row r="2012" spans="1:12" ht="14" customHeight="1" x14ac:dyDescent="0.2">
      <c r="A2012" s="59"/>
      <c r="B2012" s="18"/>
      <c r="C2012" s="19" t="str">
        <f>IF(B2012="","",IFERROR(INDEX(Client_List!$C:$C,MATCH(B2012,Client_List!$B:$B,0)),""))</f>
        <v/>
      </c>
      <c r="D2012" s="19" t="str">
        <f>IF(B2012="","",IFERROR(INDEX(Client_List!$D:$D,MATCH(B2012,Client_List!$B:$B,0)),""))</f>
        <v/>
      </c>
      <c r="E2012" s="19" t="str">
        <f>IF(B2012="","",IFERROR(INDEX(Client_List!$K:$K,MATCH(B2012,Client_List!$B:$B,0)),""))</f>
        <v/>
      </c>
      <c r="F2012" s="19" t="str">
        <f>IF(B2012="","",IFERROR(INDEX(Client_List!$J:$J,MATCH(B2012,Client_List!$B:$B,0)),""))</f>
        <v/>
      </c>
      <c r="G2012" s="19"/>
      <c r="H2012" s="19" t="str">
        <f>IF(B2012="","",IFERROR(A2012-LOOKUP(2,1/($B$4:$B2011=B2012),$A$4:$A2011),""))</f>
        <v/>
      </c>
      <c r="I2012" s="19" t="str">
        <f t="shared" si="31"/>
        <v/>
      </c>
      <c r="J2012" s="19"/>
      <c r="K2012" s="6" t="str">
        <f>IF(B2012="","",IFERROR(AVERAGEIFS($I$4:$I2012,$B$4:$B2012,B2012,$I$4:$I2012,"&gt;"&amp;0),""))</f>
        <v/>
      </c>
      <c r="L2012" s="19" t="str">
        <f>IF(B2012="","",IF(ISNA(MATCH(B2012,Client_List!$B:$B,0)),"⚠ NOT FOUND","✓"))</f>
        <v/>
      </c>
    </row>
    <row r="2013" spans="1:12" ht="14" customHeight="1" x14ac:dyDescent="0.2">
      <c r="A2013" s="58"/>
      <c r="B2013" s="15"/>
      <c r="C2013" s="16" t="str">
        <f>IF(B2013="","",IFERROR(INDEX(Client_List!$C:$C,MATCH(B2013,Client_List!$B:$B,0)),""))</f>
        <v/>
      </c>
      <c r="D2013" s="16" t="str">
        <f>IF(B2013="","",IFERROR(INDEX(Client_List!$D:$D,MATCH(B2013,Client_List!$B:$B,0)),""))</f>
        <v/>
      </c>
      <c r="E2013" s="16" t="str">
        <f>IF(B2013="","",IFERROR(INDEX(Client_List!$K:$K,MATCH(B2013,Client_List!$B:$B,0)),""))</f>
        <v/>
      </c>
      <c r="F2013" s="16" t="str">
        <f>IF(B2013="","",IFERROR(INDEX(Client_List!$J:$J,MATCH(B2013,Client_List!$B:$B,0)),""))</f>
        <v/>
      </c>
      <c r="G2013" s="16"/>
      <c r="H2013" s="16" t="str">
        <f>IF(B2013="","",IFERROR(A2013-LOOKUP(2,1/($B$4:$B2012=B2013),$A$4:$A2012),""))</f>
        <v/>
      </c>
      <c r="I2013" s="16" t="str">
        <f t="shared" si="31"/>
        <v/>
      </c>
      <c r="J2013" s="16"/>
      <c r="K2013" s="6" t="str">
        <f>IF(B2013="","",IFERROR(AVERAGEIFS($I$4:$I2013,$B$4:$B2013,B2013,$I$4:$I2013,"&gt;"&amp;0),""))</f>
        <v/>
      </c>
      <c r="L2013" s="16" t="str">
        <f>IF(B2013="","",IF(ISNA(MATCH(B2013,Client_List!$B:$B,0)),"⚠ NOT FOUND","✓"))</f>
        <v/>
      </c>
    </row>
    <row r="2014" spans="1:12" ht="14" customHeight="1" x14ac:dyDescent="0.2">
      <c r="A2014" s="59"/>
      <c r="B2014" s="18"/>
      <c r="C2014" s="19" t="str">
        <f>IF(B2014="","",IFERROR(INDEX(Client_List!$C:$C,MATCH(B2014,Client_List!$B:$B,0)),""))</f>
        <v/>
      </c>
      <c r="D2014" s="19" t="str">
        <f>IF(B2014="","",IFERROR(INDEX(Client_List!$D:$D,MATCH(B2014,Client_List!$B:$B,0)),""))</f>
        <v/>
      </c>
      <c r="E2014" s="19" t="str">
        <f>IF(B2014="","",IFERROR(INDEX(Client_List!$K:$K,MATCH(B2014,Client_List!$B:$B,0)),""))</f>
        <v/>
      </c>
      <c r="F2014" s="19" t="str">
        <f>IF(B2014="","",IFERROR(INDEX(Client_List!$J:$J,MATCH(B2014,Client_List!$B:$B,0)),""))</f>
        <v/>
      </c>
      <c r="G2014" s="19"/>
      <c r="H2014" s="19" t="str">
        <f>IF(B2014="","",IFERROR(A2014-LOOKUP(2,1/($B$4:$B2013=B2014),$A$4:$A2013),""))</f>
        <v/>
      </c>
      <c r="I2014" s="19" t="str">
        <f t="shared" si="31"/>
        <v/>
      </c>
      <c r="J2014" s="19"/>
      <c r="K2014" s="6" t="str">
        <f>IF(B2014="","",IFERROR(AVERAGEIFS($I$4:$I2014,$B$4:$B2014,B2014,$I$4:$I2014,"&gt;"&amp;0),""))</f>
        <v/>
      </c>
      <c r="L2014" s="19" t="str">
        <f>IF(B2014="","",IF(ISNA(MATCH(B2014,Client_List!$B:$B,0)),"⚠ NOT FOUND","✓"))</f>
        <v/>
      </c>
    </row>
    <row r="2015" spans="1:12" ht="14" customHeight="1" x14ac:dyDescent="0.2">
      <c r="A2015" s="58"/>
      <c r="B2015" s="15"/>
      <c r="C2015" s="16" t="str">
        <f>IF(B2015="","",IFERROR(INDEX(Client_List!$C:$C,MATCH(B2015,Client_List!$B:$B,0)),""))</f>
        <v/>
      </c>
      <c r="D2015" s="16" t="str">
        <f>IF(B2015="","",IFERROR(INDEX(Client_List!$D:$D,MATCH(B2015,Client_List!$B:$B,0)),""))</f>
        <v/>
      </c>
      <c r="E2015" s="16" t="str">
        <f>IF(B2015="","",IFERROR(INDEX(Client_List!$K:$K,MATCH(B2015,Client_List!$B:$B,0)),""))</f>
        <v/>
      </c>
      <c r="F2015" s="16" t="str">
        <f>IF(B2015="","",IFERROR(INDEX(Client_List!$J:$J,MATCH(B2015,Client_List!$B:$B,0)),""))</f>
        <v/>
      </c>
      <c r="G2015" s="16"/>
      <c r="H2015" s="16" t="str">
        <f>IF(B2015="","",IFERROR(A2015-LOOKUP(2,1/($B$4:$B2014=B2015),$A$4:$A2014),""))</f>
        <v/>
      </c>
      <c r="I2015" s="16" t="str">
        <f t="shared" si="31"/>
        <v/>
      </c>
      <c r="J2015" s="16"/>
      <c r="K2015" s="6" t="str">
        <f>IF(B2015="","",IFERROR(AVERAGEIFS($I$4:$I2015,$B$4:$B2015,B2015,$I$4:$I2015,"&gt;"&amp;0),""))</f>
        <v/>
      </c>
      <c r="L2015" s="16" t="str">
        <f>IF(B2015="","",IF(ISNA(MATCH(B2015,Client_List!$B:$B,0)),"⚠ NOT FOUND","✓"))</f>
        <v/>
      </c>
    </row>
    <row r="2016" spans="1:12" ht="14" customHeight="1" x14ac:dyDescent="0.2">
      <c r="A2016" s="59"/>
      <c r="B2016" s="18"/>
      <c r="C2016" s="19" t="str">
        <f>IF(B2016="","",IFERROR(INDEX(Client_List!$C:$C,MATCH(B2016,Client_List!$B:$B,0)),""))</f>
        <v/>
      </c>
      <c r="D2016" s="19" t="str">
        <f>IF(B2016="","",IFERROR(INDEX(Client_List!$D:$D,MATCH(B2016,Client_List!$B:$B,0)),""))</f>
        <v/>
      </c>
      <c r="E2016" s="19" t="str">
        <f>IF(B2016="","",IFERROR(INDEX(Client_List!$K:$K,MATCH(B2016,Client_List!$B:$B,0)),""))</f>
        <v/>
      </c>
      <c r="F2016" s="19" t="str">
        <f>IF(B2016="","",IFERROR(INDEX(Client_List!$J:$J,MATCH(B2016,Client_List!$B:$B,0)),""))</f>
        <v/>
      </c>
      <c r="G2016" s="19"/>
      <c r="H2016" s="19" t="str">
        <f>IF(B2016="","",IFERROR(A2016-LOOKUP(2,1/($B$4:$B2015=B2016),$A$4:$A2015),""))</f>
        <v/>
      </c>
      <c r="I2016" s="19" t="str">
        <f t="shared" si="31"/>
        <v/>
      </c>
      <c r="J2016" s="19"/>
      <c r="K2016" s="6" t="str">
        <f>IF(B2016="","",IFERROR(AVERAGEIFS($I$4:$I2016,$B$4:$B2016,B2016,$I$4:$I2016,"&gt;"&amp;0),""))</f>
        <v/>
      </c>
      <c r="L2016" s="19" t="str">
        <f>IF(B2016="","",IF(ISNA(MATCH(B2016,Client_List!$B:$B,0)),"⚠ NOT FOUND","✓"))</f>
        <v/>
      </c>
    </row>
    <row r="2017" spans="1:12" ht="14" customHeight="1" x14ac:dyDescent="0.2">
      <c r="A2017" s="58"/>
      <c r="B2017" s="15"/>
      <c r="C2017" s="16" t="str">
        <f>IF(B2017="","",IFERROR(INDEX(Client_List!$C:$C,MATCH(B2017,Client_List!$B:$B,0)),""))</f>
        <v/>
      </c>
      <c r="D2017" s="16" t="str">
        <f>IF(B2017="","",IFERROR(INDEX(Client_List!$D:$D,MATCH(B2017,Client_List!$B:$B,0)),""))</f>
        <v/>
      </c>
      <c r="E2017" s="16" t="str">
        <f>IF(B2017="","",IFERROR(INDEX(Client_List!$K:$K,MATCH(B2017,Client_List!$B:$B,0)),""))</f>
        <v/>
      </c>
      <c r="F2017" s="16" t="str">
        <f>IF(B2017="","",IFERROR(INDEX(Client_List!$J:$J,MATCH(B2017,Client_List!$B:$B,0)),""))</f>
        <v/>
      </c>
      <c r="G2017" s="16"/>
      <c r="H2017" s="16" t="str">
        <f>IF(B2017="","",IFERROR(A2017-LOOKUP(2,1/($B$4:$B2016=B2017),$A$4:$A2016),""))</f>
        <v/>
      </c>
      <c r="I2017" s="16" t="str">
        <f t="shared" si="31"/>
        <v/>
      </c>
      <c r="J2017" s="16"/>
      <c r="K2017" s="6" t="str">
        <f>IF(B2017="","",IFERROR(AVERAGEIFS($I$4:$I2017,$B$4:$B2017,B2017,$I$4:$I2017,"&gt;"&amp;0),""))</f>
        <v/>
      </c>
      <c r="L2017" s="16" t="str">
        <f>IF(B2017="","",IF(ISNA(MATCH(B2017,Client_List!$B:$B,0)),"⚠ NOT FOUND","✓"))</f>
        <v/>
      </c>
    </row>
    <row r="2018" spans="1:12" ht="14" customHeight="1" x14ac:dyDescent="0.2">
      <c r="A2018" s="59"/>
      <c r="B2018" s="18"/>
      <c r="C2018" s="19" t="str">
        <f>IF(B2018="","",IFERROR(INDEX(Client_List!$C:$C,MATCH(B2018,Client_List!$B:$B,0)),""))</f>
        <v/>
      </c>
      <c r="D2018" s="19" t="str">
        <f>IF(B2018="","",IFERROR(INDEX(Client_List!$D:$D,MATCH(B2018,Client_List!$B:$B,0)),""))</f>
        <v/>
      </c>
      <c r="E2018" s="19" t="str">
        <f>IF(B2018="","",IFERROR(INDEX(Client_List!$K:$K,MATCH(B2018,Client_List!$B:$B,0)),""))</f>
        <v/>
      </c>
      <c r="F2018" s="19" t="str">
        <f>IF(B2018="","",IFERROR(INDEX(Client_List!$J:$J,MATCH(B2018,Client_List!$B:$B,0)),""))</f>
        <v/>
      </c>
      <c r="G2018" s="19"/>
      <c r="H2018" s="19" t="str">
        <f>IF(B2018="","",IFERROR(A2018-LOOKUP(2,1/($B$4:$B2017=B2018),$A$4:$A2017),""))</f>
        <v/>
      </c>
      <c r="I2018" s="19" t="str">
        <f t="shared" si="31"/>
        <v/>
      </c>
      <c r="J2018" s="19"/>
      <c r="K2018" s="6" t="str">
        <f>IF(B2018="","",IFERROR(AVERAGEIFS($I$4:$I2018,$B$4:$B2018,B2018,$I$4:$I2018,"&gt;"&amp;0),""))</f>
        <v/>
      </c>
      <c r="L2018" s="19" t="str">
        <f>IF(B2018="","",IF(ISNA(MATCH(B2018,Client_List!$B:$B,0)),"⚠ NOT FOUND","✓"))</f>
        <v/>
      </c>
    </row>
    <row r="2019" spans="1:12" ht="14" customHeight="1" x14ac:dyDescent="0.2">
      <c r="A2019" s="58"/>
      <c r="B2019" s="15"/>
      <c r="C2019" s="16" t="str">
        <f>IF(B2019="","",IFERROR(INDEX(Client_List!$C:$C,MATCH(B2019,Client_List!$B:$B,0)),""))</f>
        <v/>
      </c>
      <c r="D2019" s="16" t="str">
        <f>IF(B2019="","",IFERROR(INDEX(Client_List!$D:$D,MATCH(B2019,Client_List!$B:$B,0)),""))</f>
        <v/>
      </c>
      <c r="E2019" s="16" t="str">
        <f>IF(B2019="","",IFERROR(INDEX(Client_List!$K:$K,MATCH(B2019,Client_List!$B:$B,0)),""))</f>
        <v/>
      </c>
      <c r="F2019" s="16" t="str">
        <f>IF(B2019="","",IFERROR(INDEX(Client_List!$J:$J,MATCH(B2019,Client_List!$B:$B,0)),""))</f>
        <v/>
      </c>
      <c r="G2019" s="16"/>
      <c r="H2019" s="16" t="str">
        <f>IF(B2019="","",IFERROR(A2019-LOOKUP(2,1/($B$4:$B2018=B2019),$A$4:$A2018),""))</f>
        <v/>
      </c>
      <c r="I2019" s="16" t="str">
        <f t="shared" si="31"/>
        <v/>
      </c>
      <c r="J2019" s="16"/>
      <c r="K2019" s="6" t="str">
        <f>IF(B2019="","",IFERROR(AVERAGEIFS($I$4:$I2019,$B$4:$B2019,B2019,$I$4:$I2019,"&gt;"&amp;0),""))</f>
        <v/>
      </c>
      <c r="L2019" s="16" t="str">
        <f>IF(B2019="","",IF(ISNA(MATCH(B2019,Client_List!$B:$B,0)),"⚠ NOT FOUND","✓"))</f>
        <v/>
      </c>
    </row>
    <row r="2020" spans="1:12" ht="14" customHeight="1" x14ac:dyDescent="0.2">
      <c r="A2020" s="59"/>
      <c r="B2020" s="18"/>
      <c r="C2020" s="19" t="str">
        <f>IF(B2020="","",IFERROR(INDEX(Client_List!$C:$C,MATCH(B2020,Client_List!$B:$B,0)),""))</f>
        <v/>
      </c>
      <c r="D2020" s="19" t="str">
        <f>IF(B2020="","",IFERROR(INDEX(Client_List!$D:$D,MATCH(B2020,Client_List!$B:$B,0)),""))</f>
        <v/>
      </c>
      <c r="E2020" s="19" t="str">
        <f>IF(B2020="","",IFERROR(INDEX(Client_List!$K:$K,MATCH(B2020,Client_List!$B:$B,0)),""))</f>
        <v/>
      </c>
      <c r="F2020" s="19" t="str">
        <f>IF(B2020="","",IFERROR(INDEX(Client_List!$J:$J,MATCH(B2020,Client_List!$B:$B,0)),""))</f>
        <v/>
      </c>
      <c r="G2020" s="19"/>
      <c r="H2020" s="19" t="str">
        <f>IF(B2020="","",IFERROR(A2020-LOOKUP(2,1/($B$4:$B2019=B2020),$A$4:$A2019),""))</f>
        <v/>
      </c>
      <c r="I2020" s="19" t="str">
        <f t="shared" si="31"/>
        <v/>
      </c>
      <c r="J2020" s="19"/>
      <c r="K2020" s="6" t="str">
        <f>IF(B2020="","",IFERROR(AVERAGEIFS($I$4:$I2020,$B$4:$B2020,B2020,$I$4:$I2020,"&gt;"&amp;0),""))</f>
        <v/>
      </c>
      <c r="L2020" s="19" t="str">
        <f>IF(B2020="","",IF(ISNA(MATCH(B2020,Client_List!$B:$B,0)),"⚠ NOT FOUND","✓"))</f>
        <v/>
      </c>
    </row>
    <row r="2021" spans="1:12" ht="14" customHeight="1" x14ac:dyDescent="0.2">
      <c r="A2021" s="58"/>
      <c r="B2021" s="15"/>
      <c r="C2021" s="16" t="str">
        <f>IF(B2021="","",IFERROR(INDEX(Client_List!$C:$C,MATCH(B2021,Client_List!$B:$B,0)),""))</f>
        <v/>
      </c>
      <c r="D2021" s="16" t="str">
        <f>IF(B2021="","",IFERROR(INDEX(Client_List!$D:$D,MATCH(B2021,Client_List!$B:$B,0)),""))</f>
        <v/>
      </c>
      <c r="E2021" s="16" t="str">
        <f>IF(B2021="","",IFERROR(INDEX(Client_List!$K:$K,MATCH(B2021,Client_List!$B:$B,0)),""))</f>
        <v/>
      </c>
      <c r="F2021" s="16" t="str">
        <f>IF(B2021="","",IFERROR(INDEX(Client_List!$J:$J,MATCH(B2021,Client_List!$B:$B,0)),""))</f>
        <v/>
      </c>
      <c r="G2021" s="16"/>
      <c r="H2021" s="16" t="str">
        <f>IF(B2021="","",IFERROR(A2021-LOOKUP(2,1/($B$4:$B2020=B2021),$A$4:$A2020),""))</f>
        <v/>
      </c>
      <c r="I2021" s="16" t="str">
        <f t="shared" si="31"/>
        <v/>
      </c>
      <c r="J2021" s="16"/>
      <c r="K2021" s="6" t="str">
        <f>IF(B2021="","",IFERROR(AVERAGEIFS($I$4:$I2021,$B$4:$B2021,B2021,$I$4:$I2021,"&gt;"&amp;0),""))</f>
        <v/>
      </c>
      <c r="L2021" s="16" t="str">
        <f>IF(B2021="","",IF(ISNA(MATCH(B2021,Client_List!$B:$B,0)),"⚠ NOT FOUND","✓"))</f>
        <v/>
      </c>
    </row>
    <row r="2022" spans="1:12" ht="14" customHeight="1" x14ac:dyDescent="0.2">
      <c r="A2022" s="59"/>
      <c r="B2022" s="18"/>
      <c r="C2022" s="19" t="str">
        <f>IF(B2022="","",IFERROR(INDEX(Client_List!$C:$C,MATCH(B2022,Client_List!$B:$B,0)),""))</f>
        <v/>
      </c>
      <c r="D2022" s="19" t="str">
        <f>IF(B2022="","",IFERROR(INDEX(Client_List!$D:$D,MATCH(B2022,Client_List!$B:$B,0)),""))</f>
        <v/>
      </c>
      <c r="E2022" s="19" t="str">
        <f>IF(B2022="","",IFERROR(INDEX(Client_List!$K:$K,MATCH(B2022,Client_List!$B:$B,0)),""))</f>
        <v/>
      </c>
      <c r="F2022" s="19" t="str">
        <f>IF(B2022="","",IFERROR(INDEX(Client_List!$J:$J,MATCH(B2022,Client_List!$B:$B,0)),""))</f>
        <v/>
      </c>
      <c r="G2022" s="19"/>
      <c r="H2022" s="19" t="str">
        <f>IF(B2022="","",IFERROR(A2022-LOOKUP(2,1/($B$4:$B2021=B2022),$A$4:$A2021),""))</f>
        <v/>
      </c>
      <c r="I2022" s="19" t="str">
        <f t="shared" si="31"/>
        <v/>
      </c>
      <c r="J2022" s="19"/>
      <c r="K2022" s="6" t="str">
        <f>IF(B2022="","",IFERROR(AVERAGEIFS($I$4:$I2022,$B$4:$B2022,B2022,$I$4:$I2022,"&gt;"&amp;0),""))</f>
        <v/>
      </c>
      <c r="L2022" s="19" t="str">
        <f>IF(B2022="","",IF(ISNA(MATCH(B2022,Client_List!$B:$B,0)),"⚠ NOT FOUND","✓"))</f>
        <v/>
      </c>
    </row>
    <row r="2023" spans="1:12" ht="14" customHeight="1" x14ac:dyDescent="0.2">
      <c r="A2023" s="58"/>
      <c r="B2023" s="15"/>
      <c r="C2023" s="16" t="str">
        <f>IF(B2023="","",IFERROR(INDEX(Client_List!$C:$C,MATCH(B2023,Client_List!$B:$B,0)),""))</f>
        <v/>
      </c>
      <c r="D2023" s="16" t="str">
        <f>IF(B2023="","",IFERROR(INDEX(Client_List!$D:$D,MATCH(B2023,Client_List!$B:$B,0)),""))</f>
        <v/>
      </c>
      <c r="E2023" s="16" t="str">
        <f>IF(B2023="","",IFERROR(INDEX(Client_List!$K:$K,MATCH(B2023,Client_List!$B:$B,0)),""))</f>
        <v/>
      </c>
      <c r="F2023" s="16" t="str">
        <f>IF(B2023="","",IFERROR(INDEX(Client_List!$J:$J,MATCH(B2023,Client_List!$B:$B,0)),""))</f>
        <v/>
      </c>
      <c r="G2023" s="16"/>
      <c r="H2023" s="16" t="str">
        <f>IF(B2023="","",IFERROR(A2023-LOOKUP(2,1/($B$4:$B2022=B2023),$A$4:$A2022),""))</f>
        <v/>
      </c>
      <c r="I2023" s="16" t="str">
        <f t="shared" si="31"/>
        <v/>
      </c>
      <c r="J2023" s="16"/>
      <c r="K2023" s="6" t="str">
        <f>IF(B2023="","",IFERROR(AVERAGEIFS($I$4:$I2023,$B$4:$B2023,B2023,$I$4:$I2023,"&gt;"&amp;0),""))</f>
        <v/>
      </c>
      <c r="L2023" s="16" t="str">
        <f>IF(B2023="","",IF(ISNA(MATCH(B2023,Client_List!$B:$B,0)),"⚠ NOT FOUND","✓"))</f>
        <v/>
      </c>
    </row>
    <row r="2024" spans="1:12" ht="14" customHeight="1" x14ac:dyDescent="0.2">
      <c r="A2024" s="59"/>
      <c r="B2024" s="18"/>
      <c r="C2024" s="19" t="str">
        <f>IF(B2024="","",IFERROR(INDEX(Client_List!$C:$C,MATCH(B2024,Client_List!$B:$B,0)),""))</f>
        <v/>
      </c>
      <c r="D2024" s="19" t="str">
        <f>IF(B2024="","",IFERROR(INDEX(Client_List!$D:$D,MATCH(B2024,Client_List!$B:$B,0)),""))</f>
        <v/>
      </c>
      <c r="E2024" s="19" t="str">
        <f>IF(B2024="","",IFERROR(INDEX(Client_List!$K:$K,MATCH(B2024,Client_List!$B:$B,0)),""))</f>
        <v/>
      </c>
      <c r="F2024" s="19" t="str">
        <f>IF(B2024="","",IFERROR(INDEX(Client_List!$J:$J,MATCH(B2024,Client_List!$B:$B,0)),""))</f>
        <v/>
      </c>
      <c r="G2024" s="19"/>
      <c r="H2024" s="19" t="str">
        <f>IF(B2024="","",IFERROR(A2024-LOOKUP(2,1/($B$4:$B2023=B2024),$A$4:$A2023),""))</f>
        <v/>
      </c>
      <c r="I2024" s="19" t="str">
        <f t="shared" si="31"/>
        <v/>
      </c>
      <c r="J2024" s="19"/>
      <c r="K2024" s="6" t="str">
        <f>IF(B2024="","",IFERROR(AVERAGEIFS($I$4:$I2024,$B$4:$B2024,B2024,$I$4:$I2024,"&gt;"&amp;0),""))</f>
        <v/>
      </c>
      <c r="L2024" s="19" t="str">
        <f>IF(B2024="","",IF(ISNA(MATCH(B2024,Client_List!$B:$B,0)),"⚠ NOT FOUND","✓"))</f>
        <v/>
      </c>
    </row>
    <row r="2025" spans="1:12" ht="14" customHeight="1" x14ac:dyDescent="0.2">
      <c r="A2025" s="58"/>
      <c r="B2025" s="15"/>
      <c r="C2025" s="16" t="str">
        <f>IF(B2025="","",IFERROR(INDEX(Client_List!$C:$C,MATCH(B2025,Client_List!$B:$B,0)),""))</f>
        <v/>
      </c>
      <c r="D2025" s="16" t="str">
        <f>IF(B2025="","",IFERROR(INDEX(Client_List!$D:$D,MATCH(B2025,Client_List!$B:$B,0)),""))</f>
        <v/>
      </c>
      <c r="E2025" s="16" t="str">
        <f>IF(B2025="","",IFERROR(INDEX(Client_List!$K:$K,MATCH(B2025,Client_List!$B:$B,0)),""))</f>
        <v/>
      </c>
      <c r="F2025" s="16" t="str">
        <f>IF(B2025="","",IFERROR(INDEX(Client_List!$J:$J,MATCH(B2025,Client_List!$B:$B,0)),""))</f>
        <v/>
      </c>
      <c r="G2025" s="16"/>
      <c r="H2025" s="16" t="str">
        <f>IF(B2025="","",IFERROR(A2025-LOOKUP(2,1/($B$4:$B2024=B2025),$A$4:$A2024),""))</f>
        <v/>
      </c>
      <c r="I2025" s="16" t="str">
        <f t="shared" si="31"/>
        <v/>
      </c>
      <c r="J2025" s="16"/>
      <c r="K2025" s="6" t="str">
        <f>IF(B2025="","",IFERROR(AVERAGEIFS($I$4:$I2025,$B$4:$B2025,B2025,$I$4:$I2025,"&gt;"&amp;0),""))</f>
        <v/>
      </c>
      <c r="L2025" s="16" t="str">
        <f>IF(B2025="","",IF(ISNA(MATCH(B2025,Client_List!$B:$B,0)),"⚠ NOT FOUND","✓"))</f>
        <v/>
      </c>
    </row>
    <row r="2026" spans="1:12" ht="14" customHeight="1" x14ac:dyDescent="0.2">
      <c r="A2026" s="59"/>
      <c r="B2026" s="18"/>
      <c r="C2026" s="19" t="str">
        <f>IF(B2026="","",IFERROR(INDEX(Client_List!$C:$C,MATCH(B2026,Client_List!$B:$B,0)),""))</f>
        <v/>
      </c>
      <c r="D2026" s="19" t="str">
        <f>IF(B2026="","",IFERROR(INDEX(Client_List!$D:$D,MATCH(B2026,Client_List!$B:$B,0)),""))</f>
        <v/>
      </c>
      <c r="E2026" s="19" t="str">
        <f>IF(B2026="","",IFERROR(INDEX(Client_List!$K:$K,MATCH(B2026,Client_List!$B:$B,0)),""))</f>
        <v/>
      </c>
      <c r="F2026" s="19" t="str">
        <f>IF(B2026="","",IFERROR(INDEX(Client_List!$J:$J,MATCH(B2026,Client_List!$B:$B,0)),""))</f>
        <v/>
      </c>
      <c r="G2026" s="19"/>
      <c r="H2026" s="19" t="str">
        <f>IF(B2026="","",IFERROR(A2026-LOOKUP(2,1/($B$4:$B2025=B2026),$A$4:$A2025),""))</f>
        <v/>
      </c>
      <c r="I2026" s="19" t="str">
        <f t="shared" si="31"/>
        <v/>
      </c>
      <c r="J2026" s="19"/>
      <c r="K2026" s="6" t="str">
        <f>IF(B2026="","",IFERROR(AVERAGEIFS($I$4:$I2026,$B$4:$B2026,B2026,$I$4:$I2026,"&gt;"&amp;0),""))</f>
        <v/>
      </c>
      <c r="L2026" s="19" t="str">
        <f>IF(B2026="","",IF(ISNA(MATCH(B2026,Client_List!$B:$B,0)),"⚠ NOT FOUND","✓"))</f>
        <v/>
      </c>
    </row>
    <row r="2027" spans="1:12" ht="14" customHeight="1" x14ac:dyDescent="0.2">
      <c r="A2027" s="58"/>
      <c r="B2027" s="15"/>
      <c r="C2027" s="16" t="str">
        <f>IF(B2027="","",IFERROR(INDEX(Client_List!$C:$C,MATCH(B2027,Client_List!$B:$B,0)),""))</f>
        <v/>
      </c>
      <c r="D2027" s="16" t="str">
        <f>IF(B2027="","",IFERROR(INDEX(Client_List!$D:$D,MATCH(B2027,Client_List!$B:$B,0)),""))</f>
        <v/>
      </c>
      <c r="E2027" s="16" t="str">
        <f>IF(B2027="","",IFERROR(INDEX(Client_List!$K:$K,MATCH(B2027,Client_List!$B:$B,0)),""))</f>
        <v/>
      </c>
      <c r="F2027" s="16" t="str">
        <f>IF(B2027="","",IFERROR(INDEX(Client_List!$J:$J,MATCH(B2027,Client_List!$B:$B,0)),""))</f>
        <v/>
      </c>
      <c r="G2027" s="16"/>
      <c r="H2027" s="16" t="str">
        <f>IF(B2027="","",IFERROR(A2027-LOOKUP(2,1/($B$4:$B2026=B2027),$A$4:$A2026),""))</f>
        <v/>
      </c>
      <c r="I2027" s="16" t="str">
        <f t="shared" si="31"/>
        <v/>
      </c>
      <c r="J2027" s="16"/>
      <c r="K2027" s="6" t="str">
        <f>IF(B2027="","",IFERROR(AVERAGEIFS($I$4:$I2027,$B$4:$B2027,B2027,$I$4:$I2027,"&gt;"&amp;0),""))</f>
        <v/>
      </c>
      <c r="L2027" s="16" t="str">
        <f>IF(B2027="","",IF(ISNA(MATCH(B2027,Client_List!$B:$B,0)),"⚠ NOT FOUND","✓"))</f>
        <v/>
      </c>
    </row>
    <row r="2028" spans="1:12" ht="14" customHeight="1" x14ac:dyDescent="0.2">
      <c r="A2028" s="59"/>
      <c r="B2028" s="18"/>
      <c r="C2028" s="19" t="str">
        <f>IF(B2028="","",IFERROR(INDEX(Client_List!$C:$C,MATCH(B2028,Client_List!$B:$B,0)),""))</f>
        <v/>
      </c>
      <c r="D2028" s="19" t="str">
        <f>IF(B2028="","",IFERROR(INDEX(Client_List!$D:$D,MATCH(B2028,Client_List!$B:$B,0)),""))</f>
        <v/>
      </c>
      <c r="E2028" s="19" t="str">
        <f>IF(B2028="","",IFERROR(INDEX(Client_List!$K:$K,MATCH(B2028,Client_List!$B:$B,0)),""))</f>
        <v/>
      </c>
      <c r="F2028" s="19" t="str">
        <f>IF(B2028="","",IFERROR(INDEX(Client_List!$J:$J,MATCH(B2028,Client_List!$B:$B,0)),""))</f>
        <v/>
      </c>
      <c r="G2028" s="19"/>
      <c r="H2028" s="19" t="str">
        <f>IF(B2028="","",IFERROR(A2028-LOOKUP(2,1/($B$4:$B2027=B2028),$A$4:$A2027),""))</f>
        <v/>
      </c>
      <c r="I2028" s="19" t="str">
        <f t="shared" si="31"/>
        <v/>
      </c>
      <c r="J2028" s="19"/>
      <c r="K2028" s="6" t="str">
        <f>IF(B2028="","",IFERROR(AVERAGEIFS($I$4:$I2028,$B$4:$B2028,B2028,$I$4:$I2028,"&gt;"&amp;0),""))</f>
        <v/>
      </c>
      <c r="L2028" s="19" t="str">
        <f>IF(B2028="","",IF(ISNA(MATCH(B2028,Client_List!$B:$B,0)),"⚠ NOT FOUND","✓"))</f>
        <v/>
      </c>
    </row>
    <row r="2029" spans="1:12" ht="14" customHeight="1" x14ac:dyDescent="0.2">
      <c r="A2029" s="58"/>
      <c r="B2029" s="15"/>
      <c r="C2029" s="16" t="str">
        <f>IF(B2029="","",IFERROR(INDEX(Client_List!$C:$C,MATCH(B2029,Client_List!$B:$B,0)),""))</f>
        <v/>
      </c>
      <c r="D2029" s="16" t="str">
        <f>IF(B2029="","",IFERROR(INDEX(Client_List!$D:$D,MATCH(B2029,Client_List!$B:$B,0)),""))</f>
        <v/>
      </c>
      <c r="E2029" s="16" t="str">
        <f>IF(B2029="","",IFERROR(INDEX(Client_List!$K:$K,MATCH(B2029,Client_List!$B:$B,0)),""))</f>
        <v/>
      </c>
      <c r="F2029" s="16" t="str">
        <f>IF(B2029="","",IFERROR(INDEX(Client_List!$J:$J,MATCH(B2029,Client_List!$B:$B,0)),""))</f>
        <v/>
      </c>
      <c r="G2029" s="16"/>
      <c r="H2029" s="16" t="str">
        <f>IF(B2029="","",IFERROR(A2029-LOOKUP(2,1/($B$4:$B2028=B2029),$A$4:$A2028),""))</f>
        <v/>
      </c>
      <c r="I2029" s="16" t="str">
        <f t="shared" si="31"/>
        <v/>
      </c>
      <c r="J2029" s="16"/>
      <c r="K2029" s="6" t="str">
        <f>IF(B2029="","",IFERROR(AVERAGEIFS($I$4:$I2029,$B$4:$B2029,B2029,$I$4:$I2029,"&gt;"&amp;0),""))</f>
        <v/>
      </c>
      <c r="L2029" s="16" t="str">
        <f>IF(B2029="","",IF(ISNA(MATCH(B2029,Client_List!$B:$B,0)),"⚠ NOT FOUND","✓"))</f>
        <v/>
      </c>
    </row>
    <row r="2030" spans="1:12" ht="14" customHeight="1" x14ac:dyDescent="0.2">
      <c r="A2030" s="59"/>
      <c r="B2030" s="18"/>
      <c r="C2030" s="19" t="str">
        <f>IF(B2030="","",IFERROR(INDEX(Client_List!$C:$C,MATCH(B2030,Client_List!$B:$B,0)),""))</f>
        <v/>
      </c>
      <c r="D2030" s="19" t="str">
        <f>IF(B2030="","",IFERROR(INDEX(Client_List!$D:$D,MATCH(B2030,Client_List!$B:$B,0)),""))</f>
        <v/>
      </c>
      <c r="E2030" s="19" t="str">
        <f>IF(B2030="","",IFERROR(INDEX(Client_List!$K:$K,MATCH(B2030,Client_List!$B:$B,0)),""))</f>
        <v/>
      </c>
      <c r="F2030" s="19" t="str">
        <f>IF(B2030="","",IFERROR(INDEX(Client_List!$J:$J,MATCH(B2030,Client_List!$B:$B,0)),""))</f>
        <v/>
      </c>
      <c r="G2030" s="19"/>
      <c r="H2030" s="19" t="str">
        <f>IF(B2030="","",IFERROR(A2030-LOOKUP(2,1/($B$4:$B2029=B2030),$A$4:$A2029),""))</f>
        <v/>
      </c>
      <c r="I2030" s="19" t="str">
        <f t="shared" si="31"/>
        <v/>
      </c>
      <c r="J2030" s="19"/>
      <c r="K2030" s="6" t="str">
        <f>IF(B2030="","",IFERROR(AVERAGEIFS($I$4:$I2030,$B$4:$B2030,B2030,$I$4:$I2030,"&gt;"&amp;0),""))</f>
        <v/>
      </c>
      <c r="L2030" s="19" t="str">
        <f>IF(B2030="","",IF(ISNA(MATCH(B2030,Client_List!$B:$B,0)),"⚠ NOT FOUND","✓"))</f>
        <v/>
      </c>
    </row>
    <row r="2031" spans="1:12" ht="14" customHeight="1" x14ac:dyDescent="0.2">
      <c r="A2031" s="58"/>
      <c r="B2031" s="15"/>
      <c r="C2031" s="16" t="str">
        <f>IF(B2031="","",IFERROR(INDEX(Client_List!$C:$C,MATCH(B2031,Client_List!$B:$B,0)),""))</f>
        <v/>
      </c>
      <c r="D2031" s="16" t="str">
        <f>IF(B2031="","",IFERROR(INDEX(Client_List!$D:$D,MATCH(B2031,Client_List!$B:$B,0)),""))</f>
        <v/>
      </c>
      <c r="E2031" s="16" t="str">
        <f>IF(B2031="","",IFERROR(INDEX(Client_List!$K:$K,MATCH(B2031,Client_List!$B:$B,0)),""))</f>
        <v/>
      </c>
      <c r="F2031" s="16" t="str">
        <f>IF(B2031="","",IFERROR(INDEX(Client_List!$J:$J,MATCH(B2031,Client_List!$B:$B,0)),""))</f>
        <v/>
      </c>
      <c r="G2031" s="16"/>
      <c r="H2031" s="16" t="str">
        <f>IF(B2031="","",IFERROR(A2031-LOOKUP(2,1/($B$4:$B2030=B2031),$A$4:$A2030),""))</f>
        <v/>
      </c>
      <c r="I2031" s="16" t="str">
        <f t="shared" si="31"/>
        <v/>
      </c>
      <c r="J2031" s="16"/>
      <c r="K2031" s="6" t="str">
        <f>IF(B2031="","",IFERROR(AVERAGEIFS($I$4:$I2031,$B$4:$B2031,B2031,$I$4:$I2031,"&gt;"&amp;0),""))</f>
        <v/>
      </c>
      <c r="L2031" s="16" t="str">
        <f>IF(B2031="","",IF(ISNA(MATCH(B2031,Client_List!$B:$B,0)),"⚠ NOT FOUND","✓"))</f>
        <v/>
      </c>
    </row>
    <row r="2032" spans="1:12" ht="14" customHeight="1" x14ac:dyDescent="0.2">
      <c r="A2032" s="59"/>
      <c r="B2032" s="18"/>
      <c r="C2032" s="19" t="str">
        <f>IF(B2032="","",IFERROR(INDEX(Client_List!$C:$C,MATCH(B2032,Client_List!$B:$B,0)),""))</f>
        <v/>
      </c>
      <c r="D2032" s="19" t="str">
        <f>IF(B2032="","",IFERROR(INDEX(Client_List!$D:$D,MATCH(B2032,Client_List!$B:$B,0)),""))</f>
        <v/>
      </c>
      <c r="E2032" s="19" t="str">
        <f>IF(B2032="","",IFERROR(INDEX(Client_List!$K:$K,MATCH(B2032,Client_List!$B:$B,0)),""))</f>
        <v/>
      </c>
      <c r="F2032" s="19" t="str">
        <f>IF(B2032="","",IFERROR(INDEX(Client_List!$J:$J,MATCH(B2032,Client_List!$B:$B,0)),""))</f>
        <v/>
      </c>
      <c r="G2032" s="19"/>
      <c r="H2032" s="19" t="str">
        <f>IF(B2032="","",IFERROR(A2032-LOOKUP(2,1/($B$4:$B2031=B2032),$A$4:$A2031),""))</f>
        <v/>
      </c>
      <c r="I2032" s="19" t="str">
        <f t="shared" si="31"/>
        <v/>
      </c>
      <c r="J2032" s="19"/>
      <c r="K2032" s="6" t="str">
        <f>IF(B2032="","",IFERROR(AVERAGEIFS($I$4:$I2032,$B$4:$B2032,B2032,$I$4:$I2032,"&gt;"&amp;0),""))</f>
        <v/>
      </c>
      <c r="L2032" s="19" t="str">
        <f>IF(B2032="","",IF(ISNA(MATCH(B2032,Client_List!$B:$B,0)),"⚠ NOT FOUND","✓"))</f>
        <v/>
      </c>
    </row>
    <row r="2033" spans="1:12" ht="14" customHeight="1" x14ac:dyDescent="0.2">
      <c r="A2033" s="58"/>
      <c r="B2033" s="15"/>
      <c r="C2033" s="16" t="str">
        <f>IF(B2033="","",IFERROR(INDEX(Client_List!$C:$C,MATCH(B2033,Client_List!$B:$B,0)),""))</f>
        <v/>
      </c>
      <c r="D2033" s="16" t="str">
        <f>IF(B2033="","",IFERROR(INDEX(Client_List!$D:$D,MATCH(B2033,Client_List!$B:$B,0)),""))</f>
        <v/>
      </c>
      <c r="E2033" s="16" t="str">
        <f>IF(B2033="","",IFERROR(INDEX(Client_List!$K:$K,MATCH(B2033,Client_List!$B:$B,0)),""))</f>
        <v/>
      </c>
      <c r="F2033" s="16" t="str">
        <f>IF(B2033="","",IFERROR(INDEX(Client_List!$J:$J,MATCH(B2033,Client_List!$B:$B,0)),""))</f>
        <v/>
      </c>
      <c r="G2033" s="16"/>
      <c r="H2033" s="16" t="str">
        <f>IF(B2033="","",IFERROR(A2033-LOOKUP(2,1/($B$4:$B2032=B2033),$A$4:$A2032),""))</f>
        <v/>
      </c>
      <c r="I2033" s="16" t="str">
        <f t="shared" si="31"/>
        <v/>
      </c>
      <c r="J2033" s="16"/>
      <c r="K2033" s="6" t="str">
        <f>IF(B2033="","",IFERROR(AVERAGEIFS($I$4:$I2033,$B$4:$B2033,B2033,$I$4:$I2033,"&gt;"&amp;0),""))</f>
        <v/>
      </c>
      <c r="L2033" s="16" t="str">
        <f>IF(B2033="","",IF(ISNA(MATCH(B2033,Client_List!$B:$B,0)),"⚠ NOT FOUND","✓"))</f>
        <v/>
      </c>
    </row>
    <row r="2034" spans="1:12" ht="14" customHeight="1" x14ac:dyDescent="0.2">
      <c r="A2034" s="59"/>
      <c r="B2034" s="18"/>
      <c r="C2034" s="19" t="str">
        <f>IF(B2034="","",IFERROR(INDEX(Client_List!$C:$C,MATCH(B2034,Client_List!$B:$B,0)),""))</f>
        <v/>
      </c>
      <c r="D2034" s="19" t="str">
        <f>IF(B2034="","",IFERROR(INDEX(Client_List!$D:$D,MATCH(B2034,Client_List!$B:$B,0)),""))</f>
        <v/>
      </c>
      <c r="E2034" s="19" t="str">
        <f>IF(B2034="","",IFERROR(INDEX(Client_List!$K:$K,MATCH(B2034,Client_List!$B:$B,0)),""))</f>
        <v/>
      </c>
      <c r="F2034" s="19" t="str">
        <f>IF(B2034="","",IFERROR(INDEX(Client_List!$J:$J,MATCH(B2034,Client_List!$B:$B,0)),""))</f>
        <v/>
      </c>
      <c r="G2034" s="19"/>
      <c r="H2034" s="19" t="str">
        <f>IF(B2034="","",IFERROR(A2034-LOOKUP(2,1/($B$4:$B2033=B2034),$A$4:$A2033),""))</f>
        <v/>
      </c>
      <c r="I2034" s="19" t="str">
        <f t="shared" si="31"/>
        <v/>
      </c>
      <c r="J2034" s="19"/>
      <c r="K2034" s="6" t="str">
        <f>IF(B2034="","",IFERROR(AVERAGEIFS($I$4:$I2034,$B$4:$B2034,B2034,$I$4:$I2034,"&gt;"&amp;0),""))</f>
        <v/>
      </c>
      <c r="L2034" s="19" t="str">
        <f>IF(B2034="","",IF(ISNA(MATCH(B2034,Client_List!$B:$B,0)),"⚠ NOT FOUND","✓"))</f>
        <v/>
      </c>
    </row>
    <row r="2035" spans="1:12" ht="14" customHeight="1" x14ac:dyDescent="0.2">
      <c r="A2035" s="58"/>
      <c r="B2035" s="15"/>
      <c r="C2035" s="16" t="str">
        <f>IF(B2035="","",IFERROR(INDEX(Client_List!$C:$C,MATCH(B2035,Client_List!$B:$B,0)),""))</f>
        <v/>
      </c>
      <c r="D2035" s="16" t="str">
        <f>IF(B2035="","",IFERROR(INDEX(Client_List!$D:$D,MATCH(B2035,Client_List!$B:$B,0)),""))</f>
        <v/>
      </c>
      <c r="E2035" s="16" t="str">
        <f>IF(B2035="","",IFERROR(INDEX(Client_List!$K:$K,MATCH(B2035,Client_List!$B:$B,0)),""))</f>
        <v/>
      </c>
      <c r="F2035" s="16" t="str">
        <f>IF(B2035="","",IFERROR(INDEX(Client_List!$J:$J,MATCH(B2035,Client_List!$B:$B,0)),""))</f>
        <v/>
      </c>
      <c r="G2035" s="16"/>
      <c r="H2035" s="16" t="str">
        <f>IF(B2035="","",IFERROR(A2035-LOOKUP(2,1/($B$4:$B2034=B2035),$A$4:$A2034),""))</f>
        <v/>
      </c>
      <c r="I2035" s="16" t="str">
        <f t="shared" si="31"/>
        <v/>
      </c>
      <c r="J2035" s="16"/>
      <c r="K2035" s="6" t="str">
        <f>IF(B2035="","",IFERROR(AVERAGEIFS($I$4:$I2035,$B$4:$B2035,B2035,$I$4:$I2035,"&gt;"&amp;0),""))</f>
        <v/>
      </c>
      <c r="L2035" s="16" t="str">
        <f>IF(B2035="","",IF(ISNA(MATCH(B2035,Client_List!$B:$B,0)),"⚠ NOT FOUND","✓"))</f>
        <v/>
      </c>
    </row>
    <row r="2036" spans="1:12" ht="14" customHeight="1" x14ac:dyDescent="0.2">
      <c r="A2036" s="59"/>
      <c r="B2036" s="18"/>
      <c r="C2036" s="19" t="str">
        <f>IF(B2036="","",IFERROR(INDEX(Client_List!$C:$C,MATCH(B2036,Client_List!$B:$B,0)),""))</f>
        <v/>
      </c>
      <c r="D2036" s="19" t="str">
        <f>IF(B2036="","",IFERROR(INDEX(Client_List!$D:$D,MATCH(B2036,Client_List!$B:$B,0)),""))</f>
        <v/>
      </c>
      <c r="E2036" s="19" t="str">
        <f>IF(B2036="","",IFERROR(INDEX(Client_List!$K:$K,MATCH(B2036,Client_List!$B:$B,0)),""))</f>
        <v/>
      </c>
      <c r="F2036" s="19" t="str">
        <f>IF(B2036="","",IFERROR(INDEX(Client_List!$J:$J,MATCH(B2036,Client_List!$B:$B,0)),""))</f>
        <v/>
      </c>
      <c r="G2036" s="19"/>
      <c r="H2036" s="19" t="str">
        <f>IF(B2036="","",IFERROR(A2036-LOOKUP(2,1/($B$4:$B2035=B2036),$A$4:$A2035),""))</f>
        <v/>
      </c>
      <c r="I2036" s="19" t="str">
        <f t="shared" si="31"/>
        <v/>
      </c>
      <c r="J2036" s="19"/>
      <c r="K2036" s="6" t="str">
        <f>IF(B2036="","",IFERROR(AVERAGEIFS($I$4:$I2036,$B$4:$B2036,B2036,$I$4:$I2036,"&gt;"&amp;0),""))</f>
        <v/>
      </c>
      <c r="L2036" s="19" t="str">
        <f>IF(B2036="","",IF(ISNA(MATCH(B2036,Client_List!$B:$B,0)),"⚠ NOT FOUND","✓"))</f>
        <v/>
      </c>
    </row>
    <row r="2037" spans="1:12" ht="14" customHeight="1" x14ac:dyDescent="0.2">
      <c r="A2037" s="58"/>
      <c r="B2037" s="15"/>
      <c r="C2037" s="16" t="str">
        <f>IF(B2037="","",IFERROR(INDEX(Client_List!$C:$C,MATCH(B2037,Client_List!$B:$B,0)),""))</f>
        <v/>
      </c>
      <c r="D2037" s="16" t="str">
        <f>IF(B2037="","",IFERROR(INDEX(Client_List!$D:$D,MATCH(B2037,Client_List!$B:$B,0)),""))</f>
        <v/>
      </c>
      <c r="E2037" s="16" t="str">
        <f>IF(B2037="","",IFERROR(INDEX(Client_List!$K:$K,MATCH(B2037,Client_List!$B:$B,0)),""))</f>
        <v/>
      </c>
      <c r="F2037" s="16" t="str">
        <f>IF(B2037="","",IFERROR(INDEX(Client_List!$J:$J,MATCH(B2037,Client_List!$B:$B,0)),""))</f>
        <v/>
      </c>
      <c r="G2037" s="16"/>
      <c r="H2037" s="16" t="str">
        <f>IF(B2037="","",IFERROR(A2037-LOOKUP(2,1/($B$4:$B2036=B2037),$A$4:$A2036),""))</f>
        <v/>
      </c>
      <c r="I2037" s="16" t="str">
        <f t="shared" si="31"/>
        <v/>
      </c>
      <c r="J2037" s="16"/>
      <c r="K2037" s="6" t="str">
        <f>IF(B2037="","",IFERROR(AVERAGEIFS($I$4:$I2037,$B$4:$B2037,B2037,$I$4:$I2037,"&gt;"&amp;0),""))</f>
        <v/>
      </c>
      <c r="L2037" s="16" t="str">
        <f>IF(B2037="","",IF(ISNA(MATCH(B2037,Client_List!$B:$B,0)),"⚠ NOT FOUND","✓"))</f>
        <v/>
      </c>
    </row>
    <row r="2038" spans="1:12" ht="14" customHeight="1" x14ac:dyDescent="0.2">
      <c r="A2038" s="59"/>
      <c r="B2038" s="18"/>
      <c r="C2038" s="19" t="str">
        <f>IF(B2038="","",IFERROR(INDEX(Client_List!$C:$C,MATCH(B2038,Client_List!$B:$B,0)),""))</f>
        <v/>
      </c>
      <c r="D2038" s="19" t="str">
        <f>IF(B2038="","",IFERROR(INDEX(Client_List!$D:$D,MATCH(B2038,Client_List!$B:$B,0)),""))</f>
        <v/>
      </c>
      <c r="E2038" s="19" t="str">
        <f>IF(B2038="","",IFERROR(INDEX(Client_List!$K:$K,MATCH(B2038,Client_List!$B:$B,0)),""))</f>
        <v/>
      </c>
      <c r="F2038" s="19" t="str">
        <f>IF(B2038="","",IFERROR(INDEX(Client_List!$J:$J,MATCH(B2038,Client_List!$B:$B,0)),""))</f>
        <v/>
      </c>
      <c r="G2038" s="19"/>
      <c r="H2038" s="19" t="str">
        <f>IF(B2038="","",IFERROR(A2038-LOOKUP(2,1/($B$4:$B2037=B2038),$A$4:$A2037),""))</f>
        <v/>
      </c>
      <c r="I2038" s="19" t="str">
        <f t="shared" si="31"/>
        <v/>
      </c>
      <c r="J2038" s="19"/>
      <c r="K2038" s="6" t="str">
        <f>IF(B2038="","",IFERROR(AVERAGEIFS($I$4:$I2038,$B$4:$B2038,B2038,$I$4:$I2038,"&gt;"&amp;0),""))</f>
        <v/>
      </c>
      <c r="L2038" s="19" t="str">
        <f>IF(B2038="","",IF(ISNA(MATCH(B2038,Client_List!$B:$B,0)),"⚠ NOT FOUND","✓"))</f>
        <v/>
      </c>
    </row>
    <row r="2039" spans="1:12" ht="14" customHeight="1" x14ac:dyDescent="0.2">
      <c r="A2039" s="58"/>
      <c r="B2039" s="15"/>
      <c r="C2039" s="16" t="str">
        <f>IF(B2039="","",IFERROR(INDEX(Client_List!$C:$C,MATCH(B2039,Client_List!$B:$B,0)),""))</f>
        <v/>
      </c>
      <c r="D2039" s="16" t="str">
        <f>IF(B2039="","",IFERROR(INDEX(Client_List!$D:$D,MATCH(B2039,Client_List!$B:$B,0)),""))</f>
        <v/>
      </c>
      <c r="E2039" s="16" t="str">
        <f>IF(B2039="","",IFERROR(INDEX(Client_List!$K:$K,MATCH(B2039,Client_List!$B:$B,0)),""))</f>
        <v/>
      </c>
      <c r="F2039" s="16" t="str">
        <f>IF(B2039="","",IFERROR(INDEX(Client_List!$J:$J,MATCH(B2039,Client_List!$B:$B,0)),""))</f>
        <v/>
      </c>
      <c r="G2039" s="16"/>
      <c r="H2039" s="16" t="str">
        <f>IF(B2039="","",IFERROR(A2039-LOOKUP(2,1/($B$4:$B2038=B2039),$A$4:$A2038),""))</f>
        <v/>
      </c>
      <c r="I2039" s="16" t="str">
        <f t="shared" si="31"/>
        <v/>
      </c>
      <c r="J2039" s="16"/>
      <c r="K2039" s="6" t="str">
        <f>IF(B2039="","",IFERROR(AVERAGEIFS($I$4:$I2039,$B$4:$B2039,B2039,$I$4:$I2039,"&gt;"&amp;0),""))</f>
        <v/>
      </c>
      <c r="L2039" s="16" t="str">
        <f>IF(B2039="","",IF(ISNA(MATCH(B2039,Client_List!$B:$B,0)),"⚠ NOT FOUND","✓"))</f>
        <v/>
      </c>
    </row>
    <row r="2040" spans="1:12" ht="14" customHeight="1" x14ac:dyDescent="0.2">
      <c r="A2040" s="59"/>
      <c r="B2040" s="18"/>
      <c r="C2040" s="19" t="str">
        <f>IF(B2040="","",IFERROR(INDEX(Client_List!$C:$C,MATCH(B2040,Client_List!$B:$B,0)),""))</f>
        <v/>
      </c>
      <c r="D2040" s="19" t="str">
        <f>IF(B2040="","",IFERROR(INDEX(Client_List!$D:$D,MATCH(B2040,Client_List!$B:$B,0)),""))</f>
        <v/>
      </c>
      <c r="E2040" s="19" t="str">
        <f>IF(B2040="","",IFERROR(INDEX(Client_List!$K:$K,MATCH(B2040,Client_List!$B:$B,0)),""))</f>
        <v/>
      </c>
      <c r="F2040" s="19" t="str">
        <f>IF(B2040="","",IFERROR(INDEX(Client_List!$J:$J,MATCH(B2040,Client_List!$B:$B,0)),""))</f>
        <v/>
      </c>
      <c r="G2040" s="19"/>
      <c r="H2040" s="19" t="str">
        <f>IF(B2040="","",IFERROR(A2040-LOOKUP(2,1/($B$4:$B2039=B2040),$A$4:$A2039),""))</f>
        <v/>
      </c>
      <c r="I2040" s="19" t="str">
        <f t="shared" si="31"/>
        <v/>
      </c>
      <c r="J2040" s="19"/>
      <c r="K2040" s="6" t="str">
        <f>IF(B2040="","",IFERROR(AVERAGEIFS($I$4:$I2040,$B$4:$B2040,B2040,$I$4:$I2040,"&gt;"&amp;0),""))</f>
        <v/>
      </c>
      <c r="L2040" s="19" t="str">
        <f>IF(B2040="","",IF(ISNA(MATCH(B2040,Client_List!$B:$B,0)),"⚠ NOT FOUND","✓"))</f>
        <v/>
      </c>
    </row>
    <row r="2041" spans="1:12" ht="14" customHeight="1" x14ac:dyDescent="0.2">
      <c r="A2041" s="58"/>
      <c r="B2041" s="15"/>
      <c r="C2041" s="16" t="str">
        <f>IF(B2041="","",IFERROR(INDEX(Client_List!$C:$C,MATCH(B2041,Client_List!$B:$B,0)),""))</f>
        <v/>
      </c>
      <c r="D2041" s="16" t="str">
        <f>IF(B2041="","",IFERROR(INDEX(Client_List!$D:$D,MATCH(B2041,Client_List!$B:$B,0)),""))</f>
        <v/>
      </c>
      <c r="E2041" s="16" t="str">
        <f>IF(B2041="","",IFERROR(INDEX(Client_List!$K:$K,MATCH(B2041,Client_List!$B:$B,0)),""))</f>
        <v/>
      </c>
      <c r="F2041" s="16" t="str">
        <f>IF(B2041="","",IFERROR(INDEX(Client_List!$J:$J,MATCH(B2041,Client_List!$B:$B,0)),""))</f>
        <v/>
      </c>
      <c r="G2041" s="16"/>
      <c r="H2041" s="16" t="str">
        <f>IF(B2041="","",IFERROR(A2041-LOOKUP(2,1/($B$4:$B2040=B2041),$A$4:$A2040),""))</f>
        <v/>
      </c>
      <c r="I2041" s="16" t="str">
        <f t="shared" si="31"/>
        <v/>
      </c>
      <c r="J2041" s="16"/>
      <c r="K2041" s="6" t="str">
        <f>IF(B2041="","",IFERROR(AVERAGEIFS($I$4:$I2041,$B$4:$B2041,B2041,$I$4:$I2041,"&gt;"&amp;0),""))</f>
        <v/>
      </c>
      <c r="L2041" s="16" t="str">
        <f>IF(B2041="","",IF(ISNA(MATCH(B2041,Client_List!$B:$B,0)),"⚠ NOT FOUND","✓"))</f>
        <v/>
      </c>
    </row>
    <row r="2042" spans="1:12" ht="14" customHeight="1" x14ac:dyDescent="0.2">
      <c r="A2042" s="59"/>
      <c r="B2042" s="18"/>
      <c r="C2042" s="19" t="str">
        <f>IF(B2042="","",IFERROR(INDEX(Client_List!$C:$C,MATCH(B2042,Client_List!$B:$B,0)),""))</f>
        <v/>
      </c>
      <c r="D2042" s="19" t="str">
        <f>IF(B2042="","",IFERROR(INDEX(Client_List!$D:$D,MATCH(B2042,Client_List!$B:$B,0)),""))</f>
        <v/>
      </c>
      <c r="E2042" s="19" t="str">
        <f>IF(B2042="","",IFERROR(INDEX(Client_List!$K:$K,MATCH(B2042,Client_List!$B:$B,0)),""))</f>
        <v/>
      </c>
      <c r="F2042" s="19" t="str">
        <f>IF(B2042="","",IFERROR(INDEX(Client_List!$J:$J,MATCH(B2042,Client_List!$B:$B,0)),""))</f>
        <v/>
      </c>
      <c r="G2042" s="19"/>
      <c r="H2042" s="19" t="str">
        <f>IF(B2042="","",IFERROR(A2042-LOOKUP(2,1/($B$4:$B2041=B2042),$A$4:$A2041),""))</f>
        <v/>
      </c>
      <c r="I2042" s="19" t="str">
        <f t="shared" si="31"/>
        <v/>
      </c>
      <c r="J2042" s="19"/>
      <c r="K2042" s="6" t="str">
        <f>IF(B2042="","",IFERROR(AVERAGEIFS($I$4:$I2042,$B$4:$B2042,B2042,$I$4:$I2042,"&gt;"&amp;0),""))</f>
        <v/>
      </c>
      <c r="L2042" s="19" t="str">
        <f>IF(B2042="","",IF(ISNA(MATCH(B2042,Client_List!$B:$B,0)),"⚠ NOT FOUND","✓"))</f>
        <v/>
      </c>
    </row>
    <row r="2043" spans="1:12" ht="14" customHeight="1" x14ac:dyDescent="0.2">
      <c r="A2043" s="58"/>
      <c r="B2043" s="15"/>
      <c r="C2043" s="16" t="str">
        <f>IF(B2043="","",IFERROR(INDEX(Client_List!$C:$C,MATCH(B2043,Client_List!$B:$B,0)),""))</f>
        <v/>
      </c>
      <c r="D2043" s="16" t="str">
        <f>IF(B2043="","",IFERROR(INDEX(Client_List!$D:$D,MATCH(B2043,Client_List!$B:$B,0)),""))</f>
        <v/>
      </c>
      <c r="E2043" s="16" t="str">
        <f>IF(B2043="","",IFERROR(INDEX(Client_List!$K:$K,MATCH(B2043,Client_List!$B:$B,0)),""))</f>
        <v/>
      </c>
      <c r="F2043" s="16" t="str">
        <f>IF(B2043="","",IFERROR(INDEX(Client_List!$J:$J,MATCH(B2043,Client_List!$B:$B,0)),""))</f>
        <v/>
      </c>
      <c r="G2043" s="16"/>
      <c r="H2043" s="16" t="str">
        <f>IF(B2043="","",IFERROR(A2043-LOOKUP(2,1/($B$4:$B2042=B2043),$A$4:$A2042),""))</f>
        <v/>
      </c>
      <c r="I2043" s="16" t="str">
        <f t="shared" si="31"/>
        <v/>
      </c>
      <c r="J2043" s="16"/>
      <c r="K2043" s="6" t="str">
        <f>IF(B2043="","",IFERROR(AVERAGEIFS($I$4:$I2043,$B$4:$B2043,B2043,$I$4:$I2043,"&gt;"&amp;0),""))</f>
        <v/>
      </c>
      <c r="L2043" s="16" t="str">
        <f>IF(B2043="","",IF(ISNA(MATCH(B2043,Client_List!$B:$B,0)),"⚠ NOT FOUND","✓"))</f>
        <v/>
      </c>
    </row>
    <row r="2044" spans="1:12" ht="14" customHeight="1" x14ac:dyDescent="0.2">
      <c r="A2044" s="59"/>
      <c r="B2044" s="18"/>
      <c r="C2044" s="19" t="str">
        <f>IF(B2044="","",IFERROR(INDEX(Client_List!$C:$C,MATCH(B2044,Client_List!$B:$B,0)),""))</f>
        <v/>
      </c>
      <c r="D2044" s="19" t="str">
        <f>IF(B2044="","",IFERROR(INDEX(Client_List!$D:$D,MATCH(B2044,Client_List!$B:$B,0)),""))</f>
        <v/>
      </c>
      <c r="E2044" s="19" t="str">
        <f>IF(B2044="","",IFERROR(INDEX(Client_List!$K:$K,MATCH(B2044,Client_List!$B:$B,0)),""))</f>
        <v/>
      </c>
      <c r="F2044" s="19" t="str">
        <f>IF(B2044="","",IFERROR(INDEX(Client_List!$J:$J,MATCH(B2044,Client_List!$B:$B,0)),""))</f>
        <v/>
      </c>
      <c r="G2044" s="19"/>
      <c r="H2044" s="19" t="str">
        <f>IF(B2044="","",IFERROR(A2044-LOOKUP(2,1/($B$4:$B2043=B2044),$A$4:$A2043),""))</f>
        <v/>
      </c>
      <c r="I2044" s="19" t="str">
        <f t="shared" si="31"/>
        <v/>
      </c>
      <c r="J2044" s="19"/>
      <c r="K2044" s="6" t="str">
        <f>IF(B2044="","",IFERROR(AVERAGEIFS($I$4:$I2044,$B$4:$B2044,B2044,$I$4:$I2044,"&gt;"&amp;0),""))</f>
        <v/>
      </c>
      <c r="L2044" s="19" t="str">
        <f>IF(B2044="","",IF(ISNA(MATCH(B2044,Client_List!$B:$B,0)),"⚠ NOT FOUND","✓"))</f>
        <v/>
      </c>
    </row>
    <row r="2045" spans="1:12" ht="14" customHeight="1" x14ac:dyDescent="0.2">
      <c r="A2045" s="58"/>
      <c r="B2045" s="15"/>
      <c r="C2045" s="16" t="str">
        <f>IF(B2045="","",IFERROR(INDEX(Client_List!$C:$C,MATCH(B2045,Client_List!$B:$B,0)),""))</f>
        <v/>
      </c>
      <c r="D2045" s="16" t="str">
        <f>IF(B2045="","",IFERROR(INDEX(Client_List!$D:$D,MATCH(B2045,Client_List!$B:$B,0)),""))</f>
        <v/>
      </c>
      <c r="E2045" s="16" t="str">
        <f>IF(B2045="","",IFERROR(INDEX(Client_List!$K:$K,MATCH(B2045,Client_List!$B:$B,0)),""))</f>
        <v/>
      </c>
      <c r="F2045" s="16" t="str">
        <f>IF(B2045="","",IFERROR(INDEX(Client_List!$J:$J,MATCH(B2045,Client_List!$B:$B,0)),""))</f>
        <v/>
      </c>
      <c r="G2045" s="16"/>
      <c r="H2045" s="16" t="str">
        <f>IF(B2045="","",IFERROR(A2045-LOOKUP(2,1/($B$4:$B2044=B2045),$A$4:$A2044),""))</f>
        <v/>
      </c>
      <c r="I2045" s="16" t="str">
        <f t="shared" si="31"/>
        <v/>
      </c>
      <c r="J2045" s="16"/>
      <c r="K2045" s="6" t="str">
        <f>IF(B2045="","",IFERROR(AVERAGEIFS($I$4:$I2045,$B$4:$B2045,B2045,$I$4:$I2045,"&gt;"&amp;0),""))</f>
        <v/>
      </c>
      <c r="L2045" s="16" t="str">
        <f>IF(B2045="","",IF(ISNA(MATCH(B2045,Client_List!$B:$B,0)),"⚠ NOT FOUND","✓"))</f>
        <v/>
      </c>
    </row>
    <row r="2046" spans="1:12" ht="14" customHeight="1" x14ac:dyDescent="0.2">
      <c r="A2046" s="59"/>
      <c r="B2046" s="18"/>
      <c r="C2046" s="19" t="str">
        <f>IF(B2046="","",IFERROR(INDEX(Client_List!$C:$C,MATCH(B2046,Client_List!$B:$B,0)),""))</f>
        <v/>
      </c>
      <c r="D2046" s="19" t="str">
        <f>IF(B2046="","",IFERROR(INDEX(Client_List!$D:$D,MATCH(B2046,Client_List!$B:$B,0)),""))</f>
        <v/>
      </c>
      <c r="E2046" s="19" t="str">
        <f>IF(B2046="","",IFERROR(INDEX(Client_List!$K:$K,MATCH(B2046,Client_List!$B:$B,0)),""))</f>
        <v/>
      </c>
      <c r="F2046" s="19" t="str">
        <f>IF(B2046="","",IFERROR(INDEX(Client_List!$J:$J,MATCH(B2046,Client_List!$B:$B,0)),""))</f>
        <v/>
      </c>
      <c r="G2046" s="19"/>
      <c r="H2046" s="19" t="str">
        <f>IF(B2046="","",IFERROR(A2046-LOOKUP(2,1/($B$4:$B2045=B2046),$A$4:$A2045),""))</f>
        <v/>
      </c>
      <c r="I2046" s="19" t="str">
        <f t="shared" si="31"/>
        <v/>
      </c>
      <c r="J2046" s="19"/>
      <c r="K2046" s="6" t="str">
        <f>IF(B2046="","",IFERROR(AVERAGEIFS($I$4:$I2046,$B$4:$B2046,B2046,$I$4:$I2046,"&gt;"&amp;0),""))</f>
        <v/>
      </c>
      <c r="L2046" s="19" t="str">
        <f>IF(B2046="","",IF(ISNA(MATCH(B2046,Client_List!$B:$B,0)),"⚠ NOT FOUND","✓"))</f>
        <v/>
      </c>
    </row>
    <row r="2047" spans="1:12" ht="14" customHeight="1" x14ac:dyDescent="0.2">
      <c r="A2047" s="58"/>
      <c r="B2047" s="15"/>
      <c r="C2047" s="16" t="str">
        <f>IF(B2047="","",IFERROR(INDEX(Client_List!$C:$C,MATCH(B2047,Client_List!$B:$B,0)),""))</f>
        <v/>
      </c>
      <c r="D2047" s="16" t="str">
        <f>IF(B2047="","",IFERROR(INDEX(Client_List!$D:$D,MATCH(B2047,Client_List!$B:$B,0)),""))</f>
        <v/>
      </c>
      <c r="E2047" s="16" t="str">
        <f>IF(B2047="","",IFERROR(INDEX(Client_List!$K:$K,MATCH(B2047,Client_List!$B:$B,0)),""))</f>
        <v/>
      </c>
      <c r="F2047" s="16" t="str">
        <f>IF(B2047="","",IFERROR(INDEX(Client_List!$J:$J,MATCH(B2047,Client_List!$B:$B,0)),""))</f>
        <v/>
      </c>
      <c r="G2047" s="16"/>
      <c r="H2047" s="16" t="str">
        <f>IF(B2047="","",IFERROR(A2047-LOOKUP(2,1/($B$4:$B2046=B2047),$A$4:$A2046),""))</f>
        <v/>
      </c>
      <c r="I2047" s="16" t="str">
        <f t="shared" si="31"/>
        <v/>
      </c>
      <c r="J2047" s="16"/>
      <c r="K2047" s="6" t="str">
        <f>IF(B2047="","",IFERROR(AVERAGEIFS($I$4:$I2047,$B$4:$B2047,B2047,$I$4:$I2047,"&gt;"&amp;0),""))</f>
        <v/>
      </c>
      <c r="L2047" s="16" t="str">
        <f>IF(B2047="","",IF(ISNA(MATCH(B2047,Client_List!$B:$B,0)),"⚠ NOT FOUND","✓"))</f>
        <v/>
      </c>
    </row>
    <row r="2048" spans="1:12" ht="14" customHeight="1" x14ac:dyDescent="0.2">
      <c r="A2048" s="59"/>
      <c r="B2048" s="18"/>
      <c r="C2048" s="19" t="str">
        <f>IF(B2048="","",IFERROR(INDEX(Client_List!$C:$C,MATCH(B2048,Client_List!$B:$B,0)),""))</f>
        <v/>
      </c>
      <c r="D2048" s="19" t="str">
        <f>IF(B2048="","",IFERROR(INDEX(Client_List!$D:$D,MATCH(B2048,Client_List!$B:$B,0)),""))</f>
        <v/>
      </c>
      <c r="E2048" s="19" t="str">
        <f>IF(B2048="","",IFERROR(INDEX(Client_List!$K:$K,MATCH(B2048,Client_List!$B:$B,0)),""))</f>
        <v/>
      </c>
      <c r="F2048" s="19" t="str">
        <f>IF(B2048="","",IFERROR(INDEX(Client_List!$J:$J,MATCH(B2048,Client_List!$B:$B,0)),""))</f>
        <v/>
      </c>
      <c r="G2048" s="19"/>
      <c r="H2048" s="19" t="str">
        <f>IF(B2048="","",IFERROR(A2048-LOOKUP(2,1/($B$4:$B2047=B2048),$A$4:$A2047),""))</f>
        <v/>
      </c>
      <c r="I2048" s="19" t="str">
        <f t="shared" si="31"/>
        <v/>
      </c>
      <c r="J2048" s="19"/>
      <c r="K2048" s="6" t="str">
        <f>IF(B2048="","",IFERROR(AVERAGEIFS($I$4:$I2048,$B$4:$B2048,B2048,$I$4:$I2048,"&gt;"&amp;0),""))</f>
        <v/>
      </c>
      <c r="L2048" s="19" t="str">
        <f>IF(B2048="","",IF(ISNA(MATCH(B2048,Client_List!$B:$B,0)),"⚠ NOT FOUND","✓"))</f>
        <v/>
      </c>
    </row>
    <row r="2049" spans="1:12" ht="14" customHeight="1" x14ac:dyDescent="0.2">
      <c r="A2049" s="58"/>
      <c r="B2049" s="15"/>
      <c r="C2049" s="16" t="str">
        <f>IF(B2049="","",IFERROR(INDEX(Client_List!$C:$C,MATCH(B2049,Client_List!$B:$B,0)),""))</f>
        <v/>
      </c>
      <c r="D2049" s="16" t="str">
        <f>IF(B2049="","",IFERROR(INDEX(Client_List!$D:$D,MATCH(B2049,Client_List!$B:$B,0)),""))</f>
        <v/>
      </c>
      <c r="E2049" s="16" t="str">
        <f>IF(B2049="","",IFERROR(INDEX(Client_List!$K:$K,MATCH(B2049,Client_List!$B:$B,0)),""))</f>
        <v/>
      </c>
      <c r="F2049" s="16" t="str">
        <f>IF(B2049="","",IFERROR(INDEX(Client_List!$J:$J,MATCH(B2049,Client_List!$B:$B,0)),""))</f>
        <v/>
      </c>
      <c r="G2049" s="16"/>
      <c r="H2049" s="16" t="str">
        <f>IF(B2049="","",IFERROR(A2049-LOOKUP(2,1/($B$4:$B2048=B2049),$A$4:$A2048),""))</f>
        <v/>
      </c>
      <c r="I2049" s="16" t="str">
        <f t="shared" si="31"/>
        <v/>
      </c>
      <c r="J2049" s="16"/>
      <c r="K2049" s="6" t="str">
        <f>IF(B2049="","",IFERROR(AVERAGEIFS($I$4:$I2049,$B$4:$B2049,B2049,$I$4:$I2049,"&gt;"&amp;0),""))</f>
        <v/>
      </c>
      <c r="L2049" s="16" t="str">
        <f>IF(B2049="","",IF(ISNA(MATCH(B2049,Client_List!$B:$B,0)),"⚠ NOT FOUND","✓"))</f>
        <v/>
      </c>
    </row>
    <row r="2050" spans="1:12" ht="14" customHeight="1" x14ac:dyDescent="0.2">
      <c r="A2050" s="59"/>
      <c r="B2050" s="18"/>
      <c r="C2050" s="19" t="str">
        <f>IF(B2050="","",IFERROR(INDEX(Client_List!$C:$C,MATCH(B2050,Client_List!$B:$B,0)),""))</f>
        <v/>
      </c>
      <c r="D2050" s="19" t="str">
        <f>IF(B2050="","",IFERROR(INDEX(Client_List!$D:$D,MATCH(B2050,Client_List!$B:$B,0)),""))</f>
        <v/>
      </c>
      <c r="E2050" s="19" t="str">
        <f>IF(B2050="","",IFERROR(INDEX(Client_List!$K:$K,MATCH(B2050,Client_List!$B:$B,0)),""))</f>
        <v/>
      </c>
      <c r="F2050" s="19" t="str">
        <f>IF(B2050="","",IFERROR(INDEX(Client_List!$J:$J,MATCH(B2050,Client_List!$B:$B,0)),""))</f>
        <v/>
      </c>
      <c r="G2050" s="19"/>
      <c r="H2050" s="19" t="str">
        <f>IF(B2050="","",IFERROR(A2050-LOOKUP(2,1/($B$4:$B2049=B2050),$A$4:$A2049),""))</f>
        <v/>
      </c>
      <c r="I2050" s="19" t="str">
        <f t="shared" si="31"/>
        <v/>
      </c>
      <c r="J2050" s="19"/>
      <c r="K2050" s="6" t="str">
        <f>IF(B2050="","",IFERROR(AVERAGEIFS($I$4:$I2050,$B$4:$B2050,B2050,$I$4:$I2050,"&gt;"&amp;0),""))</f>
        <v/>
      </c>
      <c r="L2050" s="19" t="str">
        <f>IF(B2050="","",IF(ISNA(MATCH(B2050,Client_List!$B:$B,0)),"⚠ NOT FOUND","✓"))</f>
        <v/>
      </c>
    </row>
    <row r="2051" spans="1:12" ht="14" customHeight="1" x14ac:dyDescent="0.2">
      <c r="A2051" s="58"/>
      <c r="B2051" s="15"/>
      <c r="C2051" s="16" t="str">
        <f>IF(B2051="","",IFERROR(INDEX(Client_List!$C:$C,MATCH(B2051,Client_List!$B:$B,0)),""))</f>
        <v/>
      </c>
      <c r="D2051" s="16" t="str">
        <f>IF(B2051="","",IFERROR(INDEX(Client_List!$D:$D,MATCH(B2051,Client_List!$B:$B,0)),""))</f>
        <v/>
      </c>
      <c r="E2051" s="16" t="str">
        <f>IF(B2051="","",IFERROR(INDEX(Client_List!$K:$K,MATCH(B2051,Client_List!$B:$B,0)),""))</f>
        <v/>
      </c>
      <c r="F2051" s="16" t="str">
        <f>IF(B2051="","",IFERROR(INDEX(Client_List!$J:$J,MATCH(B2051,Client_List!$B:$B,0)),""))</f>
        <v/>
      </c>
      <c r="G2051" s="16"/>
      <c r="H2051" s="16" t="str">
        <f>IF(B2051="","",IFERROR(A2051-LOOKUP(2,1/($B$4:$B2050=B2051),$A$4:$A2050),""))</f>
        <v/>
      </c>
      <c r="I2051" s="16" t="str">
        <f t="shared" si="31"/>
        <v/>
      </c>
      <c r="J2051" s="16"/>
      <c r="K2051" s="6" t="str">
        <f>IF(B2051="","",IFERROR(AVERAGEIFS($I$4:$I2051,$B$4:$B2051,B2051,$I$4:$I2051,"&gt;"&amp;0),""))</f>
        <v/>
      </c>
      <c r="L2051" s="16" t="str">
        <f>IF(B2051="","",IF(ISNA(MATCH(B2051,Client_List!$B:$B,0)),"⚠ NOT FOUND","✓"))</f>
        <v/>
      </c>
    </row>
    <row r="2052" spans="1:12" ht="14" customHeight="1" x14ac:dyDescent="0.2">
      <c r="A2052" s="59"/>
      <c r="B2052" s="18"/>
      <c r="C2052" s="19" t="str">
        <f>IF(B2052="","",IFERROR(INDEX(Client_List!$C:$C,MATCH(B2052,Client_List!$B:$B,0)),""))</f>
        <v/>
      </c>
      <c r="D2052" s="19" t="str">
        <f>IF(B2052="","",IFERROR(INDEX(Client_List!$D:$D,MATCH(B2052,Client_List!$B:$B,0)),""))</f>
        <v/>
      </c>
      <c r="E2052" s="19" t="str">
        <f>IF(B2052="","",IFERROR(INDEX(Client_List!$K:$K,MATCH(B2052,Client_List!$B:$B,0)),""))</f>
        <v/>
      </c>
      <c r="F2052" s="19" t="str">
        <f>IF(B2052="","",IFERROR(INDEX(Client_List!$J:$J,MATCH(B2052,Client_List!$B:$B,0)),""))</f>
        <v/>
      </c>
      <c r="G2052" s="19"/>
      <c r="H2052" s="19" t="str">
        <f>IF(B2052="","",IFERROR(A2052-LOOKUP(2,1/($B$4:$B2051=B2052),$A$4:$A2051),""))</f>
        <v/>
      </c>
      <c r="I2052" s="19" t="str">
        <f t="shared" ref="I2052:I2115" si="32">IF(B2052="","",IFERROR(G2052/H2052,""))</f>
        <v/>
      </c>
      <c r="J2052" s="19"/>
      <c r="K2052" s="6" t="str">
        <f>IF(B2052="","",IFERROR(AVERAGEIFS($I$4:$I2052,$B$4:$B2052,B2052,$I$4:$I2052,"&gt;"&amp;0),""))</f>
        <v/>
      </c>
      <c r="L2052" s="19" t="str">
        <f>IF(B2052="","",IF(ISNA(MATCH(B2052,Client_List!$B:$B,0)),"⚠ NOT FOUND","✓"))</f>
        <v/>
      </c>
    </row>
    <row r="2053" spans="1:12" ht="14" customHeight="1" x14ac:dyDescent="0.2">
      <c r="A2053" s="58"/>
      <c r="B2053" s="15"/>
      <c r="C2053" s="16" t="str">
        <f>IF(B2053="","",IFERROR(INDEX(Client_List!$C:$C,MATCH(B2053,Client_List!$B:$B,0)),""))</f>
        <v/>
      </c>
      <c r="D2053" s="16" t="str">
        <f>IF(B2053="","",IFERROR(INDEX(Client_List!$D:$D,MATCH(B2053,Client_List!$B:$B,0)),""))</f>
        <v/>
      </c>
      <c r="E2053" s="16" t="str">
        <f>IF(B2053="","",IFERROR(INDEX(Client_List!$K:$K,MATCH(B2053,Client_List!$B:$B,0)),""))</f>
        <v/>
      </c>
      <c r="F2053" s="16" t="str">
        <f>IF(B2053="","",IFERROR(INDEX(Client_List!$J:$J,MATCH(B2053,Client_List!$B:$B,0)),""))</f>
        <v/>
      </c>
      <c r="G2053" s="16"/>
      <c r="H2053" s="16" t="str">
        <f>IF(B2053="","",IFERROR(A2053-LOOKUP(2,1/($B$4:$B2052=B2053),$A$4:$A2052),""))</f>
        <v/>
      </c>
      <c r="I2053" s="16" t="str">
        <f t="shared" si="32"/>
        <v/>
      </c>
      <c r="J2053" s="16"/>
      <c r="K2053" s="6" t="str">
        <f>IF(B2053="","",IFERROR(AVERAGEIFS($I$4:$I2053,$B$4:$B2053,B2053,$I$4:$I2053,"&gt;"&amp;0),""))</f>
        <v/>
      </c>
      <c r="L2053" s="16" t="str">
        <f>IF(B2053="","",IF(ISNA(MATCH(B2053,Client_List!$B:$B,0)),"⚠ NOT FOUND","✓"))</f>
        <v/>
      </c>
    </row>
    <row r="2054" spans="1:12" ht="14" customHeight="1" x14ac:dyDescent="0.2">
      <c r="A2054" s="59"/>
      <c r="B2054" s="18"/>
      <c r="C2054" s="19" t="str">
        <f>IF(B2054="","",IFERROR(INDEX(Client_List!$C:$C,MATCH(B2054,Client_List!$B:$B,0)),""))</f>
        <v/>
      </c>
      <c r="D2054" s="19" t="str">
        <f>IF(B2054="","",IFERROR(INDEX(Client_List!$D:$D,MATCH(B2054,Client_List!$B:$B,0)),""))</f>
        <v/>
      </c>
      <c r="E2054" s="19" t="str">
        <f>IF(B2054="","",IFERROR(INDEX(Client_List!$K:$K,MATCH(B2054,Client_List!$B:$B,0)),""))</f>
        <v/>
      </c>
      <c r="F2054" s="19" t="str">
        <f>IF(B2054="","",IFERROR(INDEX(Client_List!$J:$J,MATCH(B2054,Client_List!$B:$B,0)),""))</f>
        <v/>
      </c>
      <c r="G2054" s="19"/>
      <c r="H2054" s="19" t="str">
        <f>IF(B2054="","",IFERROR(A2054-LOOKUP(2,1/($B$4:$B2053=B2054),$A$4:$A2053),""))</f>
        <v/>
      </c>
      <c r="I2054" s="19" t="str">
        <f t="shared" si="32"/>
        <v/>
      </c>
      <c r="J2054" s="19"/>
      <c r="K2054" s="6" t="str">
        <f>IF(B2054="","",IFERROR(AVERAGEIFS($I$4:$I2054,$B$4:$B2054,B2054,$I$4:$I2054,"&gt;"&amp;0),""))</f>
        <v/>
      </c>
      <c r="L2054" s="19" t="str">
        <f>IF(B2054="","",IF(ISNA(MATCH(B2054,Client_List!$B:$B,0)),"⚠ NOT FOUND","✓"))</f>
        <v/>
      </c>
    </row>
    <row r="2055" spans="1:12" ht="14" customHeight="1" x14ac:dyDescent="0.2">
      <c r="A2055" s="58"/>
      <c r="B2055" s="15"/>
      <c r="C2055" s="16" t="str">
        <f>IF(B2055="","",IFERROR(INDEX(Client_List!$C:$C,MATCH(B2055,Client_List!$B:$B,0)),""))</f>
        <v/>
      </c>
      <c r="D2055" s="16" t="str">
        <f>IF(B2055="","",IFERROR(INDEX(Client_List!$D:$D,MATCH(B2055,Client_List!$B:$B,0)),""))</f>
        <v/>
      </c>
      <c r="E2055" s="16" t="str">
        <f>IF(B2055="","",IFERROR(INDEX(Client_List!$K:$K,MATCH(B2055,Client_List!$B:$B,0)),""))</f>
        <v/>
      </c>
      <c r="F2055" s="16" t="str">
        <f>IF(B2055="","",IFERROR(INDEX(Client_List!$J:$J,MATCH(B2055,Client_List!$B:$B,0)),""))</f>
        <v/>
      </c>
      <c r="G2055" s="16"/>
      <c r="H2055" s="16" t="str">
        <f>IF(B2055="","",IFERROR(A2055-LOOKUP(2,1/($B$4:$B2054=B2055),$A$4:$A2054),""))</f>
        <v/>
      </c>
      <c r="I2055" s="16" t="str">
        <f t="shared" si="32"/>
        <v/>
      </c>
      <c r="J2055" s="16"/>
      <c r="K2055" s="6" t="str">
        <f>IF(B2055="","",IFERROR(AVERAGEIFS($I$4:$I2055,$B$4:$B2055,B2055,$I$4:$I2055,"&gt;"&amp;0),""))</f>
        <v/>
      </c>
      <c r="L2055" s="16" t="str">
        <f>IF(B2055="","",IF(ISNA(MATCH(B2055,Client_List!$B:$B,0)),"⚠ NOT FOUND","✓"))</f>
        <v/>
      </c>
    </row>
    <row r="2056" spans="1:12" ht="14" customHeight="1" x14ac:dyDescent="0.2">
      <c r="A2056" s="59"/>
      <c r="B2056" s="18"/>
      <c r="C2056" s="19" t="str">
        <f>IF(B2056="","",IFERROR(INDEX(Client_List!$C:$C,MATCH(B2056,Client_List!$B:$B,0)),""))</f>
        <v/>
      </c>
      <c r="D2056" s="19" t="str">
        <f>IF(B2056="","",IFERROR(INDEX(Client_List!$D:$D,MATCH(B2056,Client_List!$B:$B,0)),""))</f>
        <v/>
      </c>
      <c r="E2056" s="19" t="str">
        <f>IF(B2056="","",IFERROR(INDEX(Client_List!$K:$K,MATCH(B2056,Client_List!$B:$B,0)),""))</f>
        <v/>
      </c>
      <c r="F2056" s="19" t="str">
        <f>IF(B2056="","",IFERROR(INDEX(Client_List!$J:$J,MATCH(B2056,Client_List!$B:$B,0)),""))</f>
        <v/>
      </c>
      <c r="G2056" s="19"/>
      <c r="H2056" s="19" t="str">
        <f>IF(B2056="","",IFERROR(A2056-LOOKUP(2,1/($B$4:$B2055=B2056),$A$4:$A2055),""))</f>
        <v/>
      </c>
      <c r="I2056" s="19" t="str">
        <f t="shared" si="32"/>
        <v/>
      </c>
      <c r="J2056" s="19"/>
      <c r="K2056" s="6" t="str">
        <f>IF(B2056="","",IFERROR(AVERAGEIFS($I$4:$I2056,$B$4:$B2056,B2056,$I$4:$I2056,"&gt;"&amp;0),""))</f>
        <v/>
      </c>
      <c r="L2056" s="19" t="str">
        <f>IF(B2056="","",IF(ISNA(MATCH(B2056,Client_List!$B:$B,0)),"⚠ NOT FOUND","✓"))</f>
        <v/>
      </c>
    </row>
    <row r="2057" spans="1:12" ht="14" customHeight="1" x14ac:dyDescent="0.2">
      <c r="A2057" s="58"/>
      <c r="B2057" s="15"/>
      <c r="C2057" s="16" t="str">
        <f>IF(B2057="","",IFERROR(INDEX(Client_List!$C:$C,MATCH(B2057,Client_List!$B:$B,0)),""))</f>
        <v/>
      </c>
      <c r="D2057" s="16" t="str">
        <f>IF(B2057="","",IFERROR(INDEX(Client_List!$D:$D,MATCH(B2057,Client_List!$B:$B,0)),""))</f>
        <v/>
      </c>
      <c r="E2057" s="16" t="str">
        <f>IF(B2057="","",IFERROR(INDEX(Client_List!$K:$K,MATCH(B2057,Client_List!$B:$B,0)),""))</f>
        <v/>
      </c>
      <c r="F2057" s="16" t="str">
        <f>IF(B2057="","",IFERROR(INDEX(Client_List!$J:$J,MATCH(B2057,Client_List!$B:$B,0)),""))</f>
        <v/>
      </c>
      <c r="G2057" s="16"/>
      <c r="H2057" s="16" t="str">
        <f>IF(B2057="","",IFERROR(A2057-LOOKUP(2,1/($B$4:$B2056=B2057),$A$4:$A2056),""))</f>
        <v/>
      </c>
      <c r="I2057" s="16" t="str">
        <f t="shared" si="32"/>
        <v/>
      </c>
      <c r="J2057" s="16"/>
      <c r="K2057" s="6" t="str">
        <f>IF(B2057="","",IFERROR(AVERAGEIFS($I$4:$I2057,$B$4:$B2057,B2057,$I$4:$I2057,"&gt;"&amp;0),""))</f>
        <v/>
      </c>
      <c r="L2057" s="16" t="str">
        <f>IF(B2057="","",IF(ISNA(MATCH(B2057,Client_List!$B:$B,0)),"⚠ NOT FOUND","✓"))</f>
        <v/>
      </c>
    </row>
    <row r="2058" spans="1:12" ht="14" customHeight="1" x14ac:dyDescent="0.2">
      <c r="A2058" s="59"/>
      <c r="B2058" s="18"/>
      <c r="C2058" s="19" t="str">
        <f>IF(B2058="","",IFERROR(INDEX(Client_List!$C:$C,MATCH(B2058,Client_List!$B:$B,0)),""))</f>
        <v/>
      </c>
      <c r="D2058" s="19" t="str">
        <f>IF(B2058="","",IFERROR(INDEX(Client_List!$D:$D,MATCH(B2058,Client_List!$B:$B,0)),""))</f>
        <v/>
      </c>
      <c r="E2058" s="19" t="str">
        <f>IF(B2058="","",IFERROR(INDEX(Client_List!$K:$K,MATCH(B2058,Client_List!$B:$B,0)),""))</f>
        <v/>
      </c>
      <c r="F2058" s="19" t="str">
        <f>IF(B2058="","",IFERROR(INDEX(Client_List!$J:$J,MATCH(B2058,Client_List!$B:$B,0)),""))</f>
        <v/>
      </c>
      <c r="G2058" s="19"/>
      <c r="H2058" s="19" t="str">
        <f>IF(B2058="","",IFERROR(A2058-LOOKUP(2,1/($B$4:$B2057=B2058),$A$4:$A2057),""))</f>
        <v/>
      </c>
      <c r="I2058" s="19" t="str">
        <f t="shared" si="32"/>
        <v/>
      </c>
      <c r="J2058" s="19"/>
      <c r="K2058" s="6" t="str">
        <f>IF(B2058="","",IFERROR(AVERAGEIFS($I$4:$I2058,$B$4:$B2058,B2058,$I$4:$I2058,"&gt;"&amp;0),""))</f>
        <v/>
      </c>
      <c r="L2058" s="19" t="str">
        <f>IF(B2058="","",IF(ISNA(MATCH(B2058,Client_List!$B:$B,0)),"⚠ NOT FOUND","✓"))</f>
        <v/>
      </c>
    </row>
    <row r="2059" spans="1:12" ht="14" customHeight="1" x14ac:dyDescent="0.2">
      <c r="A2059" s="58"/>
      <c r="B2059" s="15"/>
      <c r="C2059" s="16" t="str">
        <f>IF(B2059="","",IFERROR(INDEX(Client_List!$C:$C,MATCH(B2059,Client_List!$B:$B,0)),""))</f>
        <v/>
      </c>
      <c r="D2059" s="16" t="str">
        <f>IF(B2059="","",IFERROR(INDEX(Client_List!$D:$D,MATCH(B2059,Client_List!$B:$B,0)),""))</f>
        <v/>
      </c>
      <c r="E2059" s="16" t="str">
        <f>IF(B2059="","",IFERROR(INDEX(Client_List!$K:$K,MATCH(B2059,Client_List!$B:$B,0)),""))</f>
        <v/>
      </c>
      <c r="F2059" s="16" t="str">
        <f>IF(B2059="","",IFERROR(INDEX(Client_List!$J:$J,MATCH(B2059,Client_List!$B:$B,0)),""))</f>
        <v/>
      </c>
      <c r="G2059" s="16"/>
      <c r="H2059" s="16" t="str">
        <f>IF(B2059="","",IFERROR(A2059-LOOKUP(2,1/($B$4:$B2058=B2059),$A$4:$A2058),""))</f>
        <v/>
      </c>
      <c r="I2059" s="16" t="str">
        <f t="shared" si="32"/>
        <v/>
      </c>
      <c r="J2059" s="16"/>
      <c r="K2059" s="6" t="str">
        <f>IF(B2059="","",IFERROR(AVERAGEIFS($I$4:$I2059,$B$4:$B2059,B2059,$I$4:$I2059,"&gt;"&amp;0),""))</f>
        <v/>
      </c>
      <c r="L2059" s="16" t="str">
        <f>IF(B2059="","",IF(ISNA(MATCH(B2059,Client_List!$B:$B,0)),"⚠ NOT FOUND","✓"))</f>
        <v/>
      </c>
    </row>
    <row r="2060" spans="1:12" ht="14" customHeight="1" x14ac:dyDescent="0.2">
      <c r="A2060" s="59"/>
      <c r="B2060" s="18"/>
      <c r="C2060" s="19" t="str">
        <f>IF(B2060="","",IFERROR(INDEX(Client_List!$C:$C,MATCH(B2060,Client_List!$B:$B,0)),""))</f>
        <v/>
      </c>
      <c r="D2060" s="19" t="str">
        <f>IF(B2060="","",IFERROR(INDEX(Client_List!$D:$D,MATCH(B2060,Client_List!$B:$B,0)),""))</f>
        <v/>
      </c>
      <c r="E2060" s="19" t="str">
        <f>IF(B2060="","",IFERROR(INDEX(Client_List!$K:$K,MATCH(B2060,Client_List!$B:$B,0)),""))</f>
        <v/>
      </c>
      <c r="F2060" s="19" t="str">
        <f>IF(B2060="","",IFERROR(INDEX(Client_List!$J:$J,MATCH(B2060,Client_List!$B:$B,0)),""))</f>
        <v/>
      </c>
      <c r="G2060" s="19"/>
      <c r="H2060" s="19" t="str">
        <f>IF(B2060="","",IFERROR(A2060-LOOKUP(2,1/($B$4:$B2059=B2060),$A$4:$A2059),""))</f>
        <v/>
      </c>
      <c r="I2060" s="19" t="str">
        <f t="shared" si="32"/>
        <v/>
      </c>
      <c r="J2060" s="19"/>
      <c r="K2060" s="6" t="str">
        <f>IF(B2060="","",IFERROR(AVERAGEIFS($I$4:$I2060,$B$4:$B2060,B2060,$I$4:$I2060,"&gt;"&amp;0),""))</f>
        <v/>
      </c>
      <c r="L2060" s="19" t="str">
        <f>IF(B2060="","",IF(ISNA(MATCH(B2060,Client_List!$B:$B,0)),"⚠ NOT FOUND","✓"))</f>
        <v/>
      </c>
    </row>
    <row r="2061" spans="1:12" ht="14" customHeight="1" x14ac:dyDescent="0.2">
      <c r="A2061" s="58"/>
      <c r="B2061" s="15"/>
      <c r="C2061" s="16" t="str">
        <f>IF(B2061="","",IFERROR(INDEX(Client_List!$C:$C,MATCH(B2061,Client_List!$B:$B,0)),""))</f>
        <v/>
      </c>
      <c r="D2061" s="16" t="str">
        <f>IF(B2061="","",IFERROR(INDEX(Client_List!$D:$D,MATCH(B2061,Client_List!$B:$B,0)),""))</f>
        <v/>
      </c>
      <c r="E2061" s="16" t="str">
        <f>IF(B2061="","",IFERROR(INDEX(Client_List!$K:$K,MATCH(B2061,Client_List!$B:$B,0)),""))</f>
        <v/>
      </c>
      <c r="F2061" s="16" t="str">
        <f>IF(B2061="","",IFERROR(INDEX(Client_List!$J:$J,MATCH(B2061,Client_List!$B:$B,0)),""))</f>
        <v/>
      </c>
      <c r="G2061" s="16"/>
      <c r="H2061" s="16" t="str">
        <f>IF(B2061="","",IFERROR(A2061-LOOKUP(2,1/($B$4:$B2060=B2061),$A$4:$A2060),""))</f>
        <v/>
      </c>
      <c r="I2061" s="16" t="str">
        <f t="shared" si="32"/>
        <v/>
      </c>
      <c r="J2061" s="16"/>
      <c r="K2061" s="6" t="str">
        <f>IF(B2061="","",IFERROR(AVERAGEIFS($I$4:$I2061,$B$4:$B2061,B2061,$I$4:$I2061,"&gt;"&amp;0),""))</f>
        <v/>
      </c>
      <c r="L2061" s="16" t="str">
        <f>IF(B2061="","",IF(ISNA(MATCH(B2061,Client_List!$B:$B,0)),"⚠ NOT FOUND","✓"))</f>
        <v/>
      </c>
    </row>
    <row r="2062" spans="1:12" ht="14" customHeight="1" x14ac:dyDescent="0.2">
      <c r="A2062" s="59"/>
      <c r="B2062" s="18"/>
      <c r="C2062" s="19" t="str">
        <f>IF(B2062="","",IFERROR(INDEX(Client_List!$C:$C,MATCH(B2062,Client_List!$B:$B,0)),""))</f>
        <v/>
      </c>
      <c r="D2062" s="19" t="str">
        <f>IF(B2062="","",IFERROR(INDEX(Client_List!$D:$D,MATCH(B2062,Client_List!$B:$B,0)),""))</f>
        <v/>
      </c>
      <c r="E2062" s="19" t="str">
        <f>IF(B2062="","",IFERROR(INDEX(Client_List!$K:$K,MATCH(B2062,Client_List!$B:$B,0)),""))</f>
        <v/>
      </c>
      <c r="F2062" s="19" t="str">
        <f>IF(B2062="","",IFERROR(INDEX(Client_List!$J:$J,MATCH(B2062,Client_List!$B:$B,0)),""))</f>
        <v/>
      </c>
      <c r="G2062" s="19"/>
      <c r="H2062" s="19" t="str">
        <f>IF(B2062="","",IFERROR(A2062-LOOKUP(2,1/($B$4:$B2061=B2062),$A$4:$A2061),""))</f>
        <v/>
      </c>
      <c r="I2062" s="19" t="str">
        <f t="shared" si="32"/>
        <v/>
      </c>
      <c r="J2062" s="19"/>
      <c r="K2062" s="6" t="str">
        <f>IF(B2062="","",IFERROR(AVERAGEIFS($I$4:$I2062,$B$4:$B2062,B2062,$I$4:$I2062,"&gt;"&amp;0),""))</f>
        <v/>
      </c>
      <c r="L2062" s="19" t="str">
        <f>IF(B2062="","",IF(ISNA(MATCH(B2062,Client_List!$B:$B,0)),"⚠ NOT FOUND","✓"))</f>
        <v/>
      </c>
    </row>
    <row r="2063" spans="1:12" ht="14" customHeight="1" x14ac:dyDescent="0.2">
      <c r="A2063" s="58"/>
      <c r="B2063" s="15"/>
      <c r="C2063" s="16" t="str">
        <f>IF(B2063="","",IFERROR(INDEX(Client_List!$C:$C,MATCH(B2063,Client_List!$B:$B,0)),""))</f>
        <v/>
      </c>
      <c r="D2063" s="16" t="str">
        <f>IF(B2063="","",IFERROR(INDEX(Client_List!$D:$D,MATCH(B2063,Client_List!$B:$B,0)),""))</f>
        <v/>
      </c>
      <c r="E2063" s="16" t="str">
        <f>IF(B2063="","",IFERROR(INDEX(Client_List!$K:$K,MATCH(B2063,Client_List!$B:$B,0)),""))</f>
        <v/>
      </c>
      <c r="F2063" s="16" t="str">
        <f>IF(B2063="","",IFERROR(INDEX(Client_List!$J:$J,MATCH(B2063,Client_List!$B:$B,0)),""))</f>
        <v/>
      </c>
      <c r="G2063" s="16"/>
      <c r="H2063" s="16" t="str">
        <f>IF(B2063="","",IFERROR(A2063-LOOKUP(2,1/($B$4:$B2062=B2063),$A$4:$A2062),""))</f>
        <v/>
      </c>
      <c r="I2063" s="16" t="str">
        <f t="shared" si="32"/>
        <v/>
      </c>
      <c r="J2063" s="16"/>
      <c r="K2063" s="6" t="str">
        <f>IF(B2063="","",IFERROR(AVERAGEIFS($I$4:$I2063,$B$4:$B2063,B2063,$I$4:$I2063,"&gt;"&amp;0),""))</f>
        <v/>
      </c>
      <c r="L2063" s="16" t="str">
        <f>IF(B2063="","",IF(ISNA(MATCH(B2063,Client_List!$B:$B,0)),"⚠ NOT FOUND","✓"))</f>
        <v/>
      </c>
    </row>
    <row r="2064" spans="1:12" ht="14" customHeight="1" x14ac:dyDescent="0.2">
      <c r="A2064" s="59"/>
      <c r="B2064" s="18"/>
      <c r="C2064" s="19" t="str">
        <f>IF(B2064="","",IFERROR(INDEX(Client_List!$C:$C,MATCH(B2064,Client_List!$B:$B,0)),""))</f>
        <v/>
      </c>
      <c r="D2064" s="19" t="str">
        <f>IF(B2064="","",IFERROR(INDEX(Client_List!$D:$D,MATCH(B2064,Client_List!$B:$B,0)),""))</f>
        <v/>
      </c>
      <c r="E2064" s="19" t="str">
        <f>IF(B2064="","",IFERROR(INDEX(Client_List!$K:$K,MATCH(B2064,Client_List!$B:$B,0)),""))</f>
        <v/>
      </c>
      <c r="F2064" s="19" t="str">
        <f>IF(B2064="","",IFERROR(INDEX(Client_List!$J:$J,MATCH(B2064,Client_List!$B:$B,0)),""))</f>
        <v/>
      </c>
      <c r="G2064" s="19"/>
      <c r="H2064" s="19" t="str">
        <f>IF(B2064="","",IFERROR(A2064-LOOKUP(2,1/($B$4:$B2063=B2064),$A$4:$A2063),""))</f>
        <v/>
      </c>
      <c r="I2064" s="19" t="str">
        <f t="shared" si="32"/>
        <v/>
      </c>
      <c r="J2064" s="19"/>
      <c r="K2064" s="6" t="str">
        <f>IF(B2064="","",IFERROR(AVERAGEIFS($I$4:$I2064,$B$4:$B2064,B2064,$I$4:$I2064,"&gt;"&amp;0),""))</f>
        <v/>
      </c>
      <c r="L2064" s="19" t="str">
        <f>IF(B2064="","",IF(ISNA(MATCH(B2064,Client_List!$B:$B,0)),"⚠ NOT FOUND","✓"))</f>
        <v/>
      </c>
    </row>
    <row r="2065" spans="1:12" ht="14" customHeight="1" x14ac:dyDescent="0.2">
      <c r="A2065" s="58"/>
      <c r="B2065" s="15"/>
      <c r="C2065" s="16" t="str">
        <f>IF(B2065="","",IFERROR(INDEX(Client_List!$C:$C,MATCH(B2065,Client_List!$B:$B,0)),""))</f>
        <v/>
      </c>
      <c r="D2065" s="16" t="str">
        <f>IF(B2065="","",IFERROR(INDEX(Client_List!$D:$D,MATCH(B2065,Client_List!$B:$B,0)),""))</f>
        <v/>
      </c>
      <c r="E2065" s="16" t="str">
        <f>IF(B2065="","",IFERROR(INDEX(Client_List!$K:$K,MATCH(B2065,Client_List!$B:$B,0)),""))</f>
        <v/>
      </c>
      <c r="F2065" s="16" t="str">
        <f>IF(B2065="","",IFERROR(INDEX(Client_List!$J:$J,MATCH(B2065,Client_List!$B:$B,0)),""))</f>
        <v/>
      </c>
      <c r="G2065" s="16"/>
      <c r="H2065" s="16" t="str">
        <f>IF(B2065="","",IFERROR(A2065-LOOKUP(2,1/($B$4:$B2064=B2065),$A$4:$A2064),""))</f>
        <v/>
      </c>
      <c r="I2065" s="16" t="str">
        <f t="shared" si="32"/>
        <v/>
      </c>
      <c r="J2065" s="16"/>
      <c r="K2065" s="6" t="str">
        <f>IF(B2065="","",IFERROR(AVERAGEIFS($I$4:$I2065,$B$4:$B2065,B2065,$I$4:$I2065,"&gt;"&amp;0),""))</f>
        <v/>
      </c>
      <c r="L2065" s="16" t="str">
        <f>IF(B2065="","",IF(ISNA(MATCH(B2065,Client_List!$B:$B,0)),"⚠ NOT FOUND","✓"))</f>
        <v/>
      </c>
    </row>
    <row r="2066" spans="1:12" ht="14" customHeight="1" x14ac:dyDescent="0.2">
      <c r="A2066" s="59"/>
      <c r="B2066" s="18"/>
      <c r="C2066" s="19" t="str">
        <f>IF(B2066="","",IFERROR(INDEX(Client_List!$C:$C,MATCH(B2066,Client_List!$B:$B,0)),""))</f>
        <v/>
      </c>
      <c r="D2066" s="19" t="str">
        <f>IF(B2066="","",IFERROR(INDEX(Client_List!$D:$D,MATCH(B2066,Client_List!$B:$B,0)),""))</f>
        <v/>
      </c>
      <c r="E2066" s="19" t="str">
        <f>IF(B2066="","",IFERROR(INDEX(Client_List!$K:$K,MATCH(B2066,Client_List!$B:$B,0)),""))</f>
        <v/>
      </c>
      <c r="F2066" s="19" t="str">
        <f>IF(B2066="","",IFERROR(INDEX(Client_List!$J:$J,MATCH(B2066,Client_List!$B:$B,0)),""))</f>
        <v/>
      </c>
      <c r="G2066" s="19"/>
      <c r="H2066" s="19" t="str">
        <f>IF(B2066="","",IFERROR(A2066-LOOKUP(2,1/($B$4:$B2065=B2066),$A$4:$A2065),""))</f>
        <v/>
      </c>
      <c r="I2066" s="19" t="str">
        <f t="shared" si="32"/>
        <v/>
      </c>
      <c r="J2066" s="19"/>
      <c r="K2066" s="6" t="str">
        <f>IF(B2066="","",IFERROR(AVERAGEIFS($I$4:$I2066,$B$4:$B2066,B2066,$I$4:$I2066,"&gt;"&amp;0),""))</f>
        <v/>
      </c>
      <c r="L2066" s="19" t="str">
        <f>IF(B2066="","",IF(ISNA(MATCH(B2066,Client_List!$B:$B,0)),"⚠ NOT FOUND","✓"))</f>
        <v/>
      </c>
    </row>
    <row r="2067" spans="1:12" ht="14" customHeight="1" x14ac:dyDescent="0.2">
      <c r="A2067" s="58"/>
      <c r="B2067" s="15"/>
      <c r="C2067" s="16" t="str">
        <f>IF(B2067="","",IFERROR(INDEX(Client_List!$C:$C,MATCH(B2067,Client_List!$B:$B,0)),""))</f>
        <v/>
      </c>
      <c r="D2067" s="16" t="str">
        <f>IF(B2067="","",IFERROR(INDEX(Client_List!$D:$D,MATCH(B2067,Client_List!$B:$B,0)),""))</f>
        <v/>
      </c>
      <c r="E2067" s="16" t="str">
        <f>IF(B2067="","",IFERROR(INDEX(Client_List!$K:$K,MATCH(B2067,Client_List!$B:$B,0)),""))</f>
        <v/>
      </c>
      <c r="F2067" s="16" t="str">
        <f>IF(B2067="","",IFERROR(INDEX(Client_List!$J:$J,MATCH(B2067,Client_List!$B:$B,0)),""))</f>
        <v/>
      </c>
      <c r="G2067" s="16"/>
      <c r="H2067" s="16" t="str">
        <f>IF(B2067="","",IFERROR(A2067-LOOKUP(2,1/($B$4:$B2066=B2067),$A$4:$A2066),""))</f>
        <v/>
      </c>
      <c r="I2067" s="16" t="str">
        <f t="shared" si="32"/>
        <v/>
      </c>
      <c r="J2067" s="16"/>
      <c r="K2067" s="6" t="str">
        <f>IF(B2067="","",IFERROR(AVERAGEIFS($I$4:$I2067,$B$4:$B2067,B2067,$I$4:$I2067,"&gt;"&amp;0),""))</f>
        <v/>
      </c>
      <c r="L2067" s="16" t="str">
        <f>IF(B2067="","",IF(ISNA(MATCH(B2067,Client_List!$B:$B,0)),"⚠ NOT FOUND","✓"))</f>
        <v/>
      </c>
    </row>
    <row r="2068" spans="1:12" ht="14" customHeight="1" x14ac:dyDescent="0.2">
      <c r="A2068" s="59"/>
      <c r="B2068" s="18"/>
      <c r="C2068" s="19" t="str">
        <f>IF(B2068="","",IFERROR(INDEX(Client_List!$C:$C,MATCH(B2068,Client_List!$B:$B,0)),""))</f>
        <v/>
      </c>
      <c r="D2068" s="19" t="str">
        <f>IF(B2068="","",IFERROR(INDEX(Client_List!$D:$D,MATCH(B2068,Client_List!$B:$B,0)),""))</f>
        <v/>
      </c>
      <c r="E2068" s="19" t="str">
        <f>IF(B2068="","",IFERROR(INDEX(Client_List!$K:$K,MATCH(B2068,Client_List!$B:$B,0)),""))</f>
        <v/>
      </c>
      <c r="F2068" s="19" t="str">
        <f>IF(B2068="","",IFERROR(INDEX(Client_List!$J:$J,MATCH(B2068,Client_List!$B:$B,0)),""))</f>
        <v/>
      </c>
      <c r="G2068" s="19"/>
      <c r="H2068" s="19" t="str">
        <f>IF(B2068="","",IFERROR(A2068-LOOKUP(2,1/($B$4:$B2067=B2068),$A$4:$A2067),""))</f>
        <v/>
      </c>
      <c r="I2068" s="19" t="str">
        <f t="shared" si="32"/>
        <v/>
      </c>
      <c r="J2068" s="19"/>
      <c r="K2068" s="6" t="str">
        <f>IF(B2068="","",IFERROR(AVERAGEIFS($I$4:$I2068,$B$4:$B2068,B2068,$I$4:$I2068,"&gt;"&amp;0),""))</f>
        <v/>
      </c>
      <c r="L2068" s="19" t="str">
        <f>IF(B2068="","",IF(ISNA(MATCH(B2068,Client_List!$B:$B,0)),"⚠ NOT FOUND","✓"))</f>
        <v/>
      </c>
    </row>
    <row r="2069" spans="1:12" ht="14" customHeight="1" x14ac:dyDescent="0.2">
      <c r="A2069" s="58"/>
      <c r="B2069" s="15"/>
      <c r="C2069" s="16" t="str">
        <f>IF(B2069="","",IFERROR(INDEX(Client_List!$C:$C,MATCH(B2069,Client_List!$B:$B,0)),""))</f>
        <v/>
      </c>
      <c r="D2069" s="16" t="str">
        <f>IF(B2069="","",IFERROR(INDEX(Client_List!$D:$D,MATCH(B2069,Client_List!$B:$B,0)),""))</f>
        <v/>
      </c>
      <c r="E2069" s="16" t="str">
        <f>IF(B2069="","",IFERROR(INDEX(Client_List!$K:$K,MATCH(B2069,Client_List!$B:$B,0)),""))</f>
        <v/>
      </c>
      <c r="F2069" s="16" t="str">
        <f>IF(B2069="","",IFERROR(INDEX(Client_List!$J:$J,MATCH(B2069,Client_List!$B:$B,0)),""))</f>
        <v/>
      </c>
      <c r="G2069" s="16"/>
      <c r="H2069" s="16" t="str">
        <f>IF(B2069="","",IFERROR(A2069-LOOKUP(2,1/($B$4:$B2068=B2069),$A$4:$A2068),""))</f>
        <v/>
      </c>
      <c r="I2069" s="16" t="str">
        <f t="shared" si="32"/>
        <v/>
      </c>
      <c r="J2069" s="16"/>
      <c r="K2069" s="6" t="str">
        <f>IF(B2069="","",IFERROR(AVERAGEIFS($I$4:$I2069,$B$4:$B2069,B2069,$I$4:$I2069,"&gt;"&amp;0),""))</f>
        <v/>
      </c>
      <c r="L2069" s="16" t="str">
        <f>IF(B2069="","",IF(ISNA(MATCH(B2069,Client_List!$B:$B,0)),"⚠ NOT FOUND","✓"))</f>
        <v/>
      </c>
    </row>
    <row r="2070" spans="1:12" ht="14" customHeight="1" x14ac:dyDescent="0.2">
      <c r="A2070" s="59"/>
      <c r="B2070" s="18"/>
      <c r="C2070" s="19" t="str">
        <f>IF(B2070="","",IFERROR(INDEX(Client_List!$C:$C,MATCH(B2070,Client_List!$B:$B,0)),""))</f>
        <v/>
      </c>
      <c r="D2070" s="19" t="str">
        <f>IF(B2070="","",IFERROR(INDEX(Client_List!$D:$D,MATCH(B2070,Client_List!$B:$B,0)),""))</f>
        <v/>
      </c>
      <c r="E2070" s="19" t="str">
        <f>IF(B2070="","",IFERROR(INDEX(Client_List!$K:$K,MATCH(B2070,Client_List!$B:$B,0)),""))</f>
        <v/>
      </c>
      <c r="F2070" s="19" t="str">
        <f>IF(B2070="","",IFERROR(INDEX(Client_List!$J:$J,MATCH(B2070,Client_List!$B:$B,0)),""))</f>
        <v/>
      </c>
      <c r="G2070" s="19"/>
      <c r="H2070" s="19" t="str">
        <f>IF(B2070="","",IFERROR(A2070-LOOKUP(2,1/($B$4:$B2069=B2070),$A$4:$A2069),""))</f>
        <v/>
      </c>
      <c r="I2070" s="19" t="str">
        <f t="shared" si="32"/>
        <v/>
      </c>
      <c r="J2070" s="19"/>
      <c r="K2070" s="6" t="str">
        <f>IF(B2070="","",IFERROR(AVERAGEIFS($I$4:$I2070,$B$4:$B2070,B2070,$I$4:$I2070,"&gt;"&amp;0),""))</f>
        <v/>
      </c>
      <c r="L2070" s="19" t="str">
        <f>IF(B2070="","",IF(ISNA(MATCH(B2070,Client_List!$B:$B,0)),"⚠ NOT FOUND","✓"))</f>
        <v/>
      </c>
    </row>
    <row r="2071" spans="1:12" ht="14" customHeight="1" x14ac:dyDescent="0.2">
      <c r="A2071" s="58"/>
      <c r="B2071" s="15"/>
      <c r="C2071" s="16" t="str">
        <f>IF(B2071="","",IFERROR(INDEX(Client_List!$C:$C,MATCH(B2071,Client_List!$B:$B,0)),""))</f>
        <v/>
      </c>
      <c r="D2071" s="16" t="str">
        <f>IF(B2071="","",IFERROR(INDEX(Client_List!$D:$D,MATCH(B2071,Client_List!$B:$B,0)),""))</f>
        <v/>
      </c>
      <c r="E2071" s="16" t="str">
        <f>IF(B2071="","",IFERROR(INDEX(Client_List!$K:$K,MATCH(B2071,Client_List!$B:$B,0)),""))</f>
        <v/>
      </c>
      <c r="F2071" s="16" t="str">
        <f>IF(B2071="","",IFERROR(INDEX(Client_List!$J:$J,MATCH(B2071,Client_List!$B:$B,0)),""))</f>
        <v/>
      </c>
      <c r="G2071" s="16"/>
      <c r="H2071" s="16" t="str">
        <f>IF(B2071="","",IFERROR(A2071-LOOKUP(2,1/($B$4:$B2070=B2071),$A$4:$A2070),""))</f>
        <v/>
      </c>
      <c r="I2071" s="16" t="str">
        <f t="shared" si="32"/>
        <v/>
      </c>
      <c r="J2071" s="16"/>
      <c r="K2071" s="6" t="str">
        <f>IF(B2071="","",IFERROR(AVERAGEIFS($I$4:$I2071,$B$4:$B2071,B2071,$I$4:$I2071,"&gt;"&amp;0),""))</f>
        <v/>
      </c>
      <c r="L2071" s="16" t="str">
        <f>IF(B2071="","",IF(ISNA(MATCH(B2071,Client_List!$B:$B,0)),"⚠ NOT FOUND","✓"))</f>
        <v/>
      </c>
    </row>
    <row r="2072" spans="1:12" ht="14" customHeight="1" x14ac:dyDescent="0.2">
      <c r="A2072" s="59"/>
      <c r="B2072" s="18"/>
      <c r="C2072" s="19" t="str">
        <f>IF(B2072="","",IFERROR(INDEX(Client_List!$C:$C,MATCH(B2072,Client_List!$B:$B,0)),""))</f>
        <v/>
      </c>
      <c r="D2072" s="19" t="str">
        <f>IF(B2072="","",IFERROR(INDEX(Client_List!$D:$D,MATCH(B2072,Client_List!$B:$B,0)),""))</f>
        <v/>
      </c>
      <c r="E2072" s="19" t="str">
        <f>IF(B2072="","",IFERROR(INDEX(Client_List!$K:$K,MATCH(B2072,Client_List!$B:$B,0)),""))</f>
        <v/>
      </c>
      <c r="F2072" s="19" t="str">
        <f>IF(B2072="","",IFERROR(INDEX(Client_List!$J:$J,MATCH(B2072,Client_List!$B:$B,0)),""))</f>
        <v/>
      </c>
      <c r="G2072" s="19"/>
      <c r="H2072" s="19" t="str">
        <f>IF(B2072="","",IFERROR(A2072-LOOKUP(2,1/($B$4:$B2071=B2072),$A$4:$A2071),""))</f>
        <v/>
      </c>
      <c r="I2072" s="19" t="str">
        <f t="shared" si="32"/>
        <v/>
      </c>
      <c r="J2072" s="19"/>
      <c r="K2072" s="6" t="str">
        <f>IF(B2072="","",IFERROR(AVERAGEIFS($I$4:$I2072,$B$4:$B2072,B2072,$I$4:$I2072,"&gt;"&amp;0),""))</f>
        <v/>
      </c>
      <c r="L2072" s="19" t="str">
        <f>IF(B2072="","",IF(ISNA(MATCH(B2072,Client_List!$B:$B,0)),"⚠ NOT FOUND","✓"))</f>
        <v/>
      </c>
    </row>
    <row r="2073" spans="1:12" ht="14" customHeight="1" x14ac:dyDescent="0.2">
      <c r="A2073" s="58"/>
      <c r="B2073" s="15"/>
      <c r="C2073" s="16" t="str">
        <f>IF(B2073="","",IFERROR(INDEX(Client_List!$C:$C,MATCH(B2073,Client_List!$B:$B,0)),""))</f>
        <v/>
      </c>
      <c r="D2073" s="16" t="str">
        <f>IF(B2073="","",IFERROR(INDEX(Client_List!$D:$D,MATCH(B2073,Client_List!$B:$B,0)),""))</f>
        <v/>
      </c>
      <c r="E2073" s="16" t="str">
        <f>IF(B2073="","",IFERROR(INDEX(Client_List!$K:$K,MATCH(B2073,Client_List!$B:$B,0)),""))</f>
        <v/>
      </c>
      <c r="F2073" s="16" t="str">
        <f>IF(B2073="","",IFERROR(INDEX(Client_List!$J:$J,MATCH(B2073,Client_List!$B:$B,0)),""))</f>
        <v/>
      </c>
      <c r="G2073" s="16"/>
      <c r="H2073" s="16" t="str">
        <f>IF(B2073="","",IFERROR(A2073-LOOKUP(2,1/($B$4:$B2072=B2073),$A$4:$A2072),""))</f>
        <v/>
      </c>
      <c r="I2073" s="16" t="str">
        <f t="shared" si="32"/>
        <v/>
      </c>
      <c r="J2073" s="16"/>
      <c r="K2073" s="6" t="str">
        <f>IF(B2073="","",IFERROR(AVERAGEIFS($I$4:$I2073,$B$4:$B2073,B2073,$I$4:$I2073,"&gt;"&amp;0),""))</f>
        <v/>
      </c>
      <c r="L2073" s="16" t="str">
        <f>IF(B2073="","",IF(ISNA(MATCH(B2073,Client_List!$B:$B,0)),"⚠ NOT FOUND","✓"))</f>
        <v/>
      </c>
    </row>
    <row r="2074" spans="1:12" ht="14" customHeight="1" x14ac:dyDescent="0.2">
      <c r="A2074" s="59"/>
      <c r="B2074" s="18"/>
      <c r="C2074" s="19" t="str">
        <f>IF(B2074="","",IFERROR(INDEX(Client_List!$C:$C,MATCH(B2074,Client_List!$B:$B,0)),""))</f>
        <v/>
      </c>
      <c r="D2074" s="19" t="str">
        <f>IF(B2074="","",IFERROR(INDEX(Client_List!$D:$D,MATCH(B2074,Client_List!$B:$B,0)),""))</f>
        <v/>
      </c>
      <c r="E2074" s="19" t="str">
        <f>IF(B2074="","",IFERROR(INDEX(Client_List!$K:$K,MATCH(B2074,Client_List!$B:$B,0)),""))</f>
        <v/>
      </c>
      <c r="F2074" s="19" t="str">
        <f>IF(B2074="","",IFERROR(INDEX(Client_List!$J:$J,MATCH(B2074,Client_List!$B:$B,0)),""))</f>
        <v/>
      </c>
      <c r="G2074" s="19"/>
      <c r="H2074" s="19" t="str">
        <f>IF(B2074="","",IFERROR(A2074-LOOKUP(2,1/($B$4:$B2073=B2074),$A$4:$A2073),""))</f>
        <v/>
      </c>
      <c r="I2074" s="19" t="str">
        <f t="shared" si="32"/>
        <v/>
      </c>
      <c r="J2074" s="19"/>
      <c r="K2074" s="6" t="str">
        <f>IF(B2074="","",IFERROR(AVERAGEIFS($I$4:$I2074,$B$4:$B2074,B2074,$I$4:$I2074,"&gt;"&amp;0),""))</f>
        <v/>
      </c>
      <c r="L2074" s="19" t="str">
        <f>IF(B2074="","",IF(ISNA(MATCH(B2074,Client_List!$B:$B,0)),"⚠ NOT FOUND","✓"))</f>
        <v/>
      </c>
    </row>
    <row r="2075" spans="1:12" ht="14" customHeight="1" x14ac:dyDescent="0.2">
      <c r="A2075" s="58"/>
      <c r="B2075" s="15"/>
      <c r="C2075" s="16" t="str">
        <f>IF(B2075="","",IFERROR(INDEX(Client_List!$C:$C,MATCH(B2075,Client_List!$B:$B,0)),""))</f>
        <v/>
      </c>
      <c r="D2075" s="16" t="str">
        <f>IF(B2075="","",IFERROR(INDEX(Client_List!$D:$D,MATCH(B2075,Client_List!$B:$B,0)),""))</f>
        <v/>
      </c>
      <c r="E2075" s="16" t="str">
        <f>IF(B2075="","",IFERROR(INDEX(Client_List!$K:$K,MATCH(B2075,Client_List!$B:$B,0)),""))</f>
        <v/>
      </c>
      <c r="F2075" s="16" t="str">
        <f>IF(B2075="","",IFERROR(INDEX(Client_List!$J:$J,MATCH(B2075,Client_List!$B:$B,0)),""))</f>
        <v/>
      </c>
      <c r="G2075" s="16"/>
      <c r="H2075" s="16" t="str">
        <f>IF(B2075="","",IFERROR(A2075-LOOKUP(2,1/($B$4:$B2074=B2075),$A$4:$A2074),""))</f>
        <v/>
      </c>
      <c r="I2075" s="16" t="str">
        <f t="shared" si="32"/>
        <v/>
      </c>
      <c r="J2075" s="16"/>
      <c r="K2075" s="6" t="str">
        <f>IF(B2075="","",IFERROR(AVERAGEIFS($I$4:$I2075,$B$4:$B2075,B2075,$I$4:$I2075,"&gt;"&amp;0),""))</f>
        <v/>
      </c>
      <c r="L2075" s="16" t="str">
        <f>IF(B2075="","",IF(ISNA(MATCH(B2075,Client_List!$B:$B,0)),"⚠ NOT FOUND","✓"))</f>
        <v/>
      </c>
    </row>
    <row r="2076" spans="1:12" ht="14" customHeight="1" x14ac:dyDescent="0.2">
      <c r="A2076" s="59"/>
      <c r="B2076" s="18"/>
      <c r="C2076" s="19" t="str">
        <f>IF(B2076="","",IFERROR(INDEX(Client_List!$C:$C,MATCH(B2076,Client_List!$B:$B,0)),""))</f>
        <v/>
      </c>
      <c r="D2076" s="19" t="str">
        <f>IF(B2076="","",IFERROR(INDEX(Client_List!$D:$D,MATCH(B2076,Client_List!$B:$B,0)),""))</f>
        <v/>
      </c>
      <c r="E2076" s="19" t="str">
        <f>IF(B2076="","",IFERROR(INDEX(Client_List!$K:$K,MATCH(B2076,Client_List!$B:$B,0)),""))</f>
        <v/>
      </c>
      <c r="F2076" s="19" t="str">
        <f>IF(B2076="","",IFERROR(INDEX(Client_List!$J:$J,MATCH(B2076,Client_List!$B:$B,0)),""))</f>
        <v/>
      </c>
      <c r="G2076" s="19"/>
      <c r="H2076" s="19" t="str">
        <f>IF(B2076="","",IFERROR(A2076-LOOKUP(2,1/($B$4:$B2075=B2076),$A$4:$A2075),""))</f>
        <v/>
      </c>
      <c r="I2076" s="19" t="str">
        <f t="shared" si="32"/>
        <v/>
      </c>
      <c r="J2076" s="19"/>
      <c r="K2076" s="6" t="str">
        <f>IF(B2076="","",IFERROR(AVERAGEIFS($I$4:$I2076,$B$4:$B2076,B2076,$I$4:$I2076,"&gt;"&amp;0),""))</f>
        <v/>
      </c>
      <c r="L2076" s="19" t="str">
        <f>IF(B2076="","",IF(ISNA(MATCH(B2076,Client_List!$B:$B,0)),"⚠ NOT FOUND","✓"))</f>
        <v/>
      </c>
    </row>
    <row r="2077" spans="1:12" ht="14" customHeight="1" x14ac:dyDescent="0.2">
      <c r="A2077" s="58"/>
      <c r="B2077" s="15"/>
      <c r="C2077" s="16" t="str">
        <f>IF(B2077="","",IFERROR(INDEX(Client_List!$C:$C,MATCH(B2077,Client_List!$B:$B,0)),""))</f>
        <v/>
      </c>
      <c r="D2077" s="16" t="str">
        <f>IF(B2077="","",IFERROR(INDEX(Client_List!$D:$D,MATCH(B2077,Client_List!$B:$B,0)),""))</f>
        <v/>
      </c>
      <c r="E2077" s="16" t="str">
        <f>IF(B2077="","",IFERROR(INDEX(Client_List!$K:$K,MATCH(B2077,Client_List!$B:$B,0)),""))</f>
        <v/>
      </c>
      <c r="F2077" s="16" t="str">
        <f>IF(B2077="","",IFERROR(INDEX(Client_List!$J:$J,MATCH(B2077,Client_List!$B:$B,0)),""))</f>
        <v/>
      </c>
      <c r="G2077" s="16"/>
      <c r="H2077" s="16" t="str">
        <f>IF(B2077="","",IFERROR(A2077-LOOKUP(2,1/($B$4:$B2076=B2077),$A$4:$A2076),""))</f>
        <v/>
      </c>
      <c r="I2077" s="16" t="str">
        <f t="shared" si="32"/>
        <v/>
      </c>
      <c r="J2077" s="16"/>
      <c r="K2077" s="6" t="str">
        <f>IF(B2077="","",IFERROR(AVERAGEIFS($I$4:$I2077,$B$4:$B2077,B2077,$I$4:$I2077,"&gt;"&amp;0),""))</f>
        <v/>
      </c>
      <c r="L2077" s="16" t="str">
        <f>IF(B2077="","",IF(ISNA(MATCH(B2077,Client_List!$B:$B,0)),"⚠ NOT FOUND","✓"))</f>
        <v/>
      </c>
    </row>
    <row r="2078" spans="1:12" ht="14" customHeight="1" x14ac:dyDescent="0.2">
      <c r="A2078" s="59"/>
      <c r="B2078" s="18"/>
      <c r="C2078" s="19" t="str">
        <f>IF(B2078="","",IFERROR(INDEX(Client_List!$C:$C,MATCH(B2078,Client_List!$B:$B,0)),""))</f>
        <v/>
      </c>
      <c r="D2078" s="19" t="str">
        <f>IF(B2078="","",IFERROR(INDEX(Client_List!$D:$D,MATCH(B2078,Client_List!$B:$B,0)),""))</f>
        <v/>
      </c>
      <c r="E2078" s="19" t="str">
        <f>IF(B2078="","",IFERROR(INDEX(Client_List!$K:$K,MATCH(B2078,Client_List!$B:$B,0)),""))</f>
        <v/>
      </c>
      <c r="F2078" s="19" t="str">
        <f>IF(B2078="","",IFERROR(INDEX(Client_List!$J:$J,MATCH(B2078,Client_List!$B:$B,0)),""))</f>
        <v/>
      </c>
      <c r="G2078" s="19"/>
      <c r="H2078" s="19" t="str">
        <f>IF(B2078="","",IFERROR(A2078-LOOKUP(2,1/($B$4:$B2077=B2078),$A$4:$A2077),""))</f>
        <v/>
      </c>
      <c r="I2078" s="19" t="str">
        <f t="shared" si="32"/>
        <v/>
      </c>
      <c r="J2078" s="19"/>
      <c r="K2078" s="6" t="str">
        <f>IF(B2078="","",IFERROR(AVERAGEIFS($I$4:$I2078,$B$4:$B2078,B2078,$I$4:$I2078,"&gt;"&amp;0),""))</f>
        <v/>
      </c>
      <c r="L2078" s="19" t="str">
        <f>IF(B2078="","",IF(ISNA(MATCH(B2078,Client_List!$B:$B,0)),"⚠ NOT FOUND","✓"))</f>
        <v/>
      </c>
    </row>
    <row r="2079" spans="1:12" ht="14" customHeight="1" x14ac:dyDescent="0.2">
      <c r="A2079" s="58"/>
      <c r="B2079" s="15"/>
      <c r="C2079" s="16" t="str">
        <f>IF(B2079="","",IFERROR(INDEX(Client_List!$C:$C,MATCH(B2079,Client_List!$B:$B,0)),""))</f>
        <v/>
      </c>
      <c r="D2079" s="16" t="str">
        <f>IF(B2079="","",IFERROR(INDEX(Client_List!$D:$D,MATCH(B2079,Client_List!$B:$B,0)),""))</f>
        <v/>
      </c>
      <c r="E2079" s="16" t="str">
        <f>IF(B2079="","",IFERROR(INDEX(Client_List!$K:$K,MATCH(B2079,Client_List!$B:$B,0)),""))</f>
        <v/>
      </c>
      <c r="F2079" s="16" t="str">
        <f>IF(B2079="","",IFERROR(INDEX(Client_List!$J:$J,MATCH(B2079,Client_List!$B:$B,0)),""))</f>
        <v/>
      </c>
      <c r="G2079" s="16"/>
      <c r="H2079" s="16" t="str">
        <f>IF(B2079="","",IFERROR(A2079-LOOKUP(2,1/($B$4:$B2078=B2079),$A$4:$A2078),""))</f>
        <v/>
      </c>
      <c r="I2079" s="16" t="str">
        <f t="shared" si="32"/>
        <v/>
      </c>
      <c r="J2079" s="16"/>
      <c r="K2079" s="6" t="str">
        <f>IF(B2079="","",IFERROR(AVERAGEIFS($I$4:$I2079,$B$4:$B2079,B2079,$I$4:$I2079,"&gt;"&amp;0),""))</f>
        <v/>
      </c>
      <c r="L2079" s="16" t="str">
        <f>IF(B2079="","",IF(ISNA(MATCH(B2079,Client_List!$B:$B,0)),"⚠ NOT FOUND","✓"))</f>
        <v/>
      </c>
    </row>
    <row r="2080" spans="1:12" ht="14" customHeight="1" x14ac:dyDescent="0.2">
      <c r="A2080" s="59"/>
      <c r="B2080" s="18"/>
      <c r="C2080" s="19" t="str">
        <f>IF(B2080="","",IFERROR(INDEX(Client_List!$C:$C,MATCH(B2080,Client_List!$B:$B,0)),""))</f>
        <v/>
      </c>
      <c r="D2080" s="19" t="str">
        <f>IF(B2080="","",IFERROR(INDEX(Client_List!$D:$D,MATCH(B2080,Client_List!$B:$B,0)),""))</f>
        <v/>
      </c>
      <c r="E2080" s="19" t="str">
        <f>IF(B2080="","",IFERROR(INDEX(Client_List!$K:$K,MATCH(B2080,Client_List!$B:$B,0)),""))</f>
        <v/>
      </c>
      <c r="F2080" s="19" t="str">
        <f>IF(B2080="","",IFERROR(INDEX(Client_List!$J:$J,MATCH(B2080,Client_List!$B:$B,0)),""))</f>
        <v/>
      </c>
      <c r="G2080" s="19"/>
      <c r="H2080" s="19" t="str">
        <f>IF(B2080="","",IFERROR(A2080-LOOKUP(2,1/($B$4:$B2079=B2080),$A$4:$A2079),""))</f>
        <v/>
      </c>
      <c r="I2080" s="19" t="str">
        <f t="shared" si="32"/>
        <v/>
      </c>
      <c r="J2080" s="19"/>
      <c r="K2080" s="6" t="str">
        <f>IF(B2080="","",IFERROR(AVERAGEIFS($I$4:$I2080,$B$4:$B2080,B2080,$I$4:$I2080,"&gt;"&amp;0),""))</f>
        <v/>
      </c>
      <c r="L2080" s="19" t="str">
        <f>IF(B2080="","",IF(ISNA(MATCH(B2080,Client_List!$B:$B,0)),"⚠ NOT FOUND","✓"))</f>
        <v/>
      </c>
    </row>
    <row r="2081" spans="1:12" ht="14" customHeight="1" x14ac:dyDescent="0.2">
      <c r="A2081" s="58"/>
      <c r="B2081" s="15"/>
      <c r="C2081" s="16" t="str">
        <f>IF(B2081="","",IFERROR(INDEX(Client_List!$C:$C,MATCH(B2081,Client_List!$B:$B,0)),""))</f>
        <v/>
      </c>
      <c r="D2081" s="16" t="str">
        <f>IF(B2081="","",IFERROR(INDEX(Client_List!$D:$D,MATCH(B2081,Client_List!$B:$B,0)),""))</f>
        <v/>
      </c>
      <c r="E2081" s="16" t="str">
        <f>IF(B2081="","",IFERROR(INDEX(Client_List!$K:$K,MATCH(B2081,Client_List!$B:$B,0)),""))</f>
        <v/>
      </c>
      <c r="F2081" s="16" t="str">
        <f>IF(B2081="","",IFERROR(INDEX(Client_List!$J:$J,MATCH(B2081,Client_List!$B:$B,0)),""))</f>
        <v/>
      </c>
      <c r="G2081" s="16"/>
      <c r="H2081" s="16" t="str">
        <f>IF(B2081="","",IFERROR(A2081-LOOKUP(2,1/($B$4:$B2080=B2081),$A$4:$A2080),""))</f>
        <v/>
      </c>
      <c r="I2081" s="16" t="str">
        <f t="shared" si="32"/>
        <v/>
      </c>
      <c r="J2081" s="16"/>
      <c r="K2081" s="6" t="str">
        <f>IF(B2081="","",IFERROR(AVERAGEIFS($I$4:$I2081,$B$4:$B2081,B2081,$I$4:$I2081,"&gt;"&amp;0),""))</f>
        <v/>
      </c>
      <c r="L2081" s="16" t="str">
        <f>IF(B2081="","",IF(ISNA(MATCH(B2081,Client_List!$B:$B,0)),"⚠ NOT FOUND","✓"))</f>
        <v/>
      </c>
    </row>
    <row r="2082" spans="1:12" ht="14" customHeight="1" x14ac:dyDescent="0.2">
      <c r="A2082" s="59"/>
      <c r="B2082" s="18"/>
      <c r="C2082" s="19" t="str">
        <f>IF(B2082="","",IFERROR(INDEX(Client_List!$C:$C,MATCH(B2082,Client_List!$B:$B,0)),""))</f>
        <v/>
      </c>
      <c r="D2082" s="19" t="str">
        <f>IF(B2082="","",IFERROR(INDEX(Client_List!$D:$D,MATCH(B2082,Client_List!$B:$B,0)),""))</f>
        <v/>
      </c>
      <c r="E2082" s="19" t="str">
        <f>IF(B2082="","",IFERROR(INDEX(Client_List!$K:$K,MATCH(B2082,Client_List!$B:$B,0)),""))</f>
        <v/>
      </c>
      <c r="F2082" s="19" t="str">
        <f>IF(B2082="","",IFERROR(INDEX(Client_List!$J:$J,MATCH(B2082,Client_List!$B:$B,0)),""))</f>
        <v/>
      </c>
      <c r="G2082" s="19"/>
      <c r="H2082" s="19" t="str">
        <f>IF(B2082="","",IFERROR(A2082-LOOKUP(2,1/($B$4:$B2081=B2082),$A$4:$A2081),""))</f>
        <v/>
      </c>
      <c r="I2082" s="19" t="str">
        <f t="shared" si="32"/>
        <v/>
      </c>
      <c r="J2082" s="19"/>
      <c r="K2082" s="6" t="str">
        <f>IF(B2082="","",IFERROR(AVERAGEIFS($I$4:$I2082,$B$4:$B2082,B2082,$I$4:$I2082,"&gt;"&amp;0),""))</f>
        <v/>
      </c>
      <c r="L2082" s="19" t="str">
        <f>IF(B2082="","",IF(ISNA(MATCH(B2082,Client_List!$B:$B,0)),"⚠ NOT FOUND","✓"))</f>
        <v/>
      </c>
    </row>
    <row r="2083" spans="1:12" ht="14" customHeight="1" x14ac:dyDescent="0.2">
      <c r="A2083" s="58"/>
      <c r="B2083" s="15"/>
      <c r="C2083" s="16" t="str">
        <f>IF(B2083="","",IFERROR(INDEX(Client_List!$C:$C,MATCH(B2083,Client_List!$B:$B,0)),""))</f>
        <v/>
      </c>
      <c r="D2083" s="16" t="str">
        <f>IF(B2083="","",IFERROR(INDEX(Client_List!$D:$D,MATCH(B2083,Client_List!$B:$B,0)),""))</f>
        <v/>
      </c>
      <c r="E2083" s="16" t="str">
        <f>IF(B2083="","",IFERROR(INDEX(Client_List!$K:$K,MATCH(B2083,Client_List!$B:$B,0)),""))</f>
        <v/>
      </c>
      <c r="F2083" s="16" t="str">
        <f>IF(B2083="","",IFERROR(INDEX(Client_List!$J:$J,MATCH(B2083,Client_List!$B:$B,0)),""))</f>
        <v/>
      </c>
      <c r="G2083" s="16"/>
      <c r="H2083" s="16" t="str">
        <f>IF(B2083="","",IFERROR(A2083-LOOKUP(2,1/($B$4:$B2082=B2083),$A$4:$A2082),""))</f>
        <v/>
      </c>
      <c r="I2083" s="16" t="str">
        <f t="shared" si="32"/>
        <v/>
      </c>
      <c r="J2083" s="16"/>
      <c r="K2083" s="6" t="str">
        <f>IF(B2083="","",IFERROR(AVERAGEIFS($I$4:$I2083,$B$4:$B2083,B2083,$I$4:$I2083,"&gt;"&amp;0),""))</f>
        <v/>
      </c>
      <c r="L2083" s="16" t="str">
        <f>IF(B2083="","",IF(ISNA(MATCH(B2083,Client_List!$B:$B,0)),"⚠ NOT FOUND","✓"))</f>
        <v/>
      </c>
    </row>
    <row r="2084" spans="1:12" ht="14" customHeight="1" x14ac:dyDescent="0.2">
      <c r="A2084" s="59"/>
      <c r="B2084" s="18"/>
      <c r="C2084" s="19" t="str">
        <f>IF(B2084="","",IFERROR(INDEX(Client_List!$C:$C,MATCH(B2084,Client_List!$B:$B,0)),""))</f>
        <v/>
      </c>
      <c r="D2084" s="19" t="str">
        <f>IF(B2084="","",IFERROR(INDEX(Client_List!$D:$D,MATCH(B2084,Client_List!$B:$B,0)),""))</f>
        <v/>
      </c>
      <c r="E2084" s="19" t="str">
        <f>IF(B2084="","",IFERROR(INDEX(Client_List!$K:$K,MATCH(B2084,Client_List!$B:$B,0)),""))</f>
        <v/>
      </c>
      <c r="F2084" s="19" t="str">
        <f>IF(B2084="","",IFERROR(INDEX(Client_List!$J:$J,MATCH(B2084,Client_List!$B:$B,0)),""))</f>
        <v/>
      </c>
      <c r="G2084" s="19"/>
      <c r="H2084" s="19" t="str">
        <f>IF(B2084="","",IFERROR(A2084-LOOKUP(2,1/($B$4:$B2083=B2084),$A$4:$A2083),""))</f>
        <v/>
      </c>
      <c r="I2084" s="19" t="str">
        <f t="shared" si="32"/>
        <v/>
      </c>
      <c r="J2084" s="19"/>
      <c r="K2084" s="6" t="str">
        <f>IF(B2084="","",IFERROR(AVERAGEIFS($I$4:$I2084,$B$4:$B2084,B2084,$I$4:$I2084,"&gt;"&amp;0),""))</f>
        <v/>
      </c>
      <c r="L2084" s="19" t="str">
        <f>IF(B2084="","",IF(ISNA(MATCH(B2084,Client_List!$B:$B,0)),"⚠ NOT FOUND","✓"))</f>
        <v/>
      </c>
    </row>
    <row r="2085" spans="1:12" ht="14" customHeight="1" x14ac:dyDescent="0.2">
      <c r="A2085" s="58"/>
      <c r="B2085" s="15"/>
      <c r="C2085" s="16" t="str">
        <f>IF(B2085="","",IFERROR(INDEX(Client_List!$C:$C,MATCH(B2085,Client_List!$B:$B,0)),""))</f>
        <v/>
      </c>
      <c r="D2085" s="16" t="str">
        <f>IF(B2085="","",IFERROR(INDEX(Client_List!$D:$D,MATCH(B2085,Client_List!$B:$B,0)),""))</f>
        <v/>
      </c>
      <c r="E2085" s="16" t="str">
        <f>IF(B2085="","",IFERROR(INDEX(Client_List!$K:$K,MATCH(B2085,Client_List!$B:$B,0)),""))</f>
        <v/>
      </c>
      <c r="F2085" s="16" t="str">
        <f>IF(B2085="","",IFERROR(INDEX(Client_List!$J:$J,MATCH(B2085,Client_List!$B:$B,0)),""))</f>
        <v/>
      </c>
      <c r="G2085" s="16"/>
      <c r="H2085" s="16" t="str">
        <f>IF(B2085="","",IFERROR(A2085-LOOKUP(2,1/($B$4:$B2084=B2085),$A$4:$A2084),""))</f>
        <v/>
      </c>
      <c r="I2085" s="16" t="str">
        <f t="shared" si="32"/>
        <v/>
      </c>
      <c r="J2085" s="16"/>
      <c r="K2085" s="6" t="str">
        <f>IF(B2085="","",IFERROR(AVERAGEIFS($I$4:$I2085,$B$4:$B2085,B2085,$I$4:$I2085,"&gt;"&amp;0),""))</f>
        <v/>
      </c>
      <c r="L2085" s="16" t="str">
        <f>IF(B2085="","",IF(ISNA(MATCH(B2085,Client_List!$B:$B,0)),"⚠ NOT FOUND","✓"))</f>
        <v/>
      </c>
    </row>
    <row r="2086" spans="1:12" ht="14" customHeight="1" x14ac:dyDescent="0.2">
      <c r="A2086" s="59"/>
      <c r="B2086" s="18"/>
      <c r="C2086" s="19" t="str">
        <f>IF(B2086="","",IFERROR(INDEX(Client_List!$C:$C,MATCH(B2086,Client_List!$B:$B,0)),""))</f>
        <v/>
      </c>
      <c r="D2086" s="19" t="str">
        <f>IF(B2086="","",IFERROR(INDEX(Client_List!$D:$D,MATCH(B2086,Client_List!$B:$B,0)),""))</f>
        <v/>
      </c>
      <c r="E2086" s="19" t="str">
        <f>IF(B2086="","",IFERROR(INDEX(Client_List!$K:$K,MATCH(B2086,Client_List!$B:$B,0)),""))</f>
        <v/>
      </c>
      <c r="F2086" s="19" t="str">
        <f>IF(B2086="","",IFERROR(INDEX(Client_List!$J:$J,MATCH(B2086,Client_List!$B:$B,0)),""))</f>
        <v/>
      </c>
      <c r="G2086" s="19"/>
      <c r="H2086" s="19" t="str">
        <f>IF(B2086="","",IFERROR(A2086-LOOKUP(2,1/($B$4:$B2085=B2086),$A$4:$A2085),""))</f>
        <v/>
      </c>
      <c r="I2086" s="19" t="str">
        <f t="shared" si="32"/>
        <v/>
      </c>
      <c r="J2086" s="19"/>
      <c r="K2086" s="6" t="str">
        <f>IF(B2086="","",IFERROR(AVERAGEIFS($I$4:$I2086,$B$4:$B2086,B2086,$I$4:$I2086,"&gt;"&amp;0),""))</f>
        <v/>
      </c>
      <c r="L2086" s="19" t="str">
        <f>IF(B2086="","",IF(ISNA(MATCH(B2086,Client_List!$B:$B,0)),"⚠ NOT FOUND","✓"))</f>
        <v/>
      </c>
    </row>
    <row r="2087" spans="1:12" ht="14" customHeight="1" x14ac:dyDescent="0.2">
      <c r="A2087" s="58"/>
      <c r="B2087" s="15"/>
      <c r="C2087" s="16" t="str">
        <f>IF(B2087="","",IFERROR(INDEX(Client_List!$C:$C,MATCH(B2087,Client_List!$B:$B,0)),""))</f>
        <v/>
      </c>
      <c r="D2087" s="16" t="str">
        <f>IF(B2087="","",IFERROR(INDEX(Client_List!$D:$D,MATCH(B2087,Client_List!$B:$B,0)),""))</f>
        <v/>
      </c>
      <c r="E2087" s="16" t="str">
        <f>IF(B2087="","",IFERROR(INDEX(Client_List!$K:$K,MATCH(B2087,Client_List!$B:$B,0)),""))</f>
        <v/>
      </c>
      <c r="F2087" s="16" t="str">
        <f>IF(B2087="","",IFERROR(INDEX(Client_List!$J:$J,MATCH(B2087,Client_List!$B:$B,0)),""))</f>
        <v/>
      </c>
      <c r="G2087" s="16"/>
      <c r="H2087" s="16" t="str">
        <f>IF(B2087="","",IFERROR(A2087-LOOKUP(2,1/($B$4:$B2086=B2087),$A$4:$A2086),""))</f>
        <v/>
      </c>
      <c r="I2087" s="16" t="str">
        <f t="shared" si="32"/>
        <v/>
      </c>
      <c r="J2087" s="16"/>
      <c r="K2087" s="6" t="str">
        <f>IF(B2087="","",IFERROR(AVERAGEIFS($I$4:$I2087,$B$4:$B2087,B2087,$I$4:$I2087,"&gt;"&amp;0),""))</f>
        <v/>
      </c>
      <c r="L2087" s="16" t="str">
        <f>IF(B2087="","",IF(ISNA(MATCH(B2087,Client_List!$B:$B,0)),"⚠ NOT FOUND","✓"))</f>
        <v/>
      </c>
    </row>
    <row r="2088" spans="1:12" ht="14" customHeight="1" x14ac:dyDescent="0.2">
      <c r="A2088" s="59"/>
      <c r="B2088" s="18"/>
      <c r="C2088" s="19" t="str">
        <f>IF(B2088="","",IFERROR(INDEX(Client_List!$C:$C,MATCH(B2088,Client_List!$B:$B,0)),""))</f>
        <v/>
      </c>
      <c r="D2088" s="19" t="str">
        <f>IF(B2088="","",IFERROR(INDEX(Client_List!$D:$D,MATCH(B2088,Client_List!$B:$B,0)),""))</f>
        <v/>
      </c>
      <c r="E2088" s="19" t="str">
        <f>IF(B2088="","",IFERROR(INDEX(Client_List!$K:$K,MATCH(B2088,Client_List!$B:$B,0)),""))</f>
        <v/>
      </c>
      <c r="F2088" s="19" t="str">
        <f>IF(B2088="","",IFERROR(INDEX(Client_List!$J:$J,MATCH(B2088,Client_List!$B:$B,0)),""))</f>
        <v/>
      </c>
      <c r="G2088" s="19"/>
      <c r="H2088" s="19" t="str">
        <f>IF(B2088="","",IFERROR(A2088-LOOKUP(2,1/($B$4:$B2087=B2088),$A$4:$A2087),""))</f>
        <v/>
      </c>
      <c r="I2088" s="19" t="str">
        <f t="shared" si="32"/>
        <v/>
      </c>
      <c r="J2088" s="19"/>
      <c r="K2088" s="6" t="str">
        <f>IF(B2088="","",IFERROR(AVERAGEIFS($I$4:$I2088,$B$4:$B2088,B2088,$I$4:$I2088,"&gt;"&amp;0),""))</f>
        <v/>
      </c>
      <c r="L2088" s="19" t="str">
        <f>IF(B2088="","",IF(ISNA(MATCH(B2088,Client_List!$B:$B,0)),"⚠ NOT FOUND","✓"))</f>
        <v/>
      </c>
    </row>
    <row r="2089" spans="1:12" ht="14" customHeight="1" x14ac:dyDescent="0.2">
      <c r="A2089" s="58"/>
      <c r="B2089" s="15"/>
      <c r="C2089" s="16" t="str">
        <f>IF(B2089="","",IFERROR(INDEX(Client_List!$C:$C,MATCH(B2089,Client_List!$B:$B,0)),""))</f>
        <v/>
      </c>
      <c r="D2089" s="16" t="str">
        <f>IF(B2089="","",IFERROR(INDEX(Client_List!$D:$D,MATCH(B2089,Client_List!$B:$B,0)),""))</f>
        <v/>
      </c>
      <c r="E2089" s="16" t="str">
        <f>IF(B2089="","",IFERROR(INDEX(Client_List!$K:$K,MATCH(B2089,Client_List!$B:$B,0)),""))</f>
        <v/>
      </c>
      <c r="F2089" s="16" t="str">
        <f>IF(B2089="","",IFERROR(INDEX(Client_List!$J:$J,MATCH(B2089,Client_List!$B:$B,0)),""))</f>
        <v/>
      </c>
      <c r="G2089" s="16"/>
      <c r="H2089" s="16" t="str">
        <f>IF(B2089="","",IFERROR(A2089-LOOKUP(2,1/($B$4:$B2088=B2089),$A$4:$A2088),""))</f>
        <v/>
      </c>
      <c r="I2089" s="16" t="str">
        <f t="shared" si="32"/>
        <v/>
      </c>
      <c r="J2089" s="16"/>
      <c r="K2089" s="6" t="str">
        <f>IF(B2089="","",IFERROR(AVERAGEIFS($I$4:$I2089,$B$4:$B2089,B2089,$I$4:$I2089,"&gt;"&amp;0),""))</f>
        <v/>
      </c>
      <c r="L2089" s="16" t="str">
        <f>IF(B2089="","",IF(ISNA(MATCH(B2089,Client_List!$B:$B,0)),"⚠ NOT FOUND","✓"))</f>
        <v/>
      </c>
    </row>
    <row r="2090" spans="1:12" ht="14" customHeight="1" x14ac:dyDescent="0.2">
      <c r="A2090" s="59"/>
      <c r="B2090" s="18"/>
      <c r="C2090" s="19" t="str">
        <f>IF(B2090="","",IFERROR(INDEX(Client_List!$C:$C,MATCH(B2090,Client_List!$B:$B,0)),""))</f>
        <v/>
      </c>
      <c r="D2090" s="19" t="str">
        <f>IF(B2090="","",IFERROR(INDEX(Client_List!$D:$D,MATCH(B2090,Client_List!$B:$B,0)),""))</f>
        <v/>
      </c>
      <c r="E2090" s="19" t="str">
        <f>IF(B2090="","",IFERROR(INDEX(Client_List!$K:$K,MATCH(B2090,Client_List!$B:$B,0)),""))</f>
        <v/>
      </c>
      <c r="F2090" s="19" t="str">
        <f>IF(B2090="","",IFERROR(INDEX(Client_List!$J:$J,MATCH(B2090,Client_List!$B:$B,0)),""))</f>
        <v/>
      </c>
      <c r="G2090" s="19"/>
      <c r="H2090" s="19" t="str">
        <f>IF(B2090="","",IFERROR(A2090-LOOKUP(2,1/($B$4:$B2089=B2090),$A$4:$A2089),""))</f>
        <v/>
      </c>
      <c r="I2090" s="19" t="str">
        <f t="shared" si="32"/>
        <v/>
      </c>
      <c r="J2090" s="19"/>
      <c r="K2090" s="6" t="str">
        <f>IF(B2090="","",IFERROR(AVERAGEIFS($I$4:$I2090,$B$4:$B2090,B2090,$I$4:$I2090,"&gt;"&amp;0),""))</f>
        <v/>
      </c>
      <c r="L2090" s="19" t="str">
        <f>IF(B2090="","",IF(ISNA(MATCH(B2090,Client_List!$B:$B,0)),"⚠ NOT FOUND","✓"))</f>
        <v/>
      </c>
    </row>
    <row r="2091" spans="1:12" ht="14" customHeight="1" x14ac:dyDescent="0.2">
      <c r="A2091" s="58"/>
      <c r="B2091" s="15"/>
      <c r="C2091" s="16" t="str">
        <f>IF(B2091="","",IFERROR(INDEX(Client_List!$C:$C,MATCH(B2091,Client_List!$B:$B,0)),""))</f>
        <v/>
      </c>
      <c r="D2091" s="16" t="str">
        <f>IF(B2091="","",IFERROR(INDEX(Client_List!$D:$D,MATCH(B2091,Client_List!$B:$B,0)),""))</f>
        <v/>
      </c>
      <c r="E2091" s="16" t="str">
        <f>IF(B2091="","",IFERROR(INDEX(Client_List!$K:$K,MATCH(B2091,Client_List!$B:$B,0)),""))</f>
        <v/>
      </c>
      <c r="F2091" s="16" t="str">
        <f>IF(B2091="","",IFERROR(INDEX(Client_List!$J:$J,MATCH(B2091,Client_List!$B:$B,0)),""))</f>
        <v/>
      </c>
      <c r="G2091" s="16"/>
      <c r="H2091" s="16" t="str">
        <f>IF(B2091="","",IFERROR(A2091-LOOKUP(2,1/($B$4:$B2090=B2091),$A$4:$A2090),""))</f>
        <v/>
      </c>
      <c r="I2091" s="16" t="str">
        <f t="shared" si="32"/>
        <v/>
      </c>
      <c r="J2091" s="16"/>
      <c r="K2091" s="6" t="str">
        <f>IF(B2091="","",IFERROR(AVERAGEIFS($I$4:$I2091,$B$4:$B2091,B2091,$I$4:$I2091,"&gt;"&amp;0),""))</f>
        <v/>
      </c>
      <c r="L2091" s="16" t="str">
        <f>IF(B2091="","",IF(ISNA(MATCH(B2091,Client_List!$B:$B,0)),"⚠ NOT FOUND","✓"))</f>
        <v/>
      </c>
    </row>
    <row r="2092" spans="1:12" ht="14" customHeight="1" x14ac:dyDescent="0.2">
      <c r="A2092" s="59"/>
      <c r="B2092" s="18"/>
      <c r="C2092" s="19" t="str">
        <f>IF(B2092="","",IFERROR(INDEX(Client_List!$C:$C,MATCH(B2092,Client_List!$B:$B,0)),""))</f>
        <v/>
      </c>
      <c r="D2092" s="19" t="str">
        <f>IF(B2092="","",IFERROR(INDEX(Client_List!$D:$D,MATCH(B2092,Client_List!$B:$B,0)),""))</f>
        <v/>
      </c>
      <c r="E2092" s="19" t="str">
        <f>IF(B2092="","",IFERROR(INDEX(Client_List!$K:$K,MATCH(B2092,Client_List!$B:$B,0)),""))</f>
        <v/>
      </c>
      <c r="F2092" s="19" t="str">
        <f>IF(B2092="","",IFERROR(INDEX(Client_List!$J:$J,MATCH(B2092,Client_List!$B:$B,0)),""))</f>
        <v/>
      </c>
      <c r="G2092" s="19"/>
      <c r="H2092" s="19" t="str">
        <f>IF(B2092="","",IFERROR(A2092-LOOKUP(2,1/($B$4:$B2091=B2092),$A$4:$A2091),""))</f>
        <v/>
      </c>
      <c r="I2092" s="19" t="str">
        <f t="shared" si="32"/>
        <v/>
      </c>
      <c r="J2092" s="19"/>
      <c r="K2092" s="6" t="str">
        <f>IF(B2092="","",IFERROR(AVERAGEIFS($I$4:$I2092,$B$4:$B2092,B2092,$I$4:$I2092,"&gt;"&amp;0),""))</f>
        <v/>
      </c>
      <c r="L2092" s="19" t="str">
        <f>IF(B2092="","",IF(ISNA(MATCH(B2092,Client_List!$B:$B,0)),"⚠ NOT FOUND","✓"))</f>
        <v/>
      </c>
    </row>
    <row r="2093" spans="1:12" ht="14" customHeight="1" x14ac:dyDescent="0.2">
      <c r="A2093" s="58"/>
      <c r="B2093" s="15"/>
      <c r="C2093" s="16" t="str">
        <f>IF(B2093="","",IFERROR(INDEX(Client_List!$C:$C,MATCH(B2093,Client_List!$B:$B,0)),""))</f>
        <v/>
      </c>
      <c r="D2093" s="16" t="str">
        <f>IF(B2093="","",IFERROR(INDEX(Client_List!$D:$D,MATCH(B2093,Client_List!$B:$B,0)),""))</f>
        <v/>
      </c>
      <c r="E2093" s="16" t="str">
        <f>IF(B2093="","",IFERROR(INDEX(Client_List!$K:$K,MATCH(B2093,Client_List!$B:$B,0)),""))</f>
        <v/>
      </c>
      <c r="F2093" s="16" t="str">
        <f>IF(B2093="","",IFERROR(INDEX(Client_List!$J:$J,MATCH(B2093,Client_List!$B:$B,0)),""))</f>
        <v/>
      </c>
      <c r="G2093" s="16"/>
      <c r="H2093" s="16" t="str">
        <f>IF(B2093="","",IFERROR(A2093-LOOKUP(2,1/($B$4:$B2092=B2093),$A$4:$A2092),""))</f>
        <v/>
      </c>
      <c r="I2093" s="16" t="str">
        <f t="shared" si="32"/>
        <v/>
      </c>
      <c r="J2093" s="16"/>
      <c r="K2093" s="6" t="str">
        <f>IF(B2093="","",IFERROR(AVERAGEIFS($I$4:$I2093,$B$4:$B2093,B2093,$I$4:$I2093,"&gt;"&amp;0),""))</f>
        <v/>
      </c>
      <c r="L2093" s="16" t="str">
        <f>IF(B2093="","",IF(ISNA(MATCH(B2093,Client_List!$B:$B,0)),"⚠ NOT FOUND","✓"))</f>
        <v/>
      </c>
    </row>
    <row r="2094" spans="1:12" ht="14" customHeight="1" x14ac:dyDescent="0.2">
      <c r="A2094" s="59"/>
      <c r="B2094" s="18"/>
      <c r="C2094" s="19" t="str">
        <f>IF(B2094="","",IFERROR(INDEX(Client_List!$C:$C,MATCH(B2094,Client_List!$B:$B,0)),""))</f>
        <v/>
      </c>
      <c r="D2094" s="19" t="str">
        <f>IF(B2094="","",IFERROR(INDEX(Client_List!$D:$D,MATCH(B2094,Client_List!$B:$B,0)),""))</f>
        <v/>
      </c>
      <c r="E2094" s="19" t="str">
        <f>IF(B2094="","",IFERROR(INDEX(Client_List!$K:$K,MATCH(B2094,Client_List!$B:$B,0)),""))</f>
        <v/>
      </c>
      <c r="F2094" s="19" t="str">
        <f>IF(B2094="","",IFERROR(INDEX(Client_List!$J:$J,MATCH(B2094,Client_List!$B:$B,0)),""))</f>
        <v/>
      </c>
      <c r="G2094" s="19"/>
      <c r="H2094" s="19" t="str">
        <f>IF(B2094="","",IFERROR(A2094-LOOKUP(2,1/($B$4:$B2093=B2094),$A$4:$A2093),""))</f>
        <v/>
      </c>
      <c r="I2094" s="19" t="str">
        <f t="shared" si="32"/>
        <v/>
      </c>
      <c r="J2094" s="19"/>
      <c r="K2094" s="6" t="str">
        <f>IF(B2094="","",IFERROR(AVERAGEIFS($I$4:$I2094,$B$4:$B2094,B2094,$I$4:$I2094,"&gt;"&amp;0),""))</f>
        <v/>
      </c>
      <c r="L2094" s="19" t="str">
        <f>IF(B2094="","",IF(ISNA(MATCH(B2094,Client_List!$B:$B,0)),"⚠ NOT FOUND","✓"))</f>
        <v/>
      </c>
    </row>
    <row r="2095" spans="1:12" ht="14" customHeight="1" x14ac:dyDescent="0.2">
      <c r="A2095" s="58"/>
      <c r="B2095" s="15"/>
      <c r="C2095" s="16" t="str">
        <f>IF(B2095="","",IFERROR(INDEX(Client_List!$C:$C,MATCH(B2095,Client_List!$B:$B,0)),""))</f>
        <v/>
      </c>
      <c r="D2095" s="16" t="str">
        <f>IF(B2095="","",IFERROR(INDEX(Client_List!$D:$D,MATCH(B2095,Client_List!$B:$B,0)),""))</f>
        <v/>
      </c>
      <c r="E2095" s="16" t="str">
        <f>IF(B2095="","",IFERROR(INDEX(Client_List!$K:$K,MATCH(B2095,Client_List!$B:$B,0)),""))</f>
        <v/>
      </c>
      <c r="F2095" s="16" t="str">
        <f>IF(B2095="","",IFERROR(INDEX(Client_List!$J:$J,MATCH(B2095,Client_List!$B:$B,0)),""))</f>
        <v/>
      </c>
      <c r="G2095" s="16"/>
      <c r="H2095" s="16" t="str">
        <f>IF(B2095="","",IFERROR(A2095-LOOKUP(2,1/($B$4:$B2094=B2095),$A$4:$A2094),""))</f>
        <v/>
      </c>
      <c r="I2095" s="16" t="str">
        <f t="shared" si="32"/>
        <v/>
      </c>
      <c r="J2095" s="16"/>
      <c r="K2095" s="6" t="str">
        <f>IF(B2095="","",IFERROR(AVERAGEIFS($I$4:$I2095,$B$4:$B2095,B2095,$I$4:$I2095,"&gt;"&amp;0),""))</f>
        <v/>
      </c>
      <c r="L2095" s="16" t="str">
        <f>IF(B2095="","",IF(ISNA(MATCH(B2095,Client_List!$B:$B,0)),"⚠ NOT FOUND","✓"))</f>
        <v/>
      </c>
    </row>
    <row r="2096" spans="1:12" ht="14" customHeight="1" x14ac:dyDescent="0.2">
      <c r="A2096" s="59"/>
      <c r="B2096" s="18"/>
      <c r="C2096" s="19" t="str">
        <f>IF(B2096="","",IFERROR(INDEX(Client_List!$C:$C,MATCH(B2096,Client_List!$B:$B,0)),""))</f>
        <v/>
      </c>
      <c r="D2096" s="19" t="str">
        <f>IF(B2096="","",IFERROR(INDEX(Client_List!$D:$D,MATCH(B2096,Client_List!$B:$B,0)),""))</f>
        <v/>
      </c>
      <c r="E2096" s="19" t="str">
        <f>IF(B2096="","",IFERROR(INDEX(Client_List!$K:$K,MATCH(B2096,Client_List!$B:$B,0)),""))</f>
        <v/>
      </c>
      <c r="F2096" s="19" t="str">
        <f>IF(B2096="","",IFERROR(INDEX(Client_List!$J:$J,MATCH(B2096,Client_List!$B:$B,0)),""))</f>
        <v/>
      </c>
      <c r="G2096" s="19"/>
      <c r="H2096" s="19" t="str">
        <f>IF(B2096="","",IFERROR(A2096-LOOKUP(2,1/($B$4:$B2095=B2096),$A$4:$A2095),""))</f>
        <v/>
      </c>
      <c r="I2096" s="19" t="str">
        <f t="shared" si="32"/>
        <v/>
      </c>
      <c r="J2096" s="19"/>
      <c r="K2096" s="6" t="str">
        <f>IF(B2096="","",IFERROR(AVERAGEIFS($I$4:$I2096,$B$4:$B2096,B2096,$I$4:$I2096,"&gt;"&amp;0),""))</f>
        <v/>
      </c>
      <c r="L2096" s="19" t="str">
        <f>IF(B2096="","",IF(ISNA(MATCH(B2096,Client_List!$B:$B,0)),"⚠ NOT FOUND","✓"))</f>
        <v/>
      </c>
    </row>
    <row r="2097" spans="1:12" ht="14" customHeight="1" x14ac:dyDescent="0.2">
      <c r="A2097" s="58"/>
      <c r="B2097" s="15"/>
      <c r="C2097" s="16" t="str">
        <f>IF(B2097="","",IFERROR(INDEX(Client_List!$C:$C,MATCH(B2097,Client_List!$B:$B,0)),""))</f>
        <v/>
      </c>
      <c r="D2097" s="16" t="str">
        <f>IF(B2097="","",IFERROR(INDEX(Client_List!$D:$D,MATCH(B2097,Client_List!$B:$B,0)),""))</f>
        <v/>
      </c>
      <c r="E2097" s="16" t="str">
        <f>IF(B2097="","",IFERROR(INDEX(Client_List!$K:$K,MATCH(B2097,Client_List!$B:$B,0)),""))</f>
        <v/>
      </c>
      <c r="F2097" s="16" t="str">
        <f>IF(B2097="","",IFERROR(INDEX(Client_List!$J:$J,MATCH(B2097,Client_List!$B:$B,0)),""))</f>
        <v/>
      </c>
      <c r="G2097" s="16"/>
      <c r="H2097" s="16" t="str">
        <f>IF(B2097="","",IFERROR(A2097-LOOKUP(2,1/($B$4:$B2096=B2097),$A$4:$A2096),""))</f>
        <v/>
      </c>
      <c r="I2097" s="16" t="str">
        <f t="shared" si="32"/>
        <v/>
      </c>
      <c r="J2097" s="16"/>
      <c r="K2097" s="6" t="str">
        <f>IF(B2097="","",IFERROR(AVERAGEIFS($I$4:$I2097,$B$4:$B2097,B2097,$I$4:$I2097,"&gt;"&amp;0),""))</f>
        <v/>
      </c>
      <c r="L2097" s="16" t="str">
        <f>IF(B2097="","",IF(ISNA(MATCH(B2097,Client_List!$B:$B,0)),"⚠ NOT FOUND","✓"))</f>
        <v/>
      </c>
    </row>
    <row r="2098" spans="1:12" ht="14" customHeight="1" x14ac:dyDescent="0.2">
      <c r="A2098" s="59"/>
      <c r="B2098" s="18"/>
      <c r="C2098" s="19" t="str">
        <f>IF(B2098="","",IFERROR(INDEX(Client_List!$C:$C,MATCH(B2098,Client_List!$B:$B,0)),""))</f>
        <v/>
      </c>
      <c r="D2098" s="19" t="str">
        <f>IF(B2098="","",IFERROR(INDEX(Client_List!$D:$D,MATCH(B2098,Client_List!$B:$B,0)),""))</f>
        <v/>
      </c>
      <c r="E2098" s="19" t="str">
        <f>IF(B2098="","",IFERROR(INDEX(Client_List!$K:$K,MATCH(B2098,Client_List!$B:$B,0)),""))</f>
        <v/>
      </c>
      <c r="F2098" s="19" t="str">
        <f>IF(B2098="","",IFERROR(INDEX(Client_List!$J:$J,MATCH(B2098,Client_List!$B:$B,0)),""))</f>
        <v/>
      </c>
      <c r="G2098" s="19"/>
      <c r="H2098" s="19" t="str">
        <f>IF(B2098="","",IFERROR(A2098-LOOKUP(2,1/($B$4:$B2097=B2098),$A$4:$A2097),""))</f>
        <v/>
      </c>
      <c r="I2098" s="19" t="str">
        <f t="shared" si="32"/>
        <v/>
      </c>
      <c r="J2098" s="19"/>
      <c r="K2098" s="6" t="str">
        <f>IF(B2098="","",IFERROR(AVERAGEIFS($I$4:$I2098,$B$4:$B2098,B2098,$I$4:$I2098,"&gt;"&amp;0),""))</f>
        <v/>
      </c>
      <c r="L2098" s="19" t="str">
        <f>IF(B2098="","",IF(ISNA(MATCH(B2098,Client_List!$B:$B,0)),"⚠ NOT FOUND","✓"))</f>
        <v/>
      </c>
    </row>
    <row r="2099" spans="1:12" ht="14" customHeight="1" x14ac:dyDescent="0.2">
      <c r="A2099" s="58"/>
      <c r="B2099" s="15"/>
      <c r="C2099" s="16" t="str">
        <f>IF(B2099="","",IFERROR(INDEX(Client_List!$C:$C,MATCH(B2099,Client_List!$B:$B,0)),""))</f>
        <v/>
      </c>
      <c r="D2099" s="16" t="str">
        <f>IF(B2099="","",IFERROR(INDEX(Client_List!$D:$D,MATCH(B2099,Client_List!$B:$B,0)),""))</f>
        <v/>
      </c>
      <c r="E2099" s="16" t="str">
        <f>IF(B2099="","",IFERROR(INDEX(Client_List!$K:$K,MATCH(B2099,Client_List!$B:$B,0)),""))</f>
        <v/>
      </c>
      <c r="F2099" s="16" t="str">
        <f>IF(B2099="","",IFERROR(INDEX(Client_List!$J:$J,MATCH(B2099,Client_List!$B:$B,0)),""))</f>
        <v/>
      </c>
      <c r="G2099" s="16"/>
      <c r="H2099" s="16" t="str">
        <f>IF(B2099="","",IFERROR(A2099-LOOKUP(2,1/($B$4:$B2098=B2099),$A$4:$A2098),""))</f>
        <v/>
      </c>
      <c r="I2099" s="16" t="str">
        <f t="shared" si="32"/>
        <v/>
      </c>
      <c r="J2099" s="16"/>
      <c r="K2099" s="6" t="str">
        <f>IF(B2099="","",IFERROR(AVERAGEIFS($I$4:$I2099,$B$4:$B2099,B2099,$I$4:$I2099,"&gt;"&amp;0),""))</f>
        <v/>
      </c>
      <c r="L2099" s="16" t="str">
        <f>IF(B2099="","",IF(ISNA(MATCH(B2099,Client_List!$B:$B,0)),"⚠ NOT FOUND","✓"))</f>
        <v/>
      </c>
    </row>
    <row r="2100" spans="1:12" ht="14" customHeight="1" x14ac:dyDescent="0.2">
      <c r="A2100" s="59"/>
      <c r="B2100" s="18"/>
      <c r="C2100" s="19" t="str">
        <f>IF(B2100="","",IFERROR(INDEX(Client_List!$C:$C,MATCH(B2100,Client_List!$B:$B,0)),""))</f>
        <v/>
      </c>
      <c r="D2100" s="19" t="str">
        <f>IF(B2100="","",IFERROR(INDEX(Client_List!$D:$D,MATCH(B2100,Client_List!$B:$B,0)),""))</f>
        <v/>
      </c>
      <c r="E2100" s="19" t="str">
        <f>IF(B2100="","",IFERROR(INDEX(Client_List!$K:$K,MATCH(B2100,Client_List!$B:$B,0)),""))</f>
        <v/>
      </c>
      <c r="F2100" s="19" t="str">
        <f>IF(B2100="","",IFERROR(INDEX(Client_List!$J:$J,MATCH(B2100,Client_List!$B:$B,0)),""))</f>
        <v/>
      </c>
      <c r="G2100" s="19"/>
      <c r="H2100" s="19" t="str">
        <f>IF(B2100="","",IFERROR(A2100-LOOKUP(2,1/($B$4:$B2099=B2100),$A$4:$A2099),""))</f>
        <v/>
      </c>
      <c r="I2100" s="19" t="str">
        <f t="shared" si="32"/>
        <v/>
      </c>
      <c r="J2100" s="19"/>
      <c r="K2100" s="6" t="str">
        <f>IF(B2100="","",IFERROR(AVERAGEIFS($I$4:$I2100,$B$4:$B2100,B2100,$I$4:$I2100,"&gt;"&amp;0),""))</f>
        <v/>
      </c>
      <c r="L2100" s="19" t="str">
        <f>IF(B2100="","",IF(ISNA(MATCH(B2100,Client_List!$B:$B,0)),"⚠ NOT FOUND","✓"))</f>
        <v/>
      </c>
    </row>
    <row r="2101" spans="1:12" ht="14" customHeight="1" x14ac:dyDescent="0.2">
      <c r="A2101" s="58"/>
      <c r="B2101" s="15"/>
      <c r="C2101" s="16" t="str">
        <f>IF(B2101="","",IFERROR(INDEX(Client_List!$C:$C,MATCH(B2101,Client_List!$B:$B,0)),""))</f>
        <v/>
      </c>
      <c r="D2101" s="16" t="str">
        <f>IF(B2101="","",IFERROR(INDEX(Client_List!$D:$D,MATCH(B2101,Client_List!$B:$B,0)),""))</f>
        <v/>
      </c>
      <c r="E2101" s="16" t="str">
        <f>IF(B2101="","",IFERROR(INDEX(Client_List!$K:$K,MATCH(B2101,Client_List!$B:$B,0)),""))</f>
        <v/>
      </c>
      <c r="F2101" s="16" t="str">
        <f>IF(B2101="","",IFERROR(INDEX(Client_List!$J:$J,MATCH(B2101,Client_List!$B:$B,0)),""))</f>
        <v/>
      </c>
      <c r="G2101" s="16"/>
      <c r="H2101" s="16" t="str">
        <f>IF(B2101="","",IFERROR(A2101-LOOKUP(2,1/($B$4:$B2100=B2101),$A$4:$A2100),""))</f>
        <v/>
      </c>
      <c r="I2101" s="16" t="str">
        <f t="shared" si="32"/>
        <v/>
      </c>
      <c r="J2101" s="16"/>
      <c r="K2101" s="6" t="str">
        <f>IF(B2101="","",IFERROR(AVERAGEIFS($I$4:$I2101,$B$4:$B2101,B2101,$I$4:$I2101,"&gt;"&amp;0),""))</f>
        <v/>
      </c>
      <c r="L2101" s="16" t="str">
        <f>IF(B2101="","",IF(ISNA(MATCH(B2101,Client_List!$B:$B,0)),"⚠ NOT FOUND","✓"))</f>
        <v/>
      </c>
    </row>
    <row r="2102" spans="1:12" ht="14" customHeight="1" x14ac:dyDescent="0.2">
      <c r="A2102" s="59"/>
      <c r="B2102" s="18"/>
      <c r="C2102" s="19" t="str">
        <f>IF(B2102="","",IFERROR(INDEX(Client_List!$C:$C,MATCH(B2102,Client_List!$B:$B,0)),""))</f>
        <v/>
      </c>
      <c r="D2102" s="19" t="str">
        <f>IF(B2102="","",IFERROR(INDEX(Client_List!$D:$D,MATCH(B2102,Client_List!$B:$B,0)),""))</f>
        <v/>
      </c>
      <c r="E2102" s="19" t="str">
        <f>IF(B2102="","",IFERROR(INDEX(Client_List!$K:$K,MATCH(B2102,Client_List!$B:$B,0)),""))</f>
        <v/>
      </c>
      <c r="F2102" s="19" t="str">
        <f>IF(B2102="","",IFERROR(INDEX(Client_List!$J:$J,MATCH(B2102,Client_List!$B:$B,0)),""))</f>
        <v/>
      </c>
      <c r="G2102" s="19"/>
      <c r="H2102" s="19" t="str">
        <f>IF(B2102="","",IFERROR(A2102-LOOKUP(2,1/($B$4:$B2101=B2102),$A$4:$A2101),""))</f>
        <v/>
      </c>
      <c r="I2102" s="19" t="str">
        <f t="shared" si="32"/>
        <v/>
      </c>
      <c r="J2102" s="19"/>
      <c r="K2102" s="6" t="str">
        <f>IF(B2102="","",IFERROR(AVERAGEIFS($I$4:$I2102,$B$4:$B2102,B2102,$I$4:$I2102,"&gt;"&amp;0),""))</f>
        <v/>
      </c>
      <c r="L2102" s="19" t="str">
        <f>IF(B2102="","",IF(ISNA(MATCH(B2102,Client_List!$B:$B,0)),"⚠ NOT FOUND","✓"))</f>
        <v/>
      </c>
    </row>
    <row r="2103" spans="1:12" ht="14" customHeight="1" x14ac:dyDescent="0.2">
      <c r="A2103" s="58"/>
      <c r="B2103" s="15"/>
      <c r="C2103" s="16" t="str">
        <f>IF(B2103="","",IFERROR(INDEX(Client_List!$C:$C,MATCH(B2103,Client_List!$B:$B,0)),""))</f>
        <v/>
      </c>
      <c r="D2103" s="16" t="str">
        <f>IF(B2103="","",IFERROR(INDEX(Client_List!$D:$D,MATCH(B2103,Client_List!$B:$B,0)),""))</f>
        <v/>
      </c>
      <c r="E2103" s="16" t="str">
        <f>IF(B2103="","",IFERROR(INDEX(Client_List!$K:$K,MATCH(B2103,Client_List!$B:$B,0)),""))</f>
        <v/>
      </c>
      <c r="F2103" s="16" t="str">
        <f>IF(B2103="","",IFERROR(INDEX(Client_List!$J:$J,MATCH(B2103,Client_List!$B:$B,0)),""))</f>
        <v/>
      </c>
      <c r="G2103" s="16"/>
      <c r="H2103" s="16" t="str">
        <f>IF(B2103="","",IFERROR(A2103-LOOKUP(2,1/($B$4:$B2102=B2103),$A$4:$A2102),""))</f>
        <v/>
      </c>
      <c r="I2103" s="16" t="str">
        <f t="shared" si="32"/>
        <v/>
      </c>
      <c r="J2103" s="16"/>
      <c r="K2103" s="6" t="str">
        <f>IF(B2103="","",IFERROR(AVERAGEIFS($I$4:$I2103,$B$4:$B2103,B2103,$I$4:$I2103,"&gt;"&amp;0),""))</f>
        <v/>
      </c>
      <c r="L2103" s="16" t="str">
        <f>IF(B2103="","",IF(ISNA(MATCH(B2103,Client_List!$B:$B,0)),"⚠ NOT FOUND","✓"))</f>
        <v/>
      </c>
    </row>
    <row r="2104" spans="1:12" ht="14" customHeight="1" x14ac:dyDescent="0.2">
      <c r="A2104" s="59"/>
      <c r="B2104" s="18"/>
      <c r="C2104" s="19" t="str">
        <f>IF(B2104="","",IFERROR(INDEX(Client_List!$C:$C,MATCH(B2104,Client_List!$B:$B,0)),""))</f>
        <v/>
      </c>
      <c r="D2104" s="19" t="str">
        <f>IF(B2104="","",IFERROR(INDEX(Client_List!$D:$D,MATCH(B2104,Client_List!$B:$B,0)),""))</f>
        <v/>
      </c>
      <c r="E2104" s="19" t="str">
        <f>IF(B2104="","",IFERROR(INDEX(Client_List!$K:$K,MATCH(B2104,Client_List!$B:$B,0)),""))</f>
        <v/>
      </c>
      <c r="F2104" s="19" t="str">
        <f>IF(B2104="","",IFERROR(INDEX(Client_List!$J:$J,MATCH(B2104,Client_List!$B:$B,0)),""))</f>
        <v/>
      </c>
      <c r="G2104" s="19"/>
      <c r="H2104" s="19" t="str">
        <f>IF(B2104="","",IFERROR(A2104-LOOKUP(2,1/($B$4:$B2103=B2104),$A$4:$A2103),""))</f>
        <v/>
      </c>
      <c r="I2104" s="19" t="str">
        <f t="shared" si="32"/>
        <v/>
      </c>
      <c r="J2104" s="19"/>
      <c r="K2104" s="6" t="str">
        <f>IF(B2104="","",IFERROR(AVERAGEIFS($I$4:$I2104,$B$4:$B2104,B2104,$I$4:$I2104,"&gt;"&amp;0),""))</f>
        <v/>
      </c>
      <c r="L2104" s="19" t="str">
        <f>IF(B2104="","",IF(ISNA(MATCH(B2104,Client_List!$B:$B,0)),"⚠ NOT FOUND","✓"))</f>
        <v/>
      </c>
    </row>
    <row r="2105" spans="1:12" ht="14" customHeight="1" x14ac:dyDescent="0.2">
      <c r="A2105" s="58"/>
      <c r="B2105" s="15"/>
      <c r="C2105" s="16" t="str">
        <f>IF(B2105="","",IFERROR(INDEX(Client_List!$C:$C,MATCH(B2105,Client_List!$B:$B,0)),""))</f>
        <v/>
      </c>
      <c r="D2105" s="16" t="str">
        <f>IF(B2105="","",IFERROR(INDEX(Client_List!$D:$D,MATCH(B2105,Client_List!$B:$B,0)),""))</f>
        <v/>
      </c>
      <c r="E2105" s="16" t="str">
        <f>IF(B2105="","",IFERROR(INDEX(Client_List!$K:$K,MATCH(B2105,Client_List!$B:$B,0)),""))</f>
        <v/>
      </c>
      <c r="F2105" s="16" t="str">
        <f>IF(B2105="","",IFERROR(INDEX(Client_List!$J:$J,MATCH(B2105,Client_List!$B:$B,0)),""))</f>
        <v/>
      </c>
      <c r="G2105" s="16"/>
      <c r="H2105" s="16" t="str">
        <f>IF(B2105="","",IFERROR(A2105-LOOKUP(2,1/($B$4:$B2104=B2105),$A$4:$A2104),""))</f>
        <v/>
      </c>
      <c r="I2105" s="16" t="str">
        <f t="shared" si="32"/>
        <v/>
      </c>
      <c r="J2105" s="16"/>
      <c r="K2105" s="6" t="str">
        <f>IF(B2105="","",IFERROR(AVERAGEIFS($I$4:$I2105,$B$4:$B2105,B2105,$I$4:$I2105,"&gt;"&amp;0),""))</f>
        <v/>
      </c>
      <c r="L2105" s="16" t="str">
        <f>IF(B2105="","",IF(ISNA(MATCH(B2105,Client_List!$B:$B,0)),"⚠ NOT FOUND","✓"))</f>
        <v/>
      </c>
    </row>
    <row r="2106" spans="1:12" ht="14" customHeight="1" x14ac:dyDescent="0.2">
      <c r="A2106" s="59"/>
      <c r="B2106" s="18"/>
      <c r="C2106" s="19" t="str">
        <f>IF(B2106="","",IFERROR(INDEX(Client_List!$C:$C,MATCH(B2106,Client_List!$B:$B,0)),""))</f>
        <v/>
      </c>
      <c r="D2106" s="19" t="str">
        <f>IF(B2106="","",IFERROR(INDEX(Client_List!$D:$D,MATCH(B2106,Client_List!$B:$B,0)),""))</f>
        <v/>
      </c>
      <c r="E2106" s="19" t="str">
        <f>IF(B2106="","",IFERROR(INDEX(Client_List!$K:$K,MATCH(B2106,Client_List!$B:$B,0)),""))</f>
        <v/>
      </c>
      <c r="F2106" s="19" t="str">
        <f>IF(B2106="","",IFERROR(INDEX(Client_List!$J:$J,MATCH(B2106,Client_List!$B:$B,0)),""))</f>
        <v/>
      </c>
      <c r="G2106" s="19"/>
      <c r="H2106" s="19" t="str">
        <f>IF(B2106="","",IFERROR(A2106-LOOKUP(2,1/($B$4:$B2105=B2106),$A$4:$A2105),""))</f>
        <v/>
      </c>
      <c r="I2106" s="19" t="str">
        <f t="shared" si="32"/>
        <v/>
      </c>
      <c r="J2106" s="19"/>
      <c r="K2106" s="6" t="str">
        <f>IF(B2106="","",IFERROR(AVERAGEIFS($I$4:$I2106,$B$4:$B2106,B2106,$I$4:$I2106,"&gt;"&amp;0),""))</f>
        <v/>
      </c>
      <c r="L2106" s="19" t="str">
        <f>IF(B2106="","",IF(ISNA(MATCH(B2106,Client_List!$B:$B,0)),"⚠ NOT FOUND","✓"))</f>
        <v/>
      </c>
    </row>
    <row r="2107" spans="1:12" ht="14" customHeight="1" x14ac:dyDescent="0.2">
      <c r="A2107" s="58"/>
      <c r="B2107" s="15"/>
      <c r="C2107" s="16" t="str">
        <f>IF(B2107="","",IFERROR(INDEX(Client_List!$C:$C,MATCH(B2107,Client_List!$B:$B,0)),""))</f>
        <v/>
      </c>
      <c r="D2107" s="16" t="str">
        <f>IF(B2107="","",IFERROR(INDEX(Client_List!$D:$D,MATCH(B2107,Client_List!$B:$B,0)),""))</f>
        <v/>
      </c>
      <c r="E2107" s="16" t="str">
        <f>IF(B2107="","",IFERROR(INDEX(Client_List!$K:$K,MATCH(B2107,Client_List!$B:$B,0)),""))</f>
        <v/>
      </c>
      <c r="F2107" s="16" t="str">
        <f>IF(B2107="","",IFERROR(INDEX(Client_List!$J:$J,MATCH(B2107,Client_List!$B:$B,0)),""))</f>
        <v/>
      </c>
      <c r="G2107" s="16"/>
      <c r="H2107" s="16" t="str">
        <f>IF(B2107="","",IFERROR(A2107-LOOKUP(2,1/($B$4:$B2106=B2107),$A$4:$A2106),""))</f>
        <v/>
      </c>
      <c r="I2107" s="16" t="str">
        <f t="shared" si="32"/>
        <v/>
      </c>
      <c r="J2107" s="16"/>
      <c r="K2107" s="6" t="str">
        <f>IF(B2107="","",IFERROR(AVERAGEIFS($I$4:$I2107,$B$4:$B2107,B2107,$I$4:$I2107,"&gt;"&amp;0),""))</f>
        <v/>
      </c>
      <c r="L2107" s="16" t="str">
        <f>IF(B2107="","",IF(ISNA(MATCH(B2107,Client_List!$B:$B,0)),"⚠ NOT FOUND","✓"))</f>
        <v/>
      </c>
    </row>
    <row r="2108" spans="1:12" ht="14" customHeight="1" x14ac:dyDescent="0.2">
      <c r="A2108" s="59"/>
      <c r="B2108" s="18"/>
      <c r="C2108" s="19" t="str">
        <f>IF(B2108="","",IFERROR(INDEX(Client_List!$C:$C,MATCH(B2108,Client_List!$B:$B,0)),""))</f>
        <v/>
      </c>
      <c r="D2108" s="19" t="str">
        <f>IF(B2108="","",IFERROR(INDEX(Client_List!$D:$D,MATCH(B2108,Client_List!$B:$B,0)),""))</f>
        <v/>
      </c>
      <c r="E2108" s="19" t="str">
        <f>IF(B2108="","",IFERROR(INDEX(Client_List!$K:$K,MATCH(B2108,Client_List!$B:$B,0)),""))</f>
        <v/>
      </c>
      <c r="F2108" s="19" t="str">
        <f>IF(B2108="","",IFERROR(INDEX(Client_List!$J:$J,MATCH(B2108,Client_List!$B:$B,0)),""))</f>
        <v/>
      </c>
      <c r="G2108" s="19"/>
      <c r="H2108" s="19" t="str">
        <f>IF(B2108="","",IFERROR(A2108-LOOKUP(2,1/($B$4:$B2107=B2108),$A$4:$A2107),""))</f>
        <v/>
      </c>
      <c r="I2108" s="19" t="str">
        <f t="shared" si="32"/>
        <v/>
      </c>
      <c r="J2108" s="19"/>
      <c r="K2108" s="6" t="str">
        <f>IF(B2108="","",IFERROR(AVERAGEIFS($I$4:$I2108,$B$4:$B2108,B2108,$I$4:$I2108,"&gt;"&amp;0),""))</f>
        <v/>
      </c>
      <c r="L2108" s="19" t="str">
        <f>IF(B2108="","",IF(ISNA(MATCH(B2108,Client_List!$B:$B,0)),"⚠ NOT FOUND","✓"))</f>
        <v/>
      </c>
    </row>
    <row r="2109" spans="1:12" ht="14" customHeight="1" x14ac:dyDescent="0.2">
      <c r="A2109" s="58"/>
      <c r="B2109" s="15"/>
      <c r="C2109" s="16" t="str">
        <f>IF(B2109="","",IFERROR(INDEX(Client_List!$C:$C,MATCH(B2109,Client_List!$B:$B,0)),""))</f>
        <v/>
      </c>
      <c r="D2109" s="16" t="str">
        <f>IF(B2109="","",IFERROR(INDEX(Client_List!$D:$D,MATCH(B2109,Client_List!$B:$B,0)),""))</f>
        <v/>
      </c>
      <c r="E2109" s="16" t="str">
        <f>IF(B2109="","",IFERROR(INDEX(Client_List!$K:$K,MATCH(B2109,Client_List!$B:$B,0)),""))</f>
        <v/>
      </c>
      <c r="F2109" s="16" t="str">
        <f>IF(B2109="","",IFERROR(INDEX(Client_List!$J:$J,MATCH(B2109,Client_List!$B:$B,0)),""))</f>
        <v/>
      </c>
      <c r="G2109" s="16"/>
      <c r="H2109" s="16" t="str">
        <f>IF(B2109="","",IFERROR(A2109-LOOKUP(2,1/($B$4:$B2108=B2109),$A$4:$A2108),""))</f>
        <v/>
      </c>
      <c r="I2109" s="16" t="str">
        <f t="shared" si="32"/>
        <v/>
      </c>
      <c r="J2109" s="16"/>
      <c r="K2109" s="6" t="str">
        <f>IF(B2109="","",IFERROR(AVERAGEIFS($I$4:$I2109,$B$4:$B2109,B2109,$I$4:$I2109,"&gt;"&amp;0),""))</f>
        <v/>
      </c>
      <c r="L2109" s="16" t="str">
        <f>IF(B2109="","",IF(ISNA(MATCH(B2109,Client_List!$B:$B,0)),"⚠ NOT FOUND","✓"))</f>
        <v/>
      </c>
    </row>
    <row r="2110" spans="1:12" ht="14" customHeight="1" x14ac:dyDescent="0.2">
      <c r="A2110" s="59"/>
      <c r="B2110" s="18"/>
      <c r="C2110" s="19" t="str">
        <f>IF(B2110="","",IFERROR(INDEX(Client_List!$C:$C,MATCH(B2110,Client_List!$B:$B,0)),""))</f>
        <v/>
      </c>
      <c r="D2110" s="19" t="str">
        <f>IF(B2110="","",IFERROR(INDEX(Client_List!$D:$D,MATCH(B2110,Client_List!$B:$B,0)),""))</f>
        <v/>
      </c>
      <c r="E2110" s="19" t="str">
        <f>IF(B2110="","",IFERROR(INDEX(Client_List!$K:$K,MATCH(B2110,Client_List!$B:$B,0)),""))</f>
        <v/>
      </c>
      <c r="F2110" s="19" t="str">
        <f>IF(B2110="","",IFERROR(INDEX(Client_List!$J:$J,MATCH(B2110,Client_List!$B:$B,0)),""))</f>
        <v/>
      </c>
      <c r="G2110" s="19"/>
      <c r="H2110" s="19" t="str">
        <f>IF(B2110="","",IFERROR(A2110-LOOKUP(2,1/($B$4:$B2109=B2110),$A$4:$A2109),""))</f>
        <v/>
      </c>
      <c r="I2110" s="19" t="str">
        <f t="shared" si="32"/>
        <v/>
      </c>
      <c r="J2110" s="19"/>
      <c r="K2110" s="6" t="str">
        <f>IF(B2110="","",IFERROR(AVERAGEIFS($I$4:$I2110,$B$4:$B2110,B2110,$I$4:$I2110,"&gt;"&amp;0),""))</f>
        <v/>
      </c>
      <c r="L2110" s="19" t="str">
        <f>IF(B2110="","",IF(ISNA(MATCH(B2110,Client_List!$B:$B,0)),"⚠ NOT FOUND","✓"))</f>
        <v/>
      </c>
    </row>
    <row r="2111" spans="1:12" ht="14" customHeight="1" x14ac:dyDescent="0.2">
      <c r="A2111" s="58"/>
      <c r="B2111" s="15"/>
      <c r="C2111" s="16" t="str">
        <f>IF(B2111="","",IFERROR(INDEX(Client_List!$C:$C,MATCH(B2111,Client_List!$B:$B,0)),""))</f>
        <v/>
      </c>
      <c r="D2111" s="16" t="str">
        <f>IF(B2111="","",IFERROR(INDEX(Client_List!$D:$D,MATCH(B2111,Client_List!$B:$B,0)),""))</f>
        <v/>
      </c>
      <c r="E2111" s="16" t="str">
        <f>IF(B2111="","",IFERROR(INDEX(Client_List!$K:$K,MATCH(B2111,Client_List!$B:$B,0)),""))</f>
        <v/>
      </c>
      <c r="F2111" s="16" t="str">
        <f>IF(B2111="","",IFERROR(INDEX(Client_List!$J:$J,MATCH(B2111,Client_List!$B:$B,0)),""))</f>
        <v/>
      </c>
      <c r="G2111" s="16"/>
      <c r="H2111" s="16" t="str">
        <f>IF(B2111="","",IFERROR(A2111-LOOKUP(2,1/($B$4:$B2110=B2111),$A$4:$A2110),""))</f>
        <v/>
      </c>
      <c r="I2111" s="16" t="str">
        <f t="shared" si="32"/>
        <v/>
      </c>
      <c r="J2111" s="16"/>
      <c r="K2111" s="6" t="str">
        <f>IF(B2111="","",IFERROR(AVERAGEIFS($I$4:$I2111,$B$4:$B2111,B2111,$I$4:$I2111,"&gt;"&amp;0),""))</f>
        <v/>
      </c>
      <c r="L2111" s="16" t="str">
        <f>IF(B2111="","",IF(ISNA(MATCH(B2111,Client_List!$B:$B,0)),"⚠ NOT FOUND","✓"))</f>
        <v/>
      </c>
    </row>
    <row r="2112" spans="1:12" ht="14" customHeight="1" x14ac:dyDescent="0.2">
      <c r="A2112" s="59"/>
      <c r="B2112" s="18"/>
      <c r="C2112" s="19" t="str">
        <f>IF(B2112="","",IFERROR(INDEX(Client_List!$C:$C,MATCH(B2112,Client_List!$B:$B,0)),""))</f>
        <v/>
      </c>
      <c r="D2112" s="19" t="str">
        <f>IF(B2112="","",IFERROR(INDEX(Client_List!$D:$D,MATCH(B2112,Client_List!$B:$B,0)),""))</f>
        <v/>
      </c>
      <c r="E2112" s="19" t="str">
        <f>IF(B2112="","",IFERROR(INDEX(Client_List!$K:$K,MATCH(B2112,Client_List!$B:$B,0)),""))</f>
        <v/>
      </c>
      <c r="F2112" s="19" t="str">
        <f>IF(B2112="","",IFERROR(INDEX(Client_List!$J:$J,MATCH(B2112,Client_List!$B:$B,0)),""))</f>
        <v/>
      </c>
      <c r="G2112" s="19"/>
      <c r="H2112" s="19" t="str">
        <f>IF(B2112="","",IFERROR(A2112-LOOKUP(2,1/($B$4:$B2111=B2112),$A$4:$A2111),""))</f>
        <v/>
      </c>
      <c r="I2112" s="19" t="str">
        <f t="shared" si="32"/>
        <v/>
      </c>
      <c r="J2112" s="19"/>
      <c r="K2112" s="6" t="str">
        <f>IF(B2112="","",IFERROR(AVERAGEIFS($I$4:$I2112,$B$4:$B2112,B2112,$I$4:$I2112,"&gt;"&amp;0),""))</f>
        <v/>
      </c>
      <c r="L2112" s="19" t="str">
        <f>IF(B2112="","",IF(ISNA(MATCH(B2112,Client_List!$B:$B,0)),"⚠ NOT FOUND","✓"))</f>
        <v/>
      </c>
    </row>
    <row r="2113" spans="1:12" ht="14" customHeight="1" x14ac:dyDescent="0.2">
      <c r="A2113" s="58"/>
      <c r="B2113" s="15"/>
      <c r="C2113" s="16" t="str">
        <f>IF(B2113="","",IFERROR(INDEX(Client_List!$C:$C,MATCH(B2113,Client_List!$B:$B,0)),""))</f>
        <v/>
      </c>
      <c r="D2113" s="16" t="str">
        <f>IF(B2113="","",IFERROR(INDEX(Client_List!$D:$D,MATCH(B2113,Client_List!$B:$B,0)),""))</f>
        <v/>
      </c>
      <c r="E2113" s="16" t="str">
        <f>IF(B2113="","",IFERROR(INDEX(Client_List!$K:$K,MATCH(B2113,Client_List!$B:$B,0)),""))</f>
        <v/>
      </c>
      <c r="F2113" s="16" t="str">
        <f>IF(B2113="","",IFERROR(INDEX(Client_List!$J:$J,MATCH(B2113,Client_List!$B:$B,0)),""))</f>
        <v/>
      </c>
      <c r="G2113" s="16"/>
      <c r="H2113" s="16" t="str">
        <f>IF(B2113="","",IFERROR(A2113-LOOKUP(2,1/($B$4:$B2112=B2113),$A$4:$A2112),""))</f>
        <v/>
      </c>
      <c r="I2113" s="16" t="str">
        <f t="shared" si="32"/>
        <v/>
      </c>
      <c r="J2113" s="16"/>
      <c r="K2113" s="6" t="str">
        <f>IF(B2113="","",IFERROR(AVERAGEIFS($I$4:$I2113,$B$4:$B2113,B2113,$I$4:$I2113,"&gt;"&amp;0),""))</f>
        <v/>
      </c>
      <c r="L2113" s="16" t="str">
        <f>IF(B2113="","",IF(ISNA(MATCH(B2113,Client_List!$B:$B,0)),"⚠ NOT FOUND","✓"))</f>
        <v/>
      </c>
    </row>
    <row r="2114" spans="1:12" ht="14" customHeight="1" x14ac:dyDescent="0.2">
      <c r="A2114" s="59"/>
      <c r="B2114" s="18"/>
      <c r="C2114" s="19" t="str">
        <f>IF(B2114="","",IFERROR(INDEX(Client_List!$C:$C,MATCH(B2114,Client_List!$B:$B,0)),""))</f>
        <v/>
      </c>
      <c r="D2114" s="19" t="str">
        <f>IF(B2114="","",IFERROR(INDEX(Client_List!$D:$D,MATCH(B2114,Client_List!$B:$B,0)),""))</f>
        <v/>
      </c>
      <c r="E2114" s="19" t="str">
        <f>IF(B2114="","",IFERROR(INDEX(Client_List!$K:$K,MATCH(B2114,Client_List!$B:$B,0)),""))</f>
        <v/>
      </c>
      <c r="F2114" s="19" t="str">
        <f>IF(B2114="","",IFERROR(INDEX(Client_List!$J:$J,MATCH(B2114,Client_List!$B:$B,0)),""))</f>
        <v/>
      </c>
      <c r="G2114" s="19"/>
      <c r="H2114" s="19" t="str">
        <f>IF(B2114="","",IFERROR(A2114-LOOKUP(2,1/($B$4:$B2113=B2114),$A$4:$A2113),""))</f>
        <v/>
      </c>
      <c r="I2114" s="19" t="str">
        <f t="shared" si="32"/>
        <v/>
      </c>
      <c r="J2114" s="19"/>
      <c r="K2114" s="6" t="str">
        <f>IF(B2114="","",IFERROR(AVERAGEIFS($I$4:$I2114,$B$4:$B2114,B2114,$I$4:$I2114,"&gt;"&amp;0),""))</f>
        <v/>
      </c>
      <c r="L2114" s="19" t="str">
        <f>IF(B2114="","",IF(ISNA(MATCH(B2114,Client_List!$B:$B,0)),"⚠ NOT FOUND","✓"))</f>
        <v/>
      </c>
    </row>
    <row r="2115" spans="1:12" ht="14" customHeight="1" x14ac:dyDescent="0.2">
      <c r="A2115" s="58"/>
      <c r="B2115" s="15"/>
      <c r="C2115" s="16" t="str">
        <f>IF(B2115="","",IFERROR(INDEX(Client_List!$C:$C,MATCH(B2115,Client_List!$B:$B,0)),""))</f>
        <v/>
      </c>
      <c r="D2115" s="16" t="str">
        <f>IF(B2115="","",IFERROR(INDEX(Client_List!$D:$D,MATCH(B2115,Client_List!$B:$B,0)),""))</f>
        <v/>
      </c>
      <c r="E2115" s="16" t="str">
        <f>IF(B2115="","",IFERROR(INDEX(Client_List!$K:$K,MATCH(B2115,Client_List!$B:$B,0)),""))</f>
        <v/>
      </c>
      <c r="F2115" s="16" t="str">
        <f>IF(B2115="","",IFERROR(INDEX(Client_List!$J:$J,MATCH(B2115,Client_List!$B:$B,0)),""))</f>
        <v/>
      </c>
      <c r="G2115" s="16"/>
      <c r="H2115" s="16" t="str">
        <f>IF(B2115="","",IFERROR(A2115-LOOKUP(2,1/($B$4:$B2114=B2115),$A$4:$A2114),""))</f>
        <v/>
      </c>
      <c r="I2115" s="16" t="str">
        <f t="shared" si="32"/>
        <v/>
      </c>
      <c r="J2115" s="16"/>
      <c r="K2115" s="6" t="str">
        <f>IF(B2115="","",IFERROR(AVERAGEIFS($I$4:$I2115,$B$4:$B2115,B2115,$I$4:$I2115,"&gt;"&amp;0),""))</f>
        <v/>
      </c>
      <c r="L2115" s="16" t="str">
        <f>IF(B2115="","",IF(ISNA(MATCH(B2115,Client_List!$B:$B,0)),"⚠ NOT FOUND","✓"))</f>
        <v/>
      </c>
    </row>
    <row r="2116" spans="1:12" ht="14" customHeight="1" x14ac:dyDescent="0.2">
      <c r="A2116" s="59"/>
      <c r="B2116" s="18"/>
      <c r="C2116" s="19" t="str">
        <f>IF(B2116="","",IFERROR(INDEX(Client_List!$C:$C,MATCH(B2116,Client_List!$B:$B,0)),""))</f>
        <v/>
      </c>
      <c r="D2116" s="19" t="str">
        <f>IF(B2116="","",IFERROR(INDEX(Client_List!$D:$D,MATCH(B2116,Client_List!$B:$B,0)),""))</f>
        <v/>
      </c>
      <c r="E2116" s="19" t="str">
        <f>IF(B2116="","",IFERROR(INDEX(Client_List!$K:$K,MATCH(B2116,Client_List!$B:$B,0)),""))</f>
        <v/>
      </c>
      <c r="F2116" s="19" t="str">
        <f>IF(B2116="","",IFERROR(INDEX(Client_List!$J:$J,MATCH(B2116,Client_List!$B:$B,0)),""))</f>
        <v/>
      </c>
      <c r="G2116" s="19"/>
      <c r="H2116" s="19" t="str">
        <f>IF(B2116="","",IFERROR(A2116-LOOKUP(2,1/($B$4:$B2115=B2116),$A$4:$A2115),""))</f>
        <v/>
      </c>
      <c r="I2116" s="19" t="str">
        <f t="shared" ref="I2116:I2179" si="33">IF(B2116="","",IFERROR(G2116/H2116,""))</f>
        <v/>
      </c>
      <c r="J2116" s="19"/>
      <c r="K2116" s="6" t="str">
        <f>IF(B2116="","",IFERROR(AVERAGEIFS($I$4:$I2116,$B$4:$B2116,B2116,$I$4:$I2116,"&gt;"&amp;0),""))</f>
        <v/>
      </c>
      <c r="L2116" s="19" t="str">
        <f>IF(B2116="","",IF(ISNA(MATCH(B2116,Client_List!$B:$B,0)),"⚠ NOT FOUND","✓"))</f>
        <v/>
      </c>
    </row>
    <row r="2117" spans="1:12" ht="14" customHeight="1" x14ac:dyDescent="0.2">
      <c r="A2117" s="58"/>
      <c r="B2117" s="15"/>
      <c r="C2117" s="16" t="str">
        <f>IF(B2117="","",IFERROR(INDEX(Client_List!$C:$C,MATCH(B2117,Client_List!$B:$B,0)),""))</f>
        <v/>
      </c>
      <c r="D2117" s="16" t="str">
        <f>IF(B2117="","",IFERROR(INDEX(Client_List!$D:$D,MATCH(B2117,Client_List!$B:$B,0)),""))</f>
        <v/>
      </c>
      <c r="E2117" s="16" t="str">
        <f>IF(B2117="","",IFERROR(INDEX(Client_List!$K:$K,MATCH(B2117,Client_List!$B:$B,0)),""))</f>
        <v/>
      </c>
      <c r="F2117" s="16" t="str">
        <f>IF(B2117="","",IFERROR(INDEX(Client_List!$J:$J,MATCH(B2117,Client_List!$B:$B,0)),""))</f>
        <v/>
      </c>
      <c r="G2117" s="16"/>
      <c r="H2117" s="16" t="str">
        <f>IF(B2117="","",IFERROR(A2117-LOOKUP(2,1/($B$4:$B2116=B2117),$A$4:$A2116),""))</f>
        <v/>
      </c>
      <c r="I2117" s="16" t="str">
        <f t="shared" si="33"/>
        <v/>
      </c>
      <c r="J2117" s="16"/>
      <c r="K2117" s="6" t="str">
        <f>IF(B2117="","",IFERROR(AVERAGEIFS($I$4:$I2117,$B$4:$B2117,B2117,$I$4:$I2117,"&gt;"&amp;0),""))</f>
        <v/>
      </c>
      <c r="L2117" s="16" t="str">
        <f>IF(B2117="","",IF(ISNA(MATCH(B2117,Client_List!$B:$B,0)),"⚠ NOT FOUND","✓"))</f>
        <v/>
      </c>
    </row>
    <row r="2118" spans="1:12" ht="14" customHeight="1" x14ac:dyDescent="0.2">
      <c r="A2118" s="59"/>
      <c r="B2118" s="18"/>
      <c r="C2118" s="19" t="str">
        <f>IF(B2118="","",IFERROR(INDEX(Client_List!$C:$C,MATCH(B2118,Client_List!$B:$B,0)),""))</f>
        <v/>
      </c>
      <c r="D2118" s="19" t="str">
        <f>IF(B2118="","",IFERROR(INDEX(Client_List!$D:$D,MATCH(B2118,Client_List!$B:$B,0)),""))</f>
        <v/>
      </c>
      <c r="E2118" s="19" t="str">
        <f>IF(B2118="","",IFERROR(INDEX(Client_List!$K:$K,MATCH(B2118,Client_List!$B:$B,0)),""))</f>
        <v/>
      </c>
      <c r="F2118" s="19" t="str">
        <f>IF(B2118="","",IFERROR(INDEX(Client_List!$J:$J,MATCH(B2118,Client_List!$B:$B,0)),""))</f>
        <v/>
      </c>
      <c r="G2118" s="19"/>
      <c r="H2118" s="19" t="str">
        <f>IF(B2118="","",IFERROR(A2118-LOOKUP(2,1/($B$4:$B2117=B2118),$A$4:$A2117),""))</f>
        <v/>
      </c>
      <c r="I2118" s="19" t="str">
        <f t="shared" si="33"/>
        <v/>
      </c>
      <c r="J2118" s="19"/>
      <c r="K2118" s="6" t="str">
        <f>IF(B2118="","",IFERROR(AVERAGEIFS($I$4:$I2118,$B$4:$B2118,B2118,$I$4:$I2118,"&gt;"&amp;0),""))</f>
        <v/>
      </c>
      <c r="L2118" s="19" t="str">
        <f>IF(B2118="","",IF(ISNA(MATCH(B2118,Client_List!$B:$B,0)),"⚠ NOT FOUND","✓"))</f>
        <v/>
      </c>
    </row>
    <row r="2119" spans="1:12" ht="14" customHeight="1" x14ac:dyDescent="0.2">
      <c r="A2119" s="58"/>
      <c r="B2119" s="15"/>
      <c r="C2119" s="16" t="str">
        <f>IF(B2119="","",IFERROR(INDEX(Client_List!$C:$C,MATCH(B2119,Client_List!$B:$B,0)),""))</f>
        <v/>
      </c>
      <c r="D2119" s="16" t="str">
        <f>IF(B2119="","",IFERROR(INDEX(Client_List!$D:$D,MATCH(B2119,Client_List!$B:$B,0)),""))</f>
        <v/>
      </c>
      <c r="E2119" s="16" t="str">
        <f>IF(B2119="","",IFERROR(INDEX(Client_List!$K:$K,MATCH(B2119,Client_List!$B:$B,0)),""))</f>
        <v/>
      </c>
      <c r="F2119" s="16" t="str">
        <f>IF(B2119="","",IFERROR(INDEX(Client_List!$J:$J,MATCH(B2119,Client_List!$B:$B,0)),""))</f>
        <v/>
      </c>
      <c r="G2119" s="16"/>
      <c r="H2119" s="16" t="str">
        <f>IF(B2119="","",IFERROR(A2119-LOOKUP(2,1/($B$4:$B2118=B2119),$A$4:$A2118),""))</f>
        <v/>
      </c>
      <c r="I2119" s="16" t="str">
        <f t="shared" si="33"/>
        <v/>
      </c>
      <c r="J2119" s="16"/>
      <c r="K2119" s="6" t="str">
        <f>IF(B2119="","",IFERROR(AVERAGEIFS($I$4:$I2119,$B$4:$B2119,B2119,$I$4:$I2119,"&gt;"&amp;0),""))</f>
        <v/>
      </c>
      <c r="L2119" s="16" t="str">
        <f>IF(B2119="","",IF(ISNA(MATCH(B2119,Client_List!$B:$B,0)),"⚠ NOT FOUND","✓"))</f>
        <v/>
      </c>
    </row>
    <row r="2120" spans="1:12" ht="14" customHeight="1" x14ac:dyDescent="0.2">
      <c r="A2120" s="59"/>
      <c r="B2120" s="18"/>
      <c r="C2120" s="19" t="str">
        <f>IF(B2120="","",IFERROR(INDEX(Client_List!$C:$C,MATCH(B2120,Client_List!$B:$B,0)),""))</f>
        <v/>
      </c>
      <c r="D2120" s="19" t="str">
        <f>IF(B2120="","",IFERROR(INDEX(Client_List!$D:$D,MATCH(B2120,Client_List!$B:$B,0)),""))</f>
        <v/>
      </c>
      <c r="E2120" s="19" t="str">
        <f>IF(B2120="","",IFERROR(INDEX(Client_List!$K:$K,MATCH(B2120,Client_List!$B:$B,0)),""))</f>
        <v/>
      </c>
      <c r="F2120" s="19" t="str">
        <f>IF(B2120="","",IFERROR(INDEX(Client_List!$J:$J,MATCH(B2120,Client_List!$B:$B,0)),""))</f>
        <v/>
      </c>
      <c r="G2120" s="19"/>
      <c r="H2120" s="19" t="str">
        <f>IF(B2120="","",IFERROR(A2120-LOOKUP(2,1/($B$4:$B2119=B2120),$A$4:$A2119),""))</f>
        <v/>
      </c>
      <c r="I2120" s="19" t="str">
        <f t="shared" si="33"/>
        <v/>
      </c>
      <c r="J2120" s="19"/>
      <c r="K2120" s="6" t="str">
        <f>IF(B2120="","",IFERROR(AVERAGEIFS($I$4:$I2120,$B$4:$B2120,B2120,$I$4:$I2120,"&gt;"&amp;0),""))</f>
        <v/>
      </c>
      <c r="L2120" s="19" t="str">
        <f>IF(B2120="","",IF(ISNA(MATCH(B2120,Client_List!$B:$B,0)),"⚠ NOT FOUND","✓"))</f>
        <v/>
      </c>
    </row>
    <row r="2121" spans="1:12" ht="14" customHeight="1" x14ac:dyDescent="0.2">
      <c r="A2121" s="58"/>
      <c r="B2121" s="15"/>
      <c r="C2121" s="16" t="str">
        <f>IF(B2121="","",IFERROR(INDEX(Client_List!$C:$C,MATCH(B2121,Client_List!$B:$B,0)),""))</f>
        <v/>
      </c>
      <c r="D2121" s="16" t="str">
        <f>IF(B2121="","",IFERROR(INDEX(Client_List!$D:$D,MATCH(B2121,Client_List!$B:$B,0)),""))</f>
        <v/>
      </c>
      <c r="E2121" s="16" t="str">
        <f>IF(B2121="","",IFERROR(INDEX(Client_List!$K:$K,MATCH(B2121,Client_List!$B:$B,0)),""))</f>
        <v/>
      </c>
      <c r="F2121" s="16" t="str">
        <f>IF(B2121="","",IFERROR(INDEX(Client_List!$J:$J,MATCH(B2121,Client_List!$B:$B,0)),""))</f>
        <v/>
      </c>
      <c r="G2121" s="16"/>
      <c r="H2121" s="16" t="str">
        <f>IF(B2121="","",IFERROR(A2121-LOOKUP(2,1/($B$4:$B2120=B2121),$A$4:$A2120),""))</f>
        <v/>
      </c>
      <c r="I2121" s="16" t="str">
        <f t="shared" si="33"/>
        <v/>
      </c>
      <c r="J2121" s="16"/>
      <c r="K2121" s="6" t="str">
        <f>IF(B2121="","",IFERROR(AVERAGEIFS($I$4:$I2121,$B$4:$B2121,B2121,$I$4:$I2121,"&gt;"&amp;0),""))</f>
        <v/>
      </c>
      <c r="L2121" s="16" t="str">
        <f>IF(B2121="","",IF(ISNA(MATCH(B2121,Client_List!$B:$B,0)),"⚠ NOT FOUND","✓"))</f>
        <v/>
      </c>
    </row>
    <row r="2122" spans="1:12" ht="14" customHeight="1" x14ac:dyDescent="0.2">
      <c r="A2122" s="59"/>
      <c r="B2122" s="18"/>
      <c r="C2122" s="19" t="str">
        <f>IF(B2122="","",IFERROR(INDEX(Client_List!$C:$C,MATCH(B2122,Client_List!$B:$B,0)),""))</f>
        <v/>
      </c>
      <c r="D2122" s="19" t="str">
        <f>IF(B2122="","",IFERROR(INDEX(Client_List!$D:$D,MATCH(B2122,Client_List!$B:$B,0)),""))</f>
        <v/>
      </c>
      <c r="E2122" s="19" t="str">
        <f>IF(B2122="","",IFERROR(INDEX(Client_List!$K:$K,MATCH(B2122,Client_List!$B:$B,0)),""))</f>
        <v/>
      </c>
      <c r="F2122" s="19" t="str">
        <f>IF(B2122="","",IFERROR(INDEX(Client_List!$J:$J,MATCH(B2122,Client_List!$B:$B,0)),""))</f>
        <v/>
      </c>
      <c r="G2122" s="19"/>
      <c r="H2122" s="19" t="str">
        <f>IF(B2122="","",IFERROR(A2122-LOOKUP(2,1/($B$4:$B2121=B2122),$A$4:$A2121),""))</f>
        <v/>
      </c>
      <c r="I2122" s="19" t="str">
        <f t="shared" si="33"/>
        <v/>
      </c>
      <c r="J2122" s="19"/>
      <c r="K2122" s="6" t="str">
        <f>IF(B2122="","",IFERROR(AVERAGEIFS($I$4:$I2122,$B$4:$B2122,B2122,$I$4:$I2122,"&gt;"&amp;0),""))</f>
        <v/>
      </c>
      <c r="L2122" s="19" t="str">
        <f>IF(B2122="","",IF(ISNA(MATCH(B2122,Client_List!$B:$B,0)),"⚠ NOT FOUND","✓"))</f>
        <v/>
      </c>
    </row>
    <row r="2123" spans="1:12" ht="14" customHeight="1" x14ac:dyDescent="0.2">
      <c r="A2123" s="58"/>
      <c r="B2123" s="15"/>
      <c r="C2123" s="16" t="str">
        <f>IF(B2123="","",IFERROR(INDEX(Client_List!$C:$C,MATCH(B2123,Client_List!$B:$B,0)),""))</f>
        <v/>
      </c>
      <c r="D2123" s="16" t="str">
        <f>IF(B2123="","",IFERROR(INDEX(Client_List!$D:$D,MATCH(B2123,Client_List!$B:$B,0)),""))</f>
        <v/>
      </c>
      <c r="E2123" s="16" t="str">
        <f>IF(B2123="","",IFERROR(INDEX(Client_List!$K:$K,MATCH(B2123,Client_List!$B:$B,0)),""))</f>
        <v/>
      </c>
      <c r="F2123" s="16" t="str">
        <f>IF(B2123="","",IFERROR(INDEX(Client_List!$J:$J,MATCH(B2123,Client_List!$B:$B,0)),""))</f>
        <v/>
      </c>
      <c r="G2123" s="16"/>
      <c r="H2123" s="16" t="str">
        <f>IF(B2123="","",IFERROR(A2123-LOOKUP(2,1/($B$4:$B2122=B2123),$A$4:$A2122),""))</f>
        <v/>
      </c>
      <c r="I2123" s="16" t="str">
        <f t="shared" si="33"/>
        <v/>
      </c>
      <c r="J2123" s="16"/>
      <c r="K2123" s="6" t="str">
        <f>IF(B2123="","",IFERROR(AVERAGEIFS($I$4:$I2123,$B$4:$B2123,B2123,$I$4:$I2123,"&gt;"&amp;0),""))</f>
        <v/>
      </c>
      <c r="L2123" s="16" t="str">
        <f>IF(B2123="","",IF(ISNA(MATCH(B2123,Client_List!$B:$B,0)),"⚠ NOT FOUND","✓"))</f>
        <v/>
      </c>
    </row>
    <row r="2124" spans="1:12" ht="14" customHeight="1" x14ac:dyDescent="0.2">
      <c r="A2124" s="59"/>
      <c r="B2124" s="18"/>
      <c r="C2124" s="19" t="str">
        <f>IF(B2124="","",IFERROR(INDEX(Client_List!$C:$C,MATCH(B2124,Client_List!$B:$B,0)),""))</f>
        <v/>
      </c>
      <c r="D2124" s="19" t="str">
        <f>IF(B2124="","",IFERROR(INDEX(Client_List!$D:$D,MATCH(B2124,Client_List!$B:$B,0)),""))</f>
        <v/>
      </c>
      <c r="E2124" s="19" t="str">
        <f>IF(B2124="","",IFERROR(INDEX(Client_List!$K:$K,MATCH(B2124,Client_List!$B:$B,0)),""))</f>
        <v/>
      </c>
      <c r="F2124" s="19" t="str">
        <f>IF(B2124="","",IFERROR(INDEX(Client_List!$J:$J,MATCH(B2124,Client_List!$B:$B,0)),""))</f>
        <v/>
      </c>
      <c r="G2124" s="19"/>
      <c r="H2124" s="19" t="str">
        <f>IF(B2124="","",IFERROR(A2124-LOOKUP(2,1/($B$4:$B2123=B2124),$A$4:$A2123),""))</f>
        <v/>
      </c>
      <c r="I2124" s="19" t="str">
        <f t="shared" si="33"/>
        <v/>
      </c>
      <c r="J2124" s="19"/>
      <c r="K2124" s="6" t="str">
        <f>IF(B2124="","",IFERROR(AVERAGEIFS($I$4:$I2124,$B$4:$B2124,B2124,$I$4:$I2124,"&gt;"&amp;0),""))</f>
        <v/>
      </c>
      <c r="L2124" s="19" t="str">
        <f>IF(B2124="","",IF(ISNA(MATCH(B2124,Client_List!$B:$B,0)),"⚠ NOT FOUND","✓"))</f>
        <v/>
      </c>
    </row>
    <row r="2125" spans="1:12" ht="14" customHeight="1" x14ac:dyDescent="0.2">
      <c r="A2125" s="58"/>
      <c r="B2125" s="15"/>
      <c r="C2125" s="16" t="str">
        <f>IF(B2125="","",IFERROR(INDEX(Client_List!$C:$C,MATCH(B2125,Client_List!$B:$B,0)),""))</f>
        <v/>
      </c>
      <c r="D2125" s="16" t="str">
        <f>IF(B2125="","",IFERROR(INDEX(Client_List!$D:$D,MATCH(B2125,Client_List!$B:$B,0)),""))</f>
        <v/>
      </c>
      <c r="E2125" s="16" t="str">
        <f>IF(B2125="","",IFERROR(INDEX(Client_List!$K:$K,MATCH(B2125,Client_List!$B:$B,0)),""))</f>
        <v/>
      </c>
      <c r="F2125" s="16" t="str">
        <f>IF(B2125="","",IFERROR(INDEX(Client_List!$J:$J,MATCH(B2125,Client_List!$B:$B,0)),""))</f>
        <v/>
      </c>
      <c r="G2125" s="16"/>
      <c r="H2125" s="16" t="str">
        <f>IF(B2125="","",IFERROR(A2125-LOOKUP(2,1/($B$4:$B2124=B2125),$A$4:$A2124),""))</f>
        <v/>
      </c>
      <c r="I2125" s="16" t="str">
        <f t="shared" si="33"/>
        <v/>
      </c>
      <c r="J2125" s="16"/>
      <c r="K2125" s="6" t="str">
        <f>IF(B2125="","",IFERROR(AVERAGEIFS($I$4:$I2125,$B$4:$B2125,B2125,$I$4:$I2125,"&gt;"&amp;0),""))</f>
        <v/>
      </c>
      <c r="L2125" s="16" t="str">
        <f>IF(B2125="","",IF(ISNA(MATCH(B2125,Client_List!$B:$B,0)),"⚠ NOT FOUND","✓"))</f>
        <v/>
      </c>
    </row>
    <row r="2126" spans="1:12" ht="14" customHeight="1" x14ac:dyDescent="0.2">
      <c r="A2126" s="59"/>
      <c r="B2126" s="18"/>
      <c r="C2126" s="19" t="str">
        <f>IF(B2126="","",IFERROR(INDEX(Client_List!$C:$C,MATCH(B2126,Client_List!$B:$B,0)),""))</f>
        <v/>
      </c>
      <c r="D2126" s="19" t="str">
        <f>IF(B2126="","",IFERROR(INDEX(Client_List!$D:$D,MATCH(B2126,Client_List!$B:$B,0)),""))</f>
        <v/>
      </c>
      <c r="E2126" s="19" t="str">
        <f>IF(B2126="","",IFERROR(INDEX(Client_List!$K:$K,MATCH(B2126,Client_List!$B:$B,0)),""))</f>
        <v/>
      </c>
      <c r="F2126" s="19" t="str">
        <f>IF(B2126="","",IFERROR(INDEX(Client_List!$J:$J,MATCH(B2126,Client_List!$B:$B,0)),""))</f>
        <v/>
      </c>
      <c r="G2126" s="19"/>
      <c r="H2126" s="19" t="str">
        <f>IF(B2126="","",IFERROR(A2126-LOOKUP(2,1/($B$4:$B2125=B2126),$A$4:$A2125),""))</f>
        <v/>
      </c>
      <c r="I2126" s="19" t="str">
        <f t="shared" si="33"/>
        <v/>
      </c>
      <c r="J2126" s="19"/>
      <c r="K2126" s="6" t="str">
        <f>IF(B2126="","",IFERROR(AVERAGEIFS($I$4:$I2126,$B$4:$B2126,B2126,$I$4:$I2126,"&gt;"&amp;0),""))</f>
        <v/>
      </c>
      <c r="L2126" s="19" t="str">
        <f>IF(B2126="","",IF(ISNA(MATCH(B2126,Client_List!$B:$B,0)),"⚠ NOT FOUND","✓"))</f>
        <v/>
      </c>
    </row>
    <row r="2127" spans="1:12" ht="14" customHeight="1" x14ac:dyDescent="0.2">
      <c r="A2127" s="58"/>
      <c r="B2127" s="15"/>
      <c r="C2127" s="16" t="str">
        <f>IF(B2127="","",IFERROR(INDEX(Client_List!$C:$C,MATCH(B2127,Client_List!$B:$B,0)),""))</f>
        <v/>
      </c>
      <c r="D2127" s="16" t="str">
        <f>IF(B2127="","",IFERROR(INDEX(Client_List!$D:$D,MATCH(B2127,Client_List!$B:$B,0)),""))</f>
        <v/>
      </c>
      <c r="E2127" s="16" t="str">
        <f>IF(B2127="","",IFERROR(INDEX(Client_List!$K:$K,MATCH(B2127,Client_List!$B:$B,0)),""))</f>
        <v/>
      </c>
      <c r="F2127" s="16" t="str">
        <f>IF(B2127="","",IFERROR(INDEX(Client_List!$J:$J,MATCH(B2127,Client_List!$B:$B,0)),""))</f>
        <v/>
      </c>
      <c r="G2127" s="16"/>
      <c r="H2127" s="16" t="str">
        <f>IF(B2127="","",IFERROR(A2127-LOOKUP(2,1/($B$4:$B2126=B2127),$A$4:$A2126),""))</f>
        <v/>
      </c>
      <c r="I2127" s="16" t="str">
        <f t="shared" si="33"/>
        <v/>
      </c>
      <c r="J2127" s="16"/>
      <c r="K2127" s="6" t="str">
        <f>IF(B2127="","",IFERROR(AVERAGEIFS($I$4:$I2127,$B$4:$B2127,B2127,$I$4:$I2127,"&gt;"&amp;0),""))</f>
        <v/>
      </c>
      <c r="L2127" s="16" t="str">
        <f>IF(B2127="","",IF(ISNA(MATCH(B2127,Client_List!$B:$B,0)),"⚠ NOT FOUND","✓"))</f>
        <v/>
      </c>
    </row>
    <row r="2128" spans="1:12" ht="14" customHeight="1" x14ac:dyDescent="0.2">
      <c r="A2128" s="59"/>
      <c r="B2128" s="18"/>
      <c r="C2128" s="19" t="str">
        <f>IF(B2128="","",IFERROR(INDEX(Client_List!$C:$C,MATCH(B2128,Client_List!$B:$B,0)),""))</f>
        <v/>
      </c>
      <c r="D2128" s="19" t="str">
        <f>IF(B2128="","",IFERROR(INDEX(Client_List!$D:$D,MATCH(B2128,Client_List!$B:$B,0)),""))</f>
        <v/>
      </c>
      <c r="E2128" s="19" t="str">
        <f>IF(B2128="","",IFERROR(INDEX(Client_List!$K:$K,MATCH(B2128,Client_List!$B:$B,0)),""))</f>
        <v/>
      </c>
      <c r="F2128" s="19" t="str">
        <f>IF(B2128="","",IFERROR(INDEX(Client_List!$J:$J,MATCH(B2128,Client_List!$B:$B,0)),""))</f>
        <v/>
      </c>
      <c r="G2128" s="19"/>
      <c r="H2128" s="19" t="str">
        <f>IF(B2128="","",IFERROR(A2128-LOOKUP(2,1/($B$4:$B2127=B2128),$A$4:$A2127),""))</f>
        <v/>
      </c>
      <c r="I2128" s="19" t="str">
        <f t="shared" si="33"/>
        <v/>
      </c>
      <c r="J2128" s="19"/>
      <c r="K2128" s="6" t="str">
        <f>IF(B2128="","",IFERROR(AVERAGEIFS($I$4:$I2128,$B$4:$B2128,B2128,$I$4:$I2128,"&gt;"&amp;0),""))</f>
        <v/>
      </c>
      <c r="L2128" s="19" t="str">
        <f>IF(B2128="","",IF(ISNA(MATCH(B2128,Client_List!$B:$B,0)),"⚠ NOT FOUND","✓"))</f>
        <v/>
      </c>
    </row>
    <row r="2129" spans="1:12" ht="14" customHeight="1" x14ac:dyDescent="0.2">
      <c r="A2129" s="58"/>
      <c r="B2129" s="15"/>
      <c r="C2129" s="16" t="str">
        <f>IF(B2129="","",IFERROR(INDEX(Client_List!$C:$C,MATCH(B2129,Client_List!$B:$B,0)),""))</f>
        <v/>
      </c>
      <c r="D2129" s="16" t="str">
        <f>IF(B2129="","",IFERROR(INDEX(Client_List!$D:$D,MATCH(B2129,Client_List!$B:$B,0)),""))</f>
        <v/>
      </c>
      <c r="E2129" s="16" t="str">
        <f>IF(B2129="","",IFERROR(INDEX(Client_List!$K:$K,MATCH(B2129,Client_List!$B:$B,0)),""))</f>
        <v/>
      </c>
      <c r="F2129" s="16" t="str">
        <f>IF(B2129="","",IFERROR(INDEX(Client_List!$J:$J,MATCH(B2129,Client_List!$B:$B,0)),""))</f>
        <v/>
      </c>
      <c r="G2129" s="16"/>
      <c r="H2129" s="16" t="str">
        <f>IF(B2129="","",IFERROR(A2129-LOOKUP(2,1/($B$4:$B2128=B2129),$A$4:$A2128),""))</f>
        <v/>
      </c>
      <c r="I2129" s="16" t="str">
        <f t="shared" si="33"/>
        <v/>
      </c>
      <c r="J2129" s="16"/>
      <c r="K2129" s="6" t="str">
        <f>IF(B2129="","",IFERROR(AVERAGEIFS($I$4:$I2129,$B$4:$B2129,B2129,$I$4:$I2129,"&gt;"&amp;0),""))</f>
        <v/>
      </c>
      <c r="L2129" s="16" t="str">
        <f>IF(B2129="","",IF(ISNA(MATCH(B2129,Client_List!$B:$B,0)),"⚠ NOT FOUND","✓"))</f>
        <v/>
      </c>
    </row>
    <row r="2130" spans="1:12" ht="14" customHeight="1" x14ac:dyDescent="0.2">
      <c r="A2130" s="59"/>
      <c r="B2130" s="18"/>
      <c r="C2130" s="19" t="str">
        <f>IF(B2130="","",IFERROR(INDEX(Client_List!$C:$C,MATCH(B2130,Client_List!$B:$B,0)),""))</f>
        <v/>
      </c>
      <c r="D2130" s="19" t="str">
        <f>IF(B2130="","",IFERROR(INDEX(Client_List!$D:$D,MATCH(B2130,Client_List!$B:$B,0)),""))</f>
        <v/>
      </c>
      <c r="E2130" s="19" t="str">
        <f>IF(B2130="","",IFERROR(INDEX(Client_List!$K:$K,MATCH(B2130,Client_List!$B:$B,0)),""))</f>
        <v/>
      </c>
      <c r="F2130" s="19" t="str">
        <f>IF(B2130="","",IFERROR(INDEX(Client_List!$J:$J,MATCH(B2130,Client_List!$B:$B,0)),""))</f>
        <v/>
      </c>
      <c r="G2130" s="19"/>
      <c r="H2130" s="19" t="str">
        <f>IF(B2130="","",IFERROR(A2130-LOOKUP(2,1/($B$4:$B2129=B2130),$A$4:$A2129),""))</f>
        <v/>
      </c>
      <c r="I2130" s="19" t="str">
        <f t="shared" si="33"/>
        <v/>
      </c>
      <c r="J2130" s="19"/>
      <c r="K2130" s="6" t="str">
        <f>IF(B2130="","",IFERROR(AVERAGEIFS($I$4:$I2130,$B$4:$B2130,B2130,$I$4:$I2130,"&gt;"&amp;0),""))</f>
        <v/>
      </c>
      <c r="L2130" s="19" t="str">
        <f>IF(B2130="","",IF(ISNA(MATCH(B2130,Client_List!$B:$B,0)),"⚠ NOT FOUND","✓"))</f>
        <v/>
      </c>
    </row>
    <row r="2131" spans="1:12" ht="14" customHeight="1" x14ac:dyDescent="0.2">
      <c r="A2131" s="58"/>
      <c r="B2131" s="15"/>
      <c r="C2131" s="16" t="str">
        <f>IF(B2131="","",IFERROR(INDEX(Client_List!$C:$C,MATCH(B2131,Client_List!$B:$B,0)),""))</f>
        <v/>
      </c>
      <c r="D2131" s="16" t="str">
        <f>IF(B2131="","",IFERROR(INDEX(Client_List!$D:$D,MATCH(B2131,Client_List!$B:$B,0)),""))</f>
        <v/>
      </c>
      <c r="E2131" s="16" t="str">
        <f>IF(B2131="","",IFERROR(INDEX(Client_List!$K:$K,MATCH(B2131,Client_List!$B:$B,0)),""))</f>
        <v/>
      </c>
      <c r="F2131" s="16" t="str">
        <f>IF(B2131="","",IFERROR(INDEX(Client_List!$J:$J,MATCH(B2131,Client_List!$B:$B,0)),""))</f>
        <v/>
      </c>
      <c r="G2131" s="16"/>
      <c r="H2131" s="16" t="str">
        <f>IF(B2131="","",IFERROR(A2131-LOOKUP(2,1/($B$4:$B2130=B2131),$A$4:$A2130),""))</f>
        <v/>
      </c>
      <c r="I2131" s="16" t="str">
        <f t="shared" si="33"/>
        <v/>
      </c>
      <c r="J2131" s="16"/>
      <c r="K2131" s="6" t="str">
        <f>IF(B2131="","",IFERROR(AVERAGEIFS($I$4:$I2131,$B$4:$B2131,B2131,$I$4:$I2131,"&gt;"&amp;0),""))</f>
        <v/>
      </c>
      <c r="L2131" s="16" t="str">
        <f>IF(B2131="","",IF(ISNA(MATCH(B2131,Client_List!$B:$B,0)),"⚠ NOT FOUND","✓"))</f>
        <v/>
      </c>
    </row>
    <row r="2132" spans="1:12" ht="14" customHeight="1" x14ac:dyDescent="0.2">
      <c r="A2132" s="59"/>
      <c r="B2132" s="18"/>
      <c r="C2132" s="19" t="str">
        <f>IF(B2132="","",IFERROR(INDEX(Client_List!$C:$C,MATCH(B2132,Client_List!$B:$B,0)),""))</f>
        <v/>
      </c>
      <c r="D2132" s="19" t="str">
        <f>IF(B2132="","",IFERROR(INDEX(Client_List!$D:$D,MATCH(B2132,Client_List!$B:$B,0)),""))</f>
        <v/>
      </c>
      <c r="E2132" s="19" t="str">
        <f>IF(B2132="","",IFERROR(INDEX(Client_List!$K:$K,MATCH(B2132,Client_List!$B:$B,0)),""))</f>
        <v/>
      </c>
      <c r="F2132" s="19" t="str">
        <f>IF(B2132="","",IFERROR(INDEX(Client_List!$J:$J,MATCH(B2132,Client_List!$B:$B,0)),""))</f>
        <v/>
      </c>
      <c r="G2132" s="19"/>
      <c r="H2132" s="19" t="str">
        <f>IF(B2132="","",IFERROR(A2132-LOOKUP(2,1/($B$4:$B2131=B2132),$A$4:$A2131),""))</f>
        <v/>
      </c>
      <c r="I2132" s="19" t="str">
        <f t="shared" si="33"/>
        <v/>
      </c>
      <c r="J2132" s="19"/>
      <c r="K2132" s="6" t="str">
        <f>IF(B2132="","",IFERROR(AVERAGEIFS($I$4:$I2132,$B$4:$B2132,B2132,$I$4:$I2132,"&gt;"&amp;0),""))</f>
        <v/>
      </c>
      <c r="L2132" s="19" t="str">
        <f>IF(B2132="","",IF(ISNA(MATCH(B2132,Client_List!$B:$B,0)),"⚠ NOT FOUND","✓"))</f>
        <v/>
      </c>
    </row>
    <row r="2133" spans="1:12" ht="14" customHeight="1" x14ac:dyDescent="0.2">
      <c r="A2133" s="58"/>
      <c r="B2133" s="15"/>
      <c r="C2133" s="16" t="str">
        <f>IF(B2133="","",IFERROR(INDEX(Client_List!$C:$C,MATCH(B2133,Client_List!$B:$B,0)),""))</f>
        <v/>
      </c>
      <c r="D2133" s="16" t="str">
        <f>IF(B2133="","",IFERROR(INDEX(Client_List!$D:$D,MATCH(B2133,Client_List!$B:$B,0)),""))</f>
        <v/>
      </c>
      <c r="E2133" s="16" t="str">
        <f>IF(B2133="","",IFERROR(INDEX(Client_List!$K:$K,MATCH(B2133,Client_List!$B:$B,0)),""))</f>
        <v/>
      </c>
      <c r="F2133" s="16" t="str">
        <f>IF(B2133="","",IFERROR(INDEX(Client_List!$J:$J,MATCH(B2133,Client_List!$B:$B,0)),""))</f>
        <v/>
      </c>
      <c r="G2133" s="16"/>
      <c r="H2133" s="16" t="str">
        <f>IF(B2133="","",IFERROR(A2133-LOOKUP(2,1/($B$4:$B2132=B2133),$A$4:$A2132),""))</f>
        <v/>
      </c>
      <c r="I2133" s="16" t="str">
        <f t="shared" si="33"/>
        <v/>
      </c>
      <c r="J2133" s="16"/>
      <c r="K2133" s="6" t="str">
        <f>IF(B2133="","",IFERROR(AVERAGEIFS($I$4:$I2133,$B$4:$B2133,B2133,$I$4:$I2133,"&gt;"&amp;0),""))</f>
        <v/>
      </c>
      <c r="L2133" s="16" t="str">
        <f>IF(B2133="","",IF(ISNA(MATCH(B2133,Client_List!$B:$B,0)),"⚠ NOT FOUND","✓"))</f>
        <v/>
      </c>
    </row>
    <row r="2134" spans="1:12" ht="14" customHeight="1" x14ac:dyDescent="0.2">
      <c r="A2134" s="59"/>
      <c r="B2134" s="18"/>
      <c r="C2134" s="19" t="str">
        <f>IF(B2134="","",IFERROR(INDEX(Client_List!$C:$C,MATCH(B2134,Client_List!$B:$B,0)),""))</f>
        <v/>
      </c>
      <c r="D2134" s="19" t="str">
        <f>IF(B2134="","",IFERROR(INDEX(Client_List!$D:$D,MATCH(B2134,Client_List!$B:$B,0)),""))</f>
        <v/>
      </c>
      <c r="E2134" s="19" t="str">
        <f>IF(B2134="","",IFERROR(INDEX(Client_List!$K:$K,MATCH(B2134,Client_List!$B:$B,0)),""))</f>
        <v/>
      </c>
      <c r="F2134" s="19" t="str">
        <f>IF(B2134="","",IFERROR(INDEX(Client_List!$J:$J,MATCH(B2134,Client_List!$B:$B,0)),""))</f>
        <v/>
      </c>
      <c r="G2134" s="19"/>
      <c r="H2134" s="19" t="str">
        <f>IF(B2134="","",IFERROR(A2134-LOOKUP(2,1/($B$4:$B2133=B2134),$A$4:$A2133),""))</f>
        <v/>
      </c>
      <c r="I2134" s="19" t="str">
        <f t="shared" si="33"/>
        <v/>
      </c>
      <c r="J2134" s="19"/>
      <c r="K2134" s="6" t="str">
        <f>IF(B2134="","",IFERROR(AVERAGEIFS($I$4:$I2134,$B$4:$B2134,B2134,$I$4:$I2134,"&gt;"&amp;0),""))</f>
        <v/>
      </c>
      <c r="L2134" s="19" t="str">
        <f>IF(B2134="","",IF(ISNA(MATCH(B2134,Client_List!$B:$B,0)),"⚠ NOT FOUND","✓"))</f>
        <v/>
      </c>
    </row>
    <row r="2135" spans="1:12" ht="14" customHeight="1" x14ac:dyDescent="0.2">
      <c r="A2135" s="58"/>
      <c r="B2135" s="15"/>
      <c r="C2135" s="16" t="str">
        <f>IF(B2135="","",IFERROR(INDEX(Client_List!$C:$C,MATCH(B2135,Client_List!$B:$B,0)),""))</f>
        <v/>
      </c>
      <c r="D2135" s="16" t="str">
        <f>IF(B2135="","",IFERROR(INDEX(Client_List!$D:$D,MATCH(B2135,Client_List!$B:$B,0)),""))</f>
        <v/>
      </c>
      <c r="E2135" s="16" t="str">
        <f>IF(B2135="","",IFERROR(INDEX(Client_List!$K:$K,MATCH(B2135,Client_List!$B:$B,0)),""))</f>
        <v/>
      </c>
      <c r="F2135" s="16" t="str">
        <f>IF(B2135="","",IFERROR(INDEX(Client_List!$J:$J,MATCH(B2135,Client_List!$B:$B,0)),""))</f>
        <v/>
      </c>
      <c r="G2135" s="16"/>
      <c r="H2135" s="16" t="str">
        <f>IF(B2135="","",IFERROR(A2135-LOOKUP(2,1/($B$4:$B2134=B2135),$A$4:$A2134),""))</f>
        <v/>
      </c>
      <c r="I2135" s="16" t="str">
        <f t="shared" si="33"/>
        <v/>
      </c>
      <c r="J2135" s="16"/>
      <c r="K2135" s="6" t="str">
        <f>IF(B2135="","",IFERROR(AVERAGEIFS($I$4:$I2135,$B$4:$B2135,B2135,$I$4:$I2135,"&gt;"&amp;0),""))</f>
        <v/>
      </c>
      <c r="L2135" s="16" t="str">
        <f>IF(B2135="","",IF(ISNA(MATCH(B2135,Client_List!$B:$B,0)),"⚠ NOT FOUND","✓"))</f>
        <v/>
      </c>
    </row>
    <row r="2136" spans="1:12" ht="14" customHeight="1" x14ac:dyDescent="0.2">
      <c r="A2136" s="59"/>
      <c r="B2136" s="18"/>
      <c r="C2136" s="19" t="str">
        <f>IF(B2136="","",IFERROR(INDEX(Client_List!$C:$C,MATCH(B2136,Client_List!$B:$B,0)),""))</f>
        <v/>
      </c>
      <c r="D2136" s="19" t="str">
        <f>IF(B2136="","",IFERROR(INDEX(Client_List!$D:$D,MATCH(B2136,Client_List!$B:$B,0)),""))</f>
        <v/>
      </c>
      <c r="E2136" s="19" t="str">
        <f>IF(B2136="","",IFERROR(INDEX(Client_List!$K:$K,MATCH(B2136,Client_List!$B:$B,0)),""))</f>
        <v/>
      </c>
      <c r="F2136" s="19" t="str">
        <f>IF(B2136="","",IFERROR(INDEX(Client_List!$J:$J,MATCH(B2136,Client_List!$B:$B,0)),""))</f>
        <v/>
      </c>
      <c r="G2136" s="19"/>
      <c r="H2136" s="19" t="str">
        <f>IF(B2136="","",IFERROR(A2136-LOOKUP(2,1/($B$4:$B2135=B2136),$A$4:$A2135),""))</f>
        <v/>
      </c>
      <c r="I2136" s="19" t="str">
        <f t="shared" si="33"/>
        <v/>
      </c>
      <c r="J2136" s="19"/>
      <c r="K2136" s="6" t="str">
        <f>IF(B2136="","",IFERROR(AVERAGEIFS($I$4:$I2136,$B$4:$B2136,B2136,$I$4:$I2136,"&gt;"&amp;0),""))</f>
        <v/>
      </c>
      <c r="L2136" s="19" t="str">
        <f>IF(B2136="","",IF(ISNA(MATCH(B2136,Client_List!$B:$B,0)),"⚠ NOT FOUND","✓"))</f>
        <v/>
      </c>
    </row>
    <row r="2137" spans="1:12" ht="14" customHeight="1" x14ac:dyDescent="0.2">
      <c r="A2137" s="58"/>
      <c r="B2137" s="15"/>
      <c r="C2137" s="16" t="str">
        <f>IF(B2137="","",IFERROR(INDEX(Client_List!$C:$C,MATCH(B2137,Client_List!$B:$B,0)),""))</f>
        <v/>
      </c>
      <c r="D2137" s="16" t="str">
        <f>IF(B2137="","",IFERROR(INDEX(Client_List!$D:$D,MATCH(B2137,Client_List!$B:$B,0)),""))</f>
        <v/>
      </c>
      <c r="E2137" s="16" t="str">
        <f>IF(B2137="","",IFERROR(INDEX(Client_List!$K:$K,MATCH(B2137,Client_List!$B:$B,0)),""))</f>
        <v/>
      </c>
      <c r="F2137" s="16" t="str">
        <f>IF(B2137="","",IFERROR(INDEX(Client_List!$J:$J,MATCH(B2137,Client_List!$B:$B,0)),""))</f>
        <v/>
      </c>
      <c r="G2137" s="16"/>
      <c r="H2137" s="16" t="str">
        <f>IF(B2137="","",IFERROR(A2137-LOOKUP(2,1/($B$4:$B2136=B2137),$A$4:$A2136),""))</f>
        <v/>
      </c>
      <c r="I2137" s="16" t="str">
        <f t="shared" si="33"/>
        <v/>
      </c>
      <c r="J2137" s="16"/>
      <c r="K2137" s="6" t="str">
        <f>IF(B2137="","",IFERROR(AVERAGEIFS($I$4:$I2137,$B$4:$B2137,B2137,$I$4:$I2137,"&gt;"&amp;0),""))</f>
        <v/>
      </c>
      <c r="L2137" s="16" t="str">
        <f>IF(B2137="","",IF(ISNA(MATCH(B2137,Client_List!$B:$B,0)),"⚠ NOT FOUND","✓"))</f>
        <v/>
      </c>
    </row>
    <row r="2138" spans="1:12" ht="14" customHeight="1" x14ac:dyDescent="0.2">
      <c r="A2138" s="59"/>
      <c r="B2138" s="18"/>
      <c r="C2138" s="19" t="str">
        <f>IF(B2138="","",IFERROR(INDEX(Client_List!$C:$C,MATCH(B2138,Client_List!$B:$B,0)),""))</f>
        <v/>
      </c>
      <c r="D2138" s="19" t="str">
        <f>IF(B2138="","",IFERROR(INDEX(Client_List!$D:$D,MATCH(B2138,Client_List!$B:$B,0)),""))</f>
        <v/>
      </c>
      <c r="E2138" s="19" t="str">
        <f>IF(B2138="","",IFERROR(INDEX(Client_List!$K:$K,MATCH(B2138,Client_List!$B:$B,0)),""))</f>
        <v/>
      </c>
      <c r="F2138" s="19" t="str">
        <f>IF(B2138="","",IFERROR(INDEX(Client_List!$J:$J,MATCH(B2138,Client_List!$B:$B,0)),""))</f>
        <v/>
      </c>
      <c r="G2138" s="19"/>
      <c r="H2138" s="19" t="str">
        <f>IF(B2138="","",IFERROR(A2138-LOOKUP(2,1/($B$4:$B2137=B2138),$A$4:$A2137),""))</f>
        <v/>
      </c>
      <c r="I2138" s="19" t="str">
        <f t="shared" si="33"/>
        <v/>
      </c>
      <c r="J2138" s="19"/>
      <c r="K2138" s="6" t="str">
        <f>IF(B2138="","",IFERROR(AVERAGEIFS($I$4:$I2138,$B$4:$B2138,B2138,$I$4:$I2138,"&gt;"&amp;0),""))</f>
        <v/>
      </c>
      <c r="L2138" s="19" t="str">
        <f>IF(B2138="","",IF(ISNA(MATCH(B2138,Client_List!$B:$B,0)),"⚠ NOT FOUND","✓"))</f>
        <v/>
      </c>
    </row>
    <row r="2139" spans="1:12" ht="14" customHeight="1" x14ac:dyDescent="0.2">
      <c r="A2139" s="58"/>
      <c r="B2139" s="15"/>
      <c r="C2139" s="16" t="str">
        <f>IF(B2139="","",IFERROR(INDEX(Client_List!$C:$C,MATCH(B2139,Client_List!$B:$B,0)),""))</f>
        <v/>
      </c>
      <c r="D2139" s="16" t="str">
        <f>IF(B2139="","",IFERROR(INDEX(Client_List!$D:$D,MATCH(B2139,Client_List!$B:$B,0)),""))</f>
        <v/>
      </c>
      <c r="E2139" s="16" t="str">
        <f>IF(B2139="","",IFERROR(INDEX(Client_List!$K:$K,MATCH(B2139,Client_List!$B:$B,0)),""))</f>
        <v/>
      </c>
      <c r="F2139" s="16" t="str">
        <f>IF(B2139="","",IFERROR(INDEX(Client_List!$J:$J,MATCH(B2139,Client_List!$B:$B,0)),""))</f>
        <v/>
      </c>
      <c r="G2139" s="16"/>
      <c r="H2139" s="16" t="str">
        <f>IF(B2139="","",IFERROR(A2139-LOOKUP(2,1/($B$4:$B2138=B2139),$A$4:$A2138),""))</f>
        <v/>
      </c>
      <c r="I2139" s="16" t="str">
        <f t="shared" si="33"/>
        <v/>
      </c>
      <c r="J2139" s="16"/>
      <c r="K2139" s="6" t="str">
        <f>IF(B2139="","",IFERROR(AVERAGEIFS($I$4:$I2139,$B$4:$B2139,B2139,$I$4:$I2139,"&gt;"&amp;0),""))</f>
        <v/>
      </c>
      <c r="L2139" s="16" t="str">
        <f>IF(B2139="","",IF(ISNA(MATCH(B2139,Client_List!$B:$B,0)),"⚠ NOT FOUND","✓"))</f>
        <v/>
      </c>
    </row>
    <row r="2140" spans="1:12" ht="14" customHeight="1" x14ac:dyDescent="0.2">
      <c r="A2140" s="59"/>
      <c r="B2140" s="18"/>
      <c r="C2140" s="19" t="str">
        <f>IF(B2140="","",IFERROR(INDEX(Client_List!$C:$C,MATCH(B2140,Client_List!$B:$B,0)),""))</f>
        <v/>
      </c>
      <c r="D2140" s="19" t="str">
        <f>IF(B2140="","",IFERROR(INDEX(Client_List!$D:$D,MATCH(B2140,Client_List!$B:$B,0)),""))</f>
        <v/>
      </c>
      <c r="E2140" s="19" t="str">
        <f>IF(B2140="","",IFERROR(INDEX(Client_List!$K:$K,MATCH(B2140,Client_List!$B:$B,0)),""))</f>
        <v/>
      </c>
      <c r="F2140" s="19" t="str">
        <f>IF(B2140="","",IFERROR(INDEX(Client_List!$J:$J,MATCH(B2140,Client_List!$B:$B,0)),""))</f>
        <v/>
      </c>
      <c r="G2140" s="19"/>
      <c r="H2140" s="19" t="str">
        <f>IF(B2140="","",IFERROR(A2140-LOOKUP(2,1/($B$4:$B2139=B2140),$A$4:$A2139),""))</f>
        <v/>
      </c>
      <c r="I2140" s="19" t="str">
        <f t="shared" si="33"/>
        <v/>
      </c>
      <c r="J2140" s="19"/>
      <c r="K2140" s="6" t="str">
        <f>IF(B2140="","",IFERROR(AVERAGEIFS($I$4:$I2140,$B$4:$B2140,B2140,$I$4:$I2140,"&gt;"&amp;0),""))</f>
        <v/>
      </c>
      <c r="L2140" s="19" t="str">
        <f>IF(B2140="","",IF(ISNA(MATCH(B2140,Client_List!$B:$B,0)),"⚠ NOT FOUND","✓"))</f>
        <v/>
      </c>
    </row>
    <row r="2141" spans="1:12" ht="14" customHeight="1" x14ac:dyDescent="0.2">
      <c r="A2141" s="58"/>
      <c r="B2141" s="15"/>
      <c r="C2141" s="16" t="str">
        <f>IF(B2141="","",IFERROR(INDEX(Client_List!$C:$C,MATCH(B2141,Client_List!$B:$B,0)),""))</f>
        <v/>
      </c>
      <c r="D2141" s="16" t="str">
        <f>IF(B2141="","",IFERROR(INDEX(Client_List!$D:$D,MATCH(B2141,Client_List!$B:$B,0)),""))</f>
        <v/>
      </c>
      <c r="E2141" s="16" t="str">
        <f>IF(B2141="","",IFERROR(INDEX(Client_List!$K:$K,MATCH(B2141,Client_List!$B:$B,0)),""))</f>
        <v/>
      </c>
      <c r="F2141" s="16" t="str">
        <f>IF(B2141="","",IFERROR(INDEX(Client_List!$J:$J,MATCH(B2141,Client_List!$B:$B,0)),""))</f>
        <v/>
      </c>
      <c r="G2141" s="16"/>
      <c r="H2141" s="16" t="str">
        <f>IF(B2141="","",IFERROR(A2141-LOOKUP(2,1/($B$4:$B2140=B2141),$A$4:$A2140),""))</f>
        <v/>
      </c>
      <c r="I2141" s="16" t="str">
        <f t="shared" si="33"/>
        <v/>
      </c>
      <c r="J2141" s="16"/>
      <c r="K2141" s="6" t="str">
        <f>IF(B2141="","",IFERROR(AVERAGEIFS($I$4:$I2141,$B$4:$B2141,B2141,$I$4:$I2141,"&gt;"&amp;0),""))</f>
        <v/>
      </c>
      <c r="L2141" s="16" t="str">
        <f>IF(B2141="","",IF(ISNA(MATCH(B2141,Client_List!$B:$B,0)),"⚠ NOT FOUND","✓"))</f>
        <v/>
      </c>
    </row>
    <row r="2142" spans="1:12" ht="14" customHeight="1" x14ac:dyDescent="0.2">
      <c r="A2142" s="59"/>
      <c r="B2142" s="18"/>
      <c r="C2142" s="19" t="str">
        <f>IF(B2142="","",IFERROR(INDEX(Client_List!$C:$C,MATCH(B2142,Client_List!$B:$B,0)),""))</f>
        <v/>
      </c>
      <c r="D2142" s="19" t="str">
        <f>IF(B2142="","",IFERROR(INDEX(Client_List!$D:$D,MATCH(B2142,Client_List!$B:$B,0)),""))</f>
        <v/>
      </c>
      <c r="E2142" s="19" t="str">
        <f>IF(B2142="","",IFERROR(INDEX(Client_List!$K:$K,MATCH(B2142,Client_List!$B:$B,0)),""))</f>
        <v/>
      </c>
      <c r="F2142" s="19" t="str">
        <f>IF(B2142="","",IFERROR(INDEX(Client_List!$J:$J,MATCH(B2142,Client_List!$B:$B,0)),""))</f>
        <v/>
      </c>
      <c r="G2142" s="19"/>
      <c r="H2142" s="19" t="str">
        <f>IF(B2142="","",IFERROR(A2142-LOOKUP(2,1/($B$4:$B2141=B2142),$A$4:$A2141),""))</f>
        <v/>
      </c>
      <c r="I2142" s="19" t="str">
        <f t="shared" si="33"/>
        <v/>
      </c>
      <c r="J2142" s="19"/>
      <c r="K2142" s="6" t="str">
        <f>IF(B2142="","",IFERROR(AVERAGEIFS($I$4:$I2142,$B$4:$B2142,B2142,$I$4:$I2142,"&gt;"&amp;0),""))</f>
        <v/>
      </c>
      <c r="L2142" s="19" t="str">
        <f>IF(B2142="","",IF(ISNA(MATCH(B2142,Client_List!$B:$B,0)),"⚠ NOT FOUND","✓"))</f>
        <v/>
      </c>
    </row>
    <row r="2143" spans="1:12" ht="14" customHeight="1" x14ac:dyDescent="0.2">
      <c r="A2143" s="58"/>
      <c r="B2143" s="15"/>
      <c r="C2143" s="16" t="str">
        <f>IF(B2143="","",IFERROR(INDEX(Client_List!$C:$C,MATCH(B2143,Client_List!$B:$B,0)),""))</f>
        <v/>
      </c>
      <c r="D2143" s="16" t="str">
        <f>IF(B2143="","",IFERROR(INDEX(Client_List!$D:$D,MATCH(B2143,Client_List!$B:$B,0)),""))</f>
        <v/>
      </c>
      <c r="E2143" s="16" t="str">
        <f>IF(B2143="","",IFERROR(INDEX(Client_List!$K:$K,MATCH(B2143,Client_List!$B:$B,0)),""))</f>
        <v/>
      </c>
      <c r="F2143" s="16" t="str">
        <f>IF(B2143="","",IFERROR(INDEX(Client_List!$J:$J,MATCH(B2143,Client_List!$B:$B,0)),""))</f>
        <v/>
      </c>
      <c r="G2143" s="16"/>
      <c r="H2143" s="16" t="str">
        <f>IF(B2143="","",IFERROR(A2143-LOOKUP(2,1/($B$4:$B2142=B2143),$A$4:$A2142),""))</f>
        <v/>
      </c>
      <c r="I2143" s="16" t="str">
        <f t="shared" si="33"/>
        <v/>
      </c>
      <c r="J2143" s="16"/>
      <c r="K2143" s="6" t="str">
        <f>IF(B2143="","",IFERROR(AVERAGEIFS($I$4:$I2143,$B$4:$B2143,B2143,$I$4:$I2143,"&gt;"&amp;0),""))</f>
        <v/>
      </c>
      <c r="L2143" s="16" t="str">
        <f>IF(B2143="","",IF(ISNA(MATCH(B2143,Client_List!$B:$B,0)),"⚠ NOT FOUND","✓"))</f>
        <v/>
      </c>
    </row>
    <row r="2144" spans="1:12" ht="14" customHeight="1" x14ac:dyDescent="0.2">
      <c r="A2144" s="59"/>
      <c r="B2144" s="18"/>
      <c r="C2144" s="19" t="str">
        <f>IF(B2144="","",IFERROR(INDEX(Client_List!$C:$C,MATCH(B2144,Client_List!$B:$B,0)),""))</f>
        <v/>
      </c>
      <c r="D2144" s="19" t="str">
        <f>IF(B2144="","",IFERROR(INDEX(Client_List!$D:$D,MATCH(B2144,Client_List!$B:$B,0)),""))</f>
        <v/>
      </c>
      <c r="E2144" s="19" t="str">
        <f>IF(B2144="","",IFERROR(INDEX(Client_List!$K:$K,MATCH(B2144,Client_List!$B:$B,0)),""))</f>
        <v/>
      </c>
      <c r="F2144" s="19" t="str">
        <f>IF(B2144="","",IFERROR(INDEX(Client_List!$J:$J,MATCH(B2144,Client_List!$B:$B,0)),""))</f>
        <v/>
      </c>
      <c r="G2144" s="19"/>
      <c r="H2144" s="19" t="str">
        <f>IF(B2144="","",IFERROR(A2144-LOOKUP(2,1/($B$4:$B2143=B2144),$A$4:$A2143),""))</f>
        <v/>
      </c>
      <c r="I2144" s="19" t="str">
        <f t="shared" si="33"/>
        <v/>
      </c>
      <c r="J2144" s="19"/>
      <c r="K2144" s="6" t="str">
        <f>IF(B2144="","",IFERROR(AVERAGEIFS($I$4:$I2144,$B$4:$B2144,B2144,$I$4:$I2144,"&gt;"&amp;0),""))</f>
        <v/>
      </c>
      <c r="L2144" s="19" t="str">
        <f>IF(B2144="","",IF(ISNA(MATCH(B2144,Client_List!$B:$B,0)),"⚠ NOT FOUND","✓"))</f>
        <v/>
      </c>
    </row>
    <row r="2145" spans="1:12" ht="14" customHeight="1" x14ac:dyDescent="0.2">
      <c r="A2145" s="58"/>
      <c r="B2145" s="15"/>
      <c r="C2145" s="16" t="str">
        <f>IF(B2145="","",IFERROR(INDEX(Client_List!$C:$C,MATCH(B2145,Client_List!$B:$B,0)),""))</f>
        <v/>
      </c>
      <c r="D2145" s="16" t="str">
        <f>IF(B2145="","",IFERROR(INDEX(Client_List!$D:$D,MATCH(B2145,Client_List!$B:$B,0)),""))</f>
        <v/>
      </c>
      <c r="E2145" s="16" t="str">
        <f>IF(B2145="","",IFERROR(INDEX(Client_List!$K:$K,MATCH(B2145,Client_List!$B:$B,0)),""))</f>
        <v/>
      </c>
      <c r="F2145" s="16" t="str">
        <f>IF(B2145="","",IFERROR(INDEX(Client_List!$J:$J,MATCH(B2145,Client_List!$B:$B,0)),""))</f>
        <v/>
      </c>
      <c r="G2145" s="16"/>
      <c r="H2145" s="16" t="str">
        <f>IF(B2145="","",IFERROR(A2145-LOOKUP(2,1/($B$4:$B2144=B2145),$A$4:$A2144),""))</f>
        <v/>
      </c>
      <c r="I2145" s="16" t="str">
        <f t="shared" si="33"/>
        <v/>
      </c>
      <c r="J2145" s="16"/>
      <c r="K2145" s="6" t="str">
        <f>IF(B2145="","",IFERROR(AVERAGEIFS($I$4:$I2145,$B$4:$B2145,B2145,$I$4:$I2145,"&gt;"&amp;0),""))</f>
        <v/>
      </c>
      <c r="L2145" s="16" t="str">
        <f>IF(B2145="","",IF(ISNA(MATCH(B2145,Client_List!$B:$B,0)),"⚠ NOT FOUND","✓"))</f>
        <v/>
      </c>
    </row>
    <row r="2146" spans="1:12" ht="14" customHeight="1" x14ac:dyDescent="0.2">
      <c r="A2146" s="59"/>
      <c r="B2146" s="18"/>
      <c r="C2146" s="19" t="str">
        <f>IF(B2146="","",IFERROR(INDEX(Client_List!$C:$C,MATCH(B2146,Client_List!$B:$B,0)),""))</f>
        <v/>
      </c>
      <c r="D2146" s="19" t="str">
        <f>IF(B2146="","",IFERROR(INDEX(Client_List!$D:$D,MATCH(B2146,Client_List!$B:$B,0)),""))</f>
        <v/>
      </c>
      <c r="E2146" s="19" t="str">
        <f>IF(B2146="","",IFERROR(INDEX(Client_List!$K:$K,MATCH(B2146,Client_List!$B:$B,0)),""))</f>
        <v/>
      </c>
      <c r="F2146" s="19" t="str">
        <f>IF(B2146="","",IFERROR(INDEX(Client_List!$J:$J,MATCH(B2146,Client_List!$B:$B,0)),""))</f>
        <v/>
      </c>
      <c r="G2146" s="19"/>
      <c r="H2146" s="19" t="str">
        <f>IF(B2146="","",IFERROR(A2146-LOOKUP(2,1/($B$4:$B2145=B2146),$A$4:$A2145),""))</f>
        <v/>
      </c>
      <c r="I2146" s="19" t="str">
        <f t="shared" si="33"/>
        <v/>
      </c>
      <c r="J2146" s="19"/>
      <c r="K2146" s="6" t="str">
        <f>IF(B2146="","",IFERROR(AVERAGEIFS($I$4:$I2146,$B$4:$B2146,B2146,$I$4:$I2146,"&gt;"&amp;0),""))</f>
        <v/>
      </c>
      <c r="L2146" s="19" t="str">
        <f>IF(B2146="","",IF(ISNA(MATCH(B2146,Client_List!$B:$B,0)),"⚠ NOT FOUND","✓"))</f>
        <v/>
      </c>
    </row>
    <row r="2147" spans="1:12" ht="14" customHeight="1" x14ac:dyDescent="0.2">
      <c r="A2147" s="58"/>
      <c r="B2147" s="15"/>
      <c r="C2147" s="16" t="str">
        <f>IF(B2147="","",IFERROR(INDEX(Client_List!$C:$C,MATCH(B2147,Client_List!$B:$B,0)),""))</f>
        <v/>
      </c>
      <c r="D2147" s="16" t="str">
        <f>IF(B2147="","",IFERROR(INDEX(Client_List!$D:$D,MATCH(B2147,Client_List!$B:$B,0)),""))</f>
        <v/>
      </c>
      <c r="E2147" s="16" t="str">
        <f>IF(B2147="","",IFERROR(INDEX(Client_List!$K:$K,MATCH(B2147,Client_List!$B:$B,0)),""))</f>
        <v/>
      </c>
      <c r="F2147" s="16" t="str">
        <f>IF(B2147="","",IFERROR(INDEX(Client_List!$J:$J,MATCH(B2147,Client_List!$B:$B,0)),""))</f>
        <v/>
      </c>
      <c r="G2147" s="16"/>
      <c r="H2147" s="16" t="str">
        <f>IF(B2147="","",IFERROR(A2147-LOOKUP(2,1/($B$4:$B2146=B2147),$A$4:$A2146),""))</f>
        <v/>
      </c>
      <c r="I2147" s="16" t="str">
        <f t="shared" si="33"/>
        <v/>
      </c>
      <c r="J2147" s="16"/>
      <c r="K2147" s="6" t="str">
        <f>IF(B2147="","",IFERROR(AVERAGEIFS($I$4:$I2147,$B$4:$B2147,B2147,$I$4:$I2147,"&gt;"&amp;0),""))</f>
        <v/>
      </c>
      <c r="L2147" s="16" t="str">
        <f>IF(B2147="","",IF(ISNA(MATCH(B2147,Client_List!$B:$B,0)),"⚠ NOT FOUND","✓"))</f>
        <v/>
      </c>
    </row>
    <row r="2148" spans="1:12" ht="14" customHeight="1" x14ac:dyDescent="0.2">
      <c r="A2148" s="59"/>
      <c r="B2148" s="18"/>
      <c r="C2148" s="19" t="str">
        <f>IF(B2148="","",IFERROR(INDEX(Client_List!$C:$C,MATCH(B2148,Client_List!$B:$B,0)),""))</f>
        <v/>
      </c>
      <c r="D2148" s="19" t="str">
        <f>IF(B2148="","",IFERROR(INDEX(Client_List!$D:$D,MATCH(B2148,Client_List!$B:$B,0)),""))</f>
        <v/>
      </c>
      <c r="E2148" s="19" t="str">
        <f>IF(B2148="","",IFERROR(INDEX(Client_List!$K:$K,MATCH(B2148,Client_List!$B:$B,0)),""))</f>
        <v/>
      </c>
      <c r="F2148" s="19" t="str">
        <f>IF(B2148="","",IFERROR(INDEX(Client_List!$J:$J,MATCH(B2148,Client_List!$B:$B,0)),""))</f>
        <v/>
      </c>
      <c r="G2148" s="19"/>
      <c r="H2148" s="19" t="str">
        <f>IF(B2148="","",IFERROR(A2148-LOOKUP(2,1/($B$4:$B2147=B2148),$A$4:$A2147),""))</f>
        <v/>
      </c>
      <c r="I2148" s="19" t="str">
        <f t="shared" si="33"/>
        <v/>
      </c>
      <c r="J2148" s="19"/>
      <c r="K2148" s="6" t="str">
        <f>IF(B2148="","",IFERROR(AVERAGEIFS($I$4:$I2148,$B$4:$B2148,B2148,$I$4:$I2148,"&gt;"&amp;0),""))</f>
        <v/>
      </c>
      <c r="L2148" s="19" t="str">
        <f>IF(B2148="","",IF(ISNA(MATCH(B2148,Client_List!$B:$B,0)),"⚠ NOT FOUND","✓"))</f>
        <v/>
      </c>
    </row>
    <row r="2149" spans="1:12" ht="14" customHeight="1" x14ac:dyDescent="0.2">
      <c r="A2149" s="58"/>
      <c r="B2149" s="15"/>
      <c r="C2149" s="16" t="str">
        <f>IF(B2149="","",IFERROR(INDEX(Client_List!$C:$C,MATCH(B2149,Client_List!$B:$B,0)),""))</f>
        <v/>
      </c>
      <c r="D2149" s="16" t="str">
        <f>IF(B2149="","",IFERROR(INDEX(Client_List!$D:$D,MATCH(B2149,Client_List!$B:$B,0)),""))</f>
        <v/>
      </c>
      <c r="E2149" s="16" t="str">
        <f>IF(B2149="","",IFERROR(INDEX(Client_List!$K:$K,MATCH(B2149,Client_List!$B:$B,0)),""))</f>
        <v/>
      </c>
      <c r="F2149" s="16" t="str">
        <f>IF(B2149="","",IFERROR(INDEX(Client_List!$J:$J,MATCH(B2149,Client_List!$B:$B,0)),""))</f>
        <v/>
      </c>
      <c r="G2149" s="16"/>
      <c r="H2149" s="16" t="str">
        <f>IF(B2149="","",IFERROR(A2149-LOOKUP(2,1/($B$4:$B2148=B2149),$A$4:$A2148),""))</f>
        <v/>
      </c>
      <c r="I2149" s="16" t="str">
        <f t="shared" si="33"/>
        <v/>
      </c>
      <c r="J2149" s="16"/>
      <c r="K2149" s="6" t="str">
        <f>IF(B2149="","",IFERROR(AVERAGEIFS($I$4:$I2149,$B$4:$B2149,B2149,$I$4:$I2149,"&gt;"&amp;0),""))</f>
        <v/>
      </c>
      <c r="L2149" s="16" t="str">
        <f>IF(B2149="","",IF(ISNA(MATCH(B2149,Client_List!$B:$B,0)),"⚠ NOT FOUND","✓"))</f>
        <v/>
      </c>
    </row>
    <row r="2150" spans="1:12" ht="14" customHeight="1" x14ac:dyDescent="0.2">
      <c r="A2150" s="59"/>
      <c r="B2150" s="18"/>
      <c r="C2150" s="19" t="str">
        <f>IF(B2150="","",IFERROR(INDEX(Client_List!$C:$C,MATCH(B2150,Client_List!$B:$B,0)),""))</f>
        <v/>
      </c>
      <c r="D2150" s="19" t="str">
        <f>IF(B2150="","",IFERROR(INDEX(Client_List!$D:$D,MATCH(B2150,Client_List!$B:$B,0)),""))</f>
        <v/>
      </c>
      <c r="E2150" s="19" t="str">
        <f>IF(B2150="","",IFERROR(INDEX(Client_List!$K:$K,MATCH(B2150,Client_List!$B:$B,0)),""))</f>
        <v/>
      </c>
      <c r="F2150" s="19" t="str">
        <f>IF(B2150="","",IFERROR(INDEX(Client_List!$J:$J,MATCH(B2150,Client_List!$B:$B,0)),""))</f>
        <v/>
      </c>
      <c r="G2150" s="19"/>
      <c r="H2150" s="19" t="str">
        <f>IF(B2150="","",IFERROR(A2150-LOOKUP(2,1/($B$4:$B2149=B2150),$A$4:$A2149),""))</f>
        <v/>
      </c>
      <c r="I2150" s="19" t="str">
        <f t="shared" si="33"/>
        <v/>
      </c>
      <c r="J2150" s="19"/>
      <c r="K2150" s="6" t="str">
        <f>IF(B2150="","",IFERROR(AVERAGEIFS($I$4:$I2150,$B$4:$B2150,B2150,$I$4:$I2150,"&gt;"&amp;0),""))</f>
        <v/>
      </c>
      <c r="L2150" s="19" t="str">
        <f>IF(B2150="","",IF(ISNA(MATCH(B2150,Client_List!$B:$B,0)),"⚠ NOT FOUND","✓"))</f>
        <v/>
      </c>
    </row>
    <row r="2151" spans="1:12" ht="14" customHeight="1" x14ac:dyDescent="0.2">
      <c r="A2151" s="58"/>
      <c r="B2151" s="15"/>
      <c r="C2151" s="16" t="str">
        <f>IF(B2151="","",IFERROR(INDEX(Client_List!$C:$C,MATCH(B2151,Client_List!$B:$B,0)),""))</f>
        <v/>
      </c>
      <c r="D2151" s="16" t="str">
        <f>IF(B2151="","",IFERROR(INDEX(Client_List!$D:$D,MATCH(B2151,Client_List!$B:$B,0)),""))</f>
        <v/>
      </c>
      <c r="E2151" s="16" t="str">
        <f>IF(B2151="","",IFERROR(INDEX(Client_List!$K:$K,MATCH(B2151,Client_List!$B:$B,0)),""))</f>
        <v/>
      </c>
      <c r="F2151" s="16" t="str">
        <f>IF(B2151="","",IFERROR(INDEX(Client_List!$J:$J,MATCH(B2151,Client_List!$B:$B,0)),""))</f>
        <v/>
      </c>
      <c r="G2151" s="16"/>
      <c r="H2151" s="16" t="str">
        <f>IF(B2151="","",IFERROR(A2151-LOOKUP(2,1/($B$4:$B2150=B2151),$A$4:$A2150),""))</f>
        <v/>
      </c>
      <c r="I2151" s="16" t="str">
        <f t="shared" si="33"/>
        <v/>
      </c>
      <c r="J2151" s="16"/>
      <c r="K2151" s="6" t="str">
        <f>IF(B2151="","",IFERROR(AVERAGEIFS($I$4:$I2151,$B$4:$B2151,B2151,$I$4:$I2151,"&gt;"&amp;0),""))</f>
        <v/>
      </c>
      <c r="L2151" s="16" t="str">
        <f>IF(B2151="","",IF(ISNA(MATCH(B2151,Client_List!$B:$B,0)),"⚠ NOT FOUND","✓"))</f>
        <v/>
      </c>
    </row>
    <row r="2152" spans="1:12" ht="14" customHeight="1" x14ac:dyDescent="0.2">
      <c r="A2152" s="59"/>
      <c r="B2152" s="18"/>
      <c r="C2152" s="19" t="str">
        <f>IF(B2152="","",IFERROR(INDEX(Client_List!$C:$C,MATCH(B2152,Client_List!$B:$B,0)),""))</f>
        <v/>
      </c>
      <c r="D2152" s="19" t="str">
        <f>IF(B2152="","",IFERROR(INDEX(Client_List!$D:$D,MATCH(B2152,Client_List!$B:$B,0)),""))</f>
        <v/>
      </c>
      <c r="E2152" s="19" t="str">
        <f>IF(B2152="","",IFERROR(INDEX(Client_List!$K:$K,MATCH(B2152,Client_List!$B:$B,0)),""))</f>
        <v/>
      </c>
      <c r="F2152" s="19" t="str">
        <f>IF(B2152="","",IFERROR(INDEX(Client_List!$J:$J,MATCH(B2152,Client_List!$B:$B,0)),""))</f>
        <v/>
      </c>
      <c r="G2152" s="19"/>
      <c r="H2152" s="19" t="str">
        <f>IF(B2152="","",IFERROR(A2152-LOOKUP(2,1/($B$4:$B2151=B2152),$A$4:$A2151),""))</f>
        <v/>
      </c>
      <c r="I2152" s="19" t="str">
        <f t="shared" si="33"/>
        <v/>
      </c>
      <c r="J2152" s="19"/>
      <c r="K2152" s="6" t="str">
        <f>IF(B2152="","",IFERROR(AVERAGEIFS($I$4:$I2152,$B$4:$B2152,B2152,$I$4:$I2152,"&gt;"&amp;0),""))</f>
        <v/>
      </c>
      <c r="L2152" s="19" t="str">
        <f>IF(B2152="","",IF(ISNA(MATCH(B2152,Client_List!$B:$B,0)),"⚠ NOT FOUND","✓"))</f>
        <v/>
      </c>
    </row>
    <row r="2153" spans="1:12" ht="14" customHeight="1" x14ac:dyDescent="0.2">
      <c r="A2153" s="58"/>
      <c r="B2153" s="15"/>
      <c r="C2153" s="16" t="str">
        <f>IF(B2153="","",IFERROR(INDEX(Client_List!$C:$C,MATCH(B2153,Client_List!$B:$B,0)),""))</f>
        <v/>
      </c>
      <c r="D2153" s="16" t="str">
        <f>IF(B2153="","",IFERROR(INDEX(Client_List!$D:$D,MATCH(B2153,Client_List!$B:$B,0)),""))</f>
        <v/>
      </c>
      <c r="E2153" s="16" t="str">
        <f>IF(B2153="","",IFERROR(INDEX(Client_List!$K:$K,MATCH(B2153,Client_List!$B:$B,0)),""))</f>
        <v/>
      </c>
      <c r="F2153" s="16" t="str">
        <f>IF(B2153="","",IFERROR(INDEX(Client_List!$J:$J,MATCH(B2153,Client_List!$B:$B,0)),""))</f>
        <v/>
      </c>
      <c r="G2153" s="16"/>
      <c r="H2153" s="16" t="str">
        <f>IF(B2153="","",IFERROR(A2153-LOOKUP(2,1/($B$4:$B2152=B2153),$A$4:$A2152),""))</f>
        <v/>
      </c>
      <c r="I2153" s="16" t="str">
        <f t="shared" si="33"/>
        <v/>
      </c>
      <c r="J2153" s="16"/>
      <c r="K2153" s="6" t="str">
        <f>IF(B2153="","",IFERROR(AVERAGEIFS($I$4:$I2153,$B$4:$B2153,B2153,$I$4:$I2153,"&gt;"&amp;0),""))</f>
        <v/>
      </c>
      <c r="L2153" s="16" t="str">
        <f>IF(B2153="","",IF(ISNA(MATCH(B2153,Client_List!$B:$B,0)),"⚠ NOT FOUND","✓"))</f>
        <v/>
      </c>
    </row>
    <row r="2154" spans="1:12" ht="14" customHeight="1" x14ac:dyDescent="0.2">
      <c r="A2154" s="59"/>
      <c r="B2154" s="18"/>
      <c r="C2154" s="19" t="str">
        <f>IF(B2154="","",IFERROR(INDEX(Client_List!$C:$C,MATCH(B2154,Client_List!$B:$B,0)),""))</f>
        <v/>
      </c>
      <c r="D2154" s="19" t="str">
        <f>IF(B2154="","",IFERROR(INDEX(Client_List!$D:$D,MATCH(B2154,Client_List!$B:$B,0)),""))</f>
        <v/>
      </c>
      <c r="E2154" s="19" t="str">
        <f>IF(B2154="","",IFERROR(INDEX(Client_List!$K:$K,MATCH(B2154,Client_List!$B:$B,0)),""))</f>
        <v/>
      </c>
      <c r="F2154" s="19" t="str">
        <f>IF(B2154="","",IFERROR(INDEX(Client_List!$J:$J,MATCH(B2154,Client_List!$B:$B,0)),""))</f>
        <v/>
      </c>
      <c r="G2154" s="19"/>
      <c r="H2154" s="19" t="str">
        <f>IF(B2154="","",IFERROR(A2154-LOOKUP(2,1/($B$4:$B2153=B2154),$A$4:$A2153),""))</f>
        <v/>
      </c>
      <c r="I2154" s="19" t="str">
        <f t="shared" si="33"/>
        <v/>
      </c>
      <c r="J2154" s="19"/>
      <c r="K2154" s="6" t="str">
        <f>IF(B2154="","",IFERROR(AVERAGEIFS($I$4:$I2154,$B$4:$B2154,B2154,$I$4:$I2154,"&gt;"&amp;0),""))</f>
        <v/>
      </c>
      <c r="L2154" s="19" t="str">
        <f>IF(B2154="","",IF(ISNA(MATCH(B2154,Client_List!$B:$B,0)),"⚠ NOT FOUND","✓"))</f>
        <v/>
      </c>
    </row>
    <row r="2155" spans="1:12" ht="14" customHeight="1" x14ac:dyDescent="0.2">
      <c r="A2155" s="58"/>
      <c r="B2155" s="15"/>
      <c r="C2155" s="16" t="str">
        <f>IF(B2155="","",IFERROR(INDEX(Client_List!$C:$C,MATCH(B2155,Client_List!$B:$B,0)),""))</f>
        <v/>
      </c>
      <c r="D2155" s="16" t="str">
        <f>IF(B2155="","",IFERROR(INDEX(Client_List!$D:$D,MATCH(B2155,Client_List!$B:$B,0)),""))</f>
        <v/>
      </c>
      <c r="E2155" s="16" t="str">
        <f>IF(B2155="","",IFERROR(INDEX(Client_List!$K:$K,MATCH(B2155,Client_List!$B:$B,0)),""))</f>
        <v/>
      </c>
      <c r="F2155" s="16" t="str">
        <f>IF(B2155="","",IFERROR(INDEX(Client_List!$J:$J,MATCH(B2155,Client_List!$B:$B,0)),""))</f>
        <v/>
      </c>
      <c r="G2155" s="16"/>
      <c r="H2155" s="16" t="str">
        <f>IF(B2155="","",IFERROR(A2155-LOOKUP(2,1/($B$4:$B2154=B2155),$A$4:$A2154),""))</f>
        <v/>
      </c>
      <c r="I2155" s="16" t="str">
        <f t="shared" si="33"/>
        <v/>
      </c>
      <c r="J2155" s="16"/>
      <c r="K2155" s="6" t="str">
        <f>IF(B2155="","",IFERROR(AVERAGEIFS($I$4:$I2155,$B$4:$B2155,B2155,$I$4:$I2155,"&gt;"&amp;0),""))</f>
        <v/>
      </c>
      <c r="L2155" s="16" t="str">
        <f>IF(B2155="","",IF(ISNA(MATCH(B2155,Client_List!$B:$B,0)),"⚠ NOT FOUND","✓"))</f>
        <v/>
      </c>
    </row>
    <row r="2156" spans="1:12" ht="14" customHeight="1" x14ac:dyDescent="0.2">
      <c r="A2156" s="59"/>
      <c r="B2156" s="18"/>
      <c r="C2156" s="19" t="str">
        <f>IF(B2156="","",IFERROR(INDEX(Client_List!$C:$C,MATCH(B2156,Client_List!$B:$B,0)),""))</f>
        <v/>
      </c>
      <c r="D2156" s="19" t="str">
        <f>IF(B2156="","",IFERROR(INDEX(Client_List!$D:$D,MATCH(B2156,Client_List!$B:$B,0)),""))</f>
        <v/>
      </c>
      <c r="E2156" s="19" t="str">
        <f>IF(B2156="","",IFERROR(INDEX(Client_List!$K:$K,MATCH(B2156,Client_List!$B:$B,0)),""))</f>
        <v/>
      </c>
      <c r="F2156" s="19" t="str">
        <f>IF(B2156="","",IFERROR(INDEX(Client_List!$J:$J,MATCH(B2156,Client_List!$B:$B,0)),""))</f>
        <v/>
      </c>
      <c r="G2156" s="19"/>
      <c r="H2156" s="19" t="str">
        <f>IF(B2156="","",IFERROR(A2156-LOOKUP(2,1/($B$4:$B2155=B2156),$A$4:$A2155),""))</f>
        <v/>
      </c>
      <c r="I2156" s="19" t="str">
        <f t="shared" si="33"/>
        <v/>
      </c>
      <c r="J2156" s="19"/>
      <c r="K2156" s="6" t="str">
        <f>IF(B2156="","",IFERROR(AVERAGEIFS($I$4:$I2156,$B$4:$B2156,B2156,$I$4:$I2156,"&gt;"&amp;0),""))</f>
        <v/>
      </c>
      <c r="L2156" s="19" t="str">
        <f>IF(B2156="","",IF(ISNA(MATCH(B2156,Client_List!$B:$B,0)),"⚠ NOT FOUND","✓"))</f>
        <v/>
      </c>
    </row>
    <row r="2157" spans="1:12" ht="14" customHeight="1" x14ac:dyDescent="0.2">
      <c r="A2157" s="58"/>
      <c r="B2157" s="15"/>
      <c r="C2157" s="16" t="str">
        <f>IF(B2157="","",IFERROR(INDEX(Client_List!$C:$C,MATCH(B2157,Client_List!$B:$B,0)),""))</f>
        <v/>
      </c>
      <c r="D2157" s="16" t="str">
        <f>IF(B2157="","",IFERROR(INDEX(Client_List!$D:$D,MATCH(B2157,Client_List!$B:$B,0)),""))</f>
        <v/>
      </c>
      <c r="E2157" s="16" t="str">
        <f>IF(B2157="","",IFERROR(INDEX(Client_List!$K:$K,MATCH(B2157,Client_List!$B:$B,0)),""))</f>
        <v/>
      </c>
      <c r="F2157" s="16" t="str">
        <f>IF(B2157="","",IFERROR(INDEX(Client_List!$J:$J,MATCH(B2157,Client_List!$B:$B,0)),""))</f>
        <v/>
      </c>
      <c r="G2157" s="16"/>
      <c r="H2157" s="16" t="str">
        <f>IF(B2157="","",IFERROR(A2157-LOOKUP(2,1/($B$4:$B2156=B2157),$A$4:$A2156),""))</f>
        <v/>
      </c>
      <c r="I2157" s="16" t="str">
        <f t="shared" si="33"/>
        <v/>
      </c>
      <c r="J2157" s="16"/>
      <c r="K2157" s="6" t="str">
        <f>IF(B2157="","",IFERROR(AVERAGEIFS($I$4:$I2157,$B$4:$B2157,B2157,$I$4:$I2157,"&gt;"&amp;0),""))</f>
        <v/>
      </c>
      <c r="L2157" s="16" t="str">
        <f>IF(B2157="","",IF(ISNA(MATCH(B2157,Client_List!$B:$B,0)),"⚠ NOT FOUND","✓"))</f>
        <v/>
      </c>
    </row>
    <row r="2158" spans="1:12" ht="14" customHeight="1" x14ac:dyDescent="0.2">
      <c r="A2158" s="59"/>
      <c r="B2158" s="18"/>
      <c r="C2158" s="19" t="str">
        <f>IF(B2158="","",IFERROR(INDEX(Client_List!$C:$C,MATCH(B2158,Client_List!$B:$B,0)),""))</f>
        <v/>
      </c>
      <c r="D2158" s="19" t="str">
        <f>IF(B2158="","",IFERROR(INDEX(Client_List!$D:$D,MATCH(B2158,Client_List!$B:$B,0)),""))</f>
        <v/>
      </c>
      <c r="E2158" s="19" t="str">
        <f>IF(B2158="","",IFERROR(INDEX(Client_List!$K:$K,MATCH(B2158,Client_List!$B:$B,0)),""))</f>
        <v/>
      </c>
      <c r="F2158" s="19" t="str">
        <f>IF(B2158="","",IFERROR(INDEX(Client_List!$J:$J,MATCH(B2158,Client_List!$B:$B,0)),""))</f>
        <v/>
      </c>
      <c r="G2158" s="19"/>
      <c r="H2158" s="19" t="str">
        <f>IF(B2158="","",IFERROR(A2158-LOOKUP(2,1/($B$4:$B2157=B2158),$A$4:$A2157),""))</f>
        <v/>
      </c>
      <c r="I2158" s="19" t="str">
        <f t="shared" si="33"/>
        <v/>
      </c>
      <c r="J2158" s="19"/>
      <c r="K2158" s="6" t="str">
        <f>IF(B2158="","",IFERROR(AVERAGEIFS($I$4:$I2158,$B$4:$B2158,B2158,$I$4:$I2158,"&gt;"&amp;0),""))</f>
        <v/>
      </c>
      <c r="L2158" s="19" t="str">
        <f>IF(B2158="","",IF(ISNA(MATCH(B2158,Client_List!$B:$B,0)),"⚠ NOT FOUND","✓"))</f>
        <v/>
      </c>
    </row>
    <row r="2159" spans="1:12" ht="14" customHeight="1" x14ac:dyDescent="0.2">
      <c r="A2159" s="58"/>
      <c r="B2159" s="15"/>
      <c r="C2159" s="16" t="str">
        <f>IF(B2159="","",IFERROR(INDEX(Client_List!$C:$C,MATCH(B2159,Client_List!$B:$B,0)),""))</f>
        <v/>
      </c>
      <c r="D2159" s="16" t="str">
        <f>IF(B2159="","",IFERROR(INDEX(Client_List!$D:$D,MATCH(B2159,Client_List!$B:$B,0)),""))</f>
        <v/>
      </c>
      <c r="E2159" s="16" t="str">
        <f>IF(B2159="","",IFERROR(INDEX(Client_List!$K:$K,MATCH(B2159,Client_List!$B:$B,0)),""))</f>
        <v/>
      </c>
      <c r="F2159" s="16" t="str">
        <f>IF(B2159="","",IFERROR(INDEX(Client_List!$J:$J,MATCH(B2159,Client_List!$B:$B,0)),""))</f>
        <v/>
      </c>
      <c r="G2159" s="16"/>
      <c r="H2159" s="16" t="str">
        <f>IF(B2159="","",IFERROR(A2159-LOOKUP(2,1/($B$4:$B2158=B2159),$A$4:$A2158),""))</f>
        <v/>
      </c>
      <c r="I2159" s="16" t="str">
        <f t="shared" si="33"/>
        <v/>
      </c>
      <c r="J2159" s="16"/>
      <c r="K2159" s="6" t="str">
        <f>IF(B2159="","",IFERROR(AVERAGEIFS($I$4:$I2159,$B$4:$B2159,B2159,$I$4:$I2159,"&gt;"&amp;0),""))</f>
        <v/>
      </c>
      <c r="L2159" s="16" t="str">
        <f>IF(B2159="","",IF(ISNA(MATCH(B2159,Client_List!$B:$B,0)),"⚠ NOT FOUND","✓"))</f>
        <v/>
      </c>
    </row>
    <row r="2160" spans="1:12" ht="14" customHeight="1" x14ac:dyDescent="0.2">
      <c r="A2160" s="59"/>
      <c r="B2160" s="18"/>
      <c r="C2160" s="19" t="str">
        <f>IF(B2160="","",IFERROR(INDEX(Client_List!$C:$C,MATCH(B2160,Client_List!$B:$B,0)),""))</f>
        <v/>
      </c>
      <c r="D2160" s="19" t="str">
        <f>IF(B2160="","",IFERROR(INDEX(Client_List!$D:$D,MATCH(B2160,Client_List!$B:$B,0)),""))</f>
        <v/>
      </c>
      <c r="E2160" s="19" t="str">
        <f>IF(B2160="","",IFERROR(INDEX(Client_List!$K:$K,MATCH(B2160,Client_List!$B:$B,0)),""))</f>
        <v/>
      </c>
      <c r="F2160" s="19" t="str">
        <f>IF(B2160="","",IFERROR(INDEX(Client_List!$J:$J,MATCH(B2160,Client_List!$B:$B,0)),""))</f>
        <v/>
      </c>
      <c r="G2160" s="19"/>
      <c r="H2160" s="19" t="str">
        <f>IF(B2160="","",IFERROR(A2160-LOOKUP(2,1/($B$4:$B2159=B2160),$A$4:$A2159),""))</f>
        <v/>
      </c>
      <c r="I2160" s="19" t="str">
        <f t="shared" si="33"/>
        <v/>
      </c>
      <c r="J2160" s="19"/>
      <c r="K2160" s="6" t="str">
        <f>IF(B2160="","",IFERROR(AVERAGEIFS($I$4:$I2160,$B$4:$B2160,B2160,$I$4:$I2160,"&gt;"&amp;0),""))</f>
        <v/>
      </c>
      <c r="L2160" s="19" t="str">
        <f>IF(B2160="","",IF(ISNA(MATCH(B2160,Client_List!$B:$B,0)),"⚠ NOT FOUND","✓"))</f>
        <v/>
      </c>
    </row>
    <row r="2161" spans="1:12" ht="14" customHeight="1" x14ac:dyDescent="0.2">
      <c r="A2161" s="58"/>
      <c r="B2161" s="15"/>
      <c r="C2161" s="16" t="str">
        <f>IF(B2161="","",IFERROR(INDEX(Client_List!$C:$C,MATCH(B2161,Client_List!$B:$B,0)),""))</f>
        <v/>
      </c>
      <c r="D2161" s="16" t="str">
        <f>IF(B2161="","",IFERROR(INDEX(Client_List!$D:$D,MATCH(B2161,Client_List!$B:$B,0)),""))</f>
        <v/>
      </c>
      <c r="E2161" s="16" t="str">
        <f>IF(B2161="","",IFERROR(INDEX(Client_List!$K:$K,MATCH(B2161,Client_List!$B:$B,0)),""))</f>
        <v/>
      </c>
      <c r="F2161" s="16" t="str">
        <f>IF(B2161="","",IFERROR(INDEX(Client_List!$J:$J,MATCH(B2161,Client_List!$B:$B,0)),""))</f>
        <v/>
      </c>
      <c r="G2161" s="16"/>
      <c r="H2161" s="16" t="str">
        <f>IF(B2161="","",IFERROR(A2161-LOOKUP(2,1/($B$4:$B2160=B2161),$A$4:$A2160),""))</f>
        <v/>
      </c>
      <c r="I2161" s="16" t="str">
        <f t="shared" si="33"/>
        <v/>
      </c>
      <c r="J2161" s="16"/>
      <c r="K2161" s="6" t="str">
        <f>IF(B2161="","",IFERROR(AVERAGEIFS($I$4:$I2161,$B$4:$B2161,B2161,$I$4:$I2161,"&gt;"&amp;0),""))</f>
        <v/>
      </c>
      <c r="L2161" s="16" t="str">
        <f>IF(B2161="","",IF(ISNA(MATCH(B2161,Client_List!$B:$B,0)),"⚠ NOT FOUND","✓"))</f>
        <v/>
      </c>
    </row>
    <row r="2162" spans="1:12" ht="14" customHeight="1" x14ac:dyDescent="0.2">
      <c r="A2162" s="59"/>
      <c r="B2162" s="18"/>
      <c r="C2162" s="19" t="str">
        <f>IF(B2162="","",IFERROR(INDEX(Client_List!$C:$C,MATCH(B2162,Client_List!$B:$B,0)),""))</f>
        <v/>
      </c>
      <c r="D2162" s="19" t="str">
        <f>IF(B2162="","",IFERROR(INDEX(Client_List!$D:$D,MATCH(B2162,Client_List!$B:$B,0)),""))</f>
        <v/>
      </c>
      <c r="E2162" s="19" t="str">
        <f>IF(B2162="","",IFERROR(INDEX(Client_List!$K:$K,MATCH(B2162,Client_List!$B:$B,0)),""))</f>
        <v/>
      </c>
      <c r="F2162" s="19" t="str">
        <f>IF(B2162="","",IFERROR(INDEX(Client_List!$J:$J,MATCH(B2162,Client_List!$B:$B,0)),""))</f>
        <v/>
      </c>
      <c r="G2162" s="19"/>
      <c r="H2162" s="19" t="str">
        <f>IF(B2162="","",IFERROR(A2162-LOOKUP(2,1/($B$4:$B2161=B2162),$A$4:$A2161),""))</f>
        <v/>
      </c>
      <c r="I2162" s="19" t="str">
        <f t="shared" si="33"/>
        <v/>
      </c>
      <c r="J2162" s="19"/>
      <c r="K2162" s="6" t="str">
        <f>IF(B2162="","",IFERROR(AVERAGEIFS($I$4:$I2162,$B$4:$B2162,B2162,$I$4:$I2162,"&gt;"&amp;0),""))</f>
        <v/>
      </c>
      <c r="L2162" s="19" t="str">
        <f>IF(B2162="","",IF(ISNA(MATCH(B2162,Client_List!$B:$B,0)),"⚠ NOT FOUND","✓"))</f>
        <v/>
      </c>
    </row>
    <row r="2163" spans="1:12" ht="14" customHeight="1" x14ac:dyDescent="0.2">
      <c r="A2163" s="58"/>
      <c r="B2163" s="15"/>
      <c r="C2163" s="16" t="str">
        <f>IF(B2163="","",IFERROR(INDEX(Client_List!$C:$C,MATCH(B2163,Client_List!$B:$B,0)),""))</f>
        <v/>
      </c>
      <c r="D2163" s="16" t="str">
        <f>IF(B2163="","",IFERROR(INDEX(Client_List!$D:$D,MATCH(B2163,Client_List!$B:$B,0)),""))</f>
        <v/>
      </c>
      <c r="E2163" s="16" t="str">
        <f>IF(B2163="","",IFERROR(INDEX(Client_List!$K:$K,MATCH(B2163,Client_List!$B:$B,0)),""))</f>
        <v/>
      </c>
      <c r="F2163" s="16" t="str">
        <f>IF(B2163="","",IFERROR(INDEX(Client_List!$J:$J,MATCH(B2163,Client_List!$B:$B,0)),""))</f>
        <v/>
      </c>
      <c r="G2163" s="16"/>
      <c r="H2163" s="16" t="str">
        <f>IF(B2163="","",IFERROR(A2163-LOOKUP(2,1/($B$4:$B2162=B2163),$A$4:$A2162),""))</f>
        <v/>
      </c>
      <c r="I2163" s="16" t="str">
        <f t="shared" si="33"/>
        <v/>
      </c>
      <c r="J2163" s="16"/>
      <c r="K2163" s="6" t="str">
        <f>IF(B2163="","",IFERROR(AVERAGEIFS($I$4:$I2163,$B$4:$B2163,B2163,$I$4:$I2163,"&gt;"&amp;0),""))</f>
        <v/>
      </c>
      <c r="L2163" s="16" t="str">
        <f>IF(B2163="","",IF(ISNA(MATCH(B2163,Client_List!$B:$B,0)),"⚠ NOT FOUND","✓"))</f>
        <v/>
      </c>
    </row>
    <row r="2164" spans="1:12" ht="14" customHeight="1" x14ac:dyDescent="0.2">
      <c r="A2164" s="59"/>
      <c r="B2164" s="18"/>
      <c r="C2164" s="19" t="str">
        <f>IF(B2164="","",IFERROR(INDEX(Client_List!$C:$C,MATCH(B2164,Client_List!$B:$B,0)),""))</f>
        <v/>
      </c>
      <c r="D2164" s="19" t="str">
        <f>IF(B2164="","",IFERROR(INDEX(Client_List!$D:$D,MATCH(B2164,Client_List!$B:$B,0)),""))</f>
        <v/>
      </c>
      <c r="E2164" s="19" t="str">
        <f>IF(B2164="","",IFERROR(INDEX(Client_List!$K:$K,MATCH(B2164,Client_List!$B:$B,0)),""))</f>
        <v/>
      </c>
      <c r="F2164" s="19" t="str">
        <f>IF(B2164="","",IFERROR(INDEX(Client_List!$J:$J,MATCH(B2164,Client_List!$B:$B,0)),""))</f>
        <v/>
      </c>
      <c r="G2164" s="19"/>
      <c r="H2164" s="19" t="str">
        <f>IF(B2164="","",IFERROR(A2164-LOOKUP(2,1/($B$4:$B2163=B2164),$A$4:$A2163),""))</f>
        <v/>
      </c>
      <c r="I2164" s="19" t="str">
        <f t="shared" si="33"/>
        <v/>
      </c>
      <c r="J2164" s="19"/>
      <c r="K2164" s="6" t="str">
        <f>IF(B2164="","",IFERROR(AVERAGEIFS($I$4:$I2164,$B$4:$B2164,B2164,$I$4:$I2164,"&gt;"&amp;0),""))</f>
        <v/>
      </c>
      <c r="L2164" s="19" t="str">
        <f>IF(B2164="","",IF(ISNA(MATCH(B2164,Client_List!$B:$B,0)),"⚠ NOT FOUND","✓"))</f>
        <v/>
      </c>
    </row>
    <row r="2165" spans="1:12" ht="14" customHeight="1" x14ac:dyDescent="0.2">
      <c r="A2165" s="58"/>
      <c r="B2165" s="15"/>
      <c r="C2165" s="16" t="str">
        <f>IF(B2165="","",IFERROR(INDEX(Client_List!$C:$C,MATCH(B2165,Client_List!$B:$B,0)),""))</f>
        <v/>
      </c>
      <c r="D2165" s="16" t="str">
        <f>IF(B2165="","",IFERROR(INDEX(Client_List!$D:$D,MATCH(B2165,Client_List!$B:$B,0)),""))</f>
        <v/>
      </c>
      <c r="E2165" s="16" t="str">
        <f>IF(B2165="","",IFERROR(INDEX(Client_List!$K:$K,MATCH(B2165,Client_List!$B:$B,0)),""))</f>
        <v/>
      </c>
      <c r="F2165" s="16" t="str">
        <f>IF(B2165="","",IFERROR(INDEX(Client_List!$J:$J,MATCH(B2165,Client_List!$B:$B,0)),""))</f>
        <v/>
      </c>
      <c r="G2165" s="16"/>
      <c r="H2165" s="16" t="str">
        <f>IF(B2165="","",IFERROR(A2165-LOOKUP(2,1/($B$4:$B2164=B2165),$A$4:$A2164),""))</f>
        <v/>
      </c>
      <c r="I2165" s="16" t="str">
        <f t="shared" si="33"/>
        <v/>
      </c>
      <c r="J2165" s="16"/>
      <c r="K2165" s="6" t="str">
        <f>IF(B2165="","",IFERROR(AVERAGEIFS($I$4:$I2165,$B$4:$B2165,B2165,$I$4:$I2165,"&gt;"&amp;0),""))</f>
        <v/>
      </c>
      <c r="L2165" s="16" t="str">
        <f>IF(B2165="","",IF(ISNA(MATCH(B2165,Client_List!$B:$B,0)),"⚠ NOT FOUND","✓"))</f>
        <v/>
      </c>
    </row>
    <row r="2166" spans="1:12" ht="14" customHeight="1" x14ac:dyDescent="0.2">
      <c r="A2166" s="59"/>
      <c r="B2166" s="18"/>
      <c r="C2166" s="19" t="str">
        <f>IF(B2166="","",IFERROR(INDEX(Client_List!$C:$C,MATCH(B2166,Client_List!$B:$B,0)),""))</f>
        <v/>
      </c>
      <c r="D2166" s="19" t="str">
        <f>IF(B2166="","",IFERROR(INDEX(Client_List!$D:$D,MATCH(B2166,Client_List!$B:$B,0)),""))</f>
        <v/>
      </c>
      <c r="E2166" s="19" t="str">
        <f>IF(B2166="","",IFERROR(INDEX(Client_List!$K:$K,MATCH(B2166,Client_List!$B:$B,0)),""))</f>
        <v/>
      </c>
      <c r="F2166" s="19" t="str">
        <f>IF(B2166="","",IFERROR(INDEX(Client_List!$J:$J,MATCH(B2166,Client_List!$B:$B,0)),""))</f>
        <v/>
      </c>
      <c r="G2166" s="19"/>
      <c r="H2166" s="19" t="str">
        <f>IF(B2166="","",IFERROR(A2166-LOOKUP(2,1/($B$4:$B2165=B2166),$A$4:$A2165),""))</f>
        <v/>
      </c>
      <c r="I2166" s="19" t="str">
        <f t="shared" si="33"/>
        <v/>
      </c>
      <c r="J2166" s="19"/>
      <c r="K2166" s="6" t="str">
        <f>IF(B2166="","",IFERROR(AVERAGEIFS($I$4:$I2166,$B$4:$B2166,B2166,$I$4:$I2166,"&gt;"&amp;0),""))</f>
        <v/>
      </c>
      <c r="L2166" s="19" t="str">
        <f>IF(B2166="","",IF(ISNA(MATCH(B2166,Client_List!$B:$B,0)),"⚠ NOT FOUND","✓"))</f>
        <v/>
      </c>
    </row>
    <row r="2167" spans="1:12" ht="14" customHeight="1" x14ac:dyDescent="0.2">
      <c r="A2167" s="58"/>
      <c r="B2167" s="15"/>
      <c r="C2167" s="16" t="str">
        <f>IF(B2167="","",IFERROR(INDEX(Client_List!$C:$C,MATCH(B2167,Client_List!$B:$B,0)),""))</f>
        <v/>
      </c>
      <c r="D2167" s="16" t="str">
        <f>IF(B2167="","",IFERROR(INDEX(Client_List!$D:$D,MATCH(B2167,Client_List!$B:$B,0)),""))</f>
        <v/>
      </c>
      <c r="E2167" s="16" t="str">
        <f>IF(B2167="","",IFERROR(INDEX(Client_List!$K:$K,MATCH(B2167,Client_List!$B:$B,0)),""))</f>
        <v/>
      </c>
      <c r="F2167" s="16" t="str">
        <f>IF(B2167="","",IFERROR(INDEX(Client_List!$J:$J,MATCH(B2167,Client_List!$B:$B,0)),""))</f>
        <v/>
      </c>
      <c r="G2167" s="16"/>
      <c r="H2167" s="16" t="str">
        <f>IF(B2167="","",IFERROR(A2167-LOOKUP(2,1/($B$4:$B2166=B2167),$A$4:$A2166),""))</f>
        <v/>
      </c>
      <c r="I2167" s="16" t="str">
        <f t="shared" si="33"/>
        <v/>
      </c>
      <c r="J2167" s="16"/>
      <c r="K2167" s="6" t="str">
        <f>IF(B2167="","",IFERROR(AVERAGEIFS($I$4:$I2167,$B$4:$B2167,B2167,$I$4:$I2167,"&gt;"&amp;0),""))</f>
        <v/>
      </c>
      <c r="L2167" s="16" t="str">
        <f>IF(B2167="","",IF(ISNA(MATCH(B2167,Client_List!$B:$B,0)),"⚠ NOT FOUND","✓"))</f>
        <v/>
      </c>
    </row>
    <row r="2168" spans="1:12" ht="14" customHeight="1" x14ac:dyDescent="0.2">
      <c r="A2168" s="59"/>
      <c r="B2168" s="18"/>
      <c r="C2168" s="19" t="str">
        <f>IF(B2168="","",IFERROR(INDEX(Client_List!$C:$C,MATCH(B2168,Client_List!$B:$B,0)),""))</f>
        <v/>
      </c>
      <c r="D2168" s="19" t="str">
        <f>IF(B2168="","",IFERROR(INDEX(Client_List!$D:$D,MATCH(B2168,Client_List!$B:$B,0)),""))</f>
        <v/>
      </c>
      <c r="E2168" s="19" t="str">
        <f>IF(B2168="","",IFERROR(INDEX(Client_List!$K:$K,MATCH(B2168,Client_List!$B:$B,0)),""))</f>
        <v/>
      </c>
      <c r="F2168" s="19" t="str">
        <f>IF(B2168="","",IFERROR(INDEX(Client_List!$J:$J,MATCH(B2168,Client_List!$B:$B,0)),""))</f>
        <v/>
      </c>
      <c r="G2168" s="19"/>
      <c r="H2168" s="19" t="str">
        <f>IF(B2168="","",IFERROR(A2168-LOOKUP(2,1/($B$4:$B2167=B2168),$A$4:$A2167),""))</f>
        <v/>
      </c>
      <c r="I2168" s="19" t="str">
        <f t="shared" si="33"/>
        <v/>
      </c>
      <c r="J2168" s="19"/>
      <c r="K2168" s="6" t="str">
        <f>IF(B2168="","",IFERROR(AVERAGEIFS($I$4:$I2168,$B$4:$B2168,B2168,$I$4:$I2168,"&gt;"&amp;0),""))</f>
        <v/>
      </c>
      <c r="L2168" s="19" t="str">
        <f>IF(B2168="","",IF(ISNA(MATCH(B2168,Client_List!$B:$B,0)),"⚠ NOT FOUND","✓"))</f>
        <v/>
      </c>
    </row>
    <row r="2169" spans="1:12" ht="14" customHeight="1" x14ac:dyDescent="0.2">
      <c r="A2169" s="58"/>
      <c r="B2169" s="15"/>
      <c r="C2169" s="16" t="str">
        <f>IF(B2169="","",IFERROR(INDEX(Client_List!$C:$C,MATCH(B2169,Client_List!$B:$B,0)),""))</f>
        <v/>
      </c>
      <c r="D2169" s="16" t="str">
        <f>IF(B2169="","",IFERROR(INDEX(Client_List!$D:$D,MATCH(B2169,Client_List!$B:$B,0)),""))</f>
        <v/>
      </c>
      <c r="E2169" s="16" t="str">
        <f>IF(B2169="","",IFERROR(INDEX(Client_List!$K:$K,MATCH(B2169,Client_List!$B:$B,0)),""))</f>
        <v/>
      </c>
      <c r="F2169" s="16" t="str">
        <f>IF(B2169="","",IFERROR(INDEX(Client_List!$J:$J,MATCH(B2169,Client_List!$B:$B,0)),""))</f>
        <v/>
      </c>
      <c r="G2169" s="16"/>
      <c r="H2169" s="16" t="str">
        <f>IF(B2169="","",IFERROR(A2169-LOOKUP(2,1/($B$4:$B2168=B2169),$A$4:$A2168),""))</f>
        <v/>
      </c>
      <c r="I2169" s="16" t="str">
        <f t="shared" si="33"/>
        <v/>
      </c>
      <c r="J2169" s="16"/>
      <c r="K2169" s="6" t="str">
        <f>IF(B2169="","",IFERROR(AVERAGEIFS($I$4:$I2169,$B$4:$B2169,B2169,$I$4:$I2169,"&gt;"&amp;0),""))</f>
        <v/>
      </c>
      <c r="L2169" s="16" t="str">
        <f>IF(B2169="","",IF(ISNA(MATCH(B2169,Client_List!$B:$B,0)),"⚠ NOT FOUND","✓"))</f>
        <v/>
      </c>
    </row>
    <row r="2170" spans="1:12" ht="14" customHeight="1" x14ac:dyDescent="0.2">
      <c r="A2170" s="59"/>
      <c r="B2170" s="18"/>
      <c r="C2170" s="19" t="str">
        <f>IF(B2170="","",IFERROR(INDEX(Client_List!$C:$C,MATCH(B2170,Client_List!$B:$B,0)),""))</f>
        <v/>
      </c>
      <c r="D2170" s="19" t="str">
        <f>IF(B2170="","",IFERROR(INDEX(Client_List!$D:$D,MATCH(B2170,Client_List!$B:$B,0)),""))</f>
        <v/>
      </c>
      <c r="E2170" s="19" t="str">
        <f>IF(B2170="","",IFERROR(INDEX(Client_List!$K:$K,MATCH(B2170,Client_List!$B:$B,0)),""))</f>
        <v/>
      </c>
      <c r="F2170" s="19" t="str">
        <f>IF(B2170="","",IFERROR(INDEX(Client_List!$J:$J,MATCH(B2170,Client_List!$B:$B,0)),""))</f>
        <v/>
      </c>
      <c r="G2170" s="19"/>
      <c r="H2170" s="19" t="str">
        <f>IF(B2170="","",IFERROR(A2170-LOOKUP(2,1/($B$4:$B2169=B2170),$A$4:$A2169),""))</f>
        <v/>
      </c>
      <c r="I2170" s="19" t="str">
        <f t="shared" si="33"/>
        <v/>
      </c>
      <c r="J2170" s="19"/>
      <c r="K2170" s="6" t="str">
        <f>IF(B2170="","",IFERROR(AVERAGEIFS($I$4:$I2170,$B$4:$B2170,B2170,$I$4:$I2170,"&gt;"&amp;0),""))</f>
        <v/>
      </c>
      <c r="L2170" s="19" t="str">
        <f>IF(B2170="","",IF(ISNA(MATCH(B2170,Client_List!$B:$B,0)),"⚠ NOT FOUND","✓"))</f>
        <v/>
      </c>
    </row>
    <row r="2171" spans="1:12" ht="14" customHeight="1" x14ac:dyDescent="0.2">
      <c r="A2171" s="58"/>
      <c r="B2171" s="15"/>
      <c r="C2171" s="16" t="str">
        <f>IF(B2171="","",IFERROR(INDEX(Client_List!$C:$C,MATCH(B2171,Client_List!$B:$B,0)),""))</f>
        <v/>
      </c>
      <c r="D2171" s="16" t="str">
        <f>IF(B2171="","",IFERROR(INDEX(Client_List!$D:$D,MATCH(B2171,Client_List!$B:$B,0)),""))</f>
        <v/>
      </c>
      <c r="E2171" s="16" t="str">
        <f>IF(B2171="","",IFERROR(INDEX(Client_List!$K:$K,MATCH(B2171,Client_List!$B:$B,0)),""))</f>
        <v/>
      </c>
      <c r="F2171" s="16" t="str">
        <f>IF(B2171="","",IFERROR(INDEX(Client_List!$J:$J,MATCH(B2171,Client_List!$B:$B,0)),""))</f>
        <v/>
      </c>
      <c r="G2171" s="16"/>
      <c r="H2171" s="16" t="str">
        <f>IF(B2171="","",IFERROR(A2171-LOOKUP(2,1/($B$4:$B2170=B2171),$A$4:$A2170),""))</f>
        <v/>
      </c>
      <c r="I2171" s="16" t="str">
        <f t="shared" si="33"/>
        <v/>
      </c>
      <c r="J2171" s="16"/>
      <c r="K2171" s="6" t="str">
        <f>IF(B2171="","",IFERROR(AVERAGEIFS($I$4:$I2171,$B$4:$B2171,B2171,$I$4:$I2171,"&gt;"&amp;0),""))</f>
        <v/>
      </c>
      <c r="L2171" s="16" t="str">
        <f>IF(B2171="","",IF(ISNA(MATCH(B2171,Client_List!$B:$B,0)),"⚠ NOT FOUND","✓"))</f>
        <v/>
      </c>
    </row>
    <row r="2172" spans="1:12" ht="14" customHeight="1" x14ac:dyDescent="0.2">
      <c r="A2172" s="59"/>
      <c r="B2172" s="18"/>
      <c r="C2172" s="19" t="str">
        <f>IF(B2172="","",IFERROR(INDEX(Client_List!$C:$C,MATCH(B2172,Client_List!$B:$B,0)),""))</f>
        <v/>
      </c>
      <c r="D2172" s="19" t="str">
        <f>IF(B2172="","",IFERROR(INDEX(Client_List!$D:$D,MATCH(B2172,Client_List!$B:$B,0)),""))</f>
        <v/>
      </c>
      <c r="E2172" s="19" t="str">
        <f>IF(B2172="","",IFERROR(INDEX(Client_List!$K:$K,MATCH(B2172,Client_List!$B:$B,0)),""))</f>
        <v/>
      </c>
      <c r="F2172" s="19" t="str">
        <f>IF(B2172="","",IFERROR(INDEX(Client_List!$J:$J,MATCH(B2172,Client_List!$B:$B,0)),""))</f>
        <v/>
      </c>
      <c r="G2172" s="19"/>
      <c r="H2172" s="19" t="str">
        <f>IF(B2172="","",IFERROR(A2172-LOOKUP(2,1/($B$4:$B2171=B2172),$A$4:$A2171),""))</f>
        <v/>
      </c>
      <c r="I2172" s="19" t="str">
        <f t="shared" si="33"/>
        <v/>
      </c>
      <c r="J2172" s="19"/>
      <c r="K2172" s="6" t="str">
        <f>IF(B2172="","",IFERROR(AVERAGEIFS($I$4:$I2172,$B$4:$B2172,B2172,$I$4:$I2172,"&gt;"&amp;0),""))</f>
        <v/>
      </c>
      <c r="L2172" s="19" t="str">
        <f>IF(B2172="","",IF(ISNA(MATCH(B2172,Client_List!$B:$B,0)),"⚠ NOT FOUND","✓"))</f>
        <v/>
      </c>
    </row>
    <row r="2173" spans="1:12" ht="14" customHeight="1" x14ac:dyDescent="0.2">
      <c r="A2173" s="58"/>
      <c r="B2173" s="15"/>
      <c r="C2173" s="16" t="str">
        <f>IF(B2173="","",IFERROR(INDEX(Client_List!$C:$C,MATCH(B2173,Client_List!$B:$B,0)),""))</f>
        <v/>
      </c>
      <c r="D2173" s="16" t="str">
        <f>IF(B2173="","",IFERROR(INDEX(Client_List!$D:$D,MATCH(B2173,Client_List!$B:$B,0)),""))</f>
        <v/>
      </c>
      <c r="E2173" s="16" t="str">
        <f>IF(B2173="","",IFERROR(INDEX(Client_List!$K:$K,MATCH(B2173,Client_List!$B:$B,0)),""))</f>
        <v/>
      </c>
      <c r="F2173" s="16" t="str">
        <f>IF(B2173="","",IFERROR(INDEX(Client_List!$J:$J,MATCH(B2173,Client_List!$B:$B,0)),""))</f>
        <v/>
      </c>
      <c r="G2173" s="16"/>
      <c r="H2173" s="16" t="str">
        <f>IF(B2173="","",IFERROR(A2173-LOOKUP(2,1/($B$4:$B2172=B2173),$A$4:$A2172),""))</f>
        <v/>
      </c>
      <c r="I2173" s="16" t="str">
        <f t="shared" si="33"/>
        <v/>
      </c>
      <c r="J2173" s="16"/>
      <c r="K2173" s="6" t="str">
        <f>IF(B2173="","",IFERROR(AVERAGEIFS($I$4:$I2173,$B$4:$B2173,B2173,$I$4:$I2173,"&gt;"&amp;0),""))</f>
        <v/>
      </c>
      <c r="L2173" s="16" t="str">
        <f>IF(B2173="","",IF(ISNA(MATCH(B2173,Client_List!$B:$B,0)),"⚠ NOT FOUND","✓"))</f>
        <v/>
      </c>
    </row>
    <row r="2174" spans="1:12" ht="14" customHeight="1" x14ac:dyDescent="0.2">
      <c r="A2174" s="59"/>
      <c r="B2174" s="18"/>
      <c r="C2174" s="19" t="str">
        <f>IF(B2174="","",IFERROR(INDEX(Client_List!$C:$C,MATCH(B2174,Client_List!$B:$B,0)),""))</f>
        <v/>
      </c>
      <c r="D2174" s="19" t="str">
        <f>IF(B2174="","",IFERROR(INDEX(Client_List!$D:$D,MATCH(B2174,Client_List!$B:$B,0)),""))</f>
        <v/>
      </c>
      <c r="E2174" s="19" t="str">
        <f>IF(B2174="","",IFERROR(INDEX(Client_List!$K:$K,MATCH(B2174,Client_List!$B:$B,0)),""))</f>
        <v/>
      </c>
      <c r="F2174" s="19" t="str">
        <f>IF(B2174="","",IFERROR(INDEX(Client_List!$J:$J,MATCH(B2174,Client_List!$B:$B,0)),""))</f>
        <v/>
      </c>
      <c r="G2174" s="19"/>
      <c r="H2174" s="19" t="str">
        <f>IF(B2174="","",IFERROR(A2174-LOOKUP(2,1/($B$4:$B2173=B2174),$A$4:$A2173),""))</f>
        <v/>
      </c>
      <c r="I2174" s="19" t="str">
        <f t="shared" si="33"/>
        <v/>
      </c>
      <c r="J2174" s="19"/>
      <c r="K2174" s="6" t="str">
        <f>IF(B2174="","",IFERROR(AVERAGEIFS($I$4:$I2174,$B$4:$B2174,B2174,$I$4:$I2174,"&gt;"&amp;0),""))</f>
        <v/>
      </c>
      <c r="L2174" s="19" t="str">
        <f>IF(B2174="","",IF(ISNA(MATCH(B2174,Client_List!$B:$B,0)),"⚠ NOT FOUND","✓"))</f>
        <v/>
      </c>
    </row>
    <row r="2175" spans="1:12" ht="14" customHeight="1" x14ac:dyDescent="0.2">
      <c r="A2175" s="58"/>
      <c r="B2175" s="15"/>
      <c r="C2175" s="16" t="str">
        <f>IF(B2175="","",IFERROR(INDEX(Client_List!$C:$C,MATCH(B2175,Client_List!$B:$B,0)),""))</f>
        <v/>
      </c>
      <c r="D2175" s="16" t="str">
        <f>IF(B2175="","",IFERROR(INDEX(Client_List!$D:$D,MATCH(B2175,Client_List!$B:$B,0)),""))</f>
        <v/>
      </c>
      <c r="E2175" s="16" t="str">
        <f>IF(B2175="","",IFERROR(INDEX(Client_List!$K:$K,MATCH(B2175,Client_List!$B:$B,0)),""))</f>
        <v/>
      </c>
      <c r="F2175" s="16" t="str">
        <f>IF(B2175="","",IFERROR(INDEX(Client_List!$J:$J,MATCH(B2175,Client_List!$B:$B,0)),""))</f>
        <v/>
      </c>
      <c r="G2175" s="16"/>
      <c r="H2175" s="16" t="str">
        <f>IF(B2175="","",IFERROR(A2175-LOOKUP(2,1/($B$4:$B2174=B2175),$A$4:$A2174),""))</f>
        <v/>
      </c>
      <c r="I2175" s="16" t="str">
        <f t="shared" si="33"/>
        <v/>
      </c>
      <c r="J2175" s="16"/>
      <c r="K2175" s="6" t="str">
        <f>IF(B2175="","",IFERROR(AVERAGEIFS($I$4:$I2175,$B$4:$B2175,B2175,$I$4:$I2175,"&gt;"&amp;0),""))</f>
        <v/>
      </c>
      <c r="L2175" s="16" t="str">
        <f>IF(B2175="","",IF(ISNA(MATCH(B2175,Client_List!$B:$B,0)),"⚠ NOT FOUND","✓"))</f>
        <v/>
      </c>
    </row>
    <row r="2176" spans="1:12" ht="14" customHeight="1" x14ac:dyDescent="0.2">
      <c r="A2176" s="59"/>
      <c r="B2176" s="18"/>
      <c r="C2176" s="19" t="str">
        <f>IF(B2176="","",IFERROR(INDEX(Client_List!$C:$C,MATCH(B2176,Client_List!$B:$B,0)),""))</f>
        <v/>
      </c>
      <c r="D2176" s="19" t="str">
        <f>IF(B2176="","",IFERROR(INDEX(Client_List!$D:$D,MATCH(B2176,Client_List!$B:$B,0)),""))</f>
        <v/>
      </c>
      <c r="E2176" s="19" t="str">
        <f>IF(B2176="","",IFERROR(INDEX(Client_List!$K:$K,MATCH(B2176,Client_List!$B:$B,0)),""))</f>
        <v/>
      </c>
      <c r="F2176" s="19" t="str">
        <f>IF(B2176="","",IFERROR(INDEX(Client_List!$J:$J,MATCH(B2176,Client_List!$B:$B,0)),""))</f>
        <v/>
      </c>
      <c r="G2176" s="19"/>
      <c r="H2176" s="19" t="str">
        <f>IF(B2176="","",IFERROR(A2176-LOOKUP(2,1/($B$4:$B2175=B2176),$A$4:$A2175),""))</f>
        <v/>
      </c>
      <c r="I2176" s="19" t="str">
        <f t="shared" si="33"/>
        <v/>
      </c>
      <c r="J2176" s="19"/>
      <c r="K2176" s="6" t="str">
        <f>IF(B2176="","",IFERROR(AVERAGEIFS($I$4:$I2176,$B$4:$B2176,B2176,$I$4:$I2176,"&gt;"&amp;0),""))</f>
        <v/>
      </c>
      <c r="L2176" s="19" t="str">
        <f>IF(B2176="","",IF(ISNA(MATCH(B2176,Client_List!$B:$B,0)),"⚠ NOT FOUND","✓"))</f>
        <v/>
      </c>
    </row>
    <row r="2177" spans="1:12" ht="14" customHeight="1" x14ac:dyDescent="0.2">
      <c r="A2177" s="58"/>
      <c r="B2177" s="15"/>
      <c r="C2177" s="16" t="str">
        <f>IF(B2177="","",IFERROR(INDEX(Client_List!$C:$C,MATCH(B2177,Client_List!$B:$B,0)),""))</f>
        <v/>
      </c>
      <c r="D2177" s="16" t="str">
        <f>IF(B2177="","",IFERROR(INDEX(Client_List!$D:$D,MATCH(B2177,Client_List!$B:$B,0)),""))</f>
        <v/>
      </c>
      <c r="E2177" s="16" t="str">
        <f>IF(B2177="","",IFERROR(INDEX(Client_List!$K:$K,MATCH(B2177,Client_List!$B:$B,0)),""))</f>
        <v/>
      </c>
      <c r="F2177" s="16" t="str">
        <f>IF(B2177="","",IFERROR(INDEX(Client_List!$J:$J,MATCH(B2177,Client_List!$B:$B,0)),""))</f>
        <v/>
      </c>
      <c r="G2177" s="16"/>
      <c r="H2177" s="16" t="str">
        <f>IF(B2177="","",IFERROR(A2177-LOOKUP(2,1/($B$4:$B2176=B2177),$A$4:$A2176),""))</f>
        <v/>
      </c>
      <c r="I2177" s="16" t="str">
        <f t="shared" si="33"/>
        <v/>
      </c>
      <c r="J2177" s="16"/>
      <c r="K2177" s="6" t="str">
        <f>IF(B2177="","",IFERROR(AVERAGEIFS($I$4:$I2177,$B$4:$B2177,B2177,$I$4:$I2177,"&gt;"&amp;0),""))</f>
        <v/>
      </c>
      <c r="L2177" s="16" t="str">
        <f>IF(B2177="","",IF(ISNA(MATCH(B2177,Client_List!$B:$B,0)),"⚠ NOT FOUND","✓"))</f>
        <v/>
      </c>
    </row>
    <row r="2178" spans="1:12" ht="14" customHeight="1" x14ac:dyDescent="0.2">
      <c r="A2178" s="59"/>
      <c r="B2178" s="18"/>
      <c r="C2178" s="19" t="str">
        <f>IF(B2178="","",IFERROR(INDEX(Client_List!$C:$C,MATCH(B2178,Client_List!$B:$B,0)),""))</f>
        <v/>
      </c>
      <c r="D2178" s="19" t="str">
        <f>IF(B2178="","",IFERROR(INDEX(Client_List!$D:$D,MATCH(B2178,Client_List!$B:$B,0)),""))</f>
        <v/>
      </c>
      <c r="E2178" s="19" t="str">
        <f>IF(B2178="","",IFERROR(INDEX(Client_List!$K:$K,MATCH(B2178,Client_List!$B:$B,0)),""))</f>
        <v/>
      </c>
      <c r="F2178" s="19" t="str">
        <f>IF(B2178="","",IFERROR(INDEX(Client_List!$J:$J,MATCH(B2178,Client_List!$B:$B,0)),""))</f>
        <v/>
      </c>
      <c r="G2178" s="19"/>
      <c r="H2178" s="19" t="str">
        <f>IF(B2178="","",IFERROR(A2178-LOOKUP(2,1/($B$4:$B2177=B2178),$A$4:$A2177),""))</f>
        <v/>
      </c>
      <c r="I2178" s="19" t="str">
        <f t="shared" si="33"/>
        <v/>
      </c>
      <c r="J2178" s="19"/>
      <c r="K2178" s="6" t="str">
        <f>IF(B2178="","",IFERROR(AVERAGEIFS($I$4:$I2178,$B$4:$B2178,B2178,$I$4:$I2178,"&gt;"&amp;0),""))</f>
        <v/>
      </c>
      <c r="L2178" s="19" t="str">
        <f>IF(B2178="","",IF(ISNA(MATCH(B2178,Client_List!$B:$B,0)),"⚠ NOT FOUND","✓"))</f>
        <v/>
      </c>
    </row>
    <row r="2179" spans="1:12" ht="14" customHeight="1" x14ac:dyDescent="0.2">
      <c r="A2179" s="58"/>
      <c r="B2179" s="15"/>
      <c r="C2179" s="16" t="str">
        <f>IF(B2179="","",IFERROR(INDEX(Client_List!$C:$C,MATCH(B2179,Client_List!$B:$B,0)),""))</f>
        <v/>
      </c>
      <c r="D2179" s="16" t="str">
        <f>IF(B2179="","",IFERROR(INDEX(Client_List!$D:$D,MATCH(B2179,Client_List!$B:$B,0)),""))</f>
        <v/>
      </c>
      <c r="E2179" s="16" t="str">
        <f>IF(B2179="","",IFERROR(INDEX(Client_List!$K:$K,MATCH(B2179,Client_List!$B:$B,0)),""))</f>
        <v/>
      </c>
      <c r="F2179" s="16" t="str">
        <f>IF(B2179="","",IFERROR(INDEX(Client_List!$J:$J,MATCH(B2179,Client_List!$B:$B,0)),""))</f>
        <v/>
      </c>
      <c r="G2179" s="16"/>
      <c r="H2179" s="16" t="str">
        <f>IF(B2179="","",IFERROR(A2179-LOOKUP(2,1/($B$4:$B2178=B2179),$A$4:$A2178),""))</f>
        <v/>
      </c>
      <c r="I2179" s="16" t="str">
        <f t="shared" si="33"/>
        <v/>
      </c>
      <c r="J2179" s="16"/>
      <c r="K2179" s="6" t="str">
        <f>IF(B2179="","",IFERROR(AVERAGEIFS($I$4:$I2179,$B$4:$B2179,B2179,$I$4:$I2179,"&gt;"&amp;0),""))</f>
        <v/>
      </c>
      <c r="L2179" s="16" t="str">
        <f>IF(B2179="","",IF(ISNA(MATCH(B2179,Client_List!$B:$B,0)),"⚠ NOT FOUND","✓"))</f>
        <v/>
      </c>
    </row>
    <row r="2180" spans="1:12" ht="14" customHeight="1" x14ac:dyDescent="0.2">
      <c r="A2180" s="59"/>
      <c r="B2180" s="18"/>
      <c r="C2180" s="19" t="str">
        <f>IF(B2180="","",IFERROR(INDEX(Client_List!$C:$C,MATCH(B2180,Client_List!$B:$B,0)),""))</f>
        <v/>
      </c>
      <c r="D2180" s="19" t="str">
        <f>IF(B2180="","",IFERROR(INDEX(Client_List!$D:$D,MATCH(B2180,Client_List!$B:$B,0)),""))</f>
        <v/>
      </c>
      <c r="E2180" s="19" t="str">
        <f>IF(B2180="","",IFERROR(INDEX(Client_List!$K:$K,MATCH(B2180,Client_List!$B:$B,0)),""))</f>
        <v/>
      </c>
      <c r="F2180" s="19" t="str">
        <f>IF(B2180="","",IFERROR(INDEX(Client_List!$J:$J,MATCH(B2180,Client_List!$B:$B,0)),""))</f>
        <v/>
      </c>
      <c r="G2180" s="19"/>
      <c r="H2180" s="19" t="str">
        <f>IF(B2180="","",IFERROR(A2180-LOOKUP(2,1/($B$4:$B2179=B2180),$A$4:$A2179),""))</f>
        <v/>
      </c>
      <c r="I2180" s="19" t="str">
        <f t="shared" ref="I2180:I2243" si="34">IF(B2180="","",IFERROR(G2180/H2180,""))</f>
        <v/>
      </c>
      <c r="J2180" s="19"/>
      <c r="K2180" s="6" t="str">
        <f>IF(B2180="","",IFERROR(AVERAGEIFS($I$4:$I2180,$B$4:$B2180,B2180,$I$4:$I2180,"&gt;"&amp;0),""))</f>
        <v/>
      </c>
      <c r="L2180" s="19" t="str">
        <f>IF(B2180="","",IF(ISNA(MATCH(B2180,Client_List!$B:$B,0)),"⚠ NOT FOUND","✓"))</f>
        <v/>
      </c>
    </row>
    <row r="2181" spans="1:12" ht="14" customHeight="1" x14ac:dyDescent="0.2">
      <c r="A2181" s="58"/>
      <c r="B2181" s="15"/>
      <c r="C2181" s="16" t="str">
        <f>IF(B2181="","",IFERROR(INDEX(Client_List!$C:$C,MATCH(B2181,Client_List!$B:$B,0)),""))</f>
        <v/>
      </c>
      <c r="D2181" s="16" t="str">
        <f>IF(B2181="","",IFERROR(INDEX(Client_List!$D:$D,MATCH(B2181,Client_List!$B:$B,0)),""))</f>
        <v/>
      </c>
      <c r="E2181" s="16" t="str">
        <f>IF(B2181="","",IFERROR(INDEX(Client_List!$K:$K,MATCH(B2181,Client_List!$B:$B,0)),""))</f>
        <v/>
      </c>
      <c r="F2181" s="16" t="str">
        <f>IF(B2181="","",IFERROR(INDEX(Client_List!$J:$J,MATCH(B2181,Client_List!$B:$B,0)),""))</f>
        <v/>
      </c>
      <c r="G2181" s="16"/>
      <c r="H2181" s="16" t="str">
        <f>IF(B2181="","",IFERROR(A2181-LOOKUP(2,1/($B$4:$B2180=B2181),$A$4:$A2180),""))</f>
        <v/>
      </c>
      <c r="I2181" s="16" t="str">
        <f t="shared" si="34"/>
        <v/>
      </c>
      <c r="J2181" s="16"/>
      <c r="K2181" s="6" t="str">
        <f>IF(B2181="","",IFERROR(AVERAGEIFS($I$4:$I2181,$B$4:$B2181,B2181,$I$4:$I2181,"&gt;"&amp;0),""))</f>
        <v/>
      </c>
      <c r="L2181" s="16" t="str">
        <f>IF(B2181="","",IF(ISNA(MATCH(B2181,Client_List!$B:$B,0)),"⚠ NOT FOUND","✓"))</f>
        <v/>
      </c>
    </row>
    <row r="2182" spans="1:12" ht="14" customHeight="1" x14ac:dyDescent="0.2">
      <c r="A2182" s="59"/>
      <c r="B2182" s="18"/>
      <c r="C2182" s="19" t="str">
        <f>IF(B2182="","",IFERROR(INDEX(Client_List!$C:$C,MATCH(B2182,Client_List!$B:$B,0)),""))</f>
        <v/>
      </c>
      <c r="D2182" s="19" t="str">
        <f>IF(B2182="","",IFERROR(INDEX(Client_List!$D:$D,MATCH(B2182,Client_List!$B:$B,0)),""))</f>
        <v/>
      </c>
      <c r="E2182" s="19" t="str">
        <f>IF(B2182="","",IFERROR(INDEX(Client_List!$K:$K,MATCH(B2182,Client_List!$B:$B,0)),""))</f>
        <v/>
      </c>
      <c r="F2182" s="19" t="str">
        <f>IF(B2182="","",IFERROR(INDEX(Client_List!$J:$J,MATCH(B2182,Client_List!$B:$B,0)),""))</f>
        <v/>
      </c>
      <c r="G2182" s="19"/>
      <c r="H2182" s="19" t="str">
        <f>IF(B2182="","",IFERROR(A2182-LOOKUP(2,1/($B$4:$B2181=B2182),$A$4:$A2181),""))</f>
        <v/>
      </c>
      <c r="I2182" s="19" t="str">
        <f t="shared" si="34"/>
        <v/>
      </c>
      <c r="J2182" s="19"/>
      <c r="K2182" s="6" t="str">
        <f>IF(B2182="","",IFERROR(AVERAGEIFS($I$4:$I2182,$B$4:$B2182,B2182,$I$4:$I2182,"&gt;"&amp;0),""))</f>
        <v/>
      </c>
      <c r="L2182" s="19" t="str">
        <f>IF(B2182="","",IF(ISNA(MATCH(B2182,Client_List!$B:$B,0)),"⚠ NOT FOUND","✓"))</f>
        <v/>
      </c>
    </row>
    <row r="2183" spans="1:12" ht="14" customHeight="1" x14ac:dyDescent="0.2">
      <c r="A2183" s="58"/>
      <c r="B2183" s="15"/>
      <c r="C2183" s="16" t="str">
        <f>IF(B2183="","",IFERROR(INDEX(Client_List!$C:$C,MATCH(B2183,Client_List!$B:$B,0)),""))</f>
        <v/>
      </c>
      <c r="D2183" s="16" t="str">
        <f>IF(B2183="","",IFERROR(INDEX(Client_List!$D:$D,MATCH(B2183,Client_List!$B:$B,0)),""))</f>
        <v/>
      </c>
      <c r="E2183" s="16" t="str">
        <f>IF(B2183="","",IFERROR(INDEX(Client_List!$K:$K,MATCH(B2183,Client_List!$B:$B,0)),""))</f>
        <v/>
      </c>
      <c r="F2183" s="16" t="str">
        <f>IF(B2183="","",IFERROR(INDEX(Client_List!$J:$J,MATCH(B2183,Client_List!$B:$B,0)),""))</f>
        <v/>
      </c>
      <c r="G2183" s="16"/>
      <c r="H2183" s="16" t="str">
        <f>IF(B2183="","",IFERROR(A2183-LOOKUP(2,1/($B$4:$B2182=B2183),$A$4:$A2182),""))</f>
        <v/>
      </c>
      <c r="I2183" s="16" t="str">
        <f t="shared" si="34"/>
        <v/>
      </c>
      <c r="J2183" s="16"/>
      <c r="K2183" s="6" t="str">
        <f>IF(B2183="","",IFERROR(AVERAGEIFS($I$4:$I2183,$B$4:$B2183,B2183,$I$4:$I2183,"&gt;"&amp;0),""))</f>
        <v/>
      </c>
      <c r="L2183" s="16" t="str">
        <f>IF(B2183="","",IF(ISNA(MATCH(B2183,Client_List!$B:$B,0)),"⚠ NOT FOUND","✓"))</f>
        <v/>
      </c>
    </row>
    <row r="2184" spans="1:12" ht="14" customHeight="1" x14ac:dyDescent="0.2">
      <c r="A2184" s="59"/>
      <c r="B2184" s="18"/>
      <c r="C2184" s="19" t="str">
        <f>IF(B2184="","",IFERROR(INDEX(Client_List!$C:$C,MATCH(B2184,Client_List!$B:$B,0)),""))</f>
        <v/>
      </c>
      <c r="D2184" s="19" t="str">
        <f>IF(B2184="","",IFERROR(INDEX(Client_List!$D:$D,MATCH(B2184,Client_List!$B:$B,0)),""))</f>
        <v/>
      </c>
      <c r="E2184" s="19" t="str">
        <f>IF(B2184="","",IFERROR(INDEX(Client_List!$K:$K,MATCH(B2184,Client_List!$B:$B,0)),""))</f>
        <v/>
      </c>
      <c r="F2184" s="19" t="str">
        <f>IF(B2184="","",IFERROR(INDEX(Client_List!$J:$J,MATCH(B2184,Client_List!$B:$B,0)),""))</f>
        <v/>
      </c>
      <c r="G2184" s="19"/>
      <c r="H2184" s="19" t="str">
        <f>IF(B2184="","",IFERROR(A2184-LOOKUP(2,1/($B$4:$B2183=B2184),$A$4:$A2183),""))</f>
        <v/>
      </c>
      <c r="I2184" s="19" t="str">
        <f t="shared" si="34"/>
        <v/>
      </c>
      <c r="J2184" s="19"/>
      <c r="K2184" s="6" t="str">
        <f>IF(B2184="","",IFERROR(AVERAGEIFS($I$4:$I2184,$B$4:$B2184,B2184,$I$4:$I2184,"&gt;"&amp;0),""))</f>
        <v/>
      </c>
      <c r="L2184" s="19" t="str">
        <f>IF(B2184="","",IF(ISNA(MATCH(B2184,Client_List!$B:$B,0)),"⚠ NOT FOUND","✓"))</f>
        <v/>
      </c>
    </row>
    <row r="2185" spans="1:12" ht="14" customHeight="1" x14ac:dyDescent="0.2">
      <c r="A2185" s="58"/>
      <c r="B2185" s="15"/>
      <c r="C2185" s="16" t="str">
        <f>IF(B2185="","",IFERROR(INDEX(Client_List!$C:$C,MATCH(B2185,Client_List!$B:$B,0)),""))</f>
        <v/>
      </c>
      <c r="D2185" s="16" t="str">
        <f>IF(B2185="","",IFERROR(INDEX(Client_List!$D:$D,MATCH(B2185,Client_List!$B:$B,0)),""))</f>
        <v/>
      </c>
      <c r="E2185" s="16" t="str">
        <f>IF(B2185="","",IFERROR(INDEX(Client_List!$K:$K,MATCH(B2185,Client_List!$B:$B,0)),""))</f>
        <v/>
      </c>
      <c r="F2185" s="16" t="str">
        <f>IF(B2185="","",IFERROR(INDEX(Client_List!$J:$J,MATCH(B2185,Client_List!$B:$B,0)),""))</f>
        <v/>
      </c>
      <c r="G2185" s="16"/>
      <c r="H2185" s="16" t="str">
        <f>IF(B2185="","",IFERROR(A2185-LOOKUP(2,1/($B$4:$B2184=B2185),$A$4:$A2184),""))</f>
        <v/>
      </c>
      <c r="I2185" s="16" t="str">
        <f t="shared" si="34"/>
        <v/>
      </c>
      <c r="J2185" s="16"/>
      <c r="K2185" s="6" t="str">
        <f>IF(B2185="","",IFERROR(AVERAGEIFS($I$4:$I2185,$B$4:$B2185,B2185,$I$4:$I2185,"&gt;"&amp;0),""))</f>
        <v/>
      </c>
      <c r="L2185" s="16" t="str">
        <f>IF(B2185="","",IF(ISNA(MATCH(B2185,Client_List!$B:$B,0)),"⚠ NOT FOUND","✓"))</f>
        <v/>
      </c>
    </row>
    <row r="2186" spans="1:12" ht="14" customHeight="1" x14ac:dyDescent="0.2">
      <c r="A2186" s="59"/>
      <c r="B2186" s="18"/>
      <c r="C2186" s="19" t="str">
        <f>IF(B2186="","",IFERROR(INDEX(Client_List!$C:$C,MATCH(B2186,Client_List!$B:$B,0)),""))</f>
        <v/>
      </c>
      <c r="D2186" s="19" t="str">
        <f>IF(B2186="","",IFERROR(INDEX(Client_List!$D:$D,MATCH(B2186,Client_List!$B:$B,0)),""))</f>
        <v/>
      </c>
      <c r="E2186" s="19" t="str">
        <f>IF(B2186="","",IFERROR(INDEX(Client_List!$K:$K,MATCH(B2186,Client_List!$B:$B,0)),""))</f>
        <v/>
      </c>
      <c r="F2186" s="19" t="str">
        <f>IF(B2186="","",IFERROR(INDEX(Client_List!$J:$J,MATCH(B2186,Client_List!$B:$B,0)),""))</f>
        <v/>
      </c>
      <c r="G2186" s="19"/>
      <c r="H2186" s="19" t="str">
        <f>IF(B2186="","",IFERROR(A2186-LOOKUP(2,1/($B$4:$B2185=B2186),$A$4:$A2185),""))</f>
        <v/>
      </c>
      <c r="I2186" s="19" t="str">
        <f t="shared" si="34"/>
        <v/>
      </c>
      <c r="J2186" s="19"/>
      <c r="K2186" s="6" t="str">
        <f>IF(B2186="","",IFERROR(AVERAGEIFS($I$4:$I2186,$B$4:$B2186,B2186,$I$4:$I2186,"&gt;"&amp;0),""))</f>
        <v/>
      </c>
      <c r="L2186" s="19" t="str">
        <f>IF(B2186="","",IF(ISNA(MATCH(B2186,Client_List!$B:$B,0)),"⚠ NOT FOUND","✓"))</f>
        <v/>
      </c>
    </row>
    <row r="2187" spans="1:12" ht="14" customHeight="1" x14ac:dyDescent="0.2">
      <c r="A2187" s="58"/>
      <c r="B2187" s="15"/>
      <c r="C2187" s="16" t="str">
        <f>IF(B2187="","",IFERROR(INDEX(Client_List!$C:$C,MATCH(B2187,Client_List!$B:$B,0)),""))</f>
        <v/>
      </c>
      <c r="D2187" s="16" t="str">
        <f>IF(B2187="","",IFERROR(INDEX(Client_List!$D:$D,MATCH(B2187,Client_List!$B:$B,0)),""))</f>
        <v/>
      </c>
      <c r="E2187" s="16" t="str">
        <f>IF(B2187="","",IFERROR(INDEX(Client_List!$K:$K,MATCH(B2187,Client_List!$B:$B,0)),""))</f>
        <v/>
      </c>
      <c r="F2187" s="16" t="str">
        <f>IF(B2187="","",IFERROR(INDEX(Client_List!$J:$J,MATCH(B2187,Client_List!$B:$B,0)),""))</f>
        <v/>
      </c>
      <c r="G2187" s="16"/>
      <c r="H2187" s="16" t="str">
        <f>IF(B2187="","",IFERROR(A2187-LOOKUP(2,1/($B$4:$B2186=B2187),$A$4:$A2186),""))</f>
        <v/>
      </c>
      <c r="I2187" s="16" t="str">
        <f t="shared" si="34"/>
        <v/>
      </c>
      <c r="J2187" s="16"/>
      <c r="K2187" s="6" t="str">
        <f>IF(B2187="","",IFERROR(AVERAGEIFS($I$4:$I2187,$B$4:$B2187,B2187,$I$4:$I2187,"&gt;"&amp;0),""))</f>
        <v/>
      </c>
      <c r="L2187" s="16" t="str">
        <f>IF(B2187="","",IF(ISNA(MATCH(B2187,Client_List!$B:$B,0)),"⚠ NOT FOUND","✓"))</f>
        <v/>
      </c>
    </row>
    <row r="2188" spans="1:12" ht="14" customHeight="1" x14ac:dyDescent="0.2">
      <c r="A2188" s="59"/>
      <c r="B2188" s="18"/>
      <c r="C2188" s="19" t="str">
        <f>IF(B2188="","",IFERROR(INDEX(Client_List!$C:$C,MATCH(B2188,Client_List!$B:$B,0)),""))</f>
        <v/>
      </c>
      <c r="D2188" s="19" t="str">
        <f>IF(B2188="","",IFERROR(INDEX(Client_List!$D:$D,MATCH(B2188,Client_List!$B:$B,0)),""))</f>
        <v/>
      </c>
      <c r="E2188" s="19" t="str">
        <f>IF(B2188="","",IFERROR(INDEX(Client_List!$K:$K,MATCH(B2188,Client_List!$B:$B,0)),""))</f>
        <v/>
      </c>
      <c r="F2188" s="19" t="str">
        <f>IF(B2188="","",IFERROR(INDEX(Client_List!$J:$J,MATCH(B2188,Client_List!$B:$B,0)),""))</f>
        <v/>
      </c>
      <c r="G2188" s="19"/>
      <c r="H2188" s="19" t="str">
        <f>IF(B2188="","",IFERROR(A2188-LOOKUP(2,1/($B$4:$B2187=B2188),$A$4:$A2187),""))</f>
        <v/>
      </c>
      <c r="I2188" s="19" t="str">
        <f t="shared" si="34"/>
        <v/>
      </c>
      <c r="J2188" s="19"/>
      <c r="K2188" s="6" t="str">
        <f>IF(B2188="","",IFERROR(AVERAGEIFS($I$4:$I2188,$B$4:$B2188,B2188,$I$4:$I2188,"&gt;"&amp;0),""))</f>
        <v/>
      </c>
      <c r="L2188" s="19" t="str">
        <f>IF(B2188="","",IF(ISNA(MATCH(B2188,Client_List!$B:$B,0)),"⚠ NOT FOUND","✓"))</f>
        <v/>
      </c>
    </row>
    <row r="2189" spans="1:12" ht="14" customHeight="1" x14ac:dyDescent="0.2">
      <c r="A2189" s="58"/>
      <c r="B2189" s="15"/>
      <c r="C2189" s="16" t="str">
        <f>IF(B2189="","",IFERROR(INDEX(Client_List!$C:$C,MATCH(B2189,Client_List!$B:$B,0)),""))</f>
        <v/>
      </c>
      <c r="D2189" s="16" t="str">
        <f>IF(B2189="","",IFERROR(INDEX(Client_List!$D:$D,MATCH(B2189,Client_List!$B:$B,0)),""))</f>
        <v/>
      </c>
      <c r="E2189" s="16" t="str">
        <f>IF(B2189="","",IFERROR(INDEX(Client_List!$K:$K,MATCH(B2189,Client_List!$B:$B,0)),""))</f>
        <v/>
      </c>
      <c r="F2189" s="16" t="str">
        <f>IF(B2189="","",IFERROR(INDEX(Client_List!$J:$J,MATCH(B2189,Client_List!$B:$B,0)),""))</f>
        <v/>
      </c>
      <c r="G2189" s="16"/>
      <c r="H2189" s="16" t="str">
        <f>IF(B2189="","",IFERROR(A2189-LOOKUP(2,1/($B$4:$B2188=B2189),$A$4:$A2188),""))</f>
        <v/>
      </c>
      <c r="I2189" s="16" t="str">
        <f t="shared" si="34"/>
        <v/>
      </c>
      <c r="J2189" s="16"/>
      <c r="K2189" s="6" t="str">
        <f>IF(B2189="","",IFERROR(AVERAGEIFS($I$4:$I2189,$B$4:$B2189,B2189,$I$4:$I2189,"&gt;"&amp;0),""))</f>
        <v/>
      </c>
      <c r="L2189" s="16" t="str">
        <f>IF(B2189="","",IF(ISNA(MATCH(B2189,Client_List!$B:$B,0)),"⚠ NOT FOUND","✓"))</f>
        <v/>
      </c>
    </row>
    <row r="2190" spans="1:12" ht="14" customHeight="1" x14ac:dyDescent="0.2">
      <c r="A2190" s="59"/>
      <c r="B2190" s="18"/>
      <c r="C2190" s="19" t="str">
        <f>IF(B2190="","",IFERROR(INDEX(Client_List!$C:$C,MATCH(B2190,Client_List!$B:$B,0)),""))</f>
        <v/>
      </c>
      <c r="D2190" s="19" t="str">
        <f>IF(B2190="","",IFERROR(INDEX(Client_List!$D:$D,MATCH(B2190,Client_List!$B:$B,0)),""))</f>
        <v/>
      </c>
      <c r="E2190" s="19" t="str">
        <f>IF(B2190="","",IFERROR(INDEX(Client_List!$K:$K,MATCH(B2190,Client_List!$B:$B,0)),""))</f>
        <v/>
      </c>
      <c r="F2190" s="19" t="str">
        <f>IF(B2190="","",IFERROR(INDEX(Client_List!$J:$J,MATCH(B2190,Client_List!$B:$B,0)),""))</f>
        <v/>
      </c>
      <c r="G2190" s="19"/>
      <c r="H2190" s="19" t="str">
        <f>IF(B2190="","",IFERROR(A2190-LOOKUP(2,1/($B$4:$B2189=B2190),$A$4:$A2189),""))</f>
        <v/>
      </c>
      <c r="I2190" s="19" t="str">
        <f t="shared" si="34"/>
        <v/>
      </c>
      <c r="J2190" s="19"/>
      <c r="K2190" s="6" t="str">
        <f>IF(B2190="","",IFERROR(AVERAGEIFS($I$4:$I2190,$B$4:$B2190,B2190,$I$4:$I2190,"&gt;"&amp;0),""))</f>
        <v/>
      </c>
      <c r="L2190" s="19" t="str">
        <f>IF(B2190="","",IF(ISNA(MATCH(B2190,Client_List!$B:$B,0)),"⚠ NOT FOUND","✓"))</f>
        <v/>
      </c>
    </row>
    <row r="2191" spans="1:12" ht="14" customHeight="1" x14ac:dyDescent="0.2">
      <c r="A2191" s="58"/>
      <c r="B2191" s="15"/>
      <c r="C2191" s="16" t="str">
        <f>IF(B2191="","",IFERROR(INDEX(Client_List!$C:$C,MATCH(B2191,Client_List!$B:$B,0)),""))</f>
        <v/>
      </c>
      <c r="D2191" s="16" t="str">
        <f>IF(B2191="","",IFERROR(INDEX(Client_List!$D:$D,MATCH(B2191,Client_List!$B:$B,0)),""))</f>
        <v/>
      </c>
      <c r="E2191" s="16" t="str">
        <f>IF(B2191="","",IFERROR(INDEX(Client_List!$K:$K,MATCH(B2191,Client_List!$B:$B,0)),""))</f>
        <v/>
      </c>
      <c r="F2191" s="16" t="str">
        <f>IF(B2191="","",IFERROR(INDEX(Client_List!$J:$J,MATCH(B2191,Client_List!$B:$B,0)),""))</f>
        <v/>
      </c>
      <c r="G2191" s="16"/>
      <c r="H2191" s="16" t="str">
        <f>IF(B2191="","",IFERROR(A2191-LOOKUP(2,1/($B$4:$B2190=B2191),$A$4:$A2190),""))</f>
        <v/>
      </c>
      <c r="I2191" s="16" t="str">
        <f t="shared" si="34"/>
        <v/>
      </c>
      <c r="J2191" s="16"/>
      <c r="K2191" s="6" t="str">
        <f>IF(B2191="","",IFERROR(AVERAGEIFS($I$4:$I2191,$B$4:$B2191,B2191,$I$4:$I2191,"&gt;"&amp;0),""))</f>
        <v/>
      </c>
      <c r="L2191" s="16" t="str">
        <f>IF(B2191="","",IF(ISNA(MATCH(B2191,Client_List!$B:$B,0)),"⚠ NOT FOUND","✓"))</f>
        <v/>
      </c>
    </row>
    <row r="2192" spans="1:12" ht="14" customHeight="1" x14ac:dyDescent="0.2">
      <c r="A2192" s="59"/>
      <c r="B2192" s="18"/>
      <c r="C2192" s="19" t="str">
        <f>IF(B2192="","",IFERROR(INDEX(Client_List!$C:$C,MATCH(B2192,Client_List!$B:$B,0)),""))</f>
        <v/>
      </c>
      <c r="D2192" s="19" t="str">
        <f>IF(B2192="","",IFERROR(INDEX(Client_List!$D:$D,MATCH(B2192,Client_List!$B:$B,0)),""))</f>
        <v/>
      </c>
      <c r="E2192" s="19" t="str">
        <f>IF(B2192="","",IFERROR(INDEX(Client_List!$K:$K,MATCH(B2192,Client_List!$B:$B,0)),""))</f>
        <v/>
      </c>
      <c r="F2192" s="19" t="str">
        <f>IF(B2192="","",IFERROR(INDEX(Client_List!$J:$J,MATCH(B2192,Client_List!$B:$B,0)),""))</f>
        <v/>
      </c>
      <c r="G2192" s="19"/>
      <c r="H2192" s="19" t="str">
        <f>IF(B2192="","",IFERROR(A2192-LOOKUP(2,1/($B$4:$B2191=B2192),$A$4:$A2191),""))</f>
        <v/>
      </c>
      <c r="I2192" s="19" t="str">
        <f t="shared" si="34"/>
        <v/>
      </c>
      <c r="J2192" s="19"/>
      <c r="K2192" s="6" t="str">
        <f>IF(B2192="","",IFERROR(AVERAGEIFS($I$4:$I2192,$B$4:$B2192,B2192,$I$4:$I2192,"&gt;"&amp;0),""))</f>
        <v/>
      </c>
      <c r="L2192" s="19" t="str">
        <f>IF(B2192="","",IF(ISNA(MATCH(B2192,Client_List!$B:$B,0)),"⚠ NOT FOUND","✓"))</f>
        <v/>
      </c>
    </row>
    <row r="2193" spans="1:12" ht="14" customHeight="1" x14ac:dyDescent="0.2">
      <c r="A2193" s="58"/>
      <c r="B2193" s="15"/>
      <c r="C2193" s="16" t="str">
        <f>IF(B2193="","",IFERROR(INDEX(Client_List!$C:$C,MATCH(B2193,Client_List!$B:$B,0)),""))</f>
        <v/>
      </c>
      <c r="D2193" s="16" t="str">
        <f>IF(B2193="","",IFERROR(INDEX(Client_List!$D:$D,MATCH(B2193,Client_List!$B:$B,0)),""))</f>
        <v/>
      </c>
      <c r="E2193" s="16" t="str">
        <f>IF(B2193="","",IFERROR(INDEX(Client_List!$K:$K,MATCH(B2193,Client_List!$B:$B,0)),""))</f>
        <v/>
      </c>
      <c r="F2193" s="16" t="str">
        <f>IF(B2193="","",IFERROR(INDEX(Client_List!$J:$J,MATCH(B2193,Client_List!$B:$B,0)),""))</f>
        <v/>
      </c>
      <c r="G2193" s="16"/>
      <c r="H2193" s="16" t="str">
        <f>IF(B2193="","",IFERROR(A2193-LOOKUP(2,1/($B$4:$B2192=B2193),$A$4:$A2192),""))</f>
        <v/>
      </c>
      <c r="I2193" s="16" t="str">
        <f t="shared" si="34"/>
        <v/>
      </c>
      <c r="J2193" s="16"/>
      <c r="K2193" s="6" t="str">
        <f>IF(B2193="","",IFERROR(AVERAGEIFS($I$4:$I2193,$B$4:$B2193,B2193,$I$4:$I2193,"&gt;"&amp;0),""))</f>
        <v/>
      </c>
      <c r="L2193" s="16" t="str">
        <f>IF(B2193="","",IF(ISNA(MATCH(B2193,Client_List!$B:$B,0)),"⚠ NOT FOUND","✓"))</f>
        <v/>
      </c>
    </row>
    <row r="2194" spans="1:12" ht="14" customHeight="1" x14ac:dyDescent="0.2">
      <c r="A2194" s="59"/>
      <c r="B2194" s="18"/>
      <c r="C2194" s="19" t="str">
        <f>IF(B2194="","",IFERROR(INDEX(Client_List!$C:$C,MATCH(B2194,Client_List!$B:$B,0)),""))</f>
        <v/>
      </c>
      <c r="D2194" s="19" t="str">
        <f>IF(B2194="","",IFERROR(INDEX(Client_List!$D:$D,MATCH(B2194,Client_List!$B:$B,0)),""))</f>
        <v/>
      </c>
      <c r="E2194" s="19" t="str">
        <f>IF(B2194="","",IFERROR(INDEX(Client_List!$K:$K,MATCH(B2194,Client_List!$B:$B,0)),""))</f>
        <v/>
      </c>
      <c r="F2194" s="19" t="str">
        <f>IF(B2194="","",IFERROR(INDEX(Client_List!$J:$J,MATCH(B2194,Client_List!$B:$B,0)),""))</f>
        <v/>
      </c>
      <c r="G2194" s="19"/>
      <c r="H2194" s="19" t="str">
        <f>IF(B2194="","",IFERROR(A2194-LOOKUP(2,1/($B$4:$B2193=B2194),$A$4:$A2193),""))</f>
        <v/>
      </c>
      <c r="I2194" s="19" t="str">
        <f t="shared" si="34"/>
        <v/>
      </c>
      <c r="J2194" s="19"/>
      <c r="K2194" s="6" t="str">
        <f>IF(B2194="","",IFERROR(AVERAGEIFS($I$4:$I2194,$B$4:$B2194,B2194,$I$4:$I2194,"&gt;"&amp;0),""))</f>
        <v/>
      </c>
      <c r="L2194" s="19" t="str">
        <f>IF(B2194="","",IF(ISNA(MATCH(B2194,Client_List!$B:$B,0)),"⚠ NOT FOUND","✓"))</f>
        <v/>
      </c>
    </row>
    <row r="2195" spans="1:12" ht="14" customHeight="1" x14ac:dyDescent="0.2">
      <c r="A2195" s="58"/>
      <c r="B2195" s="15"/>
      <c r="C2195" s="16" t="str">
        <f>IF(B2195="","",IFERROR(INDEX(Client_List!$C:$C,MATCH(B2195,Client_List!$B:$B,0)),""))</f>
        <v/>
      </c>
      <c r="D2195" s="16" t="str">
        <f>IF(B2195="","",IFERROR(INDEX(Client_List!$D:$D,MATCH(B2195,Client_List!$B:$B,0)),""))</f>
        <v/>
      </c>
      <c r="E2195" s="16" t="str">
        <f>IF(B2195="","",IFERROR(INDEX(Client_List!$K:$K,MATCH(B2195,Client_List!$B:$B,0)),""))</f>
        <v/>
      </c>
      <c r="F2195" s="16" t="str">
        <f>IF(B2195="","",IFERROR(INDEX(Client_List!$J:$J,MATCH(B2195,Client_List!$B:$B,0)),""))</f>
        <v/>
      </c>
      <c r="G2195" s="16"/>
      <c r="H2195" s="16" t="str">
        <f>IF(B2195="","",IFERROR(A2195-LOOKUP(2,1/($B$4:$B2194=B2195),$A$4:$A2194),""))</f>
        <v/>
      </c>
      <c r="I2195" s="16" t="str">
        <f t="shared" si="34"/>
        <v/>
      </c>
      <c r="J2195" s="16"/>
      <c r="K2195" s="6" t="str">
        <f>IF(B2195="","",IFERROR(AVERAGEIFS($I$4:$I2195,$B$4:$B2195,B2195,$I$4:$I2195,"&gt;"&amp;0),""))</f>
        <v/>
      </c>
      <c r="L2195" s="16" t="str">
        <f>IF(B2195="","",IF(ISNA(MATCH(B2195,Client_List!$B:$B,0)),"⚠ NOT FOUND","✓"))</f>
        <v/>
      </c>
    </row>
    <row r="2196" spans="1:12" ht="14" customHeight="1" x14ac:dyDescent="0.2">
      <c r="A2196" s="59"/>
      <c r="B2196" s="18"/>
      <c r="C2196" s="19" t="str">
        <f>IF(B2196="","",IFERROR(INDEX(Client_List!$C:$C,MATCH(B2196,Client_List!$B:$B,0)),""))</f>
        <v/>
      </c>
      <c r="D2196" s="19" t="str">
        <f>IF(B2196="","",IFERROR(INDEX(Client_List!$D:$D,MATCH(B2196,Client_List!$B:$B,0)),""))</f>
        <v/>
      </c>
      <c r="E2196" s="19" t="str">
        <f>IF(B2196="","",IFERROR(INDEX(Client_List!$K:$K,MATCH(B2196,Client_List!$B:$B,0)),""))</f>
        <v/>
      </c>
      <c r="F2196" s="19" t="str">
        <f>IF(B2196="","",IFERROR(INDEX(Client_List!$J:$J,MATCH(B2196,Client_List!$B:$B,0)),""))</f>
        <v/>
      </c>
      <c r="G2196" s="19"/>
      <c r="H2196" s="19" t="str">
        <f>IF(B2196="","",IFERROR(A2196-LOOKUP(2,1/($B$4:$B2195=B2196),$A$4:$A2195),""))</f>
        <v/>
      </c>
      <c r="I2196" s="19" t="str">
        <f t="shared" si="34"/>
        <v/>
      </c>
      <c r="J2196" s="19"/>
      <c r="K2196" s="6" t="str">
        <f>IF(B2196="","",IFERROR(AVERAGEIFS($I$4:$I2196,$B$4:$B2196,B2196,$I$4:$I2196,"&gt;"&amp;0),""))</f>
        <v/>
      </c>
      <c r="L2196" s="19" t="str">
        <f>IF(B2196="","",IF(ISNA(MATCH(B2196,Client_List!$B:$B,0)),"⚠ NOT FOUND","✓"))</f>
        <v/>
      </c>
    </row>
    <row r="2197" spans="1:12" ht="14" customHeight="1" x14ac:dyDescent="0.2">
      <c r="A2197" s="58"/>
      <c r="B2197" s="15"/>
      <c r="C2197" s="16" t="str">
        <f>IF(B2197="","",IFERROR(INDEX(Client_List!$C:$C,MATCH(B2197,Client_List!$B:$B,0)),""))</f>
        <v/>
      </c>
      <c r="D2197" s="16" t="str">
        <f>IF(B2197="","",IFERROR(INDEX(Client_List!$D:$D,MATCH(B2197,Client_List!$B:$B,0)),""))</f>
        <v/>
      </c>
      <c r="E2197" s="16" t="str">
        <f>IF(B2197="","",IFERROR(INDEX(Client_List!$K:$K,MATCH(B2197,Client_List!$B:$B,0)),""))</f>
        <v/>
      </c>
      <c r="F2197" s="16" t="str">
        <f>IF(B2197="","",IFERROR(INDEX(Client_List!$J:$J,MATCH(B2197,Client_List!$B:$B,0)),""))</f>
        <v/>
      </c>
      <c r="G2197" s="16"/>
      <c r="H2197" s="16" t="str">
        <f>IF(B2197="","",IFERROR(A2197-LOOKUP(2,1/($B$4:$B2196=B2197),$A$4:$A2196),""))</f>
        <v/>
      </c>
      <c r="I2197" s="16" t="str">
        <f t="shared" si="34"/>
        <v/>
      </c>
      <c r="J2197" s="16"/>
      <c r="K2197" s="6" t="str">
        <f>IF(B2197="","",IFERROR(AVERAGEIFS($I$4:$I2197,$B$4:$B2197,B2197,$I$4:$I2197,"&gt;"&amp;0),""))</f>
        <v/>
      </c>
      <c r="L2197" s="16" t="str">
        <f>IF(B2197="","",IF(ISNA(MATCH(B2197,Client_List!$B:$B,0)),"⚠ NOT FOUND","✓"))</f>
        <v/>
      </c>
    </row>
    <row r="2198" spans="1:12" ht="14" customHeight="1" x14ac:dyDescent="0.2">
      <c r="A2198" s="59"/>
      <c r="B2198" s="18"/>
      <c r="C2198" s="19" t="str">
        <f>IF(B2198="","",IFERROR(INDEX(Client_List!$C:$C,MATCH(B2198,Client_List!$B:$B,0)),""))</f>
        <v/>
      </c>
      <c r="D2198" s="19" t="str">
        <f>IF(B2198="","",IFERROR(INDEX(Client_List!$D:$D,MATCH(B2198,Client_List!$B:$B,0)),""))</f>
        <v/>
      </c>
      <c r="E2198" s="19" t="str">
        <f>IF(B2198="","",IFERROR(INDEX(Client_List!$K:$K,MATCH(B2198,Client_List!$B:$B,0)),""))</f>
        <v/>
      </c>
      <c r="F2198" s="19" t="str">
        <f>IF(B2198="","",IFERROR(INDEX(Client_List!$J:$J,MATCH(B2198,Client_List!$B:$B,0)),""))</f>
        <v/>
      </c>
      <c r="G2198" s="19"/>
      <c r="H2198" s="19" t="str">
        <f>IF(B2198="","",IFERROR(A2198-LOOKUP(2,1/($B$4:$B2197=B2198),$A$4:$A2197),""))</f>
        <v/>
      </c>
      <c r="I2198" s="19" t="str">
        <f t="shared" si="34"/>
        <v/>
      </c>
      <c r="J2198" s="19"/>
      <c r="K2198" s="6" t="str">
        <f>IF(B2198="","",IFERROR(AVERAGEIFS($I$4:$I2198,$B$4:$B2198,B2198,$I$4:$I2198,"&gt;"&amp;0),""))</f>
        <v/>
      </c>
      <c r="L2198" s="19" t="str">
        <f>IF(B2198="","",IF(ISNA(MATCH(B2198,Client_List!$B:$B,0)),"⚠ NOT FOUND","✓"))</f>
        <v/>
      </c>
    </row>
    <row r="2199" spans="1:12" ht="14" customHeight="1" x14ac:dyDescent="0.2">
      <c r="A2199" s="58"/>
      <c r="B2199" s="15"/>
      <c r="C2199" s="16" t="str">
        <f>IF(B2199="","",IFERROR(INDEX(Client_List!$C:$C,MATCH(B2199,Client_List!$B:$B,0)),""))</f>
        <v/>
      </c>
      <c r="D2199" s="16" t="str">
        <f>IF(B2199="","",IFERROR(INDEX(Client_List!$D:$D,MATCH(B2199,Client_List!$B:$B,0)),""))</f>
        <v/>
      </c>
      <c r="E2199" s="16" t="str">
        <f>IF(B2199="","",IFERROR(INDEX(Client_List!$K:$K,MATCH(B2199,Client_List!$B:$B,0)),""))</f>
        <v/>
      </c>
      <c r="F2199" s="16" t="str">
        <f>IF(B2199="","",IFERROR(INDEX(Client_List!$J:$J,MATCH(B2199,Client_List!$B:$B,0)),""))</f>
        <v/>
      </c>
      <c r="G2199" s="16"/>
      <c r="H2199" s="16" t="str">
        <f>IF(B2199="","",IFERROR(A2199-LOOKUP(2,1/($B$4:$B2198=B2199),$A$4:$A2198),""))</f>
        <v/>
      </c>
      <c r="I2199" s="16" t="str">
        <f t="shared" si="34"/>
        <v/>
      </c>
      <c r="J2199" s="16"/>
      <c r="K2199" s="6" t="str">
        <f>IF(B2199="","",IFERROR(AVERAGEIFS($I$4:$I2199,$B$4:$B2199,B2199,$I$4:$I2199,"&gt;"&amp;0),""))</f>
        <v/>
      </c>
      <c r="L2199" s="16" t="str">
        <f>IF(B2199="","",IF(ISNA(MATCH(B2199,Client_List!$B:$B,0)),"⚠ NOT FOUND","✓"))</f>
        <v/>
      </c>
    </row>
    <row r="2200" spans="1:12" ht="14" customHeight="1" x14ac:dyDescent="0.2">
      <c r="A2200" s="59"/>
      <c r="B2200" s="18"/>
      <c r="C2200" s="19" t="str">
        <f>IF(B2200="","",IFERROR(INDEX(Client_List!$C:$C,MATCH(B2200,Client_List!$B:$B,0)),""))</f>
        <v/>
      </c>
      <c r="D2200" s="19" t="str">
        <f>IF(B2200="","",IFERROR(INDEX(Client_List!$D:$D,MATCH(B2200,Client_List!$B:$B,0)),""))</f>
        <v/>
      </c>
      <c r="E2200" s="19" t="str">
        <f>IF(B2200="","",IFERROR(INDEX(Client_List!$K:$K,MATCH(B2200,Client_List!$B:$B,0)),""))</f>
        <v/>
      </c>
      <c r="F2200" s="19" t="str">
        <f>IF(B2200="","",IFERROR(INDEX(Client_List!$J:$J,MATCH(B2200,Client_List!$B:$B,0)),""))</f>
        <v/>
      </c>
      <c r="G2200" s="19"/>
      <c r="H2200" s="19" t="str">
        <f>IF(B2200="","",IFERROR(A2200-LOOKUP(2,1/($B$4:$B2199=B2200),$A$4:$A2199),""))</f>
        <v/>
      </c>
      <c r="I2200" s="19" t="str">
        <f t="shared" si="34"/>
        <v/>
      </c>
      <c r="J2200" s="19"/>
      <c r="K2200" s="6" t="str">
        <f>IF(B2200="","",IFERROR(AVERAGEIFS($I$4:$I2200,$B$4:$B2200,B2200,$I$4:$I2200,"&gt;"&amp;0),""))</f>
        <v/>
      </c>
      <c r="L2200" s="19" t="str">
        <f>IF(B2200="","",IF(ISNA(MATCH(B2200,Client_List!$B:$B,0)),"⚠ NOT FOUND","✓"))</f>
        <v/>
      </c>
    </row>
    <row r="2201" spans="1:12" ht="14" customHeight="1" x14ac:dyDescent="0.2">
      <c r="A2201" s="58"/>
      <c r="B2201" s="15"/>
      <c r="C2201" s="16" t="str">
        <f>IF(B2201="","",IFERROR(INDEX(Client_List!$C:$C,MATCH(B2201,Client_List!$B:$B,0)),""))</f>
        <v/>
      </c>
      <c r="D2201" s="16" t="str">
        <f>IF(B2201="","",IFERROR(INDEX(Client_List!$D:$D,MATCH(B2201,Client_List!$B:$B,0)),""))</f>
        <v/>
      </c>
      <c r="E2201" s="16" t="str">
        <f>IF(B2201="","",IFERROR(INDEX(Client_List!$K:$K,MATCH(B2201,Client_List!$B:$B,0)),""))</f>
        <v/>
      </c>
      <c r="F2201" s="16" t="str">
        <f>IF(B2201="","",IFERROR(INDEX(Client_List!$J:$J,MATCH(B2201,Client_List!$B:$B,0)),""))</f>
        <v/>
      </c>
      <c r="G2201" s="16"/>
      <c r="H2201" s="16" t="str">
        <f>IF(B2201="","",IFERROR(A2201-LOOKUP(2,1/($B$4:$B2200=B2201),$A$4:$A2200),""))</f>
        <v/>
      </c>
      <c r="I2201" s="16" t="str">
        <f t="shared" si="34"/>
        <v/>
      </c>
      <c r="J2201" s="16"/>
      <c r="K2201" s="6" t="str">
        <f>IF(B2201="","",IFERROR(AVERAGEIFS($I$4:$I2201,$B$4:$B2201,B2201,$I$4:$I2201,"&gt;"&amp;0),""))</f>
        <v/>
      </c>
      <c r="L2201" s="16" t="str">
        <f>IF(B2201="","",IF(ISNA(MATCH(B2201,Client_List!$B:$B,0)),"⚠ NOT FOUND","✓"))</f>
        <v/>
      </c>
    </row>
    <row r="2202" spans="1:12" ht="14" customHeight="1" x14ac:dyDescent="0.2">
      <c r="A2202" s="59"/>
      <c r="B2202" s="18"/>
      <c r="C2202" s="19" t="str">
        <f>IF(B2202="","",IFERROR(INDEX(Client_List!$C:$C,MATCH(B2202,Client_List!$B:$B,0)),""))</f>
        <v/>
      </c>
      <c r="D2202" s="19" t="str">
        <f>IF(B2202="","",IFERROR(INDEX(Client_List!$D:$D,MATCH(B2202,Client_List!$B:$B,0)),""))</f>
        <v/>
      </c>
      <c r="E2202" s="19" t="str">
        <f>IF(B2202="","",IFERROR(INDEX(Client_List!$K:$K,MATCH(B2202,Client_List!$B:$B,0)),""))</f>
        <v/>
      </c>
      <c r="F2202" s="19" t="str">
        <f>IF(B2202="","",IFERROR(INDEX(Client_List!$J:$J,MATCH(B2202,Client_List!$B:$B,0)),""))</f>
        <v/>
      </c>
      <c r="G2202" s="19"/>
      <c r="H2202" s="19" t="str">
        <f>IF(B2202="","",IFERROR(A2202-LOOKUP(2,1/($B$4:$B2201=B2202),$A$4:$A2201),""))</f>
        <v/>
      </c>
      <c r="I2202" s="19" t="str">
        <f t="shared" si="34"/>
        <v/>
      </c>
      <c r="J2202" s="19"/>
      <c r="K2202" s="6" t="str">
        <f>IF(B2202="","",IFERROR(AVERAGEIFS($I$4:$I2202,$B$4:$B2202,B2202,$I$4:$I2202,"&gt;"&amp;0),""))</f>
        <v/>
      </c>
      <c r="L2202" s="19" t="str">
        <f>IF(B2202="","",IF(ISNA(MATCH(B2202,Client_List!$B:$B,0)),"⚠ NOT FOUND","✓"))</f>
        <v/>
      </c>
    </row>
    <row r="2203" spans="1:12" ht="14" customHeight="1" x14ac:dyDescent="0.2">
      <c r="A2203" s="58"/>
      <c r="B2203" s="15"/>
      <c r="C2203" s="16" t="str">
        <f>IF(B2203="","",IFERROR(INDEX(Client_List!$C:$C,MATCH(B2203,Client_List!$B:$B,0)),""))</f>
        <v/>
      </c>
      <c r="D2203" s="16" t="str">
        <f>IF(B2203="","",IFERROR(INDEX(Client_List!$D:$D,MATCH(B2203,Client_List!$B:$B,0)),""))</f>
        <v/>
      </c>
      <c r="E2203" s="16" t="str">
        <f>IF(B2203="","",IFERROR(INDEX(Client_List!$K:$K,MATCH(B2203,Client_List!$B:$B,0)),""))</f>
        <v/>
      </c>
      <c r="F2203" s="16" t="str">
        <f>IF(B2203="","",IFERROR(INDEX(Client_List!$J:$J,MATCH(B2203,Client_List!$B:$B,0)),""))</f>
        <v/>
      </c>
      <c r="G2203" s="16"/>
      <c r="H2203" s="16" t="str">
        <f>IF(B2203="","",IFERROR(A2203-LOOKUP(2,1/($B$4:$B2202=B2203),$A$4:$A2202),""))</f>
        <v/>
      </c>
      <c r="I2203" s="16" t="str">
        <f t="shared" si="34"/>
        <v/>
      </c>
      <c r="J2203" s="16"/>
      <c r="K2203" s="6" t="str">
        <f>IF(B2203="","",IFERROR(AVERAGEIFS($I$4:$I2203,$B$4:$B2203,B2203,$I$4:$I2203,"&gt;"&amp;0),""))</f>
        <v/>
      </c>
      <c r="L2203" s="16" t="str">
        <f>IF(B2203="","",IF(ISNA(MATCH(B2203,Client_List!$B:$B,0)),"⚠ NOT FOUND","✓"))</f>
        <v/>
      </c>
    </row>
    <row r="2204" spans="1:12" ht="14" customHeight="1" x14ac:dyDescent="0.2">
      <c r="A2204" s="59"/>
      <c r="B2204" s="18"/>
      <c r="C2204" s="19" t="str">
        <f>IF(B2204="","",IFERROR(INDEX(Client_List!$C:$C,MATCH(B2204,Client_List!$B:$B,0)),""))</f>
        <v/>
      </c>
      <c r="D2204" s="19" t="str">
        <f>IF(B2204="","",IFERROR(INDEX(Client_List!$D:$D,MATCH(B2204,Client_List!$B:$B,0)),""))</f>
        <v/>
      </c>
      <c r="E2204" s="19" t="str">
        <f>IF(B2204="","",IFERROR(INDEX(Client_List!$K:$K,MATCH(B2204,Client_List!$B:$B,0)),""))</f>
        <v/>
      </c>
      <c r="F2204" s="19" t="str">
        <f>IF(B2204="","",IFERROR(INDEX(Client_List!$J:$J,MATCH(B2204,Client_List!$B:$B,0)),""))</f>
        <v/>
      </c>
      <c r="G2204" s="19"/>
      <c r="H2204" s="19" t="str">
        <f>IF(B2204="","",IFERROR(A2204-LOOKUP(2,1/($B$4:$B2203=B2204),$A$4:$A2203),""))</f>
        <v/>
      </c>
      <c r="I2204" s="19" t="str">
        <f t="shared" si="34"/>
        <v/>
      </c>
      <c r="J2204" s="19"/>
      <c r="K2204" s="6" t="str">
        <f>IF(B2204="","",IFERROR(AVERAGEIFS($I$4:$I2204,$B$4:$B2204,B2204,$I$4:$I2204,"&gt;"&amp;0),""))</f>
        <v/>
      </c>
      <c r="L2204" s="19" t="str">
        <f>IF(B2204="","",IF(ISNA(MATCH(B2204,Client_List!$B:$B,0)),"⚠ NOT FOUND","✓"))</f>
        <v/>
      </c>
    </row>
    <row r="2205" spans="1:12" ht="14" customHeight="1" x14ac:dyDescent="0.2">
      <c r="A2205" s="58"/>
      <c r="B2205" s="15"/>
      <c r="C2205" s="16" t="str">
        <f>IF(B2205="","",IFERROR(INDEX(Client_List!$C:$C,MATCH(B2205,Client_List!$B:$B,0)),""))</f>
        <v/>
      </c>
      <c r="D2205" s="16" t="str">
        <f>IF(B2205="","",IFERROR(INDEX(Client_List!$D:$D,MATCH(B2205,Client_List!$B:$B,0)),""))</f>
        <v/>
      </c>
      <c r="E2205" s="16" t="str">
        <f>IF(B2205="","",IFERROR(INDEX(Client_List!$K:$K,MATCH(B2205,Client_List!$B:$B,0)),""))</f>
        <v/>
      </c>
      <c r="F2205" s="16" t="str">
        <f>IF(B2205="","",IFERROR(INDEX(Client_List!$J:$J,MATCH(B2205,Client_List!$B:$B,0)),""))</f>
        <v/>
      </c>
      <c r="G2205" s="16"/>
      <c r="H2205" s="16" t="str">
        <f>IF(B2205="","",IFERROR(A2205-LOOKUP(2,1/($B$4:$B2204=B2205),$A$4:$A2204),""))</f>
        <v/>
      </c>
      <c r="I2205" s="16" t="str">
        <f t="shared" si="34"/>
        <v/>
      </c>
      <c r="J2205" s="16"/>
      <c r="K2205" s="6" t="str">
        <f>IF(B2205="","",IFERROR(AVERAGEIFS($I$4:$I2205,$B$4:$B2205,B2205,$I$4:$I2205,"&gt;"&amp;0),""))</f>
        <v/>
      </c>
      <c r="L2205" s="16" t="str">
        <f>IF(B2205="","",IF(ISNA(MATCH(B2205,Client_List!$B:$B,0)),"⚠ NOT FOUND","✓"))</f>
        <v/>
      </c>
    </row>
    <row r="2206" spans="1:12" ht="14" customHeight="1" x14ac:dyDescent="0.2">
      <c r="A2206" s="59"/>
      <c r="B2206" s="18"/>
      <c r="C2206" s="19" t="str">
        <f>IF(B2206="","",IFERROR(INDEX(Client_List!$C:$C,MATCH(B2206,Client_List!$B:$B,0)),""))</f>
        <v/>
      </c>
      <c r="D2206" s="19" t="str">
        <f>IF(B2206="","",IFERROR(INDEX(Client_List!$D:$D,MATCH(B2206,Client_List!$B:$B,0)),""))</f>
        <v/>
      </c>
      <c r="E2206" s="19" t="str">
        <f>IF(B2206="","",IFERROR(INDEX(Client_List!$K:$K,MATCH(B2206,Client_List!$B:$B,0)),""))</f>
        <v/>
      </c>
      <c r="F2206" s="19" t="str">
        <f>IF(B2206="","",IFERROR(INDEX(Client_List!$J:$J,MATCH(B2206,Client_List!$B:$B,0)),""))</f>
        <v/>
      </c>
      <c r="G2206" s="19"/>
      <c r="H2206" s="19" t="str">
        <f>IF(B2206="","",IFERROR(A2206-LOOKUP(2,1/($B$4:$B2205=B2206),$A$4:$A2205),""))</f>
        <v/>
      </c>
      <c r="I2206" s="19" t="str">
        <f t="shared" si="34"/>
        <v/>
      </c>
      <c r="J2206" s="19"/>
      <c r="K2206" s="6" t="str">
        <f>IF(B2206="","",IFERROR(AVERAGEIFS($I$4:$I2206,$B$4:$B2206,B2206,$I$4:$I2206,"&gt;"&amp;0),""))</f>
        <v/>
      </c>
      <c r="L2206" s="19" t="str">
        <f>IF(B2206="","",IF(ISNA(MATCH(B2206,Client_List!$B:$B,0)),"⚠ NOT FOUND","✓"))</f>
        <v/>
      </c>
    </row>
    <row r="2207" spans="1:12" ht="14" customHeight="1" x14ac:dyDescent="0.2">
      <c r="A2207" s="58"/>
      <c r="B2207" s="15"/>
      <c r="C2207" s="16" t="str">
        <f>IF(B2207="","",IFERROR(INDEX(Client_List!$C:$C,MATCH(B2207,Client_List!$B:$B,0)),""))</f>
        <v/>
      </c>
      <c r="D2207" s="16" t="str">
        <f>IF(B2207="","",IFERROR(INDEX(Client_List!$D:$D,MATCH(B2207,Client_List!$B:$B,0)),""))</f>
        <v/>
      </c>
      <c r="E2207" s="16" t="str">
        <f>IF(B2207="","",IFERROR(INDEX(Client_List!$K:$K,MATCH(B2207,Client_List!$B:$B,0)),""))</f>
        <v/>
      </c>
      <c r="F2207" s="16" t="str">
        <f>IF(B2207="","",IFERROR(INDEX(Client_List!$J:$J,MATCH(B2207,Client_List!$B:$B,0)),""))</f>
        <v/>
      </c>
      <c r="G2207" s="16"/>
      <c r="H2207" s="16" t="str">
        <f>IF(B2207="","",IFERROR(A2207-LOOKUP(2,1/($B$4:$B2206=B2207),$A$4:$A2206),""))</f>
        <v/>
      </c>
      <c r="I2207" s="16" t="str">
        <f t="shared" si="34"/>
        <v/>
      </c>
      <c r="J2207" s="16"/>
      <c r="K2207" s="6" t="str">
        <f>IF(B2207="","",IFERROR(AVERAGEIFS($I$4:$I2207,$B$4:$B2207,B2207,$I$4:$I2207,"&gt;"&amp;0),""))</f>
        <v/>
      </c>
      <c r="L2207" s="16" t="str">
        <f>IF(B2207="","",IF(ISNA(MATCH(B2207,Client_List!$B:$B,0)),"⚠ NOT FOUND","✓"))</f>
        <v/>
      </c>
    </row>
    <row r="2208" spans="1:12" ht="14" customHeight="1" x14ac:dyDescent="0.2">
      <c r="A2208" s="59"/>
      <c r="B2208" s="18"/>
      <c r="C2208" s="19" t="str">
        <f>IF(B2208="","",IFERROR(INDEX(Client_List!$C:$C,MATCH(B2208,Client_List!$B:$B,0)),""))</f>
        <v/>
      </c>
      <c r="D2208" s="19" t="str">
        <f>IF(B2208="","",IFERROR(INDEX(Client_List!$D:$D,MATCH(B2208,Client_List!$B:$B,0)),""))</f>
        <v/>
      </c>
      <c r="E2208" s="19" t="str">
        <f>IF(B2208="","",IFERROR(INDEX(Client_List!$K:$K,MATCH(B2208,Client_List!$B:$B,0)),""))</f>
        <v/>
      </c>
      <c r="F2208" s="19" t="str">
        <f>IF(B2208="","",IFERROR(INDEX(Client_List!$J:$J,MATCH(B2208,Client_List!$B:$B,0)),""))</f>
        <v/>
      </c>
      <c r="G2208" s="19"/>
      <c r="H2208" s="19" t="str">
        <f>IF(B2208="","",IFERROR(A2208-LOOKUP(2,1/($B$4:$B2207=B2208),$A$4:$A2207),""))</f>
        <v/>
      </c>
      <c r="I2208" s="19" t="str">
        <f t="shared" si="34"/>
        <v/>
      </c>
      <c r="J2208" s="19"/>
      <c r="K2208" s="6" t="str">
        <f>IF(B2208="","",IFERROR(AVERAGEIFS($I$4:$I2208,$B$4:$B2208,B2208,$I$4:$I2208,"&gt;"&amp;0),""))</f>
        <v/>
      </c>
      <c r="L2208" s="19" t="str">
        <f>IF(B2208="","",IF(ISNA(MATCH(B2208,Client_List!$B:$B,0)),"⚠ NOT FOUND","✓"))</f>
        <v/>
      </c>
    </row>
    <row r="2209" spans="1:12" ht="14" customHeight="1" x14ac:dyDescent="0.2">
      <c r="A2209" s="58"/>
      <c r="B2209" s="15"/>
      <c r="C2209" s="16" t="str">
        <f>IF(B2209="","",IFERROR(INDEX(Client_List!$C:$C,MATCH(B2209,Client_List!$B:$B,0)),""))</f>
        <v/>
      </c>
      <c r="D2209" s="16" t="str">
        <f>IF(B2209="","",IFERROR(INDEX(Client_List!$D:$D,MATCH(B2209,Client_List!$B:$B,0)),""))</f>
        <v/>
      </c>
      <c r="E2209" s="16" t="str">
        <f>IF(B2209="","",IFERROR(INDEX(Client_List!$K:$K,MATCH(B2209,Client_List!$B:$B,0)),""))</f>
        <v/>
      </c>
      <c r="F2209" s="16" t="str">
        <f>IF(B2209="","",IFERROR(INDEX(Client_List!$J:$J,MATCH(B2209,Client_List!$B:$B,0)),""))</f>
        <v/>
      </c>
      <c r="G2209" s="16"/>
      <c r="H2209" s="16" t="str">
        <f>IF(B2209="","",IFERROR(A2209-LOOKUP(2,1/($B$4:$B2208=B2209),$A$4:$A2208),""))</f>
        <v/>
      </c>
      <c r="I2209" s="16" t="str">
        <f t="shared" si="34"/>
        <v/>
      </c>
      <c r="J2209" s="16"/>
      <c r="K2209" s="6" t="str">
        <f>IF(B2209="","",IFERROR(AVERAGEIFS($I$4:$I2209,$B$4:$B2209,B2209,$I$4:$I2209,"&gt;"&amp;0),""))</f>
        <v/>
      </c>
      <c r="L2209" s="16" t="str">
        <f>IF(B2209="","",IF(ISNA(MATCH(B2209,Client_List!$B:$B,0)),"⚠ NOT FOUND","✓"))</f>
        <v/>
      </c>
    </row>
    <row r="2210" spans="1:12" ht="14" customHeight="1" x14ac:dyDescent="0.2">
      <c r="A2210" s="59"/>
      <c r="B2210" s="18"/>
      <c r="C2210" s="19" t="str">
        <f>IF(B2210="","",IFERROR(INDEX(Client_List!$C:$C,MATCH(B2210,Client_List!$B:$B,0)),""))</f>
        <v/>
      </c>
      <c r="D2210" s="19" t="str">
        <f>IF(B2210="","",IFERROR(INDEX(Client_List!$D:$D,MATCH(B2210,Client_List!$B:$B,0)),""))</f>
        <v/>
      </c>
      <c r="E2210" s="19" t="str">
        <f>IF(B2210="","",IFERROR(INDEX(Client_List!$K:$K,MATCH(B2210,Client_List!$B:$B,0)),""))</f>
        <v/>
      </c>
      <c r="F2210" s="19" t="str">
        <f>IF(B2210="","",IFERROR(INDEX(Client_List!$J:$J,MATCH(B2210,Client_List!$B:$B,0)),""))</f>
        <v/>
      </c>
      <c r="G2210" s="19"/>
      <c r="H2210" s="19" t="str">
        <f>IF(B2210="","",IFERROR(A2210-LOOKUP(2,1/($B$4:$B2209=B2210),$A$4:$A2209),""))</f>
        <v/>
      </c>
      <c r="I2210" s="19" t="str">
        <f t="shared" si="34"/>
        <v/>
      </c>
      <c r="J2210" s="19"/>
      <c r="K2210" s="6" t="str">
        <f>IF(B2210="","",IFERROR(AVERAGEIFS($I$4:$I2210,$B$4:$B2210,B2210,$I$4:$I2210,"&gt;"&amp;0),""))</f>
        <v/>
      </c>
      <c r="L2210" s="19" t="str">
        <f>IF(B2210="","",IF(ISNA(MATCH(B2210,Client_List!$B:$B,0)),"⚠ NOT FOUND","✓"))</f>
        <v/>
      </c>
    </row>
    <row r="2211" spans="1:12" ht="14" customHeight="1" x14ac:dyDescent="0.2">
      <c r="A2211" s="58"/>
      <c r="B2211" s="15"/>
      <c r="C2211" s="16" t="str">
        <f>IF(B2211="","",IFERROR(INDEX(Client_List!$C:$C,MATCH(B2211,Client_List!$B:$B,0)),""))</f>
        <v/>
      </c>
      <c r="D2211" s="16" t="str">
        <f>IF(B2211="","",IFERROR(INDEX(Client_List!$D:$D,MATCH(B2211,Client_List!$B:$B,0)),""))</f>
        <v/>
      </c>
      <c r="E2211" s="16" t="str">
        <f>IF(B2211="","",IFERROR(INDEX(Client_List!$K:$K,MATCH(B2211,Client_List!$B:$B,0)),""))</f>
        <v/>
      </c>
      <c r="F2211" s="16" t="str">
        <f>IF(B2211="","",IFERROR(INDEX(Client_List!$J:$J,MATCH(B2211,Client_List!$B:$B,0)),""))</f>
        <v/>
      </c>
      <c r="G2211" s="16"/>
      <c r="H2211" s="16" t="str">
        <f>IF(B2211="","",IFERROR(A2211-LOOKUP(2,1/($B$4:$B2210=B2211),$A$4:$A2210),""))</f>
        <v/>
      </c>
      <c r="I2211" s="16" t="str">
        <f t="shared" si="34"/>
        <v/>
      </c>
      <c r="J2211" s="16"/>
      <c r="K2211" s="6" t="str">
        <f>IF(B2211="","",IFERROR(AVERAGEIFS($I$4:$I2211,$B$4:$B2211,B2211,$I$4:$I2211,"&gt;"&amp;0),""))</f>
        <v/>
      </c>
      <c r="L2211" s="16" t="str">
        <f>IF(B2211="","",IF(ISNA(MATCH(B2211,Client_List!$B:$B,0)),"⚠ NOT FOUND","✓"))</f>
        <v/>
      </c>
    </row>
    <row r="2212" spans="1:12" ht="14" customHeight="1" x14ac:dyDescent="0.2">
      <c r="A2212" s="59"/>
      <c r="B2212" s="18"/>
      <c r="C2212" s="19" t="str">
        <f>IF(B2212="","",IFERROR(INDEX(Client_List!$C:$C,MATCH(B2212,Client_List!$B:$B,0)),""))</f>
        <v/>
      </c>
      <c r="D2212" s="19" t="str">
        <f>IF(B2212="","",IFERROR(INDEX(Client_List!$D:$D,MATCH(B2212,Client_List!$B:$B,0)),""))</f>
        <v/>
      </c>
      <c r="E2212" s="19" t="str">
        <f>IF(B2212="","",IFERROR(INDEX(Client_List!$K:$K,MATCH(B2212,Client_List!$B:$B,0)),""))</f>
        <v/>
      </c>
      <c r="F2212" s="19" t="str">
        <f>IF(B2212="","",IFERROR(INDEX(Client_List!$J:$J,MATCH(B2212,Client_List!$B:$B,0)),""))</f>
        <v/>
      </c>
      <c r="G2212" s="19"/>
      <c r="H2212" s="19" t="str">
        <f>IF(B2212="","",IFERROR(A2212-LOOKUP(2,1/($B$4:$B2211=B2212),$A$4:$A2211),""))</f>
        <v/>
      </c>
      <c r="I2212" s="19" t="str">
        <f t="shared" si="34"/>
        <v/>
      </c>
      <c r="J2212" s="19"/>
      <c r="K2212" s="6" t="str">
        <f>IF(B2212="","",IFERROR(AVERAGEIFS($I$4:$I2212,$B$4:$B2212,B2212,$I$4:$I2212,"&gt;"&amp;0),""))</f>
        <v/>
      </c>
      <c r="L2212" s="19" t="str">
        <f>IF(B2212="","",IF(ISNA(MATCH(B2212,Client_List!$B:$B,0)),"⚠ NOT FOUND","✓"))</f>
        <v/>
      </c>
    </row>
    <row r="2213" spans="1:12" ht="14" customHeight="1" x14ac:dyDescent="0.2">
      <c r="A2213" s="58"/>
      <c r="B2213" s="15"/>
      <c r="C2213" s="16" t="str">
        <f>IF(B2213="","",IFERROR(INDEX(Client_List!$C:$C,MATCH(B2213,Client_List!$B:$B,0)),""))</f>
        <v/>
      </c>
      <c r="D2213" s="16" t="str">
        <f>IF(B2213="","",IFERROR(INDEX(Client_List!$D:$D,MATCH(B2213,Client_List!$B:$B,0)),""))</f>
        <v/>
      </c>
      <c r="E2213" s="16" t="str">
        <f>IF(B2213="","",IFERROR(INDEX(Client_List!$K:$K,MATCH(B2213,Client_List!$B:$B,0)),""))</f>
        <v/>
      </c>
      <c r="F2213" s="16" t="str">
        <f>IF(B2213="","",IFERROR(INDEX(Client_List!$J:$J,MATCH(B2213,Client_List!$B:$B,0)),""))</f>
        <v/>
      </c>
      <c r="G2213" s="16"/>
      <c r="H2213" s="16" t="str">
        <f>IF(B2213="","",IFERROR(A2213-LOOKUP(2,1/($B$4:$B2212=B2213),$A$4:$A2212),""))</f>
        <v/>
      </c>
      <c r="I2213" s="16" t="str">
        <f t="shared" si="34"/>
        <v/>
      </c>
      <c r="J2213" s="16"/>
      <c r="K2213" s="6" t="str">
        <f>IF(B2213="","",IFERROR(AVERAGEIFS($I$4:$I2213,$B$4:$B2213,B2213,$I$4:$I2213,"&gt;"&amp;0),""))</f>
        <v/>
      </c>
      <c r="L2213" s="16" t="str">
        <f>IF(B2213="","",IF(ISNA(MATCH(B2213,Client_List!$B:$B,0)),"⚠ NOT FOUND","✓"))</f>
        <v/>
      </c>
    </row>
    <row r="2214" spans="1:12" ht="14" customHeight="1" x14ac:dyDescent="0.2">
      <c r="A2214" s="59"/>
      <c r="B2214" s="18"/>
      <c r="C2214" s="19" t="str">
        <f>IF(B2214="","",IFERROR(INDEX(Client_List!$C:$C,MATCH(B2214,Client_List!$B:$B,0)),""))</f>
        <v/>
      </c>
      <c r="D2214" s="19" t="str">
        <f>IF(B2214="","",IFERROR(INDEX(Client_List!$D:$D,MATCH(B2214,Client_List!$B:$B,0)),""))</f>
        <v/>
      </c>
      <c r="E2214" s="19" t="str">
        <f>IF(B2214="","",IFERROR(INDEX(Client_List!$K:$K,MATCH(B2214,Client_List!$B:$B,0)),""))</f>
        <v/>
      </c>
      <c r="F2214" s="19" t="str">
        <f>IF(B2214="","",IFERROR(INDEX(Client_List!$J:$J,MATCH(B2214,Client_List!$B:$B,0)),""))</f>
        <v/>
      </c>
      <c r="G2214" s="19"/>
      <c r="H2214" s="19" t="str">
        <f>IF(B2214="","",IFERROR(A2214-LOOKUP(2,1/($B$4:$B2213=B2214),$A$4:$A2213),""))</f>
        <v/>
      </c>
      <c r="I2214" s="19" t="str">
        <f t="shared" si="34"/>
        <v/>
      </c>
      <c r="J2214" s="19"/>
      <c r="K2214" s="6" t="str">
        <f>IF(B2214="","",IFERROR(AVERAGEIFS($I$4:$I2214,$B$4:$B2214,B2214,$I$4:$I2214,"&gt;"&amp;0),""))</f>
        <v/>
      </c>
      <c r="L2214" s="19" t="str">
        <f>IF(B2214="","",IF(ISNA(MATCH(B2214,Client_List!$B:$B,0)),"⚠ NOT FOUND","✓"))</f>
        <v/>
      </c>
    </row>
    <row r="2215" spans="1:12" ht="14" customHeight="1" x14ac:dyDescent="0.2">
      <c r="A2215" s="58"/>
      <c r="B2215" s="15"/>
      <c r="C2215" s="16" t="str">
        <f>IF(B2215="","",IFERROR(INDEX(Client_List!$C:$C,MATCH(B2215,Client_List!$B:$B,0)),""))</f>
        <v/>
      </c>
      <c r="D2215" s="16" t="str">
        <f>IF(B2215="","",IFERROR(INDEX(Client_List!$D:$D,MATCH(B2215,Client_List!$B:$B,0)),""))</f>
        <v/>
      </c>
      <c r="E2215" s="16" t="str">
        <f>IF(B2215="","",IFERROR(INDEX(Client_List!$K:$K,MATCH(B2215,Client_List!$B:$B,0)),""))</f>
        <v/>
      </c>
      <c r="F2215" s="16" t="str">
        <f>IF(B2215="","",IFERROR(INDEX(Client_List!$J:$J,MATCH(B2215,Client_List!$B:$B,0)),""))</f>
        <v/>
      </c>
      <c r="G2215" s="16"/>
      <c r="H2215" s="16" t="str">
        <f>IF(B2215="","",IFERROR(A2215-LOOKUP(2,1/($B$4:$B2214=B2215),$A$4:$A2214),""))</f>
        <v/>
      </c>
      <c r="I2215" s="16" t="str">
        <f t="shared" si="34"/>
        <v/>
      </c>
      <c r="J2215" s="16"/>
      <c r="K2215" s="6" t="str">
        <f>IF(B2215="","",IFERROR(AVERAGEIFS($I$4:$I2215,$B$4:$B2215,B2215,$I$4:$I2215,"&gt;"&amp;0),""))</f>
        <v/>
      </c>
      <c r="L2215" s="16" t="str">
        <f>IF(B2215="","",IF(ISNA(MATCH(B2215,Client_List!$B:$B,0)),"⚠ NOT FOUND","✓"))</f>
        <v/>
      </c>
    </row>
    <row r="2216" spans="1:12" ht="14" customHeight="1" x14ac:dyDescent="0.2">
      <c r="A2216" s="59"/>
      <c r="B2216" s="18"/>
      <c r="C2216" s="19" t="str">
        <f>IF(B2216="","",IFERROR(INDEX(Client_List!$C:$C,MATCH(B2216,Client_List!$B:$B,0)),""))</f>
        <v/>
      </c>
      <c r="D2216" s="19" t="str">
        <f>IF(B2216="","",IFERROR(INDEX(Client_List!$D:$D,MATCH(B2216,Client_List!$B:$B,0)),""))</f>
        <v/>
      </c>
      <c r="E2216" s="19" t="str">
        <f>IF(B2216="","",IFERROR(INDEX(Client_List!$K:$K,MATCH(B2216,Client_List!$B:$B,0)),""))</f>
        <v/>
      </c>
      <c r="F2216" s="19" t="str">
        <f>IF(B2216="","",IFERROR(INDEX(Client_List!$J:$J,MATCH(B2216,Client_List!$B:$B,0)),""))</f>
        <v/>
      </c>
      <c r="G2216" s="19"/>
      <c r="H2216" s="19" t="str">
        <f>IF(B2216="","",IFERROR(A2216-LOOKUP(2,1/($B$4:$B2215=B2216),$A$4:$A2215),""))</f>
        <v/>
      </c>
      <c r="I2216" s="19" t="str">
        <f t="shared" si="34"/>
        <v/>
      </c>
      <c r="J2216" s="19"/>
      <c r="K2216" s="6" t="str">
        <f>IF(B2216="","",IFERROR(AVERAGEIFS($I$4:$I2216,$B$4:$B2216,B2216,$I$4:$I2216,"&gt;"&amp;0),""))</f>
        <v/>
      </c>
      <c r="L2216" s="19" t="str">
        <f>IF(B2216="","",IF(ISNA(MATCH(B2216,Client_List!$B:$B,0)),"⚠ NOT FOUND","✓"))</f>
        <v/>
      </c>
    </row>
    <row r="2217" spans="1:12" ht="14" customHeight="1" x14ac:dyDescent="0.2">
      <c r="A2217" s="58"/>
      <c r="B2217" s="15"/>
      <c r="C2217" s="16" t="str">
        <f>IF(B2217="","",IFERROR(INDEX(Client_List!$C:$C,MATCH(B2217,Client_List!$B:$B,0)),""))</f>
        <v/>
      </c>
      <c r="D2217" s="16" t="str">
        <f>IF(B2217="","",IFERROR(INDEX(Client_List!$D:$D,MATCH(B2217,Client_List!$B:$B,0)),""))</f>
        <v/>
      </c>
      <c r="E2217" s="16" t="str">
        <f>IF(B2217="","",IFERROR(INDEX(Client_List!$K:$K,MATCH(B2217,Client_List!$B:$B,0)),""))</f>
        <v/>
      </c>
      <c r="F2217" s="16" t="str">
        <f>IF(B2217="","",IFERROR(INDEX(Client_List!$J:$J,MATCH(B2217,Client_List!$B:$B,0)),""))</f>
        <v/>
      </c>
      <c r="G2217" s="16"/>
      <c r="H2217" s="16" t="str">
        <f>IF(B2217="","",IFERROR(A2217-LOOKUP(2,1/($B$4:$B2216=B2217),$A$4:$A2216),""))</f>
        <v/>
      </c>
      <c r="I2217" s="16" t="str">
        <f t="shared" si="34"/>
        <v/>
      </c>
      <c r="J2217" s="16"/>
      <c r="K2217" s="6" t="str">
        <f>IF(B2217="","",IFERROR(AVERAGEIFS($I$4:$I2217,$B$4:$B2217,B2217,$I$4:$I2217,"&gt;"&amp;0),""))</f>
        <v/>
      </c>
      <c r="L2217" s="16" t="str">
        <f>IF(B2217="","",IF(ISNA(MATCH(B2217,Client_List!$B:$B,0)),"⚠ NOT FOUND","✓"))</f>
        <v/>
      </c>
    </row>
    <row r="2218" spans="1:12" ht="14" customHeight="1" x14ac:dyDescent="0.2">
      <c r="A2218" s="59"/>
      <c r="B2218" s="18"/>
      <c r="C2218" s="19" t="str">
        <f>IF(B2218="","",IFERROR(INDEX(Client_List!$C:$C,MATCH(B2218,Client_List!$B:$B,0)),""))</f>
        <v/>
      </c>
      <c r="D2218" s="19" t="str">
        <f>IF(B2218="","",IFERROR(INDEX(Client_List!$D:$D,MATCH(B2218,Client_List!$B:$B,0)),""))</f>
        <v/>
      </c>
      <c r="E2218" s="19" t="str">
        <f>IF(B2218="","",IFERROR(INDEX(Client_List!$K:$K,MATCH(B2218,Client_List!$B:$B,0)),""))</f>
        <v/>
      </c>
      <c r="F2218" s="19" t="str">
        <f>IF(B2218="","",IFERROR(INDEX(Client_List!$J:$J,MATCH(B2218,Client_List!$B:$B,0)),""))</f>
        <v/>
      </c>
      <c r="G2218" s="19"/>
      <c r="H2218" s="19" t="str">
        <f>IF(B2218="","",IFERROR(A2218-LOOKUP(2,1/($B$4:$B2217=B2218),$A$4:$A2217),""))</f>
        <v/>
      </c>
      <c r="I2218" s="19" t="str">
        <f t="shared" si="34"/>
        <v/>
      </c>
      <c r="J2218" s="19"/>
      <c r="K2218" s="6" t="str">
        <f>IF(B2218="","",IFERROR(AVERAGEIFS($I$4:$I2218,$B$4:$B2218,B2218,$I$4:$I2218,"&gt;"&amp;0),""))</f>
        <v/>
      </c>
      <c r="L2218" s="19" t="str">
        <f>IF(B2218="","",IF(ISNA(MATCH(B2218,Client_List!$B:$B,0)),"⚠ NOT FOUND","✓"))</f>
        <v/>
      </c>
    </row>
    <row r="2219" spans="1:12" ht="14" customHeight="1" x14ac:dyDescent="0.2">
      <c r="A2219" s="58"/>
      <c r="B2219" s="15"/>
      <c r="C2219" s="16" t="str">
        <f>IF(B2219="","",IFERROR(INDEX(Client_List!$C:$C,MATCH(B2219,Client_List!$B:$B,0)),""))</f>
        <v/>
      </c>
      <c r="D2219" s="16" t="str">
        <f>IF(B2219="","",IFERROR(INDEX(Client_List!$D:$D,MATCH(B2219,Client_List!$B:$B,0)),""))</f>
        <v/>
      </c>
      <c r="E2219" s="16" t="str">
        <f>IF(B2219="","",IFERROR(INDEX(Client_List!$K:$K,MATCH(B2219,Client_List!$B:$B,0)),""))</f>
        <v/>
      </c>
      <c r="F2219" s="16" t="str">
        <f>IF(B2219="","",IFERROR(INDEX(Client_List!$J:$J,MATCH(B2219,Client_List!$B:$B,0)),""))</f>
        <v/>
      </c>
      <c r="G2219" s="16"/>
      <c r="H2219" s="16" t="str">
        <f>IF(B2219="","",IFERROR(A2219-LOOKUP(2,1/($B$4:$B2218=B2219),$A$4:$A2218),""))</f>
        <v/>
      </c>
      <c r="I2219" s="16" t="str">
        <f t="shared" si="34"/>
        <v/>
      </c>
      <c r="J2219" s="16"/>
      <c r="K2219" s="6" t="str">
        <f>IF(B2219="","",IFERROR(AVERAGEIFS($I$4:$I2219,$B$4:$B2219,B2219,$I$4:$I2219,"&gt;"&amp;0),""))</f>
        <v/>
      </c>
      <c r="L2219" s="16" t="str">
        <f>IF(B2219="","",IF(ISNA(MATCH(B2219,Client_List!$B:$B,0)),"⚠ NOT FOUND","✓"))</f>
        <v/>
      </c>
    </row>
    <row r="2220" spans="1:12" ht="14" customHeight="1" x14ac:dyDescent="0.2">
      <c r="A2220" s="59"/>
      <c r="B2220" s="18"/>
      <c r="C2220" s="19" t="str">
        <f>IF(B2220="","",IFERROR(INDEX(Client_List!$C:$C,MATCH(B2220,Client_List!$B:$B,0)),""))</f>
        <v/>
      </c>
      <c r="D2220" s="19" t="str">
        <f>IF(B2220="","",IFERROR(INDEX(Client_List!$D:$D,MATCH(B2220,Client_List!$B:$B,0)),""))</f>
        <v/>
      </c>
      <c r="E2220" s="19" t="str">
        <f>IF(B2220="","",IFERROR(INDEX(Client_List!$K:$K,MATCH(B2220,Client_List!$B:$B,0)),""))</f>
        <v/>
      </c>
      <c r="F2220" s="19" t="str">
        <f>IF(B2220="","",IFERROR(INDEX(Client_List!$J:$J,MATCH(B2220,Client_List!$B:$B,0)),""))</f>
        <v/>
      </c>
      <c r="G2220" s="19"/>
      <c r="H2220" s="19" t="str">
        <f>IF(B2220="","",IFERROR(A2220-LOOKUP(2,1/($B$4:$B2219=B2220),$A$4:$A2219),""))</f>
        <v/>
      </c>
      <c r="I2220" s="19" t="str">
        <f t="shared" si="34"/>
        <v/>
      </c>
      <c r="J2220" s="19"/>
      <c r="K2220" s="6" t="str">
        <f>IF(B2220="","",IFERROR(AVERAGEIFS($I$4:$I2220,$B$4:$B2220,B2220,$I$4:$I2220,"&gt;"&amp;0),""))</f>
        <v/>
      </c>
      <c r="L2220" s="19" t="str">
        <f>IF(B2220="","",IF(ISNA(MATCH(B2220,Client_List!$B:$B,0)),"⚠ NOT FOUND","✓"))</f>
        <v/>
      </c>
    </row>
    <row r="2221" spans="1:12" ht="14" customHeight="1" x14ac:dyDescent="0.2">
      <c r="A2221" s="58"/>
      <c r="B2221" s="15"/>
      <c r="C2221" s="16" t="str">
        <f>IF(B2221="","",IFERROR(INDEX(Client_List!$C:$C,MATCH(B2221,Client_List!$B:$B,0)),""))</f>
        <v/>
      </c>
      <c r="D2221" s="16" t="str">
        <f>IF(B2221="","",IFERROR(INDEX(Client_List!$D:$D,MATCH(B2221,Client_List!$B:$B,0)),""))</f>
        <v/>
      </c>
      <c r="E2221" s="16" t="str">
        <f>IF(B2221="","",IFERROR(INDEX(Client_List!$K:$K,MATCH(B2221,Client_List!$B:$B,0)),""))</f>
        <v/>
      </c>
      <c r="F2221" s="16" t="str">
        <f>IF(B2221="","",IFERROR(INDEX(Client_List!$J:$J,MATCH(B2221,Client_List!$B:$B,0)),""))</f>
        <v/>
      </c>
      <c r="G2221" s="16"/>
      <c r="H2221" s="16" t="str">
        <f>IF(B2221="","",IFERROR(A2221-LOOKUP(2,1/($B$4:$B2220=B2221),$A$4:$A2220),""))</f>
        <v/>
      </c>
      <c r="I2221" s="16" t="str">
        <f t="shared" si="34"/>
        <v/>
      </c>
      <c r="J2221" s="16"/>
      <c r="K2221" s="6" t="str">
        <f>IF(B2221="","",IFERROR(AVERAGEIFS($I$4:$I2221,$B$4:$B2221,B2221,$I$4:$I2221,"&gt;"&amp;0),""))</f>
        <v/>
      </c>
      <c r="L2221" s="16" t="str">
        <f>IF(B2221="","",IF(ISNA(MATCH(B2221,Client_List!$B:$B,0)),"⚠ NOT FOUND","✓"))</f>
        <v/>
      </c>
    </row>
    <row r="2222" spans="1:12" ht="14" customHeight="1" x14ac:dyDescent="0.2">
      <c r="A2222" s="59"/>
      <c r="B2222" s="18"/>
      <c r="C2222" s="19" t="str">
        <f>IF(B2222="","",IFERROR(INDEX(Client_List!$C:$C,MATCH(B2222,Client_List!$B:$B,0)),""))</f>
        <v/>
      </c>
      <c r="D2222" s="19" t="str">
        <f>IF(B2222="","",IFERROR(INDEX(Client_List!$D:$D,MATCH(B2222,Client_List!$B:$B,0)),""))</f>
        <v/>
      </c>
      <c r="E2222" s="19" t="str">
        <f>IF(B2222="","",IFERROR(INDEX(Client_List!$K:$K,MATCH(B2222,Client_List!$B:$B,0)),""))</f>
        <v/>
      </c>
      <c r="F2222" s="19" t="str">
        <f>IF(B2222="","",IFERROR(INDEX(Client_List!$J:$J,MATCH(B2222,Client_List!$B:$B,0)),""))</f>
        <v/>
      </c>
      <c r="G2222" s="19"/>
      <c r="H2222" s="19" t="str">
        <f>IF(B2222="","",IFERROR(A2222-LOOKUP(2,1/($B$4:$B2221=B2222),$A$4:$A2221),""))</f>
        <v/>
      </c>
      <c r="I2222" s="19" t="str">
        <f t="shared" si="34"/>
        <v/>
      </c>
      <c r="J2222" s="19"/>
      <c r="K2222" s="6" t="str">
        <f>IF(B2222="","",IFERROR(AVERAGEIFS($I$4:$I2222,$B$4:$B2222,B2222,$I$4:$I2222,"&gt;"&amp;0),""))</f>
        <v/>
      </c>
      <c r="L2222" s="19" t="str">
        <f>IF(B2222="","",IF(ISNA(MATCH(B2222,Client_List!$B:$B,0)),"⚠ NOT FOUND","✓"))</f>
        <v/>
      </c>
    </row>
    <row r="2223" spans="1:12" ht="14" customHeight="1" x14ac:dyDescent="0.2">
      <c r="A2223" s="58"/>
      <c r="B2223" s="15"/>
      <c r="C2223" s="16" t="str">
        <f>IF(B2223="","",IFERROR(INDEX(Client_List!$C:$C,MATCH(B2223,Client_List!$B:$B,0)),""))</f>
        <v/>
      </c>
      <c r="D2223" s="16" t="str">
        <f>IF(B2223="","",IFERROR(INDEX(Client_List!$D:$D,MATCH(B2223,Client_List!$B:$B,0)),""))</f>
        <v/>
      </c>
      <c r="E2223" s="16" t="str">
        <f>IF(B2223="","",IFERROR(INDEX(Client_List!$K:$K,MATCH(B2223,Client_List!$B:$B,0)),""))</f>
        <v/>
      </c>
      <c r="F2223" s="16" t="str">
        <f>IF(B2223="","",IFERROR(INDEX(Client_List!$J:$J,MATCH(B2223,Client_List!$B:$B,0)),""))</f>
        <v/>
      </c>
      <c r="G2223" s="16"/>
      <c r="H2223" s="16" t="str">
        <f>IF(B2223="","",IFERROR(A2223-LOOKUP(2,1/($B$4:$B2222=B2223),$A$4:$A2222),""))</f>
        <v/>
      </c>
      <c r="I2223" s="16" t="str">
        <f t="shared" si="34"/>
        <v/>
      </c>
      <c r="J2223" s="16"/>
      <c r="K2223" s="6" t="str">
        <f>IF(B2223="","",IFERROR(AVERAGEIFS($I$4:$I2223,$B$4:$B2223,B2223,$I$4:$I2223,"&gt;"&amp;0),""))</f>
        <v/>
      </c>
      <c r="L2223" s="16" t="str">
        <f>IF(B2223="","",IF(ISNA(MATCH(B2223,Client_List!$B:$B,0)),"⚠ NOT FOUND","✓"))</f>
        <v/>
      </c>
    </row>
    <row r="2224" spans="1:12" ht="14" customHeight="1" x14ac:dyDescent="0.2">
      <c r="A2224" s="59"/>
      <c r="B2224" s="18"/>
      <c r="C2224" s="19" t="str">
        <f>IF(B2224="","",IFERROR(INDEX(Client_List!$C:$C,MATCH(B2224,Client_List!$B:$B,0)),""))</f>
        <v/>
      </c>
      <c r="D2224" s="19" t="str">
        <f>IF(B2224="","",IFERROR(INDEX(Client_List!$D:$D,MATCH(B2224,Client_List!$B:$B,0)),""))</f>
        <v/>
      </c>
      <c r="E2224" s="19" t="str">
        <f>IF(B2224="","",IFERROR(INDEX(Client_List!$K:$K,MATCH(B2224,Client_List!$B:$B,0)),""))</f>
        <v/>
      </c>
      <c r="F2224" s="19" t="str">
        <f>IF(B2224="","",IFERROR(INDEX(Client_List!$J:$J,MATCH(B2224,Client_List!$B:$B,0)),""))</f>
        <v/>
      </c>
      <c r="G2224" s="19"/>
      <c r="H2224" s="19" t="str">
        <f>IF(B2224="","",IFERROR(A2224-LOOKUP(2,1/($B$4:$B2223=B2224),$A$4:$A2223),""))</f>
        <v/>
      </c>
      <c r="I2224" s="19" t="str">
        <f t="shared" si="34"/>
        <v/>
      </c>
      <c r="J2224" s="19"/>
      <c r="K2224" s="6" t="str">
        <f>IF(B2224="","",IFERROR(AVERAGEIFS($I$4:$I2224,$B$4:$B2224,B2224,$I$4:$I2224,"&gt;"&amp;0),""))</f>
        <v/>
      </c>
      <c r="L2224" s="19" t="str">
        <f>IF(B2224="","",IF(ISNA(MATCH(B2224,Client_List!$B:$B,0)),"⚠ NOT FOUND","✓"))</f>
        <v/>
      </c>
    </row>
    <row r="2225" spans="1:12" ht="14" customHeight="1" x14ac:dyDescent="0.2">
      <c r="A2225" s="58"/>
      <c r="B2225" s="15"/>
      <c r="C2225" s="16" t="str">
        <f>IF(B2225="","",IFERROR(INDEX(Client_List!$C:$C,MATCH(B2225,Client_List!$B:$B,0)),""))</f>
        <v/>
      </c>
      <c r="D2225" s="16" t="str">
        <f>IF(B2225="","",IFERROR(INDEX(Client_List!$D:$D,MATCH(B2225,Client_List!$B:$B,0)),""))</f>
        <v/>
      </c>
      <c r="E2225" s="16" t="str">
        <f>IF(B2225="","",IFERROR(INDEX(Client_List!$K:$K,MATCH(B2225,Client_List!$B:$B,0)),""))</f>
        <v/>
      </c>
      <c r="F2225" s="16" t="str">
        <f>IF(B2225="","",IFERROR(INDEX(Client_List!$J:$J,MATCH(B2225,Client_List!$B:$B,0)),""))</f>
        <v/>
      </c>
      <c r="G2225" s="16"/>
      <c r="H2225" s="16" t="str">
        <f>IF(B2225="","",IFERROR(A2225-LOOKUP(2,1/($B$4:$B2224=B2225),$A$4:$A2224),""))</f>
        <v/>
      </c>
      <c r="I2225" s="16" t="str">
        <f t="shared" si="34"/>
        <v/>
      </c>
      <c r="J2225" s="16"/>
      <c r="K2225" s="6" t="str">
        <f>IF(B2225="","",IFERROR(AVERAGEIFS($I$4:$I2225,$B$4:$B2225,B2225,$I$4:$I2225,"&gt;"&amp;0),""))</f>
        <v/>
      </c>
      <c r="L2225" s="16" t="str">
        <f>IF(B2225="","",IF(ISNA(MATCH(B2225,Client_List!$B:$B,0)),"⚠ NOT FOUND","✓"))</f>
        <v/>
      </c>
    </row>
    <row r="2226" spans="1:12" ht="14" customHeight="1" x14ac:dyDescent="0.2">
      <c r="A2226" s="59"/>
      <c r="B2226" s="18"/>
      <c r="C2226" s="19" t="str">
        <f>IF(B2226="","",IFERROR(INDEX(Client_List!$C:$C,MATCH(B2226,Client_List!$B:$B,0)),""))</f>
        <v/>
      </c>
      <c r="D2226" s="19" t="str">
        <f>IF(B2226="","",IFERROR(INDEX(Client_List!$D:$D,MATCH(B2226,Client_List!$B:$B,0)),""))</f>
        <v/>
      </c>
      <c r="E2226" s="19" t="str">
        <f>IF(B2226="","",IFERROR(INDEX(Client_List!$K:$K,MATCH(B2226,Client_List!$B:$B,0)),""))</f>
        <v/>
      </c>
      <c r="F2226" s="19" t="str">
        <f>IF(B2226="","",IFERROR(INDEX(Client_List!$J:$J,MATCH(B2226,Client_List!$B:$B,0)),""))</f>
        <v/>
      </c>
      <c r="G2226" s="19"/>
      <c r="H2226" s="19" t="str">
        <f>IF(B2226="","",IFERROR(A2226-LOOKUP(2,1/($B$4:$B2225=B2226),$A$4:$A2225),""))</f>
        <v/>
      </c>
      <c r="I2226" s="19" t="str">
        <f t="shared" si="34"/>
        <v/>
      </c>
      <c r="J2226" s="19"/>
      <c r="K2226" s="6" t="str">
        <f>IF(B2226="","",IFERROR(AVERAGEIFS($I$4:$I2226,$B$4:$B2226,B2226,$I$4:$I2226,"&gt;"&amp;0),""))</f>
        <v/>
      </c>
      <c r="L2226" s="19" t="str">
        <f>IF(B2226="","",IF(ISNA(MATCH(B2226,Client_List!$B:$B,0)),"⚠ NOT FOUND","✓"))</f>
        <v/>
      </c>
    </row>
    <row r="2227" spans="1:12" ht="14" customHeight="1" x14ac:dyDescent="0.2">
      <c r="A2227" s="58"/>
      <c r="B2227" s="15"/>
      <c r="C2227" s="16" t="str">
        <f>IF(B2227="","",IFERROR(INDEX(Client_List!$C:$C,MATCH(B2227,Client_List!$B:$B,0)),""))</f>
        <v/>
      </c>
      <c r="D2227" s="16" t="str">
        <f>IF(B2227="","",IFERROR(INDEX(Client_List!$D:$D,MATCH(B2227,Client_List!$B:$B,0)),""))</f>
        <v/>
      </c>
      <c r="E2227" s="16" t="str">
        <f>IF(B2227="","",IFERROR(INDEX(Client_List!$K:$K,MATCH(B2227,Client_List!$B:$B,0)),""))</f>
        <v/>
      </c>
      <c r="F2227" s="16" t="str">
        <f>IF(B2227="","",IFERROR(INDEX(Client_List!$J:$J,MATCH(B2227,Client_List!$B:$B,0)),""))</f>
        <v/>
      </c>
      <c r="G2227" s="16"/>
      <c r="H2227" s="16" t="str">
        <f>IF(B2227="","",IFERROR(A2227-LOOKUP(2,1/($B$4:$B2226=B2227),$A$4:$A2226),""))</f>
        <v/>
      </c>
      <c r="I2227" s="16" t="str">
        <f t="shared" si="34"/>
        <v/>
      </c>
      <c r="J2227" s="16"/>
      <c r="K2227" s="6" t="str">
        <f>IF(B2227="","",IFERROR(AVERAGEIFS($I$4:$I2227,$B$4:$B2227,B2227,$I$4:$I2227,"&gt;"&amp;0),""))</f>
        <v/>
      </c>
      <c r="L2227" s="16" t="str">
        <f>IF(B2227="","",IF(ISNA(MATCH(B2227,Client_List!$B:$B,0)),"⚠ NOT FOUND","✓"))</f>
        <v/>
      </c>
    </row>
    <row r="2228" spans="1:12" ht="14" customHeight="1" x14ac:dyDescent="0.2">
      <c r="A2228" s="59"/>
      <c r="B2228" s="18"/>
      <c r="C2228" s="19" t="str">
        <f>IF(B2228="","",IFERROR(INDEX(Client_List!$C:$C,MATCH(B2228,Client_List!$B:$B,0)),""))</f>
        <v/>
      </c>
      <c r="D2228" s="19" t="str">
        <f>IF(B2228="","",IFERROR(INDEX(Client_List!$D:$D,MATCH(B2228,Client_List!$B:$B,0)),""))</f>
        <v/>
      </c>
      <c r="E2228" s="19" t="str">
        <f>IF(B2228="","",IFERROR(INDEX(Client_List!$K:$K,MATCH(B2228,Client_List!$B:$B,0)),""))</f>
        <v/>
      </c>
      <c r="F2228" s="19" t="str">
        <f>IF(B2228="","",IFERROR(INDEX(Client_List!$J:$J,MATCH(B2228,Client_List!$B:$B,0)),""))</f>
        <v/>
      </c>
      <c r="G2228" s="19"/>
      <c r="H2228" s="19" t="str">
        <f>IF(B2228="","",IFERROR(A2228-LOOKUP(2,1/($B$4:$B2227=B2228),$A$4:$A2227),""))</f>
        <v/>
      </c>
      <c r="I2228" s="19" t="str">
        <f t="shared" si="34"/>
        <v/>
      </c>
      <c r="J2228" s="19"/>
      <c r="K2228" s="6" t="str">
        <f>IF(B2228="","",IFERROR(AVERAGEIFS($I$4:$I2228,$B$4:$B2228,B2228,$I$4:$I2228,"&gt;"&amp;0),""))</f>
        <v/>
      </c>
      <c r="L2228" s="19" t="str">
        <f>IF(B2228="","",IF(ISNA(MATCH(B2228,Client_List!$B:$B,0)),"⚠ NOT FOUND","✓"))</f>
        <v/>
      </c>
    </row>
    <row r="2229" spans="1:12" ht="14" customHeight="1" x14ac:dyDescent="0.2">
      <c r="A2229" s="58"/>
      <c r="B2229" s="15"/>
      <c r="C2229" s="16" t="str">
        <f>IF(B2229="","",IFERROR(INDEX(Client_List!$C:$C,MATCH(B2229,Client_List!$B:$B,0)),""))</f>
        <v/>
      </c>
      <c r="D2229" s="16" t="str">
        <f>IF(B2229="","",IFERROR(INDEX(Client_List!$D:$D,MATCH(B2229,Client_List!$B:$B,0)),""))</f>
        <v/>
      </c>
      <c r="E2229" s="16" t="str">
        <f>IF(B2229="","",IFERROR(INDEX(Client_List!$K:$K,MATCH(B2229,Client_List!$B:$B,0)),""))</f>
        <v/>
      </c>
      <c r="F2229" s="16" t="str">
        <f>IF(B2229="","",IFERROR(INDEX(Client_List!$J:$J,MATCH(B2229,Client_List!$B:$B,0)),""))</f>
        <v/>
      </c>
      <c r="G2229" s="16"/>
      <c r="H2229" s="16" t="str">
        <f>IF(B2229="","",IFERROR(A2229-LOOKUP(2,1/($B$4:$B2228=B2229),$A$4:$A2228),""))</f>
        <v/>
      </c>
      <c r="I2229" s="16" t="str">
        <f t="shared" si="34"/>
        <v/>
      </c>
      <c r="J2229" s="16"/>
      <c r="K2229" s="6" t="str">
        <f>IF(B2229="","",IFERROR(AVERAGEIFS($I$4:$I2229,$B$4:$B2229,B2229,$I$4:$I2229,"&gt;"&amp;0),""))</f>
        <v/>
      </c>
      <c r="L2229" s="16" t="str">
        <f>IF(B2229="","",IF(ISNA(MATCH(B2229,Client_List!$B:$B,0)),"⚠ NOT FOUND","✓"))</f>
        <v/>
      </c>
    </row>
    <row r="2230" spans="1:12" ht="14" customHeight="1" x14ac:dyDescent="0.2">
      <c r="A2230" s="59"/>
      <c r="B2230" s="18"/>
      <c r="C2230" s="19" t="str">
        <f>IF(B2230="","",IFERROR(INDEX(Client_List!$C:$C,MATCH(B2230,Client_List!$B:$B,0)),""))</f>
        <v/>
      </c>
      <c r="D2230" s="19" t="str">
        <f>IF(B2230="","",IFERROR(INDEX(Client_List!$D:$D,MATCH(B2230,Client_List!$B:$B,0)),""))</f>
        <v/>
      </c>
      <c r="E2230" s="19" t="str">
        <f>IF(B2230="","",IFERROR(INDEX(Client_List!$K:$K,MATCH(B2230,Client_List!$B:$B,0)),""))</f>
        <v/>
      </c>
      <c r="F2230" s="19" t="str">
        <f>IF(B2230="","",IFERROR(INDEX(Client_List!$J:$J,MATCH(B2230,Client_List!$B:$B,0)),""))</f>
        <v/>
      </c>
      <c r="G2230" s="19"/>
      <c r="H2230" s="19" t="str">
        <f>IF(B2230="","",IFERROR(A2230-LOOKUP(2,1/($B$4:$B2229=B2230),$A$4:$A2229),""))</f>
        <v/>
      </c>
      <c r="I2230" s="19" t="str">
        <f t="shared" si="34"/>
        <v/>
      </c>
      <c r="J2230" s="19"/>
      <c r="K2230" s="6" t="str">
        <f>IF(B2230="","",IFERROR(AVERAGEIFS($I$4:$I2230,$B$4:$B2230,B2230,$I$4:$I2230,"&gt;"&amp;0),""))</f>
        <v/>
      </c>
      <c r="L2230" s="19" t="str">
        <f>IF(B2230="","",IF(ISNA(MATCH(B2230,Client_List!$B:$B,0)),"⚠ NOT FOUND","✓"))</f>
        <v/>
      </c>
    </row>
    <row r="2231" spans="1:12" ht="14" customHeight="1" x14ac:dyDescent="0.2">
      <c r="A2231" s="58"/>
      <c r="B2231" s="15"/>
      <c r="C2231" s="16" t="str">
        <f>IF(B2231="","",IFERROR(INDEX(Client_List!$C:$C,MATCH(B2231,Client_List!$B:$B,0)),""))</f>
        <v/>
      </c>
      <c r="D2231" s="16" t="str">
        <f>IF(B2231="","",IFERROR(INDEX(Client_List!$D:$D,MATCH(B2231,Client_List!$B:$B,0)),""))</f>
        <v/>
      </c>
      <c r="E2231" s="16" t="str">
        <f>IF(B2231="","",IFERROR(INDEX(Client_List!$K:$K,MATCH(B2231,Client_List!$B:$B,0)),""))</f>
        <v/>
      </c>
      <c r="F2231" s="16" t="str">
        <f>IF(B2231="","",IFERROR(INDEX(Client_List!$J:$J,MATCH(B2231,Client_List!$B:$B,0)),""))</f>
        <v/>
      </c>
      <c r="G2231" s="16"/>
      <c r="H2231" s="16" t="str">
        <f>IF(B2231="","",IFERROR(A2231-LOOKUP(2,1/($B$4:$B2230=B2231),$A$4:$A2230),""))</f>
        <v/>
      </c>
      <c r="I2231" s="16" t="str">
        <f t="shared" si="34"/>
        <v/>
      </c>
      <c r="J2231" s="16"/>
      <c r="K2231" s="6" t="str">
        <f>IF(B2231="","",IFERROR(AVERAGEIFS($I$4:$I2231,$B$4:$B2231,B2231,$I$4:$I2231,"&gt;"&amp;0),""))</f>
        <v/>
      </c>
      <c r="L2231" s="16" t="str">
        <f>IF(B2231="","",IF(ISNA(MATCH(B2231,Client_List!$B:$B,0)),"⚠ NOT FOUND","✓"))</f>
        <v/>
      </c>
    </row>
    <row r="2232" spans="1:12" ht="14" customHeight="1" x14ac:dyDescent="0.2">
      <c r="A2232" s="59"/>
      <c r="B2232" s="18"/>
      <c r="C2232" s="19" t="str">
        <f>IF(B2232="","",IFERROR(INDEX(Client_List!$C:$C,MATCH(B2232,Client_List!$B:$B,0)),""))</f>
        <v/>
      </c>
      <c r="D2232" s="19" t="str">
        <f>IF(B2232="","",IFERROR(INDEX(Client_List!$D:$D,MATCH(B2232,Client_List!$B:$B,0)),""))</f>
        <v/>
      </c>
      <c r="E2232" s="19" t="str">
        <f>IF(B2232="","",IFERROR(INDEX(Client_List!$K:$K,MATCH(B2232,Client_List!$B:$B,0)),""))</f>
        <v/>
      </c>
      <c r="F2232" s="19" t="str">
        <f>IF(B2232="","",IFERROR(INDEX(Client_List!$J:$J,MATCH(B2232,Client_List!$B:$B,0)),""))</f>
        <v/>
      </c>
      <c r="G2232" s="19"/>
      <c r="H2232" s="19" t="str">
        <f>IF(B2232="","",IFERROR(A2232-LOOKUP(2,1/($B$4:$B2231=B2232),$A$4:$A2231),""))</f>
        <v/>
      </c>
      <c r="I2232" s="19" t="str">
        <f t="shared" si="34"/>
        <v/>
      </c>
      <c r="J2232" s="19"/>
      <c r="K2232" s="6" t="str">
        <f>IF(B2232="","",IFERROR(AVERAGEIFS($I$4:$I2232,$B$4:$B2232,B2232,$I$4:$I2232,"&gt;"&amp;0),""))</f>
        <v/>
      </c>
      <c r="L2232" s="19" t="str">
        <f>IF(B2232="","",IF(ISNA(MATCH(B2232,Client_List!$B:$B,0)),"⚠ NOT FOUND","✓"))</f>
        <v/>
      </c>
    </row>
    <row r="2233" spans="1:12" ht="14" customHeight="1" x14ac:dyDescent="0.2">
      <c r="A2233" s="58"/>
      <c r="B2233" s="15"/>
      <c r="C2233" s="16" t="str">
        <f>IF(B2233="","",IFERROR(INDEX(Client_List!$C:$C,MATCH(B2233,Client_List!$B:$B,0)),""))</f>
        <v/>
      </c>
      <c r="D2233" s="16" t="str">
        <f>IF(B2233="","",IFERROR(INDEX(Client_List!$D:$D,MATCH(B2233,Client_List!$B:$B,0)),""))</f>
        <v/>
      </c>
      <c r="E2233" s="16" t="str">
        <f>IF(B2233="","",IFERROR(INDEX(Client_List!$K:$K,MATCH(B2233,Client_List!$B:$B,0)),""))</f>
        <v/>
      </c>
      <c r="F2233" s="16" t="str">
        <f>IF(B2233="","",IFERROR(INDEX(Client_List!$J:$J,MATCH(B2233,Client_List!$B:$B,0)),""))</f>
        <v/>
      </c>
      <c r="G2233" s="16"/>
      <c r="H2233" s="16" t="str">
        <f>IF(B2233="","",IFERROR(A2233-LOOKUP(2,1/($B$4:$B2232=B2233),$A$4:$A2232),""))</f>
        <v/>
      </c>
      <c r="I2233" s="16" t="str">
        <f t="shared" si="34"/>
        <v/>
      </c>
      <c r="J2233" s="16"/>
      <c r="K2233" s="6" t="str">
        <f>IF(B2233="","",IFERROR(AVERAGEIFS($I$4:$I2233,$B$4:$B2233,B2233,$I$4:$I2233,"&gt;"&amp;0),""))</f>
        <v/>
      </c>
      <c r="L2233" s="16" t="str">
        <f>IF(B2233="","",IF(ISNA(MATCH(B2233,Client_List!$B:$B,0)),"⚠ NOT FOUND","✓"))</f>
        <v/>
      </c>
    </row>
    <row r="2234" spans="1:12" ht="14" customHeight="1" x14ac:dyDescent="0.2">
      <c r="A2234" s="59"/>
      <c r="B2234" s="18"/>
      <c r="C2234" s="19" t="str">
        <f>IF(B2234="","",IFERROR(INDEX(Client_List!$C:$C,MATCH(B2234,Client_List!$B:$B,0)),""))</f>
        <v/>
      </c>
      <c r="D2234" s="19" t="str">
        <f>IF(B2234="","",IFERROR(INDEX(Client_List!$D:$D,MATCH(B2234,Client_List!$B:$B,0)),""))</f>
        <v/>
      </c>
      <c r="E2234" s="19" t="str">
        <f>IF(B2234="","",IFERROR(INDEX(Client_List!$K:$K,MATCH(B2234,Client_List!$B:$B,0)),""))</f>
        <v/>
      </c>
      <c r="F2234" s="19" t="str">
        <f>IF(B2234="","",IFERROR(INDEX(Client_List!$J:$J,MATCH(B2234,Client_List!$B:$B,0)),""))</f>
        <v/>
      </c>
      <c r="G2234" s="19"/>
      <c r="H2234" s="19" t="str">
        <f>IF(B2234="","",IFERROR(A2234-LOOKUP(2,1/($B$4:$B2233=B2234),$A$4:$A2233),""))</f>
        <v/>
      </c>
      <c r="I2234" s="19" t="str">
        <f t="shared" si="34"/>
        <v/>
      </c>
      <c r="J2234" s="19"/>
      <c r="K2234" s="6" t="str">
        <f>IF(B2234="","",IFERROR(AVERAGEIFS($I$4:$I2234,$B$4:$B2234,B2234,$I$4:$I2234,"&gt;"&amp;0),""))</f>
        <v/>
      </c>
      <c r="L2234" s="19" t="str">
        <f>IF(B2234="","",IF(ISNA(MATCH(B2234,Client_List!$B:$B,0)),"⚠ NOT FOUND","✓"))</f>
        <v/>
      </c>
    </row>
    <row r="2235" spans="1:12" ht="14" customHeight="1" x14ac:dyDescent="0.2">
      <c r="A2235" s="58"/>
      <c r="B2235" s="15"/>
      <c r="C2235" s="16" t="str">
        <f>IF(B2235="","",IFERROR(INDEX(Client_List!$C:$C,MATCH(B2235,Client_List!$B:$B,0)),""))</f>
        <v/>
      </c>
      <c r="D2235" s="16" t="str">
        <f>IF(B2235="","",IFERROR(INDEX(Client_List!$D:$D,MATCH(B2235,Client_List!$B:$B,0)),""))</f>
        <v/>
      </c>
      <c r="E2235" s="16" t="str">
        <f>IF(B2235="","",IFERROR(INDEX(Client_List!$K:$K,MATCH(B2235,Client_List!$B:$B,0)),""))</f>
        <v/>
      </c>
      <c r="F2235" s="16" t="str">
        <f>IF(B2235="","",IFERROR(INDEX(Client_List!$J:$J,MATCH(B2235,Client_List!$B:$B,0)),""))</f>
        <v/>
      </c>
      <c r="G2235" s="16"/>
      <c r="H2235" s="16" t="str">
        <f>IF(B2235="","",IFERROR(A2235-LOOKUP(2,1/($B$4:$B2234=B2235),$A$4:$A2234),""))</f>
        <v/>
      </c>
      <c r="I2235" s="16" t="str">
        <f t="shared" si="34"/>
        <v/>
      </c>
      <c r="J2235" s="16"/>
      <c r="K2235" s="6" t="str">
        <f>IF(B2235="","",IFERROR(AVERAGEIFS($I$4:$I2235,$B$4:$B2235,B2235,$I$4:$I2235,"&gt;"&amp;0),""))</f>
        <v/>
      </c>
      <c r="L2235" s="16" t="str">
        <f>IF(B2235="","",IF(ISNA(MATCH(B2235,Client_List!$B:$B,0)),"⚠ NOT FOUND","✓"))</f>
        <v/>
      </c>
    </row>
    <row r="2236" spans="1:12" ht="14" customHeight="1" x14ac:dyDescent="0.2">
      <c r="A2236" s="59"/>
      <c r="B2236" s="18"/>
      <c r="C2236" s="19" t="str">
        <f>IF(B2236="","",IFERROR(INDEX(Client_List!$C:$C,MATCH(B2236,Client_List!$B:$B,0)),""))</f>
        <v/>
      </c>
      <c r="D2236" s="19" t="str">
        <f>IF(B2236="","",IFERROR(INDEX(Client_List!$D:$D,MATCH(B2236,Client_List!$B:$B,0)),""))</f>
        <v/>
      </c>
      <c r="E2236" s="19" t="str">
        <f>IF(B2236="","",IFERROR(INDEX(Client_List!$K:$K,MATCH(B2236,Client_List!$B:$B,0)),""))</f>
        <v/>
      </c>
      <c r="F2236" s="19" t="str">
        <f>IF(B2236="","",IFERROR(INDEX(Client_List!$J:$J,MATCH(B2236,Client_List!$B:$B,0)),""))</f>
        <v/>
      </c>
      <c r="G2236" s="19"/>
      <c r="H2236" s="19" t="str">
        <f>IF(B2236="","",IFERROR(A2236-LOOKUP(2,1/($B$4:$B2235=B2236),$A$4:$A2235),""))</f>
        <v/>
      </c>
      <c r="I2236" s="19" t="str">
        <f t="shared" si="34"/>
        <v/>
      </c>
      <c r="J2236" s="19"/>
      <c r="K2236" s="6" t="str">
        <f>IF(B2236="","",IFERROR(AVERAGEIFS($I$4:$I2236,$B$4:$B2236,B2236,$I$4:$I2236,"&gt;"&amp;0),""))</f>
        <v/>
      </c>
      <c r="L2236" s="19" t="str">
        <f>IF(B2236="","",IF(ISNA(MATCH(B2236,Client_List!$B:$B,0)),"⚠ NOT FOUND","✓"))</f>
        <v/>
      </c>
    </row>
    <row r="2237" spans="1:12" ht="14" customHeight="1" x14ac:dyDescent="0.2">
      <c r="A2237" s="58"/>
      <c r="B2237" s="15"/>
      <c r="C2237" s="16" t="str">
        <f>IF(B2237="","",IFERROR(INDEX(Client_List!$C:$C,MATCH(B2237,Client_List!$B:$B,0)),""))</f>
        <v/>
      </c>
      <c r="D2237" s="16" t="str">
        <f>IF(B2237="","",IFERROR(INDEX(Client_List!$D:$D,MATCH(B2237,Client_List!$B:$B,0)),""))</f>
        <v/>
      </c>
      <c r="E2237" s="16" t="str">
        <f>IF(B2237="","",IFERROR(INDEX(Client_List!$K:$K,MATCH(B2237,Client_List!$B:$B,0)),""))</f>
        <v/>
      </c>
      <c r="F2237" s="16" t="str">
        <f>IF(B2237="","",IFERROR(INDEX(Client_List!$J:$J,MATCH(B2237,Client_List!$B:$B,0)),""))</f>
        <v/>
      </c>
      <c r="G2237" s="16"/>
      <c r="H2237" s="16" t="str">
        <f>IF(B2237="","",IFERROR(A2237-LOOKUP(2,1/($B$4:$B2236=B2237),$A$4:$A2236),""))</f>
        <v/>
      </c>
      <c r="I2237" s="16" t="str">
        <f t="shared" si="34"/>
        <v/>
      </c>
      <c r="J2237" s="16"/>
      <c r="K2237" s="6" t="str">
        <f>IF(B2237="","",IFERROR(AVERAGEIFS($I$4:$I2237,$B$4:$B2237,B2237,$I$4:$I2237,"&gt;"&amp;0),""))</f>
        <v/>
      </c>
      <c r="L2237" s="16" t="str">
        <f>IF(B2237="","",IF(ISNA(MATCH(B2237,Client_List!$B:$B,0)),"⚠ NOT FOUND","✓"))</f>
        <v/>
      </c>
    </row>
    <row r="2238" spans="1:12" ht="14" customHeight="1" x14ac:dyDescent="0.2">
      <c r="A2238" s="59"/>
      <c r="B2238" s="18"/>
      <c r="C2238" s="19" t="str">
        <f>IF(B2238="","",IFERROR(INDEX(Client_List!$C:$C,MATCH(B2238,Client_List!$B:$B,0)),""))</f>
        <v/>
      </c>
      <c r="D2238" s="19" t="str">
        <f>IF(B2238="","",IFERROR(INDEX(Client_List!$D:$D,MATCH(B2238,Client_List!$B:$B,0)),""))</f>
        <v/>
      </c>
      <c r="E2238" s="19" t="str">
        <f>IF(B2238="","",IFERROR(INDEX(Client_List!$K:$K,MATCH(B2238,Client_List!$B:$B,0)),""))</f>
        <v/>
      </c>
      <c r="F2238" s="19" t="str">
        <f>IF(B2238="","",IFERROR(INDEX(Client_List!$J:$J,MATCH(B2238,Client_List!$B:$B,0)),""))</f>
        <v/>
      </c>
      <c r="G2238" s="19"/>
      <c r="H2238" s="19" t="str">
        <f>IF(B2238="","",IFERROR(A2238-LOOKUP(2,1/($B$4:$B2237=B2238),$A$4:$A2237),""))</f>
        <v/>
      </c>
      <c r="I2238" s="19" t="str">
        <f t="shared" si="34"/>
        <v/>
      </c>
      <c r="J2238" s="19"/>
      <c r="K2238" s="6" t="str">
        <f>IF(B2238="","",IFERROR(AVERAGEIFS($I$4:$I2238,$B$4:$B2238,B2238,$I$4:$I2238,"&gt;"&amp;0),""))</f>
        <v/>
      </c>
      <c r="L2238" s="19" t="str">
        <f>IF(B2238="","",IF(ISNA(MATCH(B2238,Client_List!$B:$B,0)),"⚠ NOT FOUND","✓"))</f>
        <v/>
      </c>
    </row>
    <row r="2239" spans="1:12" ht="14" customHeight="1" x14ac:dyDescent="0.2">
      <c r="A2239" s="58"/>
      <c r="B2239" s="15"/>
      <c r="C2239" s="16" t="str">
        <f>IF(B2239="","",IFERROR(INDEX(Client_List!$C:$C,MATCH(B2239,Client_List!$B:$B,0)),""))</f>
        <v/>
      </c>
      <c r="D2239" s="16" t="str">
        <f>IF(B2239="","",IFERROR(INDEX(Client_List!$D:$D,MATCH(B2239,Client_List!$B:$B,0)),""))</f>
        <v/>
      </c>
      <c r="E2239" s="16" t="str">
        <f>IF(B2239="","",IFERROR(INDEX(Client_List!$K:$K,MATCH(B2239,Client_List!$B:$B,0)),""))</f>
        <v/>
      </c>
      <c r="F2239" s="16" t="str">
        <f>IF(B2239="","",IFERROR(INDEX(Client_List!$J:$J,MATCH(B2239,Client_List!$B:$B,0)),""))</f>
        <v/>
      </c>
      <c r="G2239" s="16"/>
      <c r="H2239" s="16" t="str">
        <f>IF(B2239="","",IFERROR(A2239-LOOKUP(2,1/($B$4:$B2238=B2239),$A$4:$A2238),""))</f>
        <v/>
      </c>
      <c r="I2239" s="16" t="str">
        <f t="shared" si="34"/>
        <v/>
      </c>
      <c r="J2239" s="16"/>
      <c r="K2239" s="6" t="str">
        <f>IF(B2239="","",IFERROR(AVERAGEIFS($I$4:$I2239,$B$4:$B2239,B2239,$I$4:$I2239,"&gt;"&amp;0),""))</f>
        <v/>
      </c>
      <c r="L2239" s="16" t="str">
        <f>IF(B2239="","",IF(ISNA(MATCH(B2239,Client_List!$B:$B,0)),"⚠ NOT FOUND","✓"))</f>
        <v/>
      </c>
    </row>
    <row r="2240" spans="1:12" ht="14" customHeight="1" x14ac:dyDescent="0.2">
      <c r="A2240" s="59"/>
      <c r="B2240" s="18"/>
      <c r="C2240" s="19" t="str">
        <f>IF(B2240="","",IFERROR(INDEX(Client_List!$C:$C,MATCH(B2240,Client_List!$B:$B,0)),""))</f>
        <v/>
      </c>
      <c r="D2240" s="19" t="str">
        <f>IF(B2240="","",IFERROR(INDEX(Client_List!$D:$D,MATCH(B2240,Client_List!$B:$B,0)),""))</f>
        <v/>
      </c>
      <c r="E2240" s="19" t="str">
        <f>IF(B2240="","",IFERROR(INDEX(Client_List!$K:$K,MATCH(B2240,Client_List!$B:$B,0)),""))</f>
        <v/>
      </c>
      <c r="F2240" s="19" t="str">
        <f>IF(B2240="","",IFERROR(INDEX(Client_List!$J:$J,MATCH(B2240,Client_List!$B:$B,0)),""))</f>
        <v/>
      </c>
      <c r="G2240" s="19"/>
      <c r="H2240" s="19" t="str">
        <f>IF(B2240="","",IFERROR(A2240-LOOKUP(2,1/($B$4:$B2239=B2240),$A$4:$A2239),""))</f>
        <v/>
      </c>
      <c r="I2240" s="19" t="str">
        <f t="shared" si="34"/>
        <v/>
      </c>
      <c r="J2240" s="19"/>
      <c r="K2240" s="6" t="str">
        <f>IF(B2240="","",IFERROR(AVERAGEIFS($I$4:$I2240,$B$4:$B2240,B2240,$I$4:$I2240,"&gt;"&amp;0),""))</f>
        <v/>
      </c>
      <c r="L2240" s="19" t="str">
        <f>IF(B2240="","",IF(ISNA(MATCH(B2240,Client_List!$B:$B,0)),"⚠ NOT FOUND","✓"))</f>
        <v/>
      </c>
    </row>
    <row r="2241" spans="1:12" ht="14" customHeight="1" x14ac:dyDescent="0.2">
      <c r="A2241" s="58"/>
      <c r="B2241" s="15"/>
      <c r="C2241" s="16" t="str">
        <f>IF(B2241="","",IFERROR(INDEX(Client_List!$C:$C,MATCH(B2241,Client_List!$B:$B,0)),""))</f>
        <v/>
      </c>
      <c r="D2241" s="16" t="str">
        <f>IF(B2241="","",IFERROR(INDEX(Client_List!$D:$D,MATCH(B2241,Client_List!$B:$B,0)),""))</f>
        <v/>
      </c>
      <c r="E2241" s="16" t="str">
        <f>IF(B2241="","",IFERROR(INDEX(Client_List!$K:$K,MATCH(B2241,Client_List!$B:$B,0)),""))</f>
        <v/>
      </c>
      <c r="F2241" s="16" t="str">
        <f>IF(B2241="","",IFERROR(INDEX(Client_List!$J:$J,MATCH(B2241,Client_List!$B:$B,0)),""))</f>
        <v/>
      </c>
      <c r="G2241" s="16"/>
      <c r="H2241" s="16" t="str">
        <f>IF(B2241="","",IFERROR(A2241-LOOKUP(2,1/($B$4:$B2240=B2241),$A$4:$A2240),""))</f>
        <v/>
      </c>
      <c r="I2241" s="16" t="str">
        <f t="shared" si="34"/>
        <v/>
      </c>
      <c r="J2241" s="16"/>
      <c r="K2241" s="6" t="str">
        <f>IF(B2241="","",IFERROR(AVERAGEIFS($I$4:$I2241,$B$4:$B2241,B2241,$I$4:$I2241,"&gt;"&amp;0),""))</f>
        <v/>
      </c>
      <c r="L2241" s="16" t="str">
        <f>IF(B2241="","",IF(ISNA(MATCH(B2241,Client_List!$B:$B,0)),"⚠ NOT FOUND","✓"))</f>
        <v/>
      </c>
    </row>
    <row r="2242" spans="1:12" ht="14" customHeight="1" x14ac:dyDescent="0.2">
      <c r="A2242" s="59"/>
      <c r="B2242" s="18"/>
      <c r="C2242" s="19" t="str">
        <f>IF(B2242="","",IFERROR(INDEX(Client_List!$C:$C,MATCH(B2242,Client_List!$B:$B,0)),""))</f>
        <v/>
      </c>
      <c r="D2242" s="19" t="str">
        <f>IF(B2242="","",IFERROR(INDEX(Client_List!$D:$D,MATCH(B2242,Client_List!$B:$B,0)),""))</f>
        <v/>
      </c>
      <c r="E2242" s="19" t="str">
        <f>IF(B2242="","",IFERROR(INDEX(Client_List!$K:$K,MATCH(B2242,Client_List!$B:$B,0)),""))</f>
        <v/>
      </c>
      <c r="F2242" s="19" t="str">
        <f>IF(B2242="","",IFERROR(INDEX(Client_List!$J:$J,MATCH(B2242,Client_List!$B:$B,0)),""))</f>
        <v/>
      </c>
      <c r="G2242" s="19"/>
      <c r="H2242" s="19" t="str">
        <f>IF(B2242="","",IFERROR(A2242-LOOKUP(2,1/($B$4:$B2241=B2242),$A$4:$A2241),""))</f>
        <v/>
      </c>
      <c r="I2242" s="19" t="str">
        <f t="shared" si="34"/>
        <v/>
      </c>
      <c r="J2242" s="19"/>
      <c r="K2242" s="6" t="str">
        <f>IF(B2242="","",IFERROR(AVERAGEIFS($I$4:$I2242,$B$4:$B2242,B2242,$I$4:$I2242,"&gt;"&amp;0),""))</f>
        <v/>
      </c>
      <c r="L2242" s="19" t="str">
        <f>IF(B2242="","",IF(ISNA(MATCH(B2242,Client_List!$B:$B,0)),"⚠ NOT FOUND","✓"))</f>
        <v/>
      </c>
    </row>
    <row r="2243" spans="1:12" ht="14" customHeight="1" x14ac:dyDescent="0.2">
      <c r="A2243" s="58"/>
      <c r="B2243" s="15"/>
      <c r="C2243" s="16" t="str">
        <f>IF(B2243="","",IFERROR(INDEX(Client_List!$C:$C,MATCH(B2243,Client_List!$B:$B,0)),""))</f>
        <v/>
      </c>
      <c r="D2243" s="16" t="str">
        <f>IF(B2243="","",IFERROR(INDEX(Client_List!$D:$D,MATCH(B2243,Client_List!$B:$B,0)),""))</f>
        <v/>
      </c>
      <c r="E2243" s="16" t="str">
        <f>IF(B2243="","",IFERROR(INDEX(Client_List!$K:$K,MATCH(B2243,Client_List!$B:$B,0)),""))</f>
        <v/>
      </c>
      <c r="F2243" s="16" t="str">
        <f>IF(B2243="","",IFERROR(INDEX(Client_List!$J:$J,MATCH(B2243,Client_List!$B:$B,0)),""))</f>
        <v/>
      </c>
      <c r="G2243" s="16"/>
      <c r="H2243" s="16" t="str">
        <f>IF(B2243="","",IFERROR(A2243-LOOKUP(2,1/($B$4:$B2242=B2243),$A$4:$A2242),""))</f>
        <v/>
      </c>
      <c r="I2243" s="16" t="str">
        <f t="shared" si="34"/>
        <v/>
      </c>
      <c r="J2243" s="16"/>
      <c r="K2243" s="6" t="str">
        <f>IF(B2243="","",IFERROR(AVERAGEIFS($I$4:$I2243,$B$4:$B2243,B2243,$I$4:$I2243,"&gt;"&amp;0),""))</f>
        <v/>
      </c>
      <c r="L2243" s="16" t="str">
        <f>IF(B2243="","",IF(ISNA(MATCH(B2243,Client_List!$B:$B,0)),"⚠ NOT FOUND","✓"))</f>
        <v/>
      </c>
    </row>
    <row r="2244" spans="1:12" ht="14" customHeight="1" x14ac:dyDescent="0.2">
      <c r="A2244" s="59"/>
      <c r="B2244" s="18"/>
      <c r="C2244" s="19" t="str">
        <f>IF(B2244="","",IFERROR(INDEX(Client_List!$C:$C,MATCH(B2244,Client_List!$B:$B,0)),""))</f>
        <v/>
      </c>
      <c r="D2244" s="19" t="str">
        <f>IF(B2244="","",IFERROR(INDEX(Client_List!$D:$D,MATCH(B2244,Client_List!$B:$B,0)),""))</f>
        <v/>
      </c>
      <c r="E2244" s="19" t="str">
        <f>IF(B2244="","",IFERROR(INDEX(Client_List!$K:$K,MATCH(B2244,Client_List!$B:$B,0)),""))</f>
        <v/>
      </c>
      <c r="F2244" s="19" t="str">
        <f>IF(B2244="","",IFERROR(INDEX(Client_List!$J:$J,MATCH(B2244,Client_List!$B:$B,0)),""))</f>
        <v/>
      </c>
      <c r="G2244" s="19"/>
      <c r="H2244" s="19" t="str">
        <f>IF(B2244="","",IFERROR(A2244-LOOKUP(2,1/($B$4:$B2243=B2244),$A$4:$A2243),""))</f>
        <v/>
      </c>
      <c r="I2244" s="19" t="str">
        <f t="shared" ref="I2244:I2307" si="35">IF(B2244="","",IFERROR(G2244/H2244,""))</f>
        <v/>
      </c>
      <c r="J2244" s="19"/>
      <c r="K2244" s="6" t="str">
        <f>IF(B2244="","",IFERROR(AVERAGEIFS($I$4:$I2244,$B$4:$B2244,B2244,$I$4:$I2244,"&gt;"&amp;0),""))</f>
        <v/>
      </c>
      <c r="L2244" s="19" t="str">
        <f>IF(B2244="","",IF(ISNA(MATCH(B2244,Client_List!$B:$B,0)),"⚠ NOT FOUND","✓"))</f>
        <v/>
      </c>
    </row>
    <row r="2245" spans="1:12" ht="14" customHeight="1" x14ac:dyDescent="0.2">
      <c r="A2245" s="58"/>
      <c r="B2245" s="15"/>
      <c r="C2245" s="16" t="str">
        <f>IF(B2245="","",IFERROR(INDEX(Client_List!$C:$C,MATCH(B2245,Client_List!$B:$B,0)),""))</f>
        <v/>
      </c>
      <c r="D2245" s="16" t="str">
        <f>IF(B2245="","",IFERROR(INDEX(Client_List!$D:$D,MATCH(B2245,Client_List!$B:$B,0)),""))</f>
        <v/>
      </c>
      <c r="E2245" s="16" t="str">
        <f>IF(B2245="","",IFERROR(INDEX(Client_List!$K:$K,MATCH(B2245,Client_List!$B:$B,0)),""))</f>
        <v/>
      </c>
      <c r="F2245" s="16" t="str">
        <f>IF(B2245="","",IFERROR(INDEX(Client_List!$J:$J,MATCH(B2245,Client_List!$B:$B,0)),""))</f>
        <v/>
      </c>
      <c r="G2245" s="16"/>
      <c r="H2245" s="16" t="str">
        <f>IF(B2245="","",IFERROR(A2245-LOOKUP(2,1/($B$4:$B2244=B2245),$A$4:$A2244),""))</f>
        <v/>
      </c>
      <c r="I2245" s="16" t="str">
        <f t="shared" si="35"/>
        <v/>
      </c>
      <c r="J2245" s="16"/>
      <c r="K2245" s="6" t="str">
        <f>IF(B2245="","",IFERROR(AVERAGEIFS($I$4:$I2245,$B$4:$B2245,B2245,$I$4:$I2245,"&gt;"&amp;0),""))</f>
        <v/>
      </c>
      <c r="L2245" s="16" t="str">
        <f>IF(B2245="","",IF(ISNA(MATCH(B2245,Client_List!$B:$B,0)),"⚠ NOT FOUND","✓"))</f>
        <v/>
      </c>
    </row>
    <row r="2246" spans="1:12" ht="14" customHeight="1" x14ac:dyDescent="0.2">
      <c r="A2246" s="59"/>
      <c r="B2246" s="18"/>
      <c r="C2246" s="19" t="str">
        <f>IF(B2246="","",IFERROR(INDEX(Client_List!$C:$C,MATCH(B2246,Client_List!$B:$B,0)),""))</f>
        <v/>
      </c>
      <c r="D2246" s="19" t="str">
        <f>IF(B2246="","",IFERROR(INDEX(Client_List!$D:$D,MATCH(B2246,Client_List!$B:$B,0)),""))</f>
        <v/>
      </c>
      <c r="E2246" s="19" t="str">
        <f>IF(B2246="","",IFERROR(INDEX(Client_List!$K:$K,MATCH(B2246,Client_List!$B:$B,0)),""))</f>
        <v/>
      </c>
      <c r="F2246" s="19" t="str">
        <f>IF(B2246="","",IFERROR(INDEX(Client_List!$J:$J,MATCH(B2246,Client_List!$B:$B,0)),""))</f>
        <v/>
      </c>
      <c r="G2246" s="19"/>
      <c r="H2246" s="19" t="str">
        <f>IF(B2246="","",IFERROR(A2246-LOOKUP(2,1/($B$4:$B2245=B2246),$A$4:$A2245),""))</f>
        <v/>
      </c>
      <c r="I2246" s="19" t="str">
        <f t="shared" si="35"/>
        <v/>
      </c>
      <c r="J2246" s="19"/>
      <c r="K2246" s="6" t="str">
        <f>IF(B2246="","",IFERROR(AVERAGEIFS($I$4:$I2246,$B$4:$B2246,B2246,$I$4:$I2246,"&gt;"&amp;0),""))</f>
        <v/>
      </c>
      <c r="L2246" s="19" t="str">
        <f>IF(B2246="","",IF(ISNA(MATCH(B2246,Client_List!$B:$B,0)),"⚠ NOT FOUND","✓"))</f>
        <v/>
      </c>
    </row>
    <row r="2247" spans="1:12" ht="14" customHeight="1" x14ac:dyDescent="0.2">
      <c r="A2247" s="58"/>
      <c r="B2247" s="15"/>
      <c r="C2247" s="16" t="str">
        <f>IF(B2247="","",IFERROR(INDEX(Client_List!$C:$C,MATCH(B2247,Client_List!$B:$B,0)),""))</f>
        <v/>
      </c>
      <c r="D2247" s="16" t="str">
        <f>IF(B2247="","",IFERROR(INDEX(Client_List!$D:$D,MATCH(B2247,Client_List!$B:$B,0)),""))</f>
        <v/>
      </c>
      <c r="E2247" s="16" t="str">
        <f>IF(B2247="","",IFERROR(INDEX(Client_List!$K:$K,MATCH(B2247,Client_List!$B:$B,0)),""))</f>
        <v/>
      </c>
      <c r="F2247" s="16" t="str">
        <f>IF(B2247="","",IFERROR(INDEX(Client_List!$J:$J,MATCH(B2247,Client_List!$B:$B,0)),""))</f>
        <v/>
      </c>
      <c r="G2247" s="16"/>
      <c r="H2247" s="16" t="str">
        <f>IF(B2247="","",IFERROR(A2247-LOOKUP(2,1/($B$4:$B2246=B2247),$A$4:$A2246),""))</f>
        <v/>
      </c>
      <c r="I2247" s="16" t="str">
        <f t="shared" si="35"/>
        <v/>
      </c>
      <c r="J2247" s="16"/>
      <c r="K2247" s="6" t="str">
        <f>IF(B2247="","",IFERROR(AVERAGEIFS($I$4:$I2247,$B$4:$B2247,B2247,$I$4:$I2247,"&gt;"&amp;0),""))</f>
        <v/>
      </c>
      <c r="L2247" s="16" t="str">
        <f>IF(B2247="","",IF(ISNA(MATCH(B2247,Client_List!$B:$B,0)),"⚠ NOT FOUND","✓"))</f>
        <v/>
      </c>
    </row>
    <row r="2248" spans="1:12" ht="14" customHeight="1" x14ac:dyDescent="0.2">
      <c r="A2248" s="59"/>
      <c r="B2248" s="18"/>
      <c r="C2248" s="19" t="str">
        <f>IF(B2248="","",IFERROR(INDEX(Client_List!$C:$C,MATCH(B2248,Client_List!$B:$B,0)),""))</f>
        <v/>
      </c>
      <c r="D2248" s="19" t="str">
        <f>IF(B2248="","",IFERROR(INDEX(Client_List!$D:$D,MATCH(B2248,Client_List!$B:$B,0)),""))</f>
        <v/>
      </c>
      <c r="E2248" s="19" t="str">
        <f>IF(B2248="","",IFERROR(INDEX(Client_List!$K:$K,MATCH(B2248,Client_List!$B:$B,0)),""))</f>
        <v/>
      </c>
      <c r="F2248" s="19" t="str">
        <f>IF(B2248="","",IFERROR(INDEX(Client_List!$J:$J,MATCH(B2248,Client_List!$B:$B,0)),""))</f>
        <v/>
      </c>
      <c r="G2248" s="19"/>
      <c r="H2248" s="19" t="str">
        <f>IF(B2248="","",IFERROR(A2248-LOOKUP(2,1/($B$4:$B2247=B2248),$A$4:$A2247),""))</f>
        <v/>
      </c>
      <c r="I2248" s="19" t="str">
        <f t="shared" si="35"/>
        <v/>
      </c>
      <c r="J2248" s="19"/>
      <c r="K2248" s="6" t="str">
        <f>IF(B2248="","",IFERROR(AVERAGEIFS($I$4:$I2248,$B$4:$B2248,B2248,$I$4:$I2248,"&gt;"&amp;0),""))</f>
        <v/>
      </c>
      <c r="L2248" s="19" t="str">
        <f>IF(B2248="","",IF(ISNA(MATCH(B2248,Client_List!$B:$B,0)),"⚠ NOT FOUND","✓"))</f>
        <v/>
      </c>
    </row>
    <row r="2249" spans="1:12" ht="14" customHeight="1" x14ac:dyDescent="0.2">
      <c r="A2249" s="58"/>
      <c r="B2249" s="15"/>
      <c r="C2249" s="16" t="str">
        <f>IF(B2249="","",IFERROR(INDEX(Client_List!$C:$C,MATCH(B2249,Client_List!$B:$B,0)),""))</f>
        <v/>
      </c>
      <c r="D2249" s="16" t="str">
        <f>IF(B2249="","",IFERROR(INDEX(Client_List!$D:$D,MATCH(B2249,Client_List!$B:$B,0)),""))</f>
        <v/>
      </c>
      <c r="E2249" s="16" t="str">
        <f>IF(B2249="","",IFERROR(INDEX(Client_List!$K:$K,MATCH(B2249,Client_List!$B:$B,0)),""))</f>
        <v/>
      </c>
      <c r="F2249" s="16" t="str">
        <f>IF(B2249="","",IFERROR(INDEX(Client_List!$J:$J,MATCH(B2249,Client_List!$B:$B,0)),""))</f>
        <v/>
      </c>
      <c r="G2249" s="16"/>
      <c r="H2249" s="16" t="str">
        <f>IF(B2249="","",IFERROR(A2249-LOOKUP(2,1/($B$4:$B2248=B2249),$A$4:$A2248),""))</f>
        <v/>
      </c>
      <c r="I2249" s="16" t="str">
        <f t="shared" si="35"/>
        <v/>
      </c>
      <c r="J2249" s="16"/>
      <c r="K2249" s="6" t="str">
        <f>IF(B2249="","",IFERROR(AVERAGEIFS($I$4:$I2249,$B$4:$B2249,B2249,$I$4:$I2249,"&gt;"&amp;0),""))</f>
        <v/>
      </c>
      <c r="L2249" s="16" t="str">
        <f>IF(B2249="","",IF(ISNA(MATCH(B2249,Client_List!$B:$B,0)),"⚠ NOT FOUND","✓"))</f>
        <v/>
      </c>
    </row>
    <row r="2250" spans="1:12" ht="14" customHeight="1" x14ac:dyDescent="0.2">
      <c r="A2250" s="59"/>
      <c r="B2250" s="18"/>
      <c r="C2250" s="19" t="str">
        <f>IF(B2250="","",IFERROR(INDEX(Client_List!$C:$C,MATCH(B2250,Client_List!$B:$B,0)),""))</f>
        <v/>
      </c>
      <c r="D2250" s="19" t="str">
        <f>IF(B2250="","",IFERROR(INDEX(Client_List!$D:$D,MATCH(B2250,Client_List!$B:$B,0)),""))</f>
        <v/>
      </c>
      <c r="E2250" s="19" t="str">
        <f>IF(B2250="","",IFERROR(INDEX(Client_List!$K:$K,MATCH(B2250,Client_List!$B:$B,0)),""))</f>
        <v/>
      </c>
      <c r="F2250" s="19" t="str">
        <f>IF(B2250="","",IFERROR(INDEX(Client_List!$J:$J,MATCH(B2250,Client_List!$B:$B,0)),""))</f>
        <v/>
      </c>
      <c r="G2250" s="19"/>
      <c r="H2250" s="19" t="str">
        <f>IF(B2250="","",IFERROR(A2250-LOOKUP(2,1/($B$4:$B2249=B2250),$A$4:$A2249),""))</f>
        <v/>
      </c>
      <c r="I2250" s="19" t="str">
        <f t="shared" si="35"/>
        <v/>
      </c>
      <c r="J2250" s="19"/>
      <c r="K2250" s="6" t="str">
        <f>IF(B2250="","",IFERROR(AVERAGEIFS($I$4:$I2250,$B$4:$B2250,B2250,$I$4:$I2250,"&gt;"&amp;0),""))</f>
        <v/>
      </c>
      <c r="L2250" s="19" t="str">
        <f>IF(B2250="","",IF(ISNA(MATCH(B2250,Client_List!$B:$B,0)),"⚠ NOT FOUND","✓"))</f>
        <v/>
      </c>
    </row>
    <row r="2251" spans="1:12" ht="14" customHeight="1" x14ac:dyDescent="0.2">
      <c r="A2251" s="58"/>
      <c r="B2251" s="15"/>
      <c r="C2251" s="16" t="str">
        <f>IF(B2251="","",IFERROR(INDEX(Client_List!$C:$C,MATCH(B2251,Client_List!$B:$B,0)),""))</f>
        <v/>
      </c>
      <c r="D2251" s="16" t="str">
        <f>IF(B2251="","",IFERROR(INDEX(Client_List!$D:$D,MATCH(B2251,Client_List!$B:$B,0)),""))</f>
        <v/>
      </c>
      <c r="E2251" s="16" t="str">
        <f>IF(B2251="","",IFERROR(INDEX(Client_List!$K:$K,MATCH(B2251,Client_List!$B:$B,0)),""))</f>
        <v/>
      </c>
      <c r="F2251" s="16" t="str">
        <f>IF(B2251="","",IFERROR(INDEX(Client_List!$J:$J,MATCH(B2251,Client_List!$B:$B,0)),""))</f>
        <v/>
      </c>
      <c r="G2251" s="16"/>
      <c r="H2251" s="16" t="str">
        <f>IF(B2251="","",IFERROR(A2251-LOOKUP(2,1/($B$4:$B2250=B2251),$A$4:$A2250),""))</f>
        <v/>
      </c>
      <c r="I2251" s="16" t="str">
        <f t="shared" si="35"/>
        <v/>
      </c>
      <c r="J2251" s="16"/>
      <c r="K2251" s="6" t="str">
        <f>IF(B2251="","",IFERROR(AVERAGEIFS($I$4:$I2251,$B$4:$B2251,B2251,$I$4:$I2251,"&gt;"&amp;0),""))</f>
        <v/>
      </c>
      <c r="L2251" s="16" t="str">
        <f>IF(B2251="","",IF(ISNA(MATCH(B2251,Client_List!$B:$B,0)),"⚠ NOT FOUND","✓"))</f>
        <v/>
      </c>
    </row>
    <row r="2252" spans="1:12" ht="14" customHeight="1" x14ac:dyDescent="0.2">
      <c r="A2252" s="59"/>
      <c r="B2252" s="18"/>
      <c r="C2252" s="19" t="str">
        <f>IF(B2252="","",IFERROR(INDEX(Client_List!$C:$C,MATCH(B2252,Client_List!$B:$B,0)),""))</f>
        <v/>
      </c>
      <c r="D2252" s="19" t="str">
        <f>IF(B2252="","",IFERROR(INDEX(Client_List!$D:$D,MATCH(B2252,Client_List!$B:$B,0)),""))</f>
        <v/>
      </c>
      <c r="E2252" s="19" t="str">
        <f>IF(B2252="","",IFERROR(INDEX(Client_List!$K:$K,MATCH(B2252,Client_List!$B:$B,0)),""))</f>
        <v/>
      </c>
      <c r="F2252" s="19" t="str">
        <f>IF(B2252="","",IFERROR(INDEX(Client_List!$J:$J,MATCH(B2252,Client_List!$B:$B,0)),""))</f>
        <v/>
      </c>
      <c r="G2252" s="19"/>
      <c r="H2252" s="19" t="str">
        <f>IF(B2252="","",IFERROR(A2252-LOOKUP(2,1/($B$4:$B2251=B2252),$A$4:$A2251),""))</f>
        <v/>
      </c>
      <c r="I2252" s="19" t="str">
        <f t="shared" si="35"/>
        <v/>
      </c>
      <c r="J2252" s="19"/>
      <c r="K2252" s="6" t="str">
        <f>IF(B2252="","",IFERROR(AVERAGEIFS($I$4:$I2252,$B$4:$B2252,B2252,$I$4:$I2252,"&gt;"&amp;0),""))</f>
        <v/>
      </c>
      <c r="L2252" s="19" t="str">
        <f>IF(B2252="","",IF(ISNA(MATCH(B2252,Client_List!$B:$B,0)),"⚠ NOT FOUND","✓"))</f>
        <v/>
      </c>
    </row>
    <row r="2253" spans="1:12" ht="14" customHeight="1" x14ac:dyDescent="0.2">
      <c r="A2253" s="58"/>
      <c r="B2253" s="15"/>
      <c r="C2253" s="16" t="str">
        <f>IF(B2253="","",IFERROR(INDEX(Client_List!$C:$C,MATCH(B2253,Client_List!$B:$B,0)),""))</f>
        <v/>
      </c>
      <c r="D2253" s="16" t="str">
        <f>IF(B2253="","",IFERROR(INDEX(Client_List!$D:$D,MATCH(B2253,Client_List!$B:$B,0)),""))</f>
        <v/>
      </c>
      <c r="E2253" s="16" t="str">
        <f>IF(B2253="","",IFERROR(INDEX(Client_List!$K:$K,MATCH(B2253,Client_List!$B:$B,0)),""))</f>
        <v/>
      </c>
      <c r="F2253" s="16" t="str">
        <f>IF(B2253="","",IFERROR(INDEX(Client_List!$J:$J,MATCH(B2253,Client_List!$B:$B,0)),""))</f>
        <v/>
      </c>
      <c r="G2253" s="16"/>
      <c r="H2253" s="16" t="str">
        <f>IF(B2253="","",IFERROR(A2253-LOOKUP(2,1/($B$4:$B2252=B2253),$A$4:$A2252),""))</f>
        <v/>
      </c>
      <c r="I2253" s="16" t="str">
        <f t="shared" si="35"/>
        <v/>
      </c>
      <c r="J2253" s="16"/>
      <c r="K2253" s="6" t="str">
        <f>IF(B2253="","",IFERROR(AVERAGEIFS($I$4:$I2253,$B$4:$B2253,B2253,$I$4:$I2253,"&gt;"&amp;0),""))</f>
        <v/>
      </c>
      <c r="L2253" s="16" t="str">
        <f>IF(B2253="","",IF(ISNA(MATCH(B2253,Client_List!$B:$B,0)),"⚠ NOT FOUND","✓"))</f>
        <v/>
      </c>
    </row>
    <row r="2254" spans="1:12" ht="14" customHeight="1" x14ac:dyDescent="0.2">
      <c r="A2254" s="59"/>
      <c r="B2254" s="18"/>
      <c r="C2254" s="19" t="str">
        <f>IF(B2254="","",IFERROR(INDEX(Client_List!$C:$C,MATCH(B2254,Client_List!$B:$B,0)),""))</f>
        <v/>
      </c>
      <c r="D2254" s="19" t="str">
        <f>IF(B2254="","",IFERROR(INDEX(Client_List!$D:$D,MATCH(B2254,Client_List!$B:$B,0)),""))</f>
        <v/>
      </c>
      <c r="E2254" s="19" t="str">
        <f>IF(B2254="","",IFERROR(INDEX(Client_List!$K:$K,MATCH(B2254,Client_List!$B:$B,0)),""))</f>
        <v/>
      </c>
      <c r="F2254" s="19" t="str">
        <f>IF(B2254="","",IFERROR(INDEX(Client_List!$J:$J,MATCH(B2254,Client_List!$B:$B,0)),""))</f>
        <v/>
      </c>
      <c r="G2254" s="19"/>
      <c r="H2254" s="19" t="str">
        <f>IF(B2254="","",IFERROR(A2254-LOOKUP(2,1/($B$4:$B2253=B2254),$A$4:$A2253),""))</f>
        <v/>
      </c>
      <c r="I2254" s="19" t="str">
        <f t="shared" si="35"/>
        <v/>
      </c>
      <c r="J2254" s="19"/>
      <c r="K2254" s="6" t="str">
        <f>IF(B2254="","",IFERROR(AVERAGEIFS($I$4:$I2254,$B$4:$B2254,B2254,$I$4:$I2254,"&gt;"&amp;0),""))</f>
        <v/>
      </c>
      <c r="L2254" s="19" t="str">
        <f>IF(B2254="","",IF(ISNA(MATCH(B2254,Client_List!$B:$B,0)),"⚠ NOT FOUND","✓"))</f>
        <v/>
      </c>
    </row>
    <row r="2255" spans="1:12" ht="14" customHeight="1" x14ac:dyDescent="0.2">
      <c r="A2255" s="58"/>
      <c r="B2255" s="15"/>
      <c r="C2255" s="16" t="str">
        <f>IF(B2255="","",IFERROR(INDEX(Client_List!$C:$C,MATCH(B2255,Client_List!$B:$B,0)),""))</f>
        <v/>
      </c>
      <c r="D2255" s="16" t="str">
        <f>IF(B2255="","",IFERROR(INDEX(Client_List!$D:$D,MATCH(B2255,Client_List!$B:$B,0)),""))</f>
        <v/>
      </c>
      <c r="E2255" s="16" t="str">
        <f>IF(B2255="","",IFERROR(INDEX(Client_List!$K:$K,MATCH(B2255,Client_List!$B:$B,0)),""))</f>
        <v/>
      </c>
      <c r="F2255" s="16" t="str">
        <f>IF(B2255="","",IFERROR(INDEX(Client_List!$J:$J,MATCH(B2255,Client_List!$B:$B,0)),""))</f>
        <v/>
      </c>
      <c r="G2255" s="16"/>
      <c r="H2255" s="16" t="str">
        <f>IF(B2255="","",IFERROR(A2255-LOOKUP(2,1/($B$4:$B2254=B2255),$A$4:$A2254),""))</f>
        <v/>
      </c>
      <c r="I2255" s="16" t="str">
        <f t="shared" si="35"/>
        <v/>
      </c>
      <c r="J2255" s="16"/>
      <c r="K2255" s="6" t="str">
        <f>IF(B2255="","",IFERROR(AVERAGEIFS($I$4:$I2255,$B$4:$B2255,B2255,$I$4:$I2255,"&gt;"&amp;0),""))</f>
        <v/>
      </c>
      <c r="L2255" s="16" t="str">
        <f>IF(B2255="","",IF(ISNA(MATCH(B2255,Client_List!$B:$B,0)),"⚠ NOT FOUND","✓"))</f>
        <v/>
      </c>
    </row>
    <row r="2256" spans="1:12" ht="14" customHeight="1" x14ac:dyDescent="0.2">
      <c r="A2256" s="59"/>
      <c r="B2256" s="18"/>
      <c r="C2256" s="19" t="str">
        <f>IF(B2256="","",IFERROR(INDEX(Client_List!$C:$C,MATCH(B2256,Client_List!$B:$B,0)),""))</f>
        <v/>
      </c>
      <c r="D2256" s="19" t="str">
        <f>IF(B2256="","",IFERROR(INDEX(Client_List!$D:$D,MATCH(B2256,Client_List!$B:$B,0)),""))</f>
        <v/>
      </c>
      <c r="E2256" s="19" t="str">
        <f>IF(B2256="","",IFERROR(INDEX(Client_List!$K:$K,MATCH(B2256,Client_List!$B:$B,0)),""))</f>
        <v/>
      </c>
      <c r="F2256" s="19" t="str">
        <f>IF(B2256="","",IFERROR(INDEX(Client_List!$J:$J,MATCH(B2256,Client_List!$B:$B,0)),""))</f>
        <v/>
      </c>
      <c r="G2256" s="19"/>
      <c r="H2256" s="19" t="str">
        <f>IF(B2256="","",IFERROR(A2256-LOOKUP(2,1/($B$4:$B2255=B2256),$A$4:$A2255),""))</f>
        <v/>
      </c>
      <c r="I2256" s="19" t="str">
        <f t="shared" si="35"/>
        <v/>
      </c>
      <c r="J2256" s="19"/>
      <c r="K2256" s="6" t="str">
        <f>IF(B2256="","",IFERROR(AVERAGEIFS($I$4:$I2256,$B$4:$B2256,B2256,$I$4:$I2256,"&gt;"&amp;0),""))</f>
        <v/>
      </c>
      <c r="L2256" s="19" t="str">
        <f>IF(B2256="","",IF(ISNA(MATCH(B2256,Client_List!$B:$B,0)),"⚠ NOT FOUND","✓"))</f>
        <v/>
      </c>
    </row>
    <row r="2257" spans="1:12" ht="14" customHeight="1" x14ac:dyDescent="0.2">
      <c r="A2257" s="58"/>
      <c r="B2257" s="15"/>
      <c r="C2257" s="16" t="str">
        <f>IF(B2257="","",IFERROR(INDEX(Client_List!$C:$C,MATCH(B2257,Client_List!$B:$B,0)),""))</f>
        <v/>
      </c>
      <c r="D2257" s="16" t="str">
        <f>IF(B2257="","",IFERROR(INDEX(Client_List!$D:$D,MATCH(B2257,Client_List!$B:$B,0)),""))</f>
        <v/>
      </c>
      <c r="E2257" s="16" t="str">
        <f>IF(B2257="","",IFERROR(INDEX(Client_List!$K:$K,MATCH(B2257,Client_List!$B:$B,0)),""))</f>
        <v/>
      </c>
      <c r="F2257" s="16" t="str">
        <f>IF(B2257="","",IFERROR(INDEX(Client_List!$J:$J,MATCH(B2257,Client_List!$B:$B,0)),""))</f>
        <v/>
      </c>
      <c r="G2257" s="16"/>
      <c r="H2257" s="16" t="str">
        <f>IF(B2257="","",IFERROR(A2257-LOOKUP(2,1/($B$4:$B2256=B2257),$A$4:$A2256),""))</f>
        <v/>
      </c>
      <c r="I2257" s="16" t="str">
        <f t="shared" si="35"/>
        <v/>
      </c>
      <c r="J2257" s="16"/>
      <c r="K2257" s="6" t="str">
        <f>IF(B2257="","",IFERROR(AVERAGEIFS($I$4:$I2257,$B$4:$B2257,B2257,$I$4:$I2257,"&gt;"&amp;0),""))</f>
        <v/>
      </c>
      <c r="L2257" s="16" t="str">
        <f>IF(B2257="","",IF(ISNA(MATCH(B2257,Client_List!$B:$B,0)),"⚠ NOT FOUND","✓"))</f>
        <v/>
      </c>
    </row>
    <row r="2258" spans="1:12" ht="14" customHeight="1" x14ac:dyDescent="0.2">
      <c r="A2258" s="59"/>
      <c r="B2258" s="18"/>
      <c r="C2258" s="19" t="str">
        <f>IF(B2258="","",IFERROR(INDEX(Client_List!$C:$C,MATCH(B2258,Client_List!$B:$B,0)),""))</f>
        <v/>
      </c>
      <c r="D2258" s="19" t="str">
        <f>IF(B2258="","",IFERROR(INDEX(Client_List!$D:$D,MATCH(B2258,Client_List!$B:$B,0)),""))</f>
        <v/>
      </c>
      <c r="E2258" s="19" t="str">
        <f>IF(B2258="","",IFERROR(INDEX(Client_List!$K:$K,MATCH(B2258,Client_List!$B:$B,0)),""))</f>
        <v/>
      </c>
      <c r="F2258" s="19" t="str">
        <f>IF(B2258="","",IFERROR(INDEX(Client_List!$J:$J,MATCH(B2258,Client_List!$B:$B,0)),""))</f>
        <v/>
      </c>
      <c r="G2258" s="19"/>
      <c r="H2258" s="19" t="str">
        <f>IF(B2258="","",IFERROR(A2258-LOOKUP(2,1/($B$4:$B2257=B2258),$A$4:$A2257),""))</f>
        <v/>
      </c>
      <c r="I2258" s="19" t="str">
        <f t="shared" si="35"/>
        <v/>
      </c>
      <c r="J2258" s="19"/>
      <c r="K2258" s="6" t="str">
        <f>IF(B2258="","",IFERROR(AVERAGEIFS($I$4:$I2258,$B$4:$B2258,B2258,$I$4:$I2258,"&gt;"&amp;0),""))</f>
        <v/>
      </c>
      <c r="L2258" s="19" t="str">
        <f>IF(B2258="","",IF(ISNA(MATCH(B2258,Client_List!$B:$B,0)),"⚠ NOT FOUND","✓"))</f>
        <v/>
      </c>
    </row>
    <row r="2259" spans="1:12" ht="14" customHeight="1" x14ac:dyDescent="0.2">
      <c r="A2259" s="58"/>
      <c r="B2259" s="15"/>
      <c r="C2259" s="16" t="str">
        <f>IF(B2259="","",IFERROR(INDEX(Client_List!$C:$C,MATCH(B2259,Client_List!$B:$B,0)),""))</f>
        <v/>
      </c>
      <c r="D2259" s="16" t="str">
        <f>IF(B2259="","",IFERROR(INDEX(Client_List!$D:$D,MATCH(B2259,Client_List!$B:$B,0)),""))</f>
        <v/>
      </c>
      <c r="E2259" s="16" t="str">
        <f>IF(B2259="","",IFERROR(INDEX(Client_List!$K:$K,MATCH(B2259,Client_List!$B:$B,0)),""))</f>
        <v/>
      </c>
      <c r="F2259" s="16" t="str">
        <f>IF(B2259="","",IFERROR(INDEX(Client_List!$J:$J,MATCH(B2259,Client_List!$B:$B,0)),""))</f>
        <v/>
      </c>
      <c r="G2259" s="16"/>
      <c r="H2259" s="16" t="str">
        <f>IF(B2259="","",IFERROR(A2259-LOOKUP(2,1/($B$4:$B2258=B2259),$A$4:$A2258),""))</f>
        <v/>
      </c>
      <c r="I2259" s="16" t="str">
        <f t="shared" si="35"/>
        <v/>
      </c>
      <c r="J2259" s="16"/>
      <c r="K2259" s="6" t="str">
        <f>IF(B2259="","",IFERROR(AVERAGEIFS($I$4:$I2259,$B$4:$B2259,B2259,$I$4:$I2259,"&gt;"&amp;0),""))</f>
        <v/>
      </c>
      <c r="L2259" s="16" t="str">
        <f>IF(B2259="","",IF(ISNA(MATCH(B2259,Client_List!$B:$B,0)),"⚠ NOT FOUND","✓"))</f>
        <v/>
      </c>
    </row>
    <row r="2260" spans="1:12" ht="14" customHeight="1" x14ac:dyDescent="0.2">
      <c r="A2260" s="59"/>
      <c r="B2260" s="18"/>
      <c r="C2260" s="19" t="str">
        <f>IF(B2260="","",IFERROR(INDEX(Client_List!$C:$C,MATCH(B2260,Client_List!$B:$B,0)),""))</f>
        <v/>
      </c>
      <c r="D2260" s="19" t="str">
        <f>IF(B2260="","",IFERROR(INDEX(Client_List!$D:$D,MATCH(B2260,Client_List!$B:$B,0)),""))</f>
        <v/>
      </c>
      <c r="E2260" s="19" t="str">
        <f>IF(B2260="","",IFERROR(INDEX(Client_List!$K:$K,MATCH(B2260,Client_List!$B:$B,0)),""))</f>
        <v/>
      </c>
      <c r="F2260" s="19" t="str">
        <f>IF(B2260="","",IFERROR(INDEX(Client_List!$J:$J,MATCH(B2260,Client_List!$B:$B,0)),""))</f>
        <v/>
      </c>
      <c r="G2260" s="19"/>
      <c r="H2260" s="19" t="str">
        <f>IF(B2260="","",IFERROR(A2260-LOOKUP(2,1/($B$4:$B2259=B2260),$A$4:$A2259),""))</f>
        <v/>
      </c>
      <c r="I2260" s="19" t="str">
        <f t="shared" si="35"/>
        <v/>
      </c>
      <c r="J2260" s="19"/>
      <c r="K2260" s="6" t="str">
        <f>IF(B2260="","",IFERROR(AVERAGEIFS($I$4:$I2260,$B$4:$B2260,B2260,$I$4:$I2260,"&gt;"&amp;0),""))</f>
        <v/>
      </c>
      <c r="L2260" s="19" t="str">
        <f>IF(B2260="","",IF(ISNA(MATCH(B2260,Client_List!$B:$B,0)),"⚠ NOT FOUND","✓"))</f>
        <v/>
      </c>
    </row>
    <row r="2261" spans="1:12" ht="14" customHeight="1" x14ac:dyDescent="0.2">
      <c r="A2261" s="58"/>
      <c r="B2261" s="15"/>
      <c r="C2261" s="16" t="str">
        <f>IF(B2261="","",IFERROR(INDEX(Client_List!$C:$C,MATCH(B2261,Client_List!$B:$B,0)),""))</f>
        <v/>
      </c>
      <c r="D2261" s="16" t="str">
        <f>IF(B2261="","",IFERROR(INDEX(Client_List!$D:$D,MATCH(B2261,Client_List!$B:$B,0)),""))</f>
        <v/>
      </c>
      <c r="E2261" s="16" t="str">
        <f>IF(B2261="","",IFERROR(INDEX(Client_List!$K:$K,MATCH(B2261,Client_List!$B:$B,0)),""))</f>
        <v/>
      </c>
      <c r="F2261" s="16" t="str">
        <f>IF(B2261="","",IFERROR(INDEX(Client_List!$J:$J,MATCH(B2261,Client_List!$B:$B,0)),""))</f>
        <v/>
      </c>
      <c r="G2261" s="16"/>
      <c r="H2261" s="16" t="str">
        <f>IF(B2261="","",IFERROR(A2261-LOOKUP(2,1/($B$4:$B2260=B2261),$A$4:$A2260),""))</f>
        <v/>
      </c>
      <c r="I2261" s="16" t="str">
        <f t="shared" si="35"/>
        <v/>
      </c>
      <c r="J2261" s="16"/>
      <c r="K2261" s="6" t="str">
        <f>IF(B2261="","",IFERROR(AVERAGEIFS($I$4:$I2261,$B$4:$B2261,B2261,$I$4:$I2261,"&gt;"&amp;0),""))</f>
        <v/>
      </c>
      <c r="L2261" s="16" t="str">
        <f>IF(B2261="","",IF(ISNA(MATCH(B2261,Client_List!$B:$B,0)),"⚠ NOT FOUND","✓"))</f>
        <v/>
      </c>
    </row>
    <row r="2262" spans="1:12" ht="14" customHeight="1" x14ac:dyDescent="0.2">
      <c r="A2262" s="59"/>
      <c r="B2262" s="18"/>
      <c r="C2262" s="19" t="str">
        <f>IF(B2262="","",IFERROR(INDEX(Client_List!$C:$C,MATCH(B2262,Client_List!$B:$B,0)),""))</f>
        <v/>
      </c>
      <c r="D2262" s="19" t="str">
        <f>IF(B2262="","",IFERROR(INDEX(Client_List!$D:$D,MATCH(B2262,Client_List!$B:$B,0)),""))</f>
        <v/>
      </c>
      <c r="E2262" s="19" t="str">
        <f>IF(B2262="","",IFERROR(INDEX(Client_List!$K:$K,MATCH(B2262,Client_List!$B:$B,0)),""))</f>
        <v/>
      </c>
      <c r="F2262" s="19" t="str">
        <f>IF(B2262="","",IFERROR(INDEX(Client_List!$J:$J,MATCH(B2262,Client_List!$B:$B,0)),""))</f>
        <v/>
      </c>
      <c r="G2262" s="19"/>
      <c r="H2262" s="19" t="str">
        <f>IF(B2262="","",IFERROR(A2262-LOOKUP(2,1/($B$4:$B2261=B2262),$A$4:$A2261),""))</f>
        <v/>
      </c>
      <c r="I2262" s="19" t="str">
        <f t="shared" si="35"/>
        <v/>
      </c>
      <c r="J2262" s="19"/>
      <c r="K2262" s="6" t="str">
        <f>IF(B2262="","",IFERROR(AVERAGEIFS($I$4:$I2262,$B$4:$B2262,B2262,$I$4:$I2262,"&gt;"&amp;0),""))</f>
        <v/>
      </c>
      <c r="L2262" s="19" t="str">
        <f>IF(B2262="","",IF(ISNA(MATCH(B2262,Client_List!$B:$B,0)),"⚠ NOT FOUND","✓"))</f>
        <v/>
      </c>
    </row>
    <row r="2263" spans="1:12" ht="14" customHeight="1" x14ac:dyDescent="0.2">
      <c r="A2263" s="58"/>
      <c r="B2263" s="15"/>
      <c r="C2263" s="16" t="str">
        <f>IF(B2263="","",IFERROR(INDEX(Client_List!$C:$C,MATCH(B2263,Client_List!$B:$B,0)),""))</f>
        <v/>
      </c>
      <c r="D2263" s="16" t="str">
        <f>IF(B2263="","",IFERROR(INDEX(Client_List!$D:$D,MATCH(B2263,Client_List!$B:$B,0)),""))</f>
        <v/>
      </c>
      <c r="E2263" s="16" t="str">
        <f>IF(B2263="","",IFERROR(INDEX(Client_List!$K:$K,MATCH(B2263,Client_List!$B:$B,0)),""))</f>
        <v/>
      </c>
      <c r="F2263" s="16" t="str">
        <f>IF(B2263="","",IFERROR(INDEX(Client_List!$J:$J,MATCH(B2263,Client_List!$B:$B,0)),""))</f>
        <v/>
      </c>
      <c r="G2263" s="16"/>
      <c r="H2263" s="16" t="str">
        <f>IF(B2263="","",IFERROR(A2263-LOOKUP(2,1/($B$4:$B2262=B2263),$A$4:$A2262),""))</f>
        <v/>
      </c>
      <c r="I2263" s="16" t="str">
        <f t="shared" si="35"/>
        <v/>
      </c>
      <c r="J2263" s="16"/>
      <c r="K2263" s="6" t="str">
        <f>IF(B2263="","",IFERROR(AVERAGEIFS($I$4:$I2263,$B$4:$B2263,B2263,$I$4:$I2263,"&gt;"&amp;0),""))</f>
        <v/>
      </c>
      <c r="L2263" s="16" t="str">
        <f>IF(B2263="","",IF(ISNA(MATCH(B2263,Client_List!$B:$B,0)),"⚠ NOT FOUND","✓"))</f>
        <v/>
      </c>
    </row>
    <row r="2264" spans="1:12" ht="14" customHeight="1" x14ac:dyDescent="0.2">
      <c r="A2264" s="59"/>
      <c r="B2264" s="18"/>
      <c r="C2264" s="19" t="str">
        <f>IF(B2264="","",IFERROR(INDEX(Client_List!$C:$C,MATCH(B2264,Client_List!$B:$B,0)),""))</f>
        <v/>
      </c>
      <c r="D2264" s="19" t="str">
        <f>IF(B2264="","",IFERROR(INDEX(Client_List!$D:$D,MATCH(B2264,Client_List!$B:$B,0)),""))</f>
        <v/>
      </c>
      <c r="E2264" s="19" t="str">
        <f>IF(B2264="","",IFERROR(INDEX(Client_List!$K:$K,MATCH(B2264,Client_List!$B:$B,0)),""))</f>
        <v/>
      </c>
      <c r="F2264" s="19" t="str">
        <f>IF(B2264="","",IFERROR(INDEX(Client_List!$J:$J,MATCH(B2264,Client_List!$B:$B,0)),""))</f>
        <v/>
      </c>
      <c r="G2264" s="19"/>
      <c r="H2264" s="19" t="str">
        <f>IF(B2264="","",IFERROR(A2264-LOOKUP(2,1/($B$4:$B2263=B2264),$A$4:$A2263),""))</f>
        <v/>
      </c>
      <c r="I2264" s="19" t="str">
        <f t="shared" si="35"/>
        <v/>
      </c>
      <c r="J2264" s="19"/>
      <c r="K2264" s="6" t="str">
        <f>IF(B2264="","",IFERROR(AVERAGEIFS($I$4:$I2264,$B$4:$B2264,B2264,$I$4:$I2264,"&gt;"&amp;0),""))</f>
        <v/>
      </c>
      <c r="L2264" s="19" t="str">
        <f>IF(B2264="","",IF(ISNA(MATCH(B2264,Client_List!$B:$B,0)),"⚠ NOT FOUND","✓"))</f>
        <v/>
      </c>
    </row>
    <row r="2265" spans="1:12" ht="14" customHeight="1" x14ac:dyDescent="0.2">
      <c r="A2265" s="58"/>
      <c r="B2265" s="15"/>
      <c r="C2265" s="16" t="str">
        <f>IF(B2265="","",IFERROR(INDEX(Client_List!$C:$C,MATCH(B2265,Client_List!$B:$B,0)),""))</f>
        <v/>
      </c>
      <c r="D2265" s="16" t="str">
        <f>IF(B2265="","",IFERROR(INDEX(Client_List!$D:$D,MATCH(B2265,Client_List!$B:$B,0)),""))</f>
        <v/>
      </c>
      <c r="E2265" s="16" t="str">
        <f>IF(B2265="","",IFERROR(INDEX(Client_List!$K:$K,MATCH(B2265,Client_List!$B:$B,0)),""))</f>
        <v/>
      </c>
      <c r="F2265" s="16" t="str">
        <f>IF(B2265="","",IFERROR(INDEX(Client_List!$J:$J,MATCH(B2265,Client_List!$B:$B,0)),""))</f>
        <v/>
      </c>
      <c r="G2265" s="16"/>
      <c r="H2265" s="16" t="str">
        <f>IF(B2265="","",IFERROR(A2265-LOOKUP(2,1/($B$4:$B2264=B2265),$A$4:$A2264),""))</f>
        <v/>
      </c>
      <c r="I2265" s="16" t="str">
        <f t="shared" si="35"/>
        <v/>
      </c>
      <c r="J2265" s="16"/>
      <c r="K2265" s="6" t="str">
        <f>IF(B2265="","",IFERROR(AVERAGEIFS($I$4:$I2265,$B$4:$B2265,B2265,$I$4:$I2265,"&gt;"&amp;0),""))</f>
        <v/>
      </c>
      <c r="L2265" s="16" t="str">
        <f>IF(B2265="","",IF(ISNA(MATCH(B2265,Client_List!$B:$B,0)),"⚠ NOT FOUND","✓"))</f>
        <v/>
      </c>
    </row>
    <row r="2266" spans="1:12" ht="14" customHeight="1" x14ac:dyDescent="0.2">
      <c r="A2266" s="59"/>
      <c r="B2266" s="18"/>
      <c r="C2266" s="19" t="str">
        <f>IF(B2266="","",IFERROR(INDEX(Client_List!$C:$C,MATCH(B2266,Client_List!$B:$B,0)),""))</f>
        <v/>
      </c>
      <c r="D2266" s="19" t="str">
        <f>IF(B2266="","",IFERROR(INDEX(Client_List!$D:$D,MATCH(B2266,Client_List!$B:$B,0)),""))</f>
        <v/>
      </c>
      <c r="E2266" s="19" t="str">
        <f>IF(B2266="","",IFERROR(INDEX(Client_List!$K:$K,MATCH(B2266,Client_List!$B:$B,0)),""))</f>
        <v/>
      </c>
      <c r="F2266" s="19" t="str">
        <f>IF(B2266="","",IFERROR(INDEX(Client_List!$J:$J,MATCH(B2266,Client_List!$B:$B,0)),""))</f>
        <v/>
      </c>
      <c r="G2266" s="19"/>
      <c r="H2266" s="19" t="str">
        <f>IF(B2266="","",IFERROR(A2266-LOOKUP(2,1/($B$4:$B2265=B2266),$A$4:$A2265),""))</f>
        <v/>
      </c>
      <c r="I2266" s="19" t="str">
        <f t="shared" si="35"/>
        <v/>
      </c>
      <c r="J2266" s="19"/>
      <c r="K2266" s="6" t="str">
        <f>IF(B2266="","",IFERROR(AVERAGEIFS($I$4:$I2266,$B$4:$B2266,B2266,$I$4:$I2266,"&gt;"&amp;0),""))</f>
        <v/>
      </c>
      <c r="L2266" s="19" t="str">
        <f>IF(B2266="","",IF(ISNA(MATCH(B2266,Client_List!$B:$B,0)),"⚠ NOT FOUND","✓"))</f>
        <v/>
      </c>
    </row>
    <row r="2267" spans="1:12" ht="14" customHeight="1" x14ac:dyDescent="0.2">
      <c r="A2267" s="58"/>
      <c r="B2267" s="15"/>
      <c r="C2267" s="16" t="str">
        <f>IF(B2267="","",IFERROR(INDEX(Client_List!$C:$C,MATCH(B2267,Client_List!$B:$B,0)),""))</f>
        <v/>
      </c>
      <c r="D2267" s="16" t="str">
        <f>IF(B2267="","",IFERROR(INDEX(Client_List!$D:$D,MATCH(B2267,Client_List!$B:$B,0)),""))</f>
        <v/>
      </c>
      <c r="E2267" s="16" t="str">
        <f>IF(B2267="","",IFERROR(INDEX(Client_List!$K:$K,MATCH(B2267,Client_List!$B:$B,0)),""))</f>
        <v/>
      </c>
      <c r="F2267" s="16" t="str">
        <f>IF(B2267="","",IFERROR(INDEX(Client_List!$J:$J,MATCH(B2267,Client_List!$B:$B,0)),""))</f>
        <v/>
      </c>
      <c r="G2267" s="16"/>
      <c r="H2267" s="16" t="str">
        <f>IF(B2267="","",IFERROR(A2267-LOOKUP(2,1/($B$4:$B2266=B2267),$A$4:$A2266),""))</f>
        <v/>
      </c>
      <c r="I2267" s="16" t="str">
        <f t="shared" si="35"/>
        <v/>
      </c>
      <c r="J2267" s="16"/>
      <c r="K2267" s="6" t="str">
        <f>IF(B2267="","",IFERROR(AVERAGEIFS($I$4:$I2267,$B$4:$B2267,B2267,$I$4:$I2267,"&gt;"&amp;0),""))</f>
        <v/>
      </c>
      <c r="L2267" s="16" t="str">
        <f>IF(B2267="","",IF(ISNA(MATCH(B2267,Client_List!$B:$B,0)),"⚠ NOT FOUND","✓"))</f>
        <v/>
      </c>
    </row>
    <row r="2268" spans="1:12" ht="14" customHeight="1" x14ac:dyDescent="0.2">
      <c r="A2268" s="59"/>
      <c r="B2268" s="18"/>
      <c r="C2268" s="19" t="str">
        <f>IF(B2268="","",IFERROR(INDEX(Client_List!$C:$C,MATCH(B2268,Client_List!$B:$B,0)),""))</f>
        <v/>
      </c>
      <c r="D2268" s="19" t="str">
        <f>IF(B2268="","",IFERROR(INDEX(Client_List!$D:$D,MATCH(B2268,Client_List!$B:$B,0)),""))</f>
        <v/>
      </c>
      <c r="E2268" s="19" t="str">
        <f>IF(B2268="","",IFERROR(INDEX(Client_List!$K:$K,MATCH(B2268,Client_List!$B:$B,0)),""))</f>
        <v/>
      </c>
      <c r="F2268" s="19" t="str">
        <f>IF(B2268="","",IFERROR(INDEX(Client_List!$J:$J,MATCH(B2268,Client_List!$B:$B,0)),""))</f>
        <v/>
      </c>
      <c r="G2268" s="19"/>
      <c r="H2268" s="19" t="str">
        <f>IF(B2268="","",IFERROR(A2268-LOOKUP(2,1/($B$4:$B2267=B2268),$A$4:$A2267),""))</f>
        <v/>
      </c>
      <c r="I2268" s="19" t="str">
        <f t="shared" si="35"/>
        <v/>
      </c>
      <c r="J2268" s="19"/>
      <c r="K2268" s="6" t="str">
        <f>IF(B2268="","",IFERROR(AVERAGEIFS($I$4:$I2268,$B$4:$B2268,B2268,$I$4:$I2268,"&gt;"&amp;0),""))</f>
        <v/>
      </c>
      <c r="L2268" s="19" t="str">
        <f>IF(B2268="","",IF(ISNA(MATCH(B2268,Client_List!$B:$B,0)),"⚠ NOT FOUND","✓"))</f>
        <v/>
      </c>
    </row>
    <row r="2269" spans="1:12" ht="14" customHeight="1" x14ac:dyDescent="0.2">
      <c r="A2269" s="58"/>
      <c r="B2269" s="15"/>
      <c r="C2269" s="16" t="str">
        <f>IF(B2269="","",IFERROR(INDEX(Client_List!$C:$C,MATCH(B2269,Client_List!$B:$B,0)),""))</f>
        <v/>
      </c>
      <c r="D2269" s="16" t="str">
        <f>IF(B2269="","",IFERROR(INDEX(Client_List!$D:$D,MATCH(B2269,Client_List!$B:$B,0)),""))</f>
        <v/>
      </c>
      <c r="E2269" s="16" t="str">
        <f>IF(B2269="","",IFERROR(INDEX(Client_List!$K:$K,MATCH(B2269,Client_List!$B:$B,0)),""))</f>
        <v/>
      </c>
      <c r="F2269" s="16" t="str">
        <f>IF(B2269="","",IFERROR(INDEX(Client_List!$J:$J,MATCH(B2269,Client_List!$B:$B,0)),""))</f>
        <v/>
      </c>
      <c r="G2269" s="16"/>
      <c r="H2269" s="16" t="str">
        <f>IF(B2269="","",IFERROR(A2269-LOOKUP(2,1/($B$4:$B2268=B2269),$A$4:$A2268),""))</f>
        <v/>
      </c>
      <c r="I2269" s="16" t="str">
        <f t="shared" si="35"/>
        <v/>
      </c>
      <c r="J2269" s="16"/>
      <c r="K2269" s="6" t="str">
        <f>IF(B2269="","",IFERROR(AVERAGEIFS($I$4:$I2269,$B$4:$B2269,B2269,$I$4:$I2269,"&gt;"&amp;0),""))</f>
        <v/>
      </c>
      <c r="L2269" s="16" t="str">
        <f>IF(B2269="","",IF(ISNA(MATCH(B2269,Client_List!$B:$B,0)),"⚠ NOT FOUND","✓"))</f>
        <v/>
      </c>
    </row>
    <row r="2270" spans="1:12" ht="14" customHeight="1" x14ac:dyDescent="0.2">
      <c r="A2270" s="59"/>
      <c r="B2270" s="18"/>
      <c r="C2270" s="19" t="str">
        <f>IF(B2270="","",IFERROR(INDEX(Client_List!$C:$C,MATCH(B2270,Client_List!$B:$B,0)),""))</f>
        <v/>
      </c>
      <c r="D2270" s="19" t="str">
        <f>IF(B2270="","",IFERROR(INDEX(Client_List!$D:$D,MATCH(B2270,Client_List!$B:$B,0)),""))</f>
        <v/>
      </c>
      <c r="E2270" s="19" t="str">
        <f>IF(B2270="","",IFERROR(INDEX(Client_List!$K:$K,MATCH(B2270,Client_List!$B:$B,0)),""))</f>
        <v/>
      </c>
      <c r="F2270" s="19" t="str">
        <f>IF(B2270="","",IFERROR(INDEX(Client_List!$J:$J,MATCH(B2270,Client_List!$B:$B,0)),""))</f>
        <v/>
      </c>
      <c r="G2270" s="19"/>
      <c r="H2270" s="19" t="str">
        <f>IF(B2270="","",IFERROR(A2270-LOOKUP(2,1/($B$4:$B2269=B2270),$A$4:$A2269),""))</f>
        <v/>
      </c>
      <c r="I2270" s="19" t="str">
        <f t="shared" si="35"/>
        <v/>
      </c>
      <c r="J2270" s="19"/>
      <c r="K2270" s="6" t="str">
        <f>IF(B2270="","",IFERROR(AVERAGEIFS($I$4:$I2270,$B$4:$B2270,B2270,$I$4:$I2270,"&gt;"&amp;0),""))</f>
        <v/>
      </c>
      <c r="L2270" s="19" t="str">
        <f>IF(B2270="","",IF(ISNA(MATCH(B2270,Client_List!$B:$B,0)),"⚠ NOT FOUND","✓"))</f>
        <v/>
      </c>
    </row>
    <row r="2271" spans="1:12" ht="14" customHeight="1" x14ac:dyDescent="0.2">
      <c r="A2271" s="58"/>
      <c r="B2271" s="15"/>
      <c r="C2271" s="16" t="str">
        <f>IF(B2271="","",IFERROR(INDEX(Client_List!$C:$C,MATCH(B2271,Client_List!$B:$B,0)),""))</f>
        <v/>
      </c>
      <c r="D2271" s="16" t="str">
        <f>IF(B2271="","",IFERROR(INDEX(Client_List!$D:$D,MATCH(B2271,Client_List!$B:$B,0)),""))</f>
        <v/>
      </c>
      <c r="E2271" s="16" t="str">
        <f>IF(B2271="","",IFERROR(INDEX(Client_List!$K:$K,MATCH(B2271,Client_List!$B:$B,0)),""))</f>
        <v/>
      </c>
      <c r="F2271" s="16" t="str">
        <f>IF(B2271="","",IFERROR(INDEX(Client_List!$J:$J,MATCH(B2271,Client_List!$B:$B,0)),""))</f>
        <v/>
      </c>
      <c r="G2271" s="16"/>
      <c r="H2271" s="16" t="str">
        <f>IF(B2271="","",IFERROR(A2271-LOOKUP(2,1/($B$4:$B2270=B2271),$A$4:$A2270),""))</f>
        <v/>
      </c>
      <c r="I2271" s="16" t="str">
        <f t="shared" si="35"/>
        <v/>
      </c>
      <c r="J2271" s="16"/>
      <c r="K2271" s="6" t="str">
        <f>IF(B2271="","",IFERROR(AVERAGEIFS($I$4:$I2271,$B$4:$B2271,B2271,$I$4:$I2271,"&gt;"&amp;0),""))</f>
        <v/>
      </c>
      <c r="L2271" s="16" t="str">
        <f>IF(B2271="","",IF(ISNA(MATCH(B2271,Client_List!$B:$B,0)),"⚠ NOT FOUND","✓"))</f>
        <v/>
      </c>
    </row>
    <row r="2272" spans="1:12" ht="14" customHeight="1" x14ac:dyDescent="0.2">
      <c r="A2272" s="59"/>
      <c r="B2272" s="18"/>
      <c r="C2272" s="19" t="str">
        <f>IF(B2272="","",IFERROR(INDEX(Client_List!$C:$C,MATCH(B2272,Client_List!$B:$B,0)),""))</f>
        <v/>
      </c>
      <c r="D2272" s="19" t="str">
        <f>IF(B2272="","",IFERROR(INDEX(Client_List!$D:$D,MATCH(B2272,Client_List!$B:$B,0)),""))</f>
        <v/>
      </c>
      <c r="E2272" s="19" t="str">
        <f>IF(B2272="","",IFERROR(INDEX(Client_List!$K:$K,MATCH(B2272,Client_List!$B:$B,0)),""))</f>
        <v/>
      </c>
      <c r="F2272" s="19" t="str">
        <f>IF(B2272="","",IFERROR(INDEX(Client_List!$J:$J,MATCH(B2272,Client_List!$B:$B,0)),""))</f>
        <v/>
      </c>
      <c r="G2272" s="19"/>
      <c r="H2272" s="19" t="str">
        <f>IF(B2272="","",IFERROR(A2272-LOOKUP(2,1/($B$4:$B2271=B2272),$A$4:$A2271),""))</f>
        <v/>
      </c>
      <c r="I2272" s="19" t="str">
        <f t="shared" si="35"/>
        <v/>
      </c>
      <c r="J2272" s="19"/>
      <c r="K2272" s="6" t="str">
        <f>IF(B2272="","",IFERROR(AVERAGEIFS($I$4:$I2272,$B$4:$B2272,B2272,$I$4:$I2272,"&gt;"&amp;0),""))</f>
        <v/>
      </c>
      <c r="L2272" s="19" t="str">
        <f>IF(B2272="","",IF(ISNA(MATCH(B2272,Client_List!$B:$B,0)),"⚠ NOT FOUND","✓"))</f>
        <v/>
      </c>
    </row>
    <row r="2273" spans="1:12" ht="14" customHeight="1" x14ac:dyDescent="0.2">
      <c r="A2273" s="58"/>
      <c r="B2273" s="15"/>
      <c r="C2273" s="16" t="str">
        <f>IF(B2273="","",IFERROR(INDEX(Client_List!$C:$C,MATCH(B2273,Client_List!$B:$B,0)),""))</f>
        <v/>
      </c>
      <c r="D2273" s="16" t="str">
        <f>IF(B2273="","",IFERROR(INDEX(Client_List!$D:$D,MATCH(B2273,Client_List!$B:$B,0)),""))</f>
        <v/>
      </c>
      <c r="E2273" s="16" t="str">
        <f>IF(B2273="","",IFERROR(INDEX(Client_List!$K:$K,MATCH(B2273,Client_List!$B:$B,0)),""))</f>
        <v/>
      </c>
      <c r="F2273" s="16" t="str">
        <f>IF(B2273="","",IFERROR(INDEX(Client_List!$J:$J,MATCH(B2273,Client_List!$B:$B,0)),""))</f>
        <v/>
      </c>
      <c r="G2273" s="16"/>
      <c r="H2273" s="16" t="str">
        <f>IF(B2273="","",IFERROR(A2273-LOOKUP(2,1/($B$4:$B2272=B2273),$A$4:$A2272),""))</f>
        <v/>
      </c>
      <c r="I2273" s="16" t="str">
        <f t="shared" si="35"/>
        <v/>
      </c>
      <c r="J2273" s="16"/>
      <c r="K2273" s="6" t="str">
        <f>IF(B2273="","",IFERROR(AVERAGEIFS($I$4:$I2273,$B$4:$B2273,B2273,$I$4:$I2273,"&gt;"&amp;0),""))</f>
        <v/>
      </c>
      <c r="L2273" s="16" t="str">
        <f>IF(B2273="","",IF(ISNA(MATCH(B2273,Client_List!$B:$B,0)),"⚠ NOT FOUND","✓"))</f>
        <v/>
      </c>
    </row>
    <row r="2274" spans="1:12" ht="14" customHeight="1" x14ac:dyDescent="0.2">
      <c r="A2274" s="59"/>
      <c r="B2274" s="18"/>
      <c r="C2274" s="19" t="str">
        <f>IF(B2274="","",IFERROR(INDEX(Client_List!$C:$C,MATCH(B2274,Client_List!$B:$B,0)),""))</f>
        <v/>
      </c>
      <c r="D2274" s="19" t="str">
        <f>IF(B2274="","",IFERROR(INDEX(Client_List!$D:$D,MATCH(B2274,Client_List!$B:$B,0)),""))</f>
        <v/>
      </c>
      <c r="E2274" s="19" t="str">
        <f>IF(B2274="","",IFERROR(INDEX(Client_List!$K:$K,MATCH(B2274,Client_List!$B:$B,0)),""))</f>
        <v/>
      </c>
      <c r="F2274" s="19" t="str">
        <f>IF(B2274="","",IFERROR(INDEX(Client_List!$J:$J,MATCH(B2274,Client_List!$B:$B,0)),""))</f>
        <v/>
      </c>
      <c r="G2274" s="19"/>
      <c r="H2274" s="19" t="str">
        <f>IF(B2274="","",IFERROR(A2274-LOOKUP(2,1/($B$4:$B2273=B2274),$A$4:$A2273),""))</f>
        <v/>
      </c>
      <c r="I2274" s="19" t="str">
        <f t="shared" si="35"/>
        <v/>
      </c>
      <c r="J2274" s="19"/>
      <c r="K2274" s="6" t="str">
        <f>IF(B2274="","",IFERROR(AVERAGEIFS($I$4:$I2274,$B$4:$B2274,B2274,$I$4:$I2274,"&gt;"&amp;0),""))</f>
        <v/>
      </c>
      <c r="L2274" s="19" t="str">
        <f>IF(B2274="","",IF(ISNA(MATCH(B2274,Client_List!$B:$B,0)),"⚠ NOT FOUND","✓"))</f>
        <v/>
      </c>
    </row>
    <row r="2275" spans="1:12" ht="14" customHeight="1" x14ac:dyDescent="0.2">
      <c r="A2275" s="58"/>
      <c r="B2275" s="15"/>
      <c r="C2275" s="16" t="str">
        <f>IF(B2275="","",IFERROR(INDEX(Client_List!$C:$C,MATCH(B2275,Client_List!$B:$B,0)),""))</f>
        <v/>
      </c>
      <c r="D2275" s="16" t="str">
        <f>IF(B2275="","",IFERROR(INDEX(Client_List!$D:$D,MATCH(B2275,Client_List!$B:$B,0)),""))</f>
        <v/>
      </c>
      <c r="E2275" s="16" t="str">
        <f>IF(B2275="","",IFERROR(INDEX(Client_List!$K:$K,MATCH(B2275,Client_List!$B:$B,0)),""))</f>
        <v/>
      </c>
      <c r="F2275" s="16" t="str">
        <f>IF(B2275="","",IFERROR(INDEX(Client_List!$J:$J,MATCH(B2275,Client_List!$B:$B,0)),""))</f>
        <v/>
      </c>
      <c r="G2275" s="16"/>
      <c r="H2275" s="16" t="str">
        <f>IF(B2275="","",IFERROR(A2275-LOOKUP(2,1/($B$4:$B2274=B2275),$A$4:$A2274),""))</f>
        <v/>
      </c>
      <c r="I2275" s="16" t="str">
        <f t="shared" si="35"/>
        <v/>
      </c>
      <c r="J2275" s="16"/>
      <c r="K2275" s="6" t="str">
        <f>IF(B2275="","",IFERROR(AVERAGEIFS($I$4:$I2275,$B$4:$B2275,B2275,$I$4:$I2275,"&gt;"&amp;0),""))</f>
        <v/>
      </c>
      <c r="L2275" s="16" t="str">
        <f>IF(B2275="","",IF(ISNA(MATCH(B2275,Client_List!$B:$B,0)),"⚠ NOT FOUND","✓"))</f>
        <v/>
      </c>
    </row>
    <row r="2276" spans="1:12" ht="14" customHeight="1" x14ac:dyDescent="0.2">
      <c r="A2276" s="59"/>
      <c r="B2276" s="18"/>
      <c r="C2276" s="19" t="str">
        <f>IF(B2276="","",IFERROR(INDEX(Client_List!$C:$C,MATCH(B2276,Client_List!$B:$B,0)),""))</f>
        <v/>
      </c>
      <c r="D2276" s="19" t="str">
        <f>IF(B2276="","",IFERROR(INDEX(Client_List!$D:$D,MATCH(B2276,Client_List!$B:$B,0)),""))</f>
        <v/>
      </c>
      <c r="E2276" s="19" t="str">
        <f>IF(B2276="","",IFERROR(INDEX(Client_List!$K:$K,MATCH(B2276,Client_List!$B:$B,0)),""))</f>
        <v/>
      </c>
      <c r="F2276" s="19" t="str">
        <f>IF(B2276="","",IFERROR(INDEX(Client_List!$J:$J,MATCH(B2276,Client_List!$B:$B,0)),""))</f>
        <v/>
      </c>
      <c r="G2276" s="19"/>
      <c r="H2276" s="19" t="str">
        <f>IF(B2276="","",IFERROR(A2276-LOOKUP(2,1/($B$4:$B2275=B2276),$A$4:$A2275),""))</f>
        <v/>
      </c>
      <c r="I2276" s="19" t="str">
        <f t="shared" si="35"/>
        <v/>
      </c>
      <c r="J2276" s="19"/>
      <c r="K2276" s="6" t="str">
        <f>IF(B2276="","",IFERROR(AVERAGEIFS($I$4:$I2276,$B$4:$B2276,B2276,$I$4:$I2276,"&gt;"&amp;0),""))</f>
        <v/>
      </c>
      <c r="L2276" s="19" t="str">
        <f>IF(B2276="","",IF(ISNA(MATCH(B2276,Client_List!$B:$B,0)),"⚠ NOT FOUND","✓"))</f>
        <v/>
      </c>
    </row>
    <row r="2277" spans="1:12" ht="14" customHeight="1" x14ac:dyDescent="0.2">
      <c r="A2277" s="58"/>
      <c r="B2277" s="15"/>
      <c r="C2277" s="16" t="str">
        <f>IF(B2277="","",IFERROR(INDEX(Client_List!$C:$C,MATCH(B2277,Client_List!$B:$B,0)),""))</f>
        <v/>
      </c>
      <c r="D2277" s="16" t="str">
        <f>IF(B2277="","",IFERROR(INDEX(Client_List!$D:$D,MATCH(B2277,Client_List!$B:$B,0)),""))</f>
        <v/>
      </c>
      <c r="E2277" s="16" t="str">
        <f>IF(B2277="","",IFERROR(INDEX(Client_List!$K:$K,MATCH(B2277,Client_List!$B:$B,0)),""))</f>
        <v/>
      </c>
      <c r="F2277" s="16" t="str">
        <f>IF(B2277="","",IFERROR(INDEX(Client_List!$J:$J,MATCH(B2277,Client_List!$B:$B,0)),""))</f>
        <v/>
      </c>
      <c r="G2277" s="16"/>
      <c r="H2277" s="16" t="str">
        <f>IF(B2277="","",IFERROR(A2277-LOOKUP(2,1/($B$4:$B2276=B2277),$A$4:$A2276),""))</f>
        <v/>
      </c>
      <c r="I2277" s="16" t="str">
        <f t="shared" si="35"/>
        <v/>
      </c>
      <c r="J2277" s="16"/>
      <c r="K2277" s="6" t="str">
        <f>IF(B2277="","",IFERROR(AVERAGEIFS($I$4:$I2277,$B$4:$B2277,B2277,$I$4:$I2277,"&gt;"&amp;0),""))</f>
        <v/>
      </c>
      <c r="L2277" s="16" t="str">
        <f>IF(B2277="","",IF(ISNA(MATCH(B2277,Client_List!$B:$B,0)),"⚠ NOT FOUND","✓"))</f>
        <v/>
      </c>
    </row>
    <row r="2278" spans="1:12" ht="14" customHeight="1" x14ac:dyDescent="0.2">
      <c r="A2278" s="59"/>
      <c r="B2278" s="18"/>
      <c r="C2278" s="19" t="str">
        <f>IF(B2278="","",IFERROR(INDEX(Client_List!$C:$C,MATCH(B2278,Client_List!$B:$B,0)),""))</f>
        <v/>
      </c>
      <c r="D2278" s="19" t="str">
        <f>IF(B2278="","",IFERROR(INDEX(Client_List!$D:$D,MATCH(B2278,Client_List!$B:$B,0)),""))</f>
        <v/>
      </c>
      <c r="E2278" s="19" t="str">
        <f>IF(B2278="","",IFERROR(INDEX(Client_List!$K:$K,MATCH(B2278,Client_List!$B:$B,0)),""))</f>
        <v/>
      </c>
      <c r="F2278" s="19" t="str">
        <f>IF(B2278="","",IFERROR(INDEX(Client_List!$J:$J,MATCH(B2278,Client_List!$B:$B,0)),""))</f>
        <v/>
      </c>
      <c r="G2278" s="19"/>
      <c r="H2278" s="19" t="str">
        <f>IF(B2278="","",IFERROR(A2278-LOOKUP(2,1/($B$4:$B2277=B2278),$A$4:$A2277),""))</f>
        <v/>
      </c>
      <c r="I2278" s="19" t="str">
        <f t="shared" si="35"/>
        <v/>
      </c>
      <c r="J2278" s="19"/>
      <c r="K2278" s="6" t="str">
        <f>IF(B2278="","",IFERROR(AVERAGEIFS($I$4:$I2278,$B$4:$B2278,B2278,$I$4:$I2278,"&gt;"&amp;0),""))</f>
        <v/>
      </c>
      <c r="L2278" s="19" t="str">
        <f>IF(B2278="","",IF(ISNA(MATCH(B2278,Client_List!$B:$B,0)),"⚠ NOT FOUND","✓"))</f>
        <v/>
      </c>
    </row>
    <row r="2279" spans="1:12" ht="14" customHeight="1" x14ac:dyDescent="0.2">
      <c r="A2279" s="58"/>
      <c r="B2279" s="15"/>
      <c r="C2279" s="16" t="str">
        <f>IF(B2279="","",IFERROR(INDEX(Client_List!$C:$C,MATCH(B2279,Client_List!$B:$B,0)),""))</f>
        <v/>
      </c>
      <c r="D2279" s="16" t="str">
        <f>IF(B2279="","",IFERROR(INDEX(Client_List!$D:$D,MATCH(B2279,Client_List!$B:$B,0)),""))</f>
        <v/>
      </c>
      <c r="E2279" s="16" t="str">
        <f>IF(B2279="","",IFERROR(INDEX(Client_List!$K:$K,MATCH(B2279,Client_List!$B:$B,0)),""))</f>
        <v/>
      </c>
      <c r="F2279" s="16" t="str">
        <f>IF(B2279="","",IFERROR(INDEX(Client_List!$J:$J,MATCH(B2279,Client_List!$B:$B,0)),""))</f>
        <v/>
      </c>
      <c r="G2279" s="16"/>
      <c r="H2279" s="16" t="str">
        <f>IF(B2279="","",IFERROR(A2279-LOOKUP(2,1/($B$4:$B2278=B2279),$A$4:$A2278),""))</f>
        <v/>
      </c>
      <c r="I2279" s="16" t="str">
        <f t="shared" si="35"/>
        <v/>
      </c>
      <c r="J2279" s="16"/>
      <c r="K2279" s="6" t="str">
        <f>IF(B2279="","",IFERROR(AVERAGEIFS($I$4:$I2279,$B$4:$B2279,B2279,$I$4:$I2279,"&gt;"&amp;0),""))</f>
        <v/>
      </c>
      <c r="L2279" s="16" t="str">
        <f>IF(B2279="","",IF(ISNA(MATCH(B2279,Client_List!$B:$B,0)),"⚠ NOT FOUND","✓"))</f>
        <v/>
      </c>
    </row>
    <row r="2280" spans="1:12" ht="14" customHeight="1" x14ac:dyDescent="0.2">
      <c r="A2280" s="59"/>
      <c r="B2280" s="18"/>
      <c r="C2280" s="19" t="str">
        <f>IF(B2280="","",IFERROR(INDEX(Client_List!$C:$C,MATCH(B2280,Client_List!$B:$B,0)),""))</f>
        <v/>
      </c>
      <c r="D2280" s="19" t="str">
        <f>IF(B2280="","",IFERROR(INDEX(Client_List!$D:$D,MATCH(B2280,Client_List!$B:$B,0)),""))</f>
        <v/>
      </c>
      <c r="E2280" s="19" t="str">
        <f>IF(B2280="","",IFERROR(INDEX(Client_List!$K:$K,MATCH(B2280,Client_List!$B:$B,0)),""))</f>
        <v/>
      </c>
      <c r="F2280" s="19" t="str">
        <f>IF(B2280="","",IFERROR(INDEX(Client_List!$J:$J,MATCH(B2280,Client_List!$B:$B,0)),""))</f>
        <v/>
      </c>
      <c r="G2280" s="19"/>
      <c r="H2280" s="19" t="str">
        <f>IF(B2280="","",IFERROR(A2280-LOOKUP(2,1/($B$4:$B2279=B2280),$A$4:$A2279),""))</f>
        <v/>
      </c>
      <c r="I2280" s="19" t="str">
        <f t="shared" si="35"/>
        <v/>
      </c>
      <c r="J2280" s="19"/>
      <c r="K2280" s="6" t="str">
        <f>IF(B2280="","",IFERROR(AVERAGEIFS($I$4:$I2280,$B$4:$B2280,B2280,$I$4:$I2280,"&gt;"&amp;0),""))</f>
        <v/>
      </c>
      <c r="L2280" s="19" t="str">
        <f>IF(B2280="","",IF(ISNA(MATCH(B2280,Client_List!$B:$B,0)),"⚠ NOT FOUND","✓"))</f>
        <v/>
      </c>
    </row>
    <row r="2281" spans="1:12" ht="14" customHeight="1" x14ac:dyDescent="0.2">
      <c r="A2281" s="58"/>
      <c r="B2281" s="15"/>
      <c r="C2281" s="16" t="str">
        <f>IF(B2281="","",IFERROR(INDEX(Client_List!$C:$C,MATCH(B2281,Client_List!$B:$B,0)),""))</f>
        <v/>
      </c>
      <c r="D2281" s="16" t="str">
        <f>IF(B2281="","",IFERROR(INDEX(Client_List!$D:$D,MATCH(B2281,Client_List!$B:$B,0)),""))</f>
        <v/>
      </c>
      <c r="E2281" s="16" t="str">
        <f>IF(B2281="","",IFERROR(INDEX(Client_List!$K:$K,MATCH(B2281,Client_List!$B:$B,0)),""))</f>
        <v/>
      </c>
      <c r="F2281" s="16" t="str">
        <f>IF(B2281="","",IFERROR(INDEX(Client_List!$J:$J,MATCH(B2281,Client_List!$B:$B,0)),""))</f>
        <v/>
      </c>
      <c r="G2281" s="16"/>
      <c r="H2281" s="16" t="str">
        <f>IF(B2281="","",IFERROR(A2281-LOOKUP(2,1/($B$4:$B2280=B2281),$A$4:$A2280),""))</f>
        <v/>
      </c>
      <c r="I2281" s="16" t="str">
        <f t="shared" si="35"/>
        <v/>
      </c>
      <c r="J2281" s="16"/>
      <c r="K2281" s="6" t="str">
        <f>IF(B2281="","",IFERROR(AVERAGEIFS($I$4:$I2281,$B$4:$B2281,B2281,$I$4:$I2281,"&gt;"&amp;0),""))</f>
        <v/>
      </c>
      <c r="L2281" s="16" t="str">
        <f>IF(B2281="","",IF(ISNA(MATCH(B2281,Client_List!$B:$B,0)),"⚠ NOT FOUND","✓"))</f>
        <v/>
      </c>
    </row>
    <row r="2282" spans="1:12" ht="14" customHeight="1" x14ac:dyDescent="0.2">
      <c r="A2282" s="59"/>
      <c r="B2282" s="18"/>
      <c r="C2282" s="19" t="str">
        <f>IF(B2282="","",IFERROR(INDEX(Client_List!$C:$C,MATCH(B2282,Client_List!$B:$B,0)),""))</f>
        <v/>
      </c>
      <c r="D2282" s="19" t="str">
        <f>IF(B2282="","",IFERROR(INDEX(Client_List!$D:$D,MATCH(B2282,Client_List!$B:$B,0)),""))</f>
        <v/>
      </c>
      <c r="E2282" s="19" t="str">
        <f>IF(B2282="","",IFERROR(INDEX(Client_List!$K:$K,MATCH(B2282,Client_List!$B:$B,0)),""))</f>
        <v/>
      </c>
      <c r="F2282" s="19" t="str">
        <f>IF(B2282="","",IFERROR(INDEX(Client_List!$J:$J,MATCH(B2282,Client_List!$B:$B,0)),""))</f>
        <v/>
      </c>
      <c r="G2282" s="19"/>
      <c r="H2282" s="19" t="str">
        <f>IF(B2282="","",IFERROR(A2282-LOOKUP(2,1/($B$4:$B2281=B2282),$A$4:$A2281),""))</f>
        <v/>
      </c>
      <c r="I2282" s="19" t="str">
        <f t="shared" si="35"/>
        <v/>
      </c>
      <c r="J2282" s="19"/>
      <c r="K2282" s="6" t="str">
        <f>IF(B2282="","",IFERROR(AVERAGEIFS($I$4:$I2282,$B$4:$B2282,B2282,$I$4:$I2282,"&gt;"&amp;0),""))</f>
        <v/>
      </c>
      <c r="L2282" s="19" t="str">
        <f>IF(B2282="","",IF(ISNA(MATCH(B2282,Client_List!$B:$B,0)),"⚠ NOT FOUND","✓"))</f>
        <v/>
      </c>
    </row>
    <row r="2283" spans="1:12" ht="14" customHeight="1" x14ac:dyDescent="0.2">
      <c r="A2283" s="58"/>
      <c r="B2283" s="15"/>
      <c r="C2283" s="16" t="str">
        <f>IF(B2283="","",IFERROR(INDEX(Client_List!$C:$C,MATCH(B2283,Client_List!$B:$B,0)),""))</f>
        <v/>
      </c>
      <c r="D2283" s="16" t="str">
        <f>IF(B2283="","",IFERROR(INDEX(Client_List!$D:$D,MATCH(B2283,Client_List!$B:$B,0)),""))</f>
        <v/>
      </c>
      <c r="E2283" s="16" t="str">
        <f>IF(B2283="","",IFERROR(INDEX(Client_List!$K:$K,MATCH(B2283,Client_List!$B:$B,0)),""))</f>
        <v/>
      </c>
      <c r="F2283" s="16" t="str">
        <f>IF(B2283="","",IFERROR(INDEX(Client_List!$J:$J,MATCH(B2283,Client_List!$B:$B,0)),""))</f>
        <v/>
      </c>
      <c r="G2283" s="16"/>
      <c r="H2283" s="16" t="str">
        <f>IF(B2283="","",IFERROR(A2283-LOOKUP(2,1/($B$4:$B2282=B2283),$A$4:$A2282),""))</f>
        <v/>
      </c>
      <c r="I2283" s="16" t="str">
        <f t="shared" si="35"/>
        <v/>
      </c>
      <c r="J2283" s="16"/>
      <c r="K2283" s="6" t="str">
        <f>IF(B2283="","",IFERROR(AVERAGEIFS($I$4:$I2283,$B$4:$B2283,B2283,$I$4:$I2283,"&gt;"&amp;0),""))</f>
        <v/>
      </c>
      <c r="L2283" s="16" t="str">
        <f>IF(B2283="","",IF(ISNA(MATCH(B2283,Client_List!$B:$B,0)),"⚠ NOT FOUND","✓"))</f>
        <v/>
      </c>
    </row>
    <row r="2284" spans="1:12" ht="14" customHeight="1" x14ac:dyDescent="0.2">
      <c r="A2284" s="59"/>
      <c r="B2284" s="18"/>
      <c r="C2284" s="19" t="str">
        <f>IF(B2284="","",IFERROR(INDEX(Client_List!$C:$C,MATCH(B2284,Client_List!$B:$B,0)),""))</f>
        <v/>
      </c>
      <c r="D2284" s="19" t="str">
        <f>IF(B2284="","",IFERROR(INDEX(Client_List!$D:$D,MATCH(B2284,Client_List!$B:$B,0)),""))</f>
        <v/>
      </c>
      <c r="E2284" s="19" t="str">
        <f>IF(B2284="","",IFERROR(INDEX(Client_List!$K:$K,MATCH(B2284,Client_List!$B:$B,0)),""))</f>
        <v/>
      </c>
      <c r="F2284" s="19" t="str">
        <f>IF(B2284="","",IFERROR(INDEX(Client_List!$J:$J,MATCH(B2284,Client_List!$B:$B,0)),""))</f>
        <v/>
      </c>
      <c r="G2284" s="19"/>
      <c r="H2284" s="19" t="str">
        <f>IF(B2284="","",IFERROR(A2284-LOOKUP(2,1/($B$4:$B2283=B2284),$A$4:$A2283),""))</f>
        <v/>
      </c>
      <c r="I2284" s="19" t="str">
        <f t="shared" si="35"/>
        <v/>
      </c>
      <c r="J2284" s="19"/>
      <c r="K2284" s="6" t="str">
        <f>IF(B2284="","",IFERROR(AVERAGEIFS($I$4:$I2284,$B$4:$B2284,B2284,$I$4:$I2284,"&gt;"&amp;0),""))</f>
        <v/>
      </c>
      <c r="L2284" s="19" t="str">
        <f>IF(B2284="","",IF(ISNA(MATCH(B2284,Client_List!$B:$B,0)),"⚠ NOT FOUND","✓"))</f>
        <v/>
      </c>
    </row>
    <row r="2285" spans="1:12" ht="14" customHeight="1" x14ac:dyDescent="0.2">
      <c r="A2285" s="58"/>
      <c r="B2285" s="15"/>
      <c r="C2285" s="16" t="str">
        <f>IF(B2285="","",IFERROR(INDEX(Client_List!$C:$C,MATCH(B2285,Client_List!$B:$B,0)),""))</f>
        <v/>
      </c>
      <c r="D2285" s="16" t="str">
        <f>IF(B2285="","",IFERROR(INDEX(Client_List!$D:$D,MATCH(B2285,Client_List!$B:$B,0)),""))</f>
        <v/>
      </c>
      <c r="E2285" s="16" t="str">
        <f>IF(B2285="","",IFERROR(INDEX(Client_List!$K:$K,MATCH(B2285,Client_List!$B:$B,0)),""))</f>
        <v/>
      </c>
      <c r="F2285" s="16" t="str">
        <f>IF(B2285="","",IFERROR(INDEX(Client_List!$J:$J,MATCH(B2285,Client_List!$B:$B,0)),""))</f>
        <v/>
      </c>
      <c r="G2285" s="16"/>
      <c r="H2285" s="16" t="str">
        <f>IF(B2285="","",IFERROR(A2285-LOOKUP(2,1/($B$4:$B2284=B2285),$A$4:$A2284),""))</f>
        <v/>
      </c>
      <c r="I2285" s="16" t="str">
        <f t="shared" si="35"/>
        <v/>
      </c>
      <c r="J2285" s="16"/>
      <c r="K2285" s="6" t="str">
        <f>IF(B2285="","",IFERROR(AVERAGEIFS($I$4:$I2285,$B$4:$B2285,B2285,$I$4:$I2285,"&gt;"&amp;0),""))</f>
        <v/>
      </c>
      <c r="L2285" s="16" t="str">
        <f>IF(B2285="","",IF(ISNA(MATCH(B2285,Client_List!$B:$B,0)),"⚠ NOT FOUND","✓"))</f>
        <v/>
      </c>
    </row>
    <row r="2286" spans="1:12" ht="14" customHeight="1" x14ac:dyDescent="0.2">
      <c r="A2286" s="59"/>
      <c r="B2286" s="18"/>
      <c r="C2286" s="19" t="str">
        <f>IF(B2286="","",IFERROR(INDEX(Client_List!$C:$C,MATCH(B2286,Client_List!$B:$B,0)),""))</f>
        <v/>
      </c>
      <c r="D2286" s="19" t="str">
        <f>IF(B2286="","",IFERROR(INDEX(Client_List!$D:$D,MATCH(B2286,Client_List!$B:$B,0)),""))</f>
        <v/>
      </c>
      <c r="E2286" s="19" t="str">
        <f>IF(B2286="","",IFERROR(INDEX(Client_List!$K:$K,MATCH(B2286,Client_List!$B:$B,0)),""))</f>
        <v/>
      </c>
      <c r="F2286" s="19" t="str">
        <f>IF(B2286="","",IFERROR(INDEX(Client_List!$J:$J,MATCH(B2286,Client_List!$B:$B,0)),""))</f>
        <v/>
      </c>
      <c r="G2286" s="19"/>
      <c r="H2286" s="19" t="str">
        <f>IF(B2286="","",IFERROR(A2286-LOOKUP(2,1/($B$4:$B2285=B2286),$A$4:$A2285),""))</f>
        <v/>
      </c>
      <c r="I2286" s="19" t="str">
        <f t="shared" si="35"/>
        <v/>
      </c>
      <c r="J2286" s="19"/>
      <c r="K2286" s="6" t="str">
        <f>IF(B2286="","",IFERROR(AVERAGEIFS($I$4:$I2286,$B$4:$B2286,B2286,$I$4:$I2286,"&gt;"&amp;0),""))</f>
        <v/>
      </c>
      <c r="L2286" s="19" t="str">
        <f>IF(B2286="","",IF(ISNA(MATCH(B2286,Client_List!$B:$B,0)),"⚠ NOT FOUND","✓"))</f>
        <v/>
      </c>
    </row>
    <row r="2287" spans="1:12" ht="14" customHeight="1" x14ac:dyDescent="0.2">
      <c r="A2287" s="58"/>
      <c r="B2287" s="15"/>
      <c r="C2287" s="16" t="str">
        <f>IF(B2287="","",IFERROR(INDEX(Client_List!$C:$C,MATCH(B2287,Client_List!$B:$B,0)),""))</f>
        <v/>
      </c>
      <c r="D2287" s="16" t="str">
        <f>IF(B2287="","",IFERROR(INDEX(Client_List!$D:$D,MATCH(B2287,Client_List!$B:$B,0)),""))</f>
        <v/>
      </c>
      <c r="E2287" s="16" t="str">
        <f>IF(B2287="","",IFERROR(INDEX(Client_List!$K:$K,MATCH(B2287,Client_List!$B:$B,0)),""))</f>
        <v/>
      </c>
      <c r="F2287" s="16" t="str">
        <f>IF(B2287="","",IFERROR(INDEX(Client_List!$J:$J,MATCH(B2287,Client_List!$B:$B,0)),""))</f>
        <v/>
      </c>
      <c r="G2287" s="16"/>
      <c r="H2287" s="16" t="str">
        <f>IF(B2287="","",IFERROR(A2287-LOOKUP(2,1/($B$4:$B2286=B2287),$A$4:$A2286),""))</f>
        <v/>
      </c>
      <c r="I2287" s="16" t="str">
        <f t="shared" si="35"/>
        <v/>
      </c>
      <c r="J2287" s="16"/>
      <c r="K2287" s="6" t="str">
        <f>IF(B2287="","",IFERROR(AVERAGEIFS($I$4:$I2287,$B$4:$B2287,B2287,$I$4:$I2287,"&gt;"&amp;0),""))</f>
        <v/>
      </c>
      <c r="L2287" s="16" t="str">
        <f>IF(B2287="","",IF(ISNA(MATCH(B2287,Client_List!$B:$B,0)),"⚠ NOT FOUND","✓"))</f>
        <v/>
      </c>
    </row>
    <row r="2288" spans="1:12" ht="14" customHeight="1" x14ac:dyDescent="0.2">
      <c r="A2288" s="59"/>
      <c r="B2288" s="18"/>
      <c r="C2288" s="19" t="str">
        <f>IF(B2288="","",IFERROR(INDEX(Client_List!$C:$C,MATCH(B2288,Client_List!$B:$B,0)),""))</f>
        <v/>
      </c>
      <c r="D2288" s="19" t="str">
        <f>IF(B2288="","",IFERROR(INDEX(Client_List!$D:$D,MATCH(B2288,Client_List!$B:$B,0)),""))</f>
        <v/>
      </c>
      <c r="E2288" s="19" t="str">
        <f>IF(B2288="","",IFERROR(INDEX(Client_List!$K:$K,MATCH(B2288,Client_List!$B:$B,0)),""))</f>
        <v/>
      </c>
      <c r="F2288" s="19" t="str">
        <f>IF(B2288="","",IFERROR(INDEX(Client_List!$J:$J,MATCH(B2288,Client_List!$B:$B,0)),""))</f>
        <v/>
      </c>
      <c r="G2288" s="19"/>
      <c r="H2288" s="19" t="str">
        <f>IF(B2288="","",IFERROR(A2288-LOOKUP(2,1/($B$4:$B2287=B2288),$A$4:$A2287),""))</f>
        <v/>
      </c>
      <c r="I2288" s="19" t="str">
        <f t="shared" si="35"/>
        <v/>
      </c>
      <c r="J2288" s="19"/>
      <c r="K2288" s="6" t="str">
        <f>IF(B2288="","",IFERROR(AVERAGEIFS($I$4:$I2288,$B$4:$B2288,B2288,$I$4:$I2288,"&gt;"&amp;0),""))</f>
        <v/>
      </c>
      <c r="L2288" s="19" t="str">
        <f>IF(B2288="","",IF(ISNA(MATCH(B2288,Client_List!$B:$B,0)),"⚠ NOT FOUND","✓"))</f>
        <v/>
      </c>
    </row>
    <row r="2289" spans="1:12" ht="14" customHeight="1" x14ac:dyDescent="0.2">
      <c r="A2289" s="58"/>
      <c r="B2289" s="15"/>
      <c r="C2289" s="16" t="str">
        <f>IF(B2289="","",IFERROR(INDEX(Client_List!$C:$C,MATCH(B2289,Client_List!$B:$B,0)),""))</f>
        <v/>
      </c>
      <c r="D2289" s="16" t="str">
        <f>IF(B2289="","",IFERROR(INDEX(Client_List!$D:$D,MATCH(B2289,Client_List!$B:$B,0)),""))</f>
        <v/>
      </c>
      <c r="E2289" s="16" t="str">
        <f>IF(B2289="","",IFERROR(INDEX(Client_List!$K:$K,MATCH(B2289,Client_List!$B:$B,0)),""))</f>
        <v/>
      </c>
      <c r="F2289" s="16" t="str">
        <f>IF(B2289="","",IFERROR(INDEX(Client_List!$J:$J,MATCH(B2289,Client_List!$B:$B,0)),""))</f>
        <v/>
      </c>
      <c r="G2289" s="16"/>
      <c r="H2289" s="16" t="str">
        <f>IF(B2289="","",IFERROR(A2289-LOOKUP(2,1/($B$4:$B2288=B2289),$A$4:$A2288),""))</f>
        <v/>
      </c>
      <c r="I2289" s="16" t="str">
        <f t="shared" si="35"/>
        <v/>
      </c>
      <c r="J2289" s="16"/>
      <c r="K2289" s="6" t="str">
        <f>IF(B2289="","",IFERROR(AVERAGEIFS($I$4:$I2289,$B$4:$B2289,B2289,$I$4:$I2289,"&gt;"&amp;0),""))</f>
        <v/>
      </c>
      <c r="L2289" s="16" t="str">
        <f>IF(B2289="","",IF(ISNA(MATCH(B2289,Client_List!$B:$B,0)),"⚠ NOT FOUND","✓"))</f>
        <v/>
      </c>
    </row>
    <row r="2290" spans="1:12" ht="14" customHeight="1" x14ac:dyDescent="0.2">
      <c r="A2290" s="59"/>
      <c r="B2290" s="18"/>
      <c r="C2290" s="19" t="str">
        <f>IF(B2290="","",IFERROR(INDEX(Client_List!$C:$C,MATCH(B2290,Client_List!$B:$B,0)),""))</f>
        <v/>
      </c>
      <c r="D2290" s="19" t="str">
        <f>IF(B2290="","",IFERROR(INDEX(Client_List!$D:$D,MATCH(B2290,Client_List!$B:$B,0)),""))</f>
        <v/>
      </c>
      <c r="E2290" s="19" t="str">
        <f>IF(B2290="","",IFERROR(INDEX(Client_List!$K:$K,MATCH(B2290,Client_List!$B:$B,0)),""))</f>
        <v/>
      </c>
      <c r="F2290" s="19" t="str">
        <f>IF(B2290="","",IFERROR(INDEX(Client_List!$J:$J,MATCH(B2290,Client_List!$B:$B,0)),""))</f>
        <v/>
      </c>
      <c r="G2290" s="19"/>
      <c r="H2290" s="19" t="str">
        <f>IF(B2290="","",IFERROR(A2290-LOOKUP(2,1/($B$4:$B2289=B2290),$A$4:$A2289),""))</f>
        <v/>
      </c>
      <c r="I2290" s="19" t="str">
        <f t="shared" si="35"/>
        <v/>
      </c>
      <c r="J2290" s="19"/>
      <c r="K2290" s="6" t="str">
        <f>IF(B2290="","",IFERROR(AVERAGEIFS($I$4:$I2290,$B$4:$B2290,B2290,$I$4:$I2290,"&gt;"&amp;0),""))</f>
        <v/>
      </c>
      <c r="L2290" s="19" t="str">
        <f>IF(B2290="","",IF(ISNA(MATCH(B2290,Client_List!$B:$B,0)),"⚠ NOT FOUND","✓"))</f>
        <v/>
      </c>
    </row>
    <row r="2291" spans="1:12" ht="14" customHeight="1" x14ac:dyDescent="0.2">
      <c r="A2291" s="58"/>
      <c r="B2291" s="15"/>
      <c r="C2291" s="16" t="str">
        <f>IF(B2291="","",IFERROR(INDEX(Client_List!$C:$C,MATCH(B2291,Client_List!$B:$B,0)),""))</f>
        <v/>
      </c>
      <c r="D2291" s="16" t="str">
        <f>IF(B2291="","",IFERROR(INDEX(Client_List!$D:$D,MATCH(B2291,Client_List!$B:$B,0)),""))</f>
        <v/>
      </c>
      <c r="E2291" s="16" t="str">
        <f>IF(B2291="","",IFERROR(INDEX(Client_List!$K:$K,MATCH(B2291,Client_List!$B:$B,0)),""))</f>
        <v/>
      </c>
      <c r="F2291" s="16" t="str">
        <f>IF(B2291="","",IFERROR(INDEX(Client_List!$J:$J,MATCH(B2291,Client_List!$B:$B,0)),""))</f>
        <v/>
      </c>
      <c r="G2291" s="16"/>
      <c r="H2291" s="16" t="str">
        <f>IF(B2291="","",IFERROR(A2291-LOOKUP(2,1/($B$4:$B2290=B2291),$A$4:$A2290),""))</f>
        <v/>
      </c>
      <c r="I2291" s="16" t="str">
        <f t="shared" si="35"/>
        <v/>
      </c>
      <c r="J2291" s="16"/>
      <c r="K2291" s="6" t="str">
        <f>IF(B2291="","",IFERROR(AVERAGEIFS($I$4:$I2291,$B$4:$B2291,B2291,$I$4:$I2291,"&gt;"&amp;0),""))</f>
        <v/>
      </c>
      <c r="L2291" s="16" t="str">
        <f>IF(B2291="","",IF(ISNA(MATCH(B2291,Client_List!$B:$B,0)),"⚠ NOT FOUND","✓"))</f>
        <v/>
      </c>
    </row>
    <row r="2292" spans="1:12" ht="14" customHeight="1" x14ac:dyDescent="0.2">
      <c r="A2292" s="59"/>
      <c r="B2292" s="18"/>
      <c r="C2292" s="19" t="str">
        <f>IF(B2292="","",IFERROR(INDEX(Client_List!$C:$C,MATCH(B2292,Client_List!$B:$B,0)),""))</f>
        <v/>
      </c>
      <c r="D2292" s="19" t="str">
        <f>IF(B2292="","",IFERROR(INDEX(Client_List!$D:$D,MATCH(B2292,Client_List!$B:$B,0)),""))</f>
        <v/>
      </c>
      <c r="E2292" s="19" t="str">
        <f>IF(B2292="","",IFERROR(INDEX(Client_List!$K:$K,MATCH(B2292,Client_List!$B:$B,0)),""))</f>
        <v/>
      </c>
      <c r="F2292" s="19" t="str">
        <f>IF(B2292="","",IFERROR(INDEX(Client_List!$J:$J,MATCH(B2292,Client_List!$B:$B,0)),""))</f>
        <v/>
      </c>
      <c r="G2292" s="19"/>
      <c r="H2292" s="19" t="str">
        <f>IF(B2292="","",IFERROR(A2292-LOOKUP(2,1/($B$4:$B2291=B2292),$A$4:$A2291),""))</f>
        <v/>
      </c>
      <c r="I2292" s="19" t="str">
        <f t="shared" si="35"/>
        <v/>
      </c>
      <c r="J2292" s="19"/>
      <c r="K2292" s="6" t="str">
        <f>IF(B2292="","",IFERROR(AVERAGEIFS($I$4:$I2292,$B$4:$B2292,B2292,$I$4:$I2292,"&gt;"&amp;0),""))</f>
        <v/>
      </c>
      <c r="L2292" s="19" t="str">
        <f>IF(B2292="","",IF(ISNA(MATCH(B2292,Client_List!$B:$B,0)),"⚠ NOT FOUND","✓"))</f>
        <v/>
      </c>
    </row>
    <row r="2293" spans="1:12" ht="14" customHeight="1" x14ac:dyDescent="0.2">
      <c r="A2293" s="58"/>
      <c r="B2293" s="15"/>
      <c r="C2293" s="16" t="str">
        <f>IF(B2293="","",IFERROR(INDEX(Client_List!$C:$C,MATCH(B2293,Client_List!$B:$B,0)),""))</f>
        <v/>
      </c>
      <c r="D2293" s="16" t="str">
        <f>IF(B2293="","",IFERROR(INDEX(Client_List!$D:$D,MATCH(B2293,Client_List!$B:$B,0)),""))</f>
        <v/>
      </c>
      <c r="E2293" s="16" t="str">
        <f>IF(B2293="","",IFERROR(INDEX(Client_List!$K:$K,MATCH(B2293,Client_List!$B:$B,0)),""))</f>
        <v/>
      </c>
      <c r="F2293" s="16" t="str">
        <f>IF(B2293="","",IFERROR(INDEX(Client_List!$J:$J,MATCH(B2293,Client_List!$B:$B,0)),""))</f>
        <v/>
      </c>
      <c r="G2293" s="16"/>
      <c r="H2293" s="16" t="str">
        <f>IF(B2293="","",IFERROR(A2293-LOOKUP(2,1/($B$4:$B2292=B2293),$A$4:$A2292),""))</f>
        <v/>
      </c>
      <c r="I2293" s="16" t="str">
        <f t="shared" si="35"/>
        <v/>
      </c>
      <c r="J2293" s="16"/>
      <c r="K2293" s="6" t="str">
        <f>IF(B2293="","",IFERROR(AVERAGEIFS($I$4:$I2293,$B$4:$B2293,B2293,$I$4:$I2293,"&gt;"&amp;0),""))</f>
        <v/>
      </c>
      <c r="L2293" s="16" t="str">
        <f>IF(B2293="","",IF(ISNA(MATCH(B2293,Client_List!$B:$B,0)),"⚠ NOT FOUND","✓"))</f>
        <v/>
      </c>
    </row>
    <row r="2294" spans="1:12" ht="14" customHeight="1" x14ac:dyDescent="0.2">
      <c r="A2294" s="59"/>
      <c r="B2294" s="18"/>
      <c r="C2294" s="19" t="str">
        <f>IF(B2294="","",IFERROR(INDEX(Client_List!$C:$C,MATCH(B2294,Client_List!$B:$B,0)),""))</f>
        <v/>
      </c>
      <c r="D2294" s="19" t="str">
        <f>IF(B2294="","",IFERROR(INDEX(Client_List!$D:$D,MATCH(B2294,Client_List!$B:$B,0)),""))</f>
        <v/>
      </c>
      <c r="E2294" s="19" t="str">
        <f>IF(B2294="","",IFERROR(INDEX(Client_List!$K:$K,MATCH(B2294,Client_List!$B:$B,0)),""))</f>
        <v/>
      </c>
      <c r="F2294" s="19" t="str">
        <f>IF(B2294="","",IFERROR(INDEX(Client_List!$J:$J,MATCH(B2294,Client_List!$B:$B,0)),""))</f>
        <v/>
      </c>
      <c r="G2294" s="19"/>
      <c r="H2294" s="19" t="str">
        <f>IF(B2294="","",IFERROR(A2294-LOOKUP(2,1/($B$4:$B2293=B2294),$A$4:$A2293),""))</f>
        <v/>
      </c>
      <c r="I2294" s="19" t="str">
        <f t="shared" si="35"/>
        <v/>
      </c>
      <c r="J2294" s="19"/>
      <c r="K2294" s="6" t="str">
        <f>IF(B2294="","",IFERROR(AVERAGEIFS($I$4:$I2294,$B$4:$B2294,B2294,$I$4:$I2294,"&gt;"&amp;0),""))</f>
        <v/>
      </c>
      <c r="L2294" s="19" t="str">
        <f>IF(B2294="","",IF(ISNA(MATCH(B2294,Client_List!$B:$B,0)),"⚠ NOT FOUND","✓"))</f>
        <v/>
      </c>
    </row>
    <row r="2295" spans="1:12" ht="14" customHeight="1" x14ac:dyDescent="0.2">
      <c r="A2295" s="58"/>
      <c r="B2295" s="15"/>
      <c r="C2295" s="16" t="str">
        <f>IF(B2295="","",IFERROR(INDEX(Client_List!$C:$C,MATCH(B2295,Client_List!$B:$B,0)),""))</f>
        <v/>
      </c>
      <c r="D2295" s="16" t="str">
        <f>IF(B2295="","",IFERROR(INDEX(Client_List!$D:$D,MATCH(B2295,Client_List!$B:$B,0)),""))</f>
        <v/>
      </c>
      <c r="E2295" s="16" t="str">
        <f>IF(B2295="","",IFERROR(INDEX(Client_List!$K:$K,MATCH(B2295,Client_List!$B:$B,0)),""))</f>
        <v/>
      </c>
      <c r="F2295" s="16" t="str">
        <f>IF(B2295="","",IFERROR(INDEX(Client_List!$J:$J,MATCH(B2295,Client_List!$B:$B,0)),""))</f>
        <v/>
      </c>
      <c r="G2295" s="16"/>
      <c r="H2295" s="16" t="str">
        <f>IF(B2295="","",IFERROR(A2295-LOOKUP(2,1/($B$4:$B2294=B2295),$A$4:$A2294),""))</f>
        <v/>
      </c>
      <c r="I2295" s="16" t="str">
        <f t="shared" si="35"/>
        <v/>
      </c>
      <c r="J2295" s="16"/>
      <c r="K2295" s="6" t="str">
        <f>IF(B2295="","",IFERROR(AVERAGEIFS($I$4:$I2295,$B$4:$B2295,B2295,$I$4:$I2295,"&gt;"&amp;0),""))</f>
        <v/>
      </c>
      <c r="L2295" s="16" t="str">
        <f>IF(B2295="","",IF(ISNA(MATCH(B2295,Client_List!$B:$B,0)),"⚠ NOT FOUND","✓"))</f>
        <v/>
      </c>
    </row>
    <row r="2296" spans="1:12" ht="14" customHeight="1" x14ac:dyDescent="0.2">
      <c r="A2296" s="59"/>
      <c r="B2296" s="18"/>
      <c r="C2296" s="19" t="str">
        <f>IF(B2296="","",IFERROR(INDEX(Client_List!$C:$C,MATCH(B2296,Client_List!$B:$B,0)),""))</f>
        <v/>
      </c>
      <c r="D2296" s="19" t="str">
        <f>IF(B2296="","",IFERROR(INDEX(Client_List!$D:$D,MATCH(B2296,Client_List!$B:$B,0)),""))</f>
        <v/>
      </c>
      <c r="E2296" s="19" t="str">
        <f>IF(B2296="","",IFERROR(INDEX(Client_List!$K:$K,MATCH(B2296,Client_List!$B:$B,0)),""))</f>
        <v/>
      </c>
      <c r="F2296" s="19" t="str">
        <f>IF(B2296="","",IFERROR(INDEX(Client_List!$J:$J,MATCH(B2296,Client_List!$B:$B,0)),""))</f>
        <v/>
      </c>
      <c r="G2296" s="19"/>
      <c r="H2296" s="19" t="str">
        <f>IF(B2296="","",IFERROR(A2296-LOOKUP(2,1/($B$4:$B2295=B2296),$A$4:$A2295),""))</f>
        <v/>
      </c>
      <c r="I2296" s="19" t="str">
        <f t="shared" si="35"/>
        <v/>
      </c>
      <c r="J2296" s="19"/>
      <c r="K2296" s="6" t="str">
        <f>IF(B2296="","",IFERROR(AVERAGEIFS($I$4:$I2296,$B$4:$B2296,B2296,$I$4:$I2296,"&gt;"&amp;0),""))</f>
        <v/>
      </c>
      <c r="L2296" s="19" t="str">
        <f>IF(B2296="","",IF(ISNA(MATCH(B2296,Client_List!$B:$B,0)),"⚠ NOT FOUND","✓"))</f>
        <v/>
      </c>
    </row>
    <row r="2297" spans="1:12" ht="14" customHeight="1" x14ac:dyDescent="0.2">
      <c r="A2297" s="58"/>
      <c r="B2297" s="15"/>
      <c r="C2297" s="16" t="str">
        <f>IF(B2297="","",IFERROR(INDEX(Client_List!$C:$C,MATCH(B2297,Client_List!$B:$B,0)),""))</f>
        <v/>
      </c>
      <c r="D2297" s="16" t="str">
        <f>IF(B2297="","",IFERROR(INDEX(Client_List!$D:$D,MATCH(B2297,Client_List!$B:$B,0)),""))</f>
        <v/>
      </c>
      <c r="E2297" s="16" t="str">
        <f>IF(B2297="","",IFERROR(INDEX(Client_List!$K:$K,MATCH(B2297,Client_List!$B:$B,0)),""))</f>
        <v/>
      </c>
      <c r="F2297" s="16" t="str">
        <f>IF(B2297="","",IFERROR(INDEX(Client_List!$J:$J,MATCH(B2297,Client_List!$B:$B,0)),""))</f>
        <v/>
      </c>
      <c r="G2297" s="16"/>
      <c r="H2297" s="16" t="str">
        <f>IF(B2297="","",IFERROR(A2297-LOOKUP(2,1/($B$4:$B2296=B2297),$A$4:$A2296),""))</f>
        <v/>
      </c>
      <c r="I2297" s="16" t="str">
        <f t="shared" si="35"/>
        <v/>
      </c>
      <c r="J2297" s="16"/>
      <c r="K2297" s="6" t="str">
        <f>IF(B2297="","",IFERROR(AVERAGEIFS($I$4:$I2297,$B$4:$B2297,B2297,$I$4:$I2297,"&gt;"&amp;0),""))</f>
        <v/>
      </c>
      <c r="L2297" s="16" t="str">
        <f>IF(B2297="","",IF(ISNA(MATCH(B2297,Client_List!$B:$B,0)),"⚠ NOT FOUND","✓"))</f>
        <v/>
      </c>
    </row>
    <row r="2298" spans="1:12" ht="14" customHeight="1" x14ac:dyDescent="0.2">
      <c r="A2298" s="59"/>
      <c r="B2298" s="18"/>
      <c r="C2298" s="19" t="str">
        <f>IF(B2298="","",IFERROR(INDEX(Client_List!$C:$C,MATCH(B2298,Client_List!$B:$B,0)),""))</f>
        <v/>
      </c>
      <c r="D2298" s="19" t="str">
        <f>IF(B2298="","",IFERROR(INDEX(Client_List!$D:$D,MATCH(B2298,Client_List!$B:$B,0)),""))</f>
        <v/>
      </c>
      <c r="E2298" s="19" t="str">
        <f>IF(B2298="","",IFERROR(INDEX(Client_List!$K:$K,MATCH(B2298,Client_List!$B:$B,0)),""))</f>
        <v/>
      </c>
      <c r="F2298" s="19" t="str">
        <f>IF(B2298="","",IFERROR(INDEX(Client_List!$J:$J,MATCH(B2298,Client_List!$B:$B,0)),""))</f>
        <v/>
      </c>
      <c r="G2298" s="19"/>
      <c r="H2298" s="19" t="str">
        <f>IF(B2298="","",IFERROR(A2298-LOOKUP(2,1/($B$4:$B2297=B2298),$A$4:$A2297),""))</f>
        <v/>
      </c>
      <c r="I2298" s="19" t="str">
        <f t="shared" si="35"/>
        <v/>
      </c>
      <c r="J2298" s="19"/>
      <c r="K2298" s="6" t="str">
        <f>IF(B2298="","",IFERROR(AVERAGEIFS($I$4:$I2298,$B$4:$B2298,B2298,$I$4:$I2298,"&gt;"&amp;0),""))</f>
        <v/>
      </c>
      <c r="L2298" s="19" t="str">
        <f>IF(B2298="","",IF(ISNA(MATCH(B2298,Client_List!$B:$B,0)),"⚠ NOT FOUND","✓"))</f>
        <v/>
      </c>
    </row>
    <row r="2299" spans="1:12" ht="14" customHeight="1" x14ac:dyDescent="0.2">
      <c r="A2299" s="58"/>
      <c r="B2299" s="15"/>
      <c r="C2299" s="16" t="str">
        <f>IF(B2299="","",IFERROR(INDEX(Client_List!$C:$C,MATCH(B2299,Client_List!$B:$B,0)),""))</f>
        <v/>
      </c>
      <c r="D2299" s="16" t="str">
        <f>IF(B2299="","",IFERROR(INDEX(Client_List!$D:$D,MATCH(B2299,Client_List!$B:$B,0)),""))</f>
        <v/>
      </c>
      <c r="E2299" s="16" t="str">
        <f>IF(B2299="","",IFERROR(INDEX(Client_List!$K:$K,MATCH(B2299,Client_List!$B:$B,0)),""))</f>
        <v/>
      </c>
      <c r="F2299" s="16" t="str">
        <f>IF(B2299="","",IFERROR(INDEX(Client_List!$J:$J,MATCH(B2299,Client_List!$B:$B,0)),""))</f>
        <v/>
      </c>
      <c r="G2299" s="16"/>
      <c r="H2299" s="16" t="str">
        <f>IF(B2299="","",IFERROR(A2299-LOOKUP(2,1/($B$4:$B2298=B2299),$A$4:$A2298),""))</f>
        <v/>
      </c>
      <c r="I2299" s="16" t="str">
        <f t="shared" si="35"/>
        <v/>
      </c>
      <c r="J2299" s="16"/>
      <c r="K2299" s="6" t="str">
        <f>IF(B2299="","",IFERROR(AVERAGEIFS($I$4:$I2299,$B$4:$B2299,B2299,$I$4:$I2299,"&gt;"&amp;0),""))</f>
        <v/>
      </c>
      <c r="L2299" s="16" t="str">
        <f>IF(B2299="","",IF(ISNA(MATCH(B2299,Client_List!$B:$B,0)),"⚠ NOT FOUND","✓"))</f>
        <v/>
      </c>
    </row>
    <row r="2300" spans="1:12" ht="14" customHeight="1" x14ac:dyDescent="0.2">
      <c r="A2300" s="59"/>
      <c r="B2300" s="18"/>
      <c r="C2300" s="19" t="str">
        <f>IF(B2300="","",IFERROR(INDEX(Client_List!$C:$C,MATCH(B2300,Client_List!$B:$B,0)),""))</f>
        <v/>
      </c>
      <c r="D2300" s="19" t="str">
        <f>IF(B2300="","",IFERROR(INDEX(Client_List!$D:$D,MATCH(B2300,Client_List!$B:$B,0)),""))</f>
        <v/>
      </c>
      <c r="E2300" s="19" t="str">
        <f>IF(B2300="","",IFERROR(INDEX(Client_List!$K:$K,MATCH(B2300,Client_List!$B:$B,0)),""))</f>
        <v/>
      </c>
      <c r="F2300" s="19" t="str">
        <f>IF(B2300="","",IFERROR(INDEX(Client_List!$J:$J,MATCH(B2300,Client_List!$B:$B,0)),""))</f>
        <v/>
      </c>
      <c r="G2300" s="19"/>
      <c r="H2300" s="19" t="str">
        <f>IF(B2300="","",IFERROR(A2300-LOOKUP(2,1/($B$4:$B2299=B2300),$A$4:$A2299),""))</f>
        <v/>
      </c>
      <c r="I2300" s="19" t="str">
        <f t="shared" si="35"/>
        <v/>
      </c>
      <c r="J2300" s="19"/>
      <c r="K2300" s="6" t="str">
        <f>IF(B2300="","",IFERROR(AVERAGEIFS($I$4:$I2300,$B$4:$B2300,B2300,$I$4:$I2300,"&gt;"&amp;0),""))</f>
        <v/>
      </c>
      <c r="L2300" s="19" t="str">
        <f>IF(B2300="","",IF(ISNA(MATCH(B2300,Client_List!$B:$B,0)),"⚠ NOT FOUND","✓"))</f>
        <v/>
      </c>
    </row>
    <row r="2301" spans="1:12" ht="14" customHeight="1" x14ac:dyDescent="0.2">
      <c r="A2301" s="58"/>
      <c r="B2301" s="15"/>
      <c r="C2301" s="16" t="str">
        <f>IF(B2301="","",IFERROR(INDEX(Client_List!$C:$C,MATCH(B2301,Client_List!$B:$B,0)),""))</f>
        <v/>
      </c>
      <c r="D2301" s="16" t="str">
        <f>IF(B2301="","",IFERROR(INDEX(Client_List!$D:$D,MATCH(B2301,Client_List!$B:$B,0)),""))</f>
        <v/>
      </c>
      <c r="E2301" s="16" t="str">
        <f>IF(B2301="","",IFERROR(INDEX(Client_List!$K:$K,MATCH(B2301,Client_List!$B:$B,0)),""))</f>
        <v/>
      </c>
      <c r="F2301" s="16" t="str">
        <f>IF(B2301="","",IFERROR(INDEX(Client_List!$J:$J,MATCH(B2301,Client_List!$B:$B,0)),""))</f>
        <v/>
      </c>
      <c r="G2301" s="16"/>
      <c r="H2301" s="16" t="str">
        <f>IF(B2301="","",IFERROR(A2301-LOOKUP(2,1/($B$4:$B2300=B2301),$A$4:$A2300),""))</f>
        <v/>
      </c>
      <c r="I2301" s="16" t="str">
        <f t="shared" si="35"/>
        <v/>
      </c>
      <c r="J2301" s="16"/>
      <c r="K2301" s="6" t="str">
        <f>IF(B2301="","",IFERROR(AVERAGEIFS($I$4:$I2301,$B$4:$B2301,B2301,$I$4:$I2301,"&gt;"&amp;0),""))</f>
        <v/>
      </c>
      <c r="L2301" s="16" t="str">
        <f>IF(B2301="","",IF(ISNA(MATCH(B2301,Client_List!$B:$B,0)),"⚠ NOT FOUND","✓"))</f>
        <v/>
      </c>
    </row>
    <row r="2302" spans="1:12" ht="14" customHeight="1" x14ac:dyDescent="0.2">
      <c r="A2302" s="59"/>
      <c r="B2302" s="18"/>
      <c r="C2302" s="19" t="str">
        <f>IF(B2302="","",IFERROR(INDEX(Client_List!$C:$C,MATCH(B2302,Client_List!$B:$B,0)),""))</f>
        <v/>
      </c>
      <c r="D2302" s="19" t="str">
        <f>IF(B2302="","",IFERROR(INDEX(Client_List!$D:$D,MATCH(B2302,Client_List!$B:$B,0)),""))</f>
        <v/>
      </c>
      <c r="E2302" s="19" t="str">
        <f>IF(B2302="","",IFERROR(INDEX(Client_List!$K:$K,MATCH(B2302,Client_List!$B:$B,0)),""))</f>
        <v/>
      </c>
      <c r="F2302" s="19" t="str">
        <f>IF(B2302="","",IFERROR(INDEX(Client_List!$J:$J,MATCH(B2302,Client_List!$B:$B,0)),""))</f>
        <v/>
      </c>
      <c r="G2302" s="19"/>
      <c r="H2302" s="19" t="str">
        <f>IF(B2302="","",IFERROR(A2302-LOOKUP(2,1/($B$4:$B2301=B2302),$A$4:$A2301),""))</f>
        <v/>
      </c>
      <c r="I2302" s="19" t="str">
        <f t="shared" si="35"/>
        <v/>
      </c>
      <c r="J2302" s="19"/>
      <c r="K2302" s="6" t="str">
        <f>IF(B2302="","",IFERROR(AVERAGEIFS($I$4:$I2302,$B$4:$B2302,B2302,$I$4:$I2302,"&gt;"&amp;0),""))</f>
        <v/>
      </c>
      <c r="L2302" s="19" t="str">
        <f>IF(B2302="","",IF(ISNA(MATCH(B2302,Client_List!$B:$B,0)),"⚠ NOT FOUND","✓"))</f>
        <v/>
      </c>
    </row>
    <row r="2303" spans="1:12" ht="14" customHeight="1" x14ac:dyDescent="0.2">
      <c r="A2303" s="58"/>
      <c r="B2303" s="15"/>
      <c r="C2303" s="16" t="str">
        <f>IF(B2303="","",IFERROR(INDEX(Client_List!$C:$C,MATCH(B2303,Client_List!$B:$B,0)),""))</f>
        <v/>
      </c>
      <c r="D2303" s="16" t="str">
        <f>IF(B2303="","",IFERROR(INDEX(Client_List!$D:$D,MATCH(B2303,Client_List!$B:$B,0)),""))</f>
        <v/>
      </c>
      <c r="E2303" s="16" t="str">
        <f>IF(B2303="","",IFERROR(INDEX(Client_List!$K:$K,MATCH(B2303,Client_List!$B:$B,0)),""))</f>
        <v/>
      </c>
      <c r="F2303" s="16" t="str">
        <f>IF(B2303="","",IFERROR(INDEX(Client_List!$J:$J,MATCH(B2303,Client_List!$B:$B,0)),""))</f>
        <v/>
      </c>
      <c r="G2303" s="16"/>
      <c r="H2303" s="16" t="str">
        <f>IF(B2303="","",IFERROR(A2303-LOOKUP(2,1/($B$4:$B2302=B2303),$A$4:$A2302),""))</f>
        <v/>
      </c>
      <c r="I2303" s="16" t="str">
        <f t="shared" si="35"/>
        <v/>
      </c>
      <c r="J2303" s="16"/>
      <c r="K2303" s="6" t="str">
        <f>IF(B2303="","",IFERROR(AVERAGEIFS($I$4:$I2303,$B$4:$B2303,B2303,$I$4:$I2303,"&gt;"&amp;0),""))</f>
        <v/>
      </c>
      <c r="L2303" s="16" t="str">
        <f>IF(B2303="","",IF(ISNA(MATCH(B2303,Client_List!$B:$B,0)),"⚠ NOT FOUND","✓"))</f>
        <v/>
      </c>
    </row>
    <row r="2304" spans="1:12" ht="14" customHeight="1" x14ac:dyDescent="0.2">
      <c r="A2304" s="59"/>
      <c r="B2304" s="18"/>
      <c r="C2304" s="19" t="str">
        <f>IF(B2304="","",IFERROR(INDEX(Client_List!$C:$C,MATCH(B2304,Client_List!$B:$B,0)),""))</f>
        <v/>
      </c>
      <c r="D2304" s="19" t="str">
        <f>IF(B2304="","",IFERROR(INDEX(Client_List!$D:$D,MATCH(B2304,Client_List!$B:$B,0)),""))</f>
        <v/>
      </c>
      <c r="E2304" s="19" t="str">
        <f>IF(B2304="","",IFERROR(INDEX(Client_List!$K:$K,MATCH(B2304,Client_List!$B:$B,0)),""))</f>
        <v/>
      </c>
      <c r="F2304" s="19" t="str">
        <f>IF(B2304="","",IFERROR(INDEX(Client_List!$J:$J,MATCH(B2304,Client_List!$B:$B,0)),""))</f>
        <v/>
      </c>
      <c r="G2304" s="19"/>
      <c r="H2304" s="19" t="str">
        <f>IF(B2304="","",IFERROR(A2304-LOOKUP(2,1/($B$4:$B2303=B2304),$A$4:$A2303),""))</f>
        <v/>
      </c>
      <c r="I2304" s="19" t="str">
        <f t="shared" si="35"/>
        <v/>
      </c>
      <c r="J2304" s="19"/>
      <c r="K2304" s="6" t="str">
        <f>IF(B2304="","",IFERROR(AVERAGEIFS($I$4:$I2304,$B$4:$B2304,B2304,$I$4:$I2304,"&gt;"&amp;0),""))</f>
        <v/>
      </c>
      <c r="L2304" s="19" t="str">
        <f>IF(B2304="","",IF(ISNA(MATCH(B2304,Client_List!$B:$B,0)),"⚠ NOT FOUND","✓"))</f>
        <v/>
      </c>
    </row>
    <row r="2305" spans="1:12" ht="14" customHeight="1" x14ac:dyDescent="0.2">
      <c r="A2305" s="58"/>
      <c r="B2305" s="15"/>
      <c r="C2305" s="16" t="str">
        <f>IF(B2305="","",IFERROR(INDEX(Client_List!$C:$C,MATCH(B2305,Client_List!$B:$B,0)),""))</f>
        <v/>
      </c>
      <c r="D2305" s="16" t="str">
        <f>IF(B2305="","",IFERROR(INDEX(Client_List!$D:$D,MATCH(B2305,Client_List!$B:$B,0)),""))</f>
        <v/>
      </c>
      <c r="E2305" s="16" t="str">
        <f>IF(B2305="","",IFERROR(INDEX(Client_List!$K:$K,MATCH(B2305,Client_List!$B:$B,0)),""))</f>
        <v/>
      </c>
      <c r="F2305" s="16" t="str">
        <f>IF(B2305="","",IFERROR(INDEX(Client_List!$J:$J,MATCH(B2305,Client_List!$B:$B,0)),""))</f>
        <v/>
      </c>
      <c r="G2305" s="16"/>
      <c r="H2305" s="16" t="str">
        <f>IF(B2305="","",IFERROR(A2305-LOOKUP(2,1/($B$4:$B2304=B2305),$A$4:$A2304),""))</f>
        <v/>
      </c>
      <c r="I2305" s="16" t="str">
        <f t="shared" si="35"/>
        <v/>
      </c>
      <c r="J2305" s="16"/>
      <c r="K2305" s="6" t="str">
        <f>IF(B2305="","",IFERROR(AVERAGEIFS($I$4:$I2305,$B$4:$B2305,B2305,$I$4:$I2305,"&gt;"&amp;0),""))</f>
        <v/>
      </c>
      <c r="L2305" s="16" t="str">
        <f>IF(B2305="","",IF(ISNA(MATCH(B2305,Client_List!$B:$B,0)),"⚠ NOT FOUND","✓"))</f>
        <v/>
      </c>
    </row>
    <row r="2306" spans="1:12" ht="14" customHeight="1" x14ac:dyDescent="0.2">
      <c r="A2306" s="59"/>
      <c r="B2306" s="18"/>
      <c r="C2306" s="19" t="str">
        <f>IF(B2306="","",IFERROR(INDEX(Client_List!$C:$C,MATCH(B2306,Client_List!$B:$B,0)),""))</f>
        <v/>
      </c>
      <c r="D2306" s="19" t="str">
        <f>IF(B2306="","",IFERROR(INDEX(Client_List!$D:$D,MATCH(B2306,Client_List!$B:$B,0)),""))</f>
        <v/>
      </c>
      <c r="E2306" s="19" t="str">
        <f>IF(B2306="","",IFERROR(INDEX(Client_List!$K:$K,MATCH(B2306,Client_List!$B:$B,0)),""))</f>
        <v/>
      </c>
      <c r="F2306" s="19" t="str">
        <f>IF(B2306="","",IFERROR(INDEX(Client_List!$J:$J,MATCH(B2306,Client_List!$B:$B,0)),""))</f>
        <v/>
      </c>
      <c r="G2306" s="19"/>
      <c r="H2306" s="19" t="str">
        <f>IF(B2306="","",IFERROR(A2306-LOOKUP(2,1/($B$4:$B2305=B2306),$A$4:$A2305),""))</f>
        <v/>
      </c>
      <c r="I2306" s="19" t="str">
        <f t="shared" si="35"/>
        <v/>
      </c>
      <c r="J2306" s="19"/>
      <c r="K2306" s="6" t="str">
        <f>IF(B2306="","",IFERROR(AVERAGEIFS($I$4:$I2306,$B$4:$B2306,B2306,$I$4:$I2306,"&gt;"&amp;0),""))</f>
        <v/>
      </c>
      <c r="L2306" s="19" t="str">
        <f>IF(B2306="","",IF(ISNA(MATCH(B2306,Client_List!$B:$B,0)),"⚠ NOT FOUND","✓"))</f>
        <v/>
      </c>
    </row>
    <row r="2307" spans="1:12" ht="14" customHeight="1" x14ac:dyDescent="0.2">
      <c r="A2307" s="58"/>
      <c r="B2307" s="15"/>
      <c r="C2307" s="16" t="str">
        <f>IF(B2307="","",IFERROR(INDEX(Client_List!$C:$C,MATCH(B2307,Client_List!$B:$B,0)),""))</f>
        <v/>
      </c>
      <c r="D2307" s="16" t="str">
        <f>IF(B2307="","",IFERROR(INDEX(Client_List!$D:$D,MATCH(B2307,Client_List!$B:$B,0)),""))</f>
        <v/>
      </c>
      <c r="E2307" s="16" t="str">
        <f>IF(B2307="","",IFERROR(INDEX(Client_List!$K:$K,MATCH(B2307,Client_List!$B:$B,0)),""))</f>
        <v/>
      </c>
      <c r="F2307" s="16" t="str">
        <f>IF(B2307="","",IFERROR(INDEX(Client_List!$J:$J,MATCH(B2307,Client_List!$B:$B,0)),""))</f>
        <v/>
      </c>
      <c r="G2307" s="16"/>
      <c r="H2307" s="16" t="str">
        <f>IF(B2307="","",IFERROR(A2307-LOOKUP(2,1/($B$4:$B2306=B2307),$A$4:$A2306),""))</f>
        <v/>
      </c>
      <c r="I2307" s="16" t="str">
        <f t="shared" si="35"/>
        <v/>
      </c>
      <c r="J2307" s="16"/>
      <c r="K2307" s="6" t="str">
        <f>IF(B2307="","",IFERROR(AVERAGEIFS($I$4:$I2307,$B$4:$B2307,B2307,$I$4:$I2307,"&gt;"&amp;0),""))</f>
        <v/>
      </c>
      <c r="L2307" s="16" t="str">
        <f>IF(B2307="","",IF(ISNA(MATCH(B2307,Client_List!$B:$B,0)),"⚠ NOT FOUND","✓"))</f>
        <v/>
      </c>
    </row>
    <row r="2308" spans="1:12" ht="14" customHeight="1" x14ac:dyDescent="0.2">
      <c r="A2308" s="59"/>
      <c r="B2308" s="18"/>
      <c r="C2308" s="19" t="str">
        <f>IF(B2308="","",IFERROR(INDEX(Client_List!$C:$C,MATCH(B2308,Client_List!$B:$B,0)),""))</f>
        <v/>
      </c>
      <c r="D2308" s="19" t="str">
        <f>IF(B2308="","",IFERROR(INDEX(Client_List!$D:$D,MATCH(B2308,Client_List!$B:$B,0)),""))</f>
        <v/>
      </c>
      <c r="E2308" s="19" t="str">
        <f>IF(B2308="","",IFERROR(INDEX(Client_List!$K:$K,MATCH(B2308,Client_List!$B:$B,0)),""))</f>
        <v/>
      </c>
      <c r="F2308" s="19" t="str">
        <f>IF(B2308="","",IFERROR(INDEX(Client_List!$J:$J,MATCH(B2308,Client_List!$B:$B,0)),""))</f>
        <v/>
      </c>
      <c r="G2308" s="19"/>
      <c r="H2308" s="19" t="str">
        <f>IF(B2308="","",IFERROR(A2308-LOOKUP(2,1/($B$4:$B2307=B2308),$A$4:$A2307),""))</f>
        <v/>
      </c>
      <c r="I2308" s="19" t="str">
        <f t="shared" ref="I2308:I2371" si="36">IF(B2308="","",IFERROR(G2308/H2308,""))</f>
        <v/>
      </c>
      <c r="J2308" s="19"/>
      <c r="K2308" s="6" t="str">
        <f>IF(B2308="","",IFERROR(AVERAGEIFS($I$4:$I2308,$B$4:$B2308,B2308,$I$4:$I2308,"&gt;"&amp;0),""))</f>
        <v/>
      </c>
      <c r="L2308" s="19" t="str">
        <f>IF(B2308="","",IF(ISNA(MATCH(B2308,Client_List!$B:$B,0)),"⚠ NOT FOUND","✓"))</f>
        <v/>
      </c>
    </row>
    <row r="2309" spans="1:12" ht="14" customHeight="1" x14ac:dyDescent="0.2">
      <c r="A2309" s="58"/>
      <c r="B2309" s="15"/>
      <c r="C2309" s="16" t="str">
        <f>IF(B2309="","",IFERROR(INDEX(Client_List!$C:$C,MATCH(B2309,Client_List!$B:$B,0)),""))</f>
        <v/>
      </c>
      <c r="D2309" s="16" t="str">
        <f>IF(B2309="","",IFERROR(INDEX(Client_List!$D:$D,MATCH(B2309,Client_List!$B:$B,0)),""))</f>
        <v/>
      </c>
      <c r="E2309" s="16" t="str">
        <f>IF(B2309="","",IFERROR(INDEX(Client_List!$K:$K,MATCH(B2309,Client_List!$B:$B,0)),""))</f>
        <v/>
      </c>
      <c r="F2309" s="16" t="str">
        <f>IF(B2309="","",IFERROR(INDEX(Client_List!$J:$J,MATCH(B2309,Client_List!$B:$B,0)),""))</f>
        <v/>
      </c>
      <c r="G2309" s="16"/>
      <c r="H2309" s="16" t="str">
        <f>IF(B2309="","",IFERROR(A2309-LOOKUP(2,1/($B$4:$B2308=B2309),$A$4:$A2308),""))</f>
        <v/>
      </c>
      <c r="I2309" s="16" t="str">
        <f t="shared" si="36"/>
        <v/>
      </c>
      <c r="J2309" s="16"/>
      <c r="K2309" s="6" t="str">
        <f>IF(B2309="","",IFERROR(AVERAGEIFS($I$4:$I2309,$B$4:$B2309,B2309,$I$4:$I2309,"&gt;"&amp;0),""))</f>
        <v/>
      </c>
      <c r="L2309" s="16" t="str">
        <f>IF(B2309="","",IF(ISNA(MATCH(B2309,Client_List!$B:$B,0)),"⚠ NOT FOUND","✓"))</f>
        <v/>
      </c>
    </row>
    <row r="2310" spans="1:12" ht="14" customHeight="1" x14ac:dyDescent="0.2">
      <c r="A2310" s="59"/>
      <c r="B2310" s="18"/>
      <c r="C2310" s="19" t="str">
        <f>IF(B2310="","",IFERROR(INDEX(Client_List!$C:$C,MATCH(B2310,Client_List!$B:$B,0)),""))</f>
        <v/>
      </c>
      <c r="D2310" s="19" t="str">
        <f>IF(B2310="","",IFERROR(INDEX(Client_List!$D:$D,MATCH(B2310,Client_List!$B:$B,0)),""))</f>
        <v/>
      </c>
      <c r="E2310" s="19" t="str">
        <f>IF(B2310="","",IFERROR(INDEX(Client_List!$K:$K,MATCH(B2310,Client_List!$B:$B,0)),""))</f>
        <v/>
      </c>
      <c r="F2310" s="19" t="str">
        <f>IF(B2310="","",IFERROR(INDEX(Client_List!$J:$J,MATCH(B2310,Client_List!$B:$B,0)),""))</f>
        <v/>
      </c>
      <c r="G2310" s="19"/>
      <c r="H2310" s="19" t="str">
        <f>IF(B2310="","",IFERROR(A2310-LOOKUP(2,1/($B$4:$B2309=B2310),$A$4:$A2309),""))</f>
        <v/>
      </c>
      <c r="I2310" s="19" t="str">
        <f t="shared" si="36"/>
        <v/>
      </c>
      <c r="J2310" s="19"/>
      <c r="K2310" s="6" t="str">
        <f>IF(B2310="","",IFERROR(AVERAGEIFS($I$4:$I2310,$B$4:$B2310,B2310,$I$4:$I2310,"&gt;"&amp;0),""))</f>
        <v/>
      </c>
      <c r="L2310" s="19" t="str">
        <f>IF(B2310="","",IF(ISNA(MATCH(B2310,Client_List!$B:$B,0)),"⚠ NOT FOUND","✓"))</f>
        <v/>
      </c>
    </row>
    <row r="2311" spans="1:12" ht="14" customHeight="1" x14ac:dyDescent="0.2">
      <c r="A2311" s="58"/>
      <c r="B2311" s="15"/>
      <c r="C2311" s="16" t="str">
        <f>IF(B2311="","",IFERROR(INDEX(Client_List!$C:$C,MATCH(B2311,Client_List!$B:$B,0)),""))</f>
        <v/>
      </c>
      <c r="D2311" s="16" t="str">
        <f>IF(B2311="","",IFERROR(INDEX(Client_List!$D:$D,MATCH(B2311,Client_List!$B:$B,0)),""))</f>
        <v/>
      </c>
      <c r="E2311" s="16" t="str">
        <f>IF(B2311="","",IFERROR(INDEX(Client_List!$K:$K,MATCH(B2311,Client_List!$B:$B,0)),""))</f>
        <v/>
      </c>
      <c r="F2311" s="16" t="str">
        <f>IF(B2311="","",IFERROR(INDEX(Client_List!$J:$J,MATCH(B2311,Client_List!$B:$B,0)),""))</f>
        <v/>
      </c>
      <c r="G2311" s="16"/>
      <c r="H2311" s="16" t="str">
        <f>IF(B2311="","",IFERROR(A2311-LOOKUP(2,1/($B$4:$B2310=B2311),$A$4:$A2310),""))</f>
        <v/>
      </c>
      <c r="I2311" s="16" t="str">
        <f t="shared" si="36"/>
        <v/>
      </c>
      <c r="J2311" s="16"/>
      <c r="K2311" s="6" t="str">
        <f>IF(B2311="","",IFERROR(AVERAGEIFS($I$4:$I2311,$B$4:$B2311,B2311,$I$4:$I2311,"&gt;"&amp;0),""))</f>
        <v/>
      </c>
      <c r="L2311" s="16" t="str">
        <f>IF(B2311="","",IF(ISNA(MATCH(B2311,Client_List!$B:$B,0)),"⚠ NOT FOUND","✓"))</f>
        <v/>
      </c>
    </row>
    <row r="2312" spans="1:12" ht="14" customHeight="1" x14ac:dyDescent="0.2">
      <c r="A2312" s="59"/>
      <c r="B2312" s="18"/>
      <c r="C2312" s="19" t="str">
        <f>IF(B2312="","",IFERROR(INDEX(Client_List!$C:$C,MATCH(B2312,Client_List!$B:$B,0)),""))</f>
        <v/>
      </c>
      <c r="D2312" s="19" t="str">
        <f>IF(B2312="","",IFERROR(INDEX(Client_List!$D:$D,MATCH(B2312,Client_List!$B:$B,0)),""))</f>
        <v/>
      </c>
      <c r="E2312" s="19" t="str">
        <f>IF(B2312="","",IFERROR(INDEX(Client_List!$K:$K,MATCH(B2312,Client_List!$B:$B,0)),""))</f>
        <v/>
      </c>
      <c r="F2312" s="19" t="str">
        <f>IF(B2312="","",IFERROR(INDEX(Client_List!$J:$J,MATCH(B2312,Client_List!$B:$B,0)),""))</f>
        <v/>
      </c>
      <c r="G2312" s="19"/>
      <c r="H2312" s="19" t="str">
        <f>IF(B2312="","",IFERROR(A2312-LOOKUP(2,1/($B$4:$B2311=B2312),$A$4:$A2311),""))</f>
        <v/>
      </c>
      <c r="I2312" s="19" t="str">
        <f t="shared" si="36"/>
        <v/>
      </c>
      <c r="J2312" s="19"/>
      <c r="K2312" s="6" t="str">
        <f>IF(B2312="","",IFERROR(AVERAGEIFS($I$4:$I2312,$B$4:$B2312,B2312,$I$4:$I2312,"&gt;"&amp;0),""))</f>
        <v/>
      </c>
      <c r="L2312" s="19" t="str">
        <f>IF(B2312="","",IF(ISNA(MATCH(B2312,Client_List!$B:$B,0)),"⚠ NOT FOUND","✓"))</f>
        <v/>
      </c>
    </row>
    <row r="2313" spans="1:12" ht="14" customHeight="1" x14ac:dyDescent="0.2">
      <c r="A2313" s="58"/>
      <c r="B2313" s="15"/>
      <c r="C2313" s="16" t="str">
        <f>IF(B2313="","",IFERROR(INDEX(Client_List!$C:$C,MATCH(B2313,Client_List!$B:$B,0)),""))</f>
        <v/>
      </c>
      <c r="D2313" s="16" t="str">
        <f>IF(B2313="","",IFERROR(INDEX(Client_List!$D:$D,MATCH(B2313,Client_List!$B:$B,0)),""))</f>
        <v/>
      </c>
      <c r="E2313" s="16" t="str">
        <f>IF(B2313="","",IFERROR(INDEX(Client_List!$K:$K,MATCH(B2313,Client_List!$B:$B,0)),""))</f>
        <v/>
      </c>
      <c r="F2313" s="16" t="str">
        <f>IF(B2313="","",IFERROR(INDEX(Client_List!$J:$J,MATCH(B2313,Client_List!$B:$B,0)),""))</f>
        <v/>
      </c>
      <c r="G2313" s="16"/>
      <c r="H2313" s="16" t="str">
        <f>IF(B2313="","",IFERROR(A2313-LOOKUP(2,1/($B$4:$B2312=B2313),$A$4:$A2312),""))</f>
        <v/>
      </c>
      <c r="I2313" s="16" t="str">
        <f t="shared" si="36"/>
        <v/>
      </c>
      <c r="J2313" s="16"/>
      <c r="K2313" s="6" t="str">
        <f>IF(B2313="","",IFERROR(AVERAGEIFS($I$4:$I2313,$B$4:$B2313,B2313,$I$4:$I2313,"&gt;"&amp;0),""))</f>
        <v/>
      </c>
      <c r="L2313" s="16" t="str">
        <f>IF(B2313="","",IF(ISNA(MATCH(B2313,Client_List!$B:$B,0)),"⚠ NOT FOUND","✓"))</f>
        <v/>
      </c>
    </row>
    <row r="2314" spans="1:12" ht="14" customHeight="1" x14ac:dyDescent="0.2">
      <c r="A2314" s="59"/>
      <c r="B2314" s="18"/>
      <c r="C2314" s="19" t="str">
        <f>IF(B2314="","",IFERROR(INDEX(Client_List!$C:$C,MATCH(B2314,Client_List!$B:$B,0)),""))</f>
        <v/>
      </c>
      <c r="D2314" s="19" t="str">
        <f>IF(B2314="","",IFERROR(INDEX(Client_List!$D:$D,MATCH(B2314,Client_List!$B:$B,0)),""))</f>
        <v/>
      </c>
      <c r="E2314" s="19" t="str">
        <f>IF(B2314="","",IFERROR(INDEX(Client_List!$K:$K,MATCH(B2314,Client_List!$B:$B,0)),""))</f>
        <v/>
      </c>
      <c r="F2314" s="19" t="str">
        <f>IF(B2314="","",IFERROR(INDEX(Client_List!$J:$J,MATCH(B2314,Client_List!$B:$B,0)),""))</f>
        <v/>
      </c>
      <c r="G2314" s="19"/>
      <c r="H2314" s="19" t="str">
        <f>IF(B2314="","",IFERROR(A2314-LOOKUP(2,1/($B$4:$B2313=B2314),$A$4:$A2313),""))</f>
        <v/>
      </c>
      <c r="I2314" s="19" t="str">
        <f t="shared" si="36"/>
        <v/>
      </c>
      <c r="J2314" s="19"/>
      <c r="K2314" s="6" t="str">
        <f>IF(B2314="","",IFERROR(AVERAGEIFS($I$4:$I2314,$B$4:$B2314,B2314,$I$4:$I2314,"&gt;"&amp;0),""))</f>
        <v/>
      </c>
      <c r="L2314" s="19" t="str">
        <f>IF(B2314="","",IF(ISNA(MATCH(B2314,Client_List!$B:$B,0)),"⚠ NOT FOUND","✓"))</f>
        <v/>
      </c>
    </row>
    <row r="2315" spans="1:12" ht="14" customHeight="1" x14ac:dyDescent="0.2">
      <c r="A2315" s="58"/>
      <c r="B2315" s="15"/>
      <c r="C2315" s="16" t="str">
        <f>IF(B2315="","",IFERROR(INDEX(Client_List!$C:$C,MATCH(B2315,Client_List!$B:$B,0)),""))</f>
        <v/>
      </c>
      <c r="D2315" s="16" t="str">
        <f>IF(B2315="","",IFERROR(INDEX(Client_List!$D:$D,MATCH(B2315,Client_List!$B:$B,0)),""))</f>
        <v/>
      </c>
      <c r="E2315" s="16" t="str">
        <f>IF(B2315="","",IFERROR(INDEX(Client_List!$K:$K,MATCH(B2315,Client_List!$B:$B,0)),""))</f>
        <v/>
      </c>
      <c r="F2315" s="16" t="str">
        <f>IF(B2315="","",IFERROR(INDEX(Client_List!$J:$J,MATCH(B2315,Client_List!$B:$B,0)),""))</f>
        <v/>
      </c>
      <c r="G2315" s="16"/>
      <c r="H2315" s="16" t="str">
        <f>IF(B2315="","",IFERROR(A2315-LOOKUP(2,1/($B$4:$B2314=B2315),$A$4:$A2314),""))</f>
        <v/>
      </c>
      <c r="I2315" s="16" t="str">
        <f t="shared" si="36"/>
        <v/>
      </c>
      <c r="J2315" s="16"/>
      <c r="K2315" s="6" t="str">
        <f>IF(B2315="","",IFERROR(AVERAGEIFS($I$4:$I2315,$B$4:$B2315,B2315,$I$4:$I2315,"&gt;"&amp;0),""))</f>
        <v/>
      </c>
      <c r="L2315" s="16" t="str">
        <f>IF(B2315="","",IF(ISNA(MATCH(B2315,Client_List!$B:$B,0)),"⚠ NOT FOUND","✓"))</f>
        <v/>
      </c>
    </row>
    <row r="2316" spans="1:12" ht="14" customHeight="1" x14ac:dyDescent="0.2">
      <c r="A2316" s="59"/>
      <c r="B2316" s="18"/>
      <c r="C2316" s="19" t="str">
        <f>IF(B2316="","",IFERROR(INDEX(Client_List!$C:$C,MATCH(B2316,Client_List!$B:$B,0)),""))</f>
        <v/>
      </c>
      <c r="D2316" s="19" t="str">
        <f>IF(B2316="","",IFERROR(INDEX(Client_List!$D:$D,MATCH(B2316,Client_List!$B:$B,0)),""))</f>
        <v/>
      </c>
      <c r="E2316" s="19" t="str">
        <f>IF(B2316="","",IFERROR(INDEX(Client_List!$K:$K,MATCH(B2316,Client_List!$B:$B,0)),""))</f>
        <v/>
      </c>
      <c r="F2316" s="19" t="str">
        <f>IF(B2316="","",IFERROR(INDEX(Client_List!$J:$J,MATCH(B2316,Client_List!$B:$B,0)),""))</f>
        <v/>
      </c>
      <c r="G2316" s="19"/>
      <c r="H2316" s="19" t="str">
        <f>IF(B2316="","",IFERROR(A2316-LOOKUP(2,1/($B$4:$B2315=B2316),$A$4:$A2315),""))</f>
        <v/>
      </c>
      <c r="I2316" s="19" t="str">
        <f t="shared" si="36"/>
        <v/>
      </c>
      <c r="J2316" s="19"/>
      <c r="K2316" s="6" t="str">
        <f>IF(B2316="","",IFERROR(AVERAGEIFS($I$4:$I2316,$B$4:$B2316,B2316,$I$4:$I2316,"&gt;"&amp;0),""))</f>
        <v/>
      </c>
      <c r="L2316" s="19" t="str">
        <f>IF(B2316="","",IF(ISNA(MATCH(B2316,Client_List!$B:$B,0)),"⚠ NOT FOUND","✓"))</f>
        <v/>
      </c>
    </row>
    <row r="2317" spans="1:12" ht="14" customHeight="1" x14ac:dyDescent="0.2">
      <c r="A2317" s="58"/>
      <c r="B2317" s="15"/>
      <c r="C2317" s="16" t="str">
        <f>IF(B2317="","",IFERROR(INDEX(Client_List!$C:$C,MATCH(B2317,Client_List!$B:$B,0)),""))</f>
        <v/>
      </c>
      <c r="D2317" s="16" t="str">
        <f>IF(B2317="","",IFERROR(INDEX(Client_List!$D:$D,MATCH(B2317,Client_List!$B:$B,0)),""))</f>
        <v/>
      </c>
      <c r="E2317" s="16" t="str">
        <f>IF(B2317="","",IFERROR(INDEX(Client_List!$K:$K,MATCH(B2317,Client_List!$B:$B,0)),""))</f>
        <v/>
      </c>
      <c r="F2317" s="16" t="str">
        <f>IF(B2317="","",IFERROR(INDEX(Client_List!$J:$J,MATCH(B2317,Client_List!$B:$B,0)),""))</f>
        <v/>
      </c>
      <c r="G2317" s="16"/>
      <c r="H2317" s="16" t="str">
        <f>IF(B2317="","",IFERROR(A2317-LOOKUP(2,1/($B$4:$B2316=B2317),$A$4:$A2316),""))</f>
        <v/>
      </c>
      <c r="I2317" s="16" t="str">
        <f t="shared" si="36"/>
        <v/>
      </c>
      <c r="J2317" s="16"/>
      <c r="K2317" s="6" t="str">
        <f>IF(B2317="","",IFERROR(AVERAGEIFS($I$4:$I2317,$B$4:$B2317,B2317,$I$4:$I2317,"&gt;"&amp;0),""))</f>
        <v/>
      </c>
      <c r="L2317" s="16" t="str">
        <f>IF(B2317="","",IF(ISNA(MATCH(B2317,Client_List!$B:$B,0)),"⚠ NOT FOUND","✓"))</f>
        <v/>
      </c>
    </row>
    <row r="2318" spans="1:12" ht="14" customHeight="1" x14ac:dyDescent="0.2">
      <c r="A2318" s="59"/>
      <c r="B2318" s="18"/>
      <c r="C2318" s="19" t="str">
        <f>IF(B2318="","",IFERROR(INDEX(Client_List!$C:$C,MATCH(B2318,Client_List!$B:$B,0)),""))</f>
        <v/>
      </c>
      <c r="D2318" s="19" t="str">
        <f>IF(B2318="","",IFERROR(INDEX(Client_List!$D:$D,MATCH(B2318,Client_List!$B:$B,0)),""))</f>
        <v/>
      </c>
      <c r="E2318" s="19" t="str">
        <f>IF(B2318="","",IFERROR(INDEX(Client_List!$K:$K,MATCH(B2318,Client_List!$B:$B,0)),""))</f>
        <v/>
      </c>
      <c r="F2318" s="19" t="str">
        <f>IF(B2318="","",IFERROR(INDEX(Client_List!$J:$J,MATCH(B2318,Client_List!$B:$B,0)),""))</f>
        <v/>
      </c>
      <c r="G2318" s="19"/>
      <c r="H2318" s="19" t="str">
        <f>IF(B2318="","",IFERROR(A2318-LOOKUP(2,1/($B$4:$B2317=B2318),$A$4:$A2317),""))</f>
        <v/>
      </c>
      <c r="I2318" s="19" t="str">
        <f t="shared" si="36"/>
        <v/>
      </c>
      <c r="J2318" s="19"/>
      <c r="K2318" s="6" t="str">
        <f>IF(B2318="","",IFERROR(AVERAGEIFS($I$4:$I2318,$B$4:$B2318,B2318,$I$4:$I2318,"&gt;"&amp;0),""))</f>
        <v/>
      </c>
      <c r="L2318" s="19" t="str">
        <f>IF(B2318="","",IF(ISNA(MATCH(B2318,Client_List!$B:$B,0)),"⚠ NOT FOUND","✓"))</f>
        <v/>
      </c>
    </row>
    <row r="2319" spans="1:12" ht="14" customHeight="1" x14ac:dyDescent="0.2">
      <c r="A2319" s="58"/>
      <c r="B2319" s="15"/>
      <c r="C2319" s="16" t="str">
        <f>IF(B2319="","",IFERROR(INDEX(Client_List!$C:$C,MATCH(B2319,Client_List!$B:$B,0)),""))</f>
        <v/>
      </c>
      <c r="D2319" s="16" t="str">
        <f>IF(B2319="","",IFERROR(INDEX(Client_List!$D:$D,MATCH(B2319,Client_List!$B:$B,0)),""))</f>
        <v/>
      </c>
      <c r="E2319" s="16" t="str">
        <f>IF(B2319="","",IFERROR(INDEX(Client_List!$K:$K,MATCH(B2319,Client_List!$B:$B,0)),""))</f>
        <v/>
      </c>
      <c r="F2319" s="16" t="str">
        <f>IF(B2319="","",IFERROR(INDEX(Client_List!$J:$J,MATCH(B2319,Client_List!$B:$B,0)),""))</f>
        <v/>
      </c>
      <c r="G2319" s="16"/>
      <c r="H2319" s="16" t="str">
        <f>IF(B2319="","",IFERROR(A2319-LOOKUP(2,1/($B$4:$B2318=B2319),$A$4:$A2318),""))</f>
        <v/>
      </c>
      <c r="I2319" s="16" t="str">
        <f t="shared" si="36"/>
        <v/>
      </c>
      <c r="J2319" s="16"/>
      <c r="K2319" s="6" t="str">
        <f>IF(B2319="","",IFERROR(AVERAGEIFS($I$4:$I2319,$B$4:$B2319,B2319,$I$4:$I2319,"&gt;"&amp;0),""))</f>
        <v/>
      </c>
      <c r="L2319" s="16" t="str">
        <f>IF(B2319="","",IF(ISNA(MATCH(B2319,Client_List!$B:$B,0)),"⚠ NOT FOUND","✓"))</f>
        <v/>
      </c>
    </row>
    <row r="2320" spans="1:12" ht="14" customHeight="1" x14ac:dyDescent="0.2">
      <c r="A2320" s="59"/>
      <c r="B2320" s="18"/>
      <c r="C2320" s="19" t="str">
        <f>IF(B2320="","",IFERROR(INDEX(Client_List!$C:$C,MATCH(B2320,Client_List!$B:$B,0)),""))</f>
        <v/>
      </c>
      <c r="D2320" s="19" t="str">
        <f>IF(B2320="","",IFERROR(INDEX(Client_List!$D:$D,MATCH(B2320,Client_List!$B:$B,0)),""))</f>
        <v/>
      </c>
      <c r="E2320" s="19" t="str">
        <f>IF(B2320="","",IFERROR(INDEX(Client_List!$K:$K,MATCH(B2320,Client_List!$B:$B,0)),""))</f>
        <v/>
      </c>
      <c r="F2320" s="19" t="str">
        <f>IF(B2320="","",IFERROR(INDEX(Client_List!$J:$J,MATCH(B2320,Client_List!$B:$B,0)),""))</f>
        <v/>
      </c>
      <c r="G2320" s="19"/>
      <c r="H2320" s="19" t="str">
        <f>IF(B2320="","",IFERROR(A2320-LOOKUP(2,1/($B$4:$B2319=B2320),$A$4:$A2319),""))</f>
        <v/>
      </c>
      <c r="I2320" s="19" t="str">
        <f t="shared" si="36"/>
        <v/>
      </c>
      <c r="J2320" s="19"/>
      <c r="K2320" s="6" t="str">
        <f>IF(B2320="","",IFERROR(AVERAGEIFS($I$4:$I2320,$B$4:$B2320,B2320,$I$4:$I2320,"&gt;"&amp;0),""))</f>
        <v/>
      </c>
      <c r="L2320" s="19" t="str">
        <f>IF(B2320="","",IF(ISNA(MATCH(B2320,Client_List!$B:$B,0)),"⚠ NOT FOUND","✓"))</f>
        <v/>
      </c>
    </row>
    <row r="2321" spans="1:12" ht="14" customHeight="1" x14ac:dyDescent="0.2">
      <c r="A2321" s="58"/>
      <c r="B2321" s="15"/>
      <c r="C2321" s="16" t="str">
        <f>IF(B2321="","",IFERROR(INDEX(Client_List!$C:$C,MATCH(B2321,Client_List!$B:$B,0)),""))</f>
        <v/>
      </c>
      <c r="D2321" s="16" t="str">
        <f>IF(B2321="","",IFERROR(INDEX(Client_List!$D:$D,MATCH(B2321,Client_List!$B:$B,0)),""))</f>
        <v/>
      </c>
      <c r="E2321" s="16" t="str">
        <f>IF(B2321="","",IFERROR(INDEX(Client_List!$K:$K,MATCH(B2321,Client_List!$B:$B,0)),""))</f>
        <v/>
      </c>
      <c r="F2321" s="16" t="str">
        <f>IF(B2321="","",IFERROR(INDEX(Client_List!$J:$J,MATCH(B2321,Client_List!$B:$B,0)),""))</f>
        <v/>
      </c>
      <c r="G2321" s="16"/>
      <c r="H2321" s="16" t="str">
        <f>IF(B2321="","",IFERROR(A2321-LOOKUP(2,1/($B$4:$B2320=B2321),$A$4:$A2320),""))</f>
        <v/>
      </c>
      <c r="I2321" s="16" t="str">
        <f t="shared" si="36"/>
        <v/>
      </c>
      <c r="J2321" s="16"/>
      <c r="K2321" s="6" t="str">
        <f>IF(B2321="","",IFERROR(AVERAGEIFS($I$4:$I2321,$B$4:$B2321,B2321,$I$4:$I2321,"&gt;"&amp;0),""))</f>
        <v/>
      </c>
      <c r="L2321" s="16" t="str">
        <f>IF(B2321="","",IF(ISNA(MATCH(B2321,Client_List!$B:$B,0)),"⚠ NOT FOUND","✓"))</f>
        <v/>
      </c>
    </row>
    <row r="2322" spans="1:12" ht="14" customHeight="1" x14ac:dyDescent="0.2">
      <c r="A2322" s="59"/>
      <c r="B2322" s="18"/>
      <c r="C2322" s="19" t="str">
        <f>IF(B2322="","",IFERROR(INDEX(Client_List!$C:$C,MATCH(B2322,Client_List!$B:$B,0)),""))</f>
        <v/>
      </c>
      <c r="D2322" s="19" t="str">
        <f>IF(B2322="","",IFERROR(INDEX(Client_List!$D:$D,MATCH(B2322,Client_List!$B:$B,0)),""))</f>
        <v/>
      </c>
      <c r="E2322" s="19" t="str">
        <f>IF(B2322="","",IFERROR(INDEX(Client_List!$K:$K,MATCH(B2322,Client_List!$B:$B,0)),""))</f>
        <v/>
      </c>
      <c r="F2322" s="19" t="str">
        <f>IF(B2322="","",IFERROR(INDEX(Client_List!$J:$J,MATCH(B2322,Client_List!$B:$B,0)),""))</f>
        <v/>
      </c>
      <c r="G2322" s="19"/>
      <c r="H2322" s="19" t="str">
        <f>IF(B2322="","",IFERROR(A2322-LOOKUP(2,1/($B$4:$B2321=B2322),$A$4:$A2321),""))</f>
        <v/>
      </c>
      <c r="I2322" s="19" t="str">
        <f t="shared" si="36"/>
        <v/>
      </c>
      <c r="J2322" s="19"/>
      <c r="K2322" s="6" t="str">
        <f>IF(B2322="","",IFERROR(AVERAGEIFS($I$4:$I2322,$B$4:$B2322,B2322,$I$4:$I2322,"&gt;"&amp;0),""))</f>
        <v/>
      </c>
      <c r="L2322" s="19" t="str">
        <f>IF(B2322="","",IF(ISNA(MATCH(B2322,Client_List!$B:$B,0)),"⚠ NOT FOUND","✓"))</f>
        <v/>
      </c>
    </row>
    <row r="2323" spans="1:12" ht="14" customHeight="1" x14ac:dyDescent="0.2">
      <c r="A2323" s="58"/>
      <c r="B2323" s="15"/>
      <c r="C2323" s="16" t="str">
        <f>IF(B2323="","",IFERROR(INDEX(Client_List!$C:$C,MATCH(B2323,Client_List!$B:$B,0)),""))</f>
        <v/>
      </c>
      <c r="D2323" s="16" t="str">
        <f>IF(B2323="","",IFERROR(INDEX(Client_List!$D:$D,MATCH(B2323,Client_List!$B:$B,0)),""))</f>
        <v/>
      </c>
      <c r="E2323" s="16" t="str">
        <f>IF(B2323="","",IFERROR(INDEX(Client_List!$K:$K,MATCH(B2323,Client_List!$B:$B,0)),""))</f>
        <v/>
      </c>
      <c r="F2323" s="16" t="str">
        <f>IF(B2323="","",IFERROR(INDEX(Client_List!$J:$J,MATCH(B2323,Client_List!$B:$B,0)),""))</f>
        <v/>
      </c>
      <c r="G2323" s="16"/>
      <c r="H2323" s="16" t="str">
        <f>IF(B2323="","",IFERROR(A2323-LOOKUP(2,1/($B$4:$B2322=B2323),$A$4:$A2322),""))</f>
        <v/>
      </c>
      <c r="I2323" s="16" t="str">
        <f t="shared" si="36"/>
        <v/>
      </c>
      <c r="J2323" s="16"/>
      <c r="K2323" s="6" t="str">
        <f>IF(B2323="","",IFERROR(AVERAGEIFS($I$4:$I2323,$B$4:$B2323,B2323,$I$4:$I2323,"&gt;"&amp;0),""))</f>
        <v/>
      </c>
      <c r="L2323" s="16" t="str">
        <f>IF(B2323="","",IF(ISNA(MATCH(B2323,Client_List!$B:$B,0)),"⚠ NOT FOUND","✓"))</f>
        <v/>
      </c>
    </row>
    <row r="2324" spans="1:12" ht="14" customHeight="1" x14ac:dyDescent="0.2">
      <c r="A2324" s="59"/>
      <c r="B2324" s="18"/>
      <c r="C2324" s="19" t="str">
        <f>IF(B2324="","",IFERROR(INDEX(Client_List!$C:$C,MATCH(B2324,Client_List!$B:$B,0)),""))</f>
        <v/>
      </c>
      <c r="D2324" s="19" t="str">
        <f>IF(B2324="","",IFERROR(INDEX(Client_List!$D:$D,MATCH(B2324,Client_List!$B:$B,0)),""))</f>
        <v/>
      </c>
      <c r="E2324" s="19" t="str">
        <f>IF(B2324="","",IFERROR(INDEX(Client_List!$K:$K,MATCH(B2324,Client_List!$B:$B,0)),""))</f>
        <v/>
      </c>
      <c r="F2324" s="19" t="str">
        <f>IF(B2324="","",IFERROR(INDEX(Client_List!$J:$J,MATCH(B2324,Client_List!$B:$B,0)),""))</f>
        <v/>
      </c>
      <c r="G2324" s="19"/>
      <c r="H2324" s="19" t="str">
        <f>IF(B2324="","",IFERROR(A2324-LOOKUP(2,1/($B$4:$B2323=B2324),$A$4:$A2323),""))</f>
        <v/>
      </c>
      <c r="I2324" s="19" t="str">
        <f t="shared" si="36"/>
        <v/>
      </c>
      <c r="J2324" s="19"/>
      <c r="K2324" s="6" t="str">
        <f>IF(B2324="","",IFERROR(AVERAGEIFS($I$4:$I2324,$B$4:$B2324,B2324,$I$4:$I2324,"&gt;"&amp;0),""))</f>
        <v/>
      </c>
      <c r="L2324" s="19" t="str">
        <f>IF(B2324="","",IF(ISNA(MATCH(B2324,Client_List!$B:$B,0)),"⚠ NOT FOUND","✓"))</f>
        <v/>
      </c>
    </row>
    <row r="2325" spans="1:12" ht="14" customHeight="1" x14ac:dyDescent="0.2">
      <c r="A2325" s="58"/>
      <c r="B2325" s="15"/>
      <c r="C2325" s="16" t="str">
        <f>IF(B2325="","",IFERROR(INDEX(Client_List!$C:$C,MATCH(B2325,Client_List!$B:$B,0)),""))</f>
        <v/>
      </c>
      <c r="D2325" s="16" t="str">
        <f>IF(B2325="","",IFERROR(INDEX(Client_List!$D:$D,MATCH(B2325,Client_List!$B:$B,0)),""))</f>
        <v/>
      </c>
      <c r="E2325" s="16" t="str">
        <f>IF(B2325="","",IFERROR(INDEX(Client_List!$K:$K,MATCH(B2325,Client_List!$B:$B,0)),""))</f>
        <v/>
      </c>
      <c r="F2325" s="16" t="str">
        <f>IF(B2325="","",IFERROR(INDEX(Client_List!$J:$J,MATCH(B2325,Client_List!$B:$B,0)),""))</f>
        <v/>
      </c>
      <c r="G2325" s="16"/>
      <c r="H2325" s="16" t="str">
        <f>IF(B2325="","",IFERROR(A2325-LOOKUP(2,1/($B$4:$B2324=B2325),$A$4:$A2324),""))</f>
        <v/>
      </c>
      <c r="I2325" s="16" t="str">
        <f t="shared" si="36"/>
        <v/>
      </c>
      <c r="J2325" s="16"/>
      <c r="K2325" s="6" t="str">
        <f>IF(B2325="","",IFERROR(AVERAGEIFS($I$4:$I2325,$B$4:$B2325,B2325,$I$4:$I2325,"&gt;"&amp;0),""))</f>
        <v/>
      </c>
      <c r="L2325" s="16" t="str">
        <f>IF(B2325="","",IF(ISNA(MATCH(B2325,Client_List!$B:$B,0)),"⚠ NOT FOUND","✓"))</f>
        <v/>
      </c>
    </row>
    <row r="2326" spans="1:12" ht="14" customHeight="1" x14ac:dyDescent="0.2">
      <c r="A2326" s="59"/>
      <c r="B2326" s="18"/>
      <c r="C2326" s="19" t="str">
        <f>IF(B2326="","",IFERROR(INDEX(Client_List!$C:$C,MATCH(B2326,Client_List!$B:$B,0)),""))</f>
        <v/>
      </c>
      <c r="D2326" s="19" t="str">
        <f>IF(B2326="","",IFERROR(INDEX(Client_List!$D:$D,MATCH(B2326,Client_List!$B:$B,0)),""))</f>
        <v/>
      </c>
      <c r="E2326" s="19" t="str">
        <f>IF(B2326="","",IFERROR(INDEX(Client_List!$K:$K,MATCH(B2326,Client_List!$B:$B,0)),""))</f>
        <v/>
      </c>
      <c r="F2326" s="19" t="str">
        <f>IF(B2326="","",IFERROR(INDEX(Client_List!$J:$J,MATCH(B2326,Client_List!$B:$B,0)),""))</f>
        <v/>
      </c>
      <c r="G2326" s="19"/>
      <c r="H2326" s="19" t="str">
        <f>IF(B2326="","",IFERROR(A2326-LOOKUP(2,1/($B$4:$B2325=B2326),$A$4:$A2325),""))</f>
        <v/>
      </c>
      <c r="I2326" s="19" t="str">
        <f t="shared" si="36"/>
        <v/>
      </c>
      <c r="J2326" s="19"/>
      <c r="K2326" s="6" t="str">
        <f>IF(B2326="","",IFERROR(AVERAGEIFS($I$4:$I2326,$B$4:$B2326,B2326,$I$4:$I2326,"&gt;"&amp;0),""))</f>
        <v/>
      </c>
      <c r="L2326" s="19" t="str">
        <f>IF(B2326="","",IF(ISNA(MATCH(B2326,Client_List!$B:$B,0)),"⚠ NOT FOUND","✓"))</f>
        <v/>
      </c>
    </row>
    <row r="2327" spans="1:12" ht="14" customHeight="1" x14ac:dyDescent="0.2">
      <c r="A2327" s="58"/>
      <c r="B2327" s="15"/>
      <c r="C2327" s="16" t="str">
        <f>IF(B2327="","",IFERROR(INDEX(Client_List!$C:$C,MATCH(B2327,Client_List!$B:$B,0)),""))</f>
        <v/>
      </c>
      <c r="D2327" s="16" t="str">
        <f>IF(B2327="","",IFERROR(INDEX(Client_List!$D:$D,MATCH(B2327,Client_List!$B:$B,0)),""))</f>
        <v/>
      </c>
      <c r="E2327" s="16" t="str">
        <f>IF(B2327="","",IFERROR(INDEX(Client_List!$K:$K,MATCH(B2327,Client_List!$B:$B,0)),""))</f>
        <v/>
      </c>
      <c r="F2327" s="16" t="str">
        <f>IF(B2327="","",IFERROR(INDEX(Client_List!$J:$J,MATCH(B2327,Client_List!$B:$B,0)),""))</f>
        <v/>
      </c>
      <c r="G2327" s="16"/>
      <c r="H2327" s="16" t="str">
        <f>IF(B2327="","",IFERROR(A2327-LOOKUP(2,1/($B$4:$B2326=B2327),$A$4:$A2326),""))</f>
        <v/>
      </c>
      <c r="I2327" s="16" t="str">
        <f t="shared" si="36"/>
        <v/>
      </c>
      <c r="J2327" s="16"/>
      <c r="K2327" s="6" t="str">
        <f>IF(B2327="","",IFERROR(AVERAGEIFS($I$4:$I2327,$B$4:$B2327,B2327,$I$4:$I2327,"&gt;"&amp;0),""))</f>
        <v/>
      </c>
      <c r="L2327" s="16" t="str">
        <f>IF(B2327="","",IF(ISNA(MATCH(B2327,Client_List!$B:$B,0)),"⚠ NOT FOUND","✓"))</f>
        <v/>
      </c>
    </row>
    <row r="2328" spans="1:12" ht="14" customHeight="1" x14ac:dyDescent="0.2">
      <c r="A2328" s="59"/>
      <c r="B2328" s="18"/>
      <c r="C2328" s="19" t="str">
        <f>IF(B2328="","",IFERROR(INDEX(Client_List!$C:$C,MATCH(B2328,Client_List!$B:$B,0)),""))</f>
        <v/>
      </c>
      <c r="D2328" s="19" t="str">
        <f>IF(B2328="","",IFERROR(INDEX(Client_List!$D:$D,MATCH(B2328,Client_List!$B:$B,0)),""))</f>
        <v/>
      </c>
      <c r="E2328" s="19" t="str">
        <f>IF(B2328="","",IFERROR(INDEX(Client_List!$K:$K,MATCH(B2328,Client_List!$B:$B,0)),""))</f>
        <v/>
      </c>
      <c r="F2328" s="19" t="str">
        <f>IF(B2328="","",IFERROR(INDEX(Client_List!$J:$J,MATCH(B2328,Client_List!$B:$B,0)),""))</f>
        <v/>
      </c>
      <c r="G2328" s="19"/>
      <c r="H2328" s="19" t="str">
        <f>IF(B2328="","",IFERROR(A2328-LOOKUP(2,1/($B$4:$B2327=B2328),$A$4:$A2327),""))</f>
        <v/>
      </c>
      <c r="I2328" s="19" t="str">
        <f t="shared" si="36"/>
        <v/>
      </c>
      <c r="J2328" s="19"/>
      <c r="K2328" s="6" t="str">
        <f>IF(B2328="","",IFERROR(AVERAGEIFS($I$4:$I2328,$B$4:$B2328,B2328,$I$4:$I2328,"&gt;"&amp;0),""))</f>
        <v/>
      </c>
      <c r="L2328" s="19" t="str">
        <f>IF(B2328="","",IF(ISNA(MATCH(B2328,Client_List!$B:$B,0)),"⚠ NOT FOUND","✓"))</f>
        <v/>
      </c>
    </row>
    <row r="2329" spans="1:12" ht="14" customHeight="1" x14ac:dyDescent="0.2">
      <c r="A2329" s="58"/>
      <c r="B2329" s="15"/>
      <c r="C2329" s="16" t="str">
        <f>IF(B2329="","",IFERROR(INDEX(Client_List!$C:$C,MATCH(B2329,Client_List!$B:$B,0)),""))</f>
        <v/>
      </c>
      <c r="D2329" s="16" t="str">
        <f>IF(B2329="","",IFERROR(INDEX(Client_List!$D:$D,MATCH(B2329,Client_List!$B:$B,0)),""))</f>
        <v/>
      </c>
      <c r="E2329" s="16" t="str">
        <f>IF(B2329="","",IFERROR(INDEX(Client_List!$K:$K,MATCH(B2329,Client_List!$B:$B,0)),""))</f>
        <v/>
      </c>
      <c r="F2329" s="16" t="str">
        <f>IF(B2329="","",IFERROR(INDEX(Client_List!$J:$J,MATCH(B2329,Client_List!$B:$B,0)),""))</f>
        <v/>
      </c>
      <c r="G2329" s="16"/>
      <c r="H2329" s="16" t="str">
        <f>IF(B2329="","",IFERROR(A2329-LOOKUP(2,1/($B$4:$B2328=B2329),$A$4:$A2328),""))</f>
        <v/>
      </c>
      <c r="I2329" s="16" t="str">
        <f t="shared" si="36"/>
        <v/>
      </c>
      <c r="J2329" s="16"/>
      <c r="K2329" s="6" t="str">
        <f>IF(B2329="","",IFERROR(AVERAGEIFS($I$4:$I2329,$B$4:$B2329,B2329,$I$4:$I2329,"&gt;"&amp;0),""))</f>
        <v/>
      </c>
      <c r="L2329" s="16" t="str">
        <f>IF(B2329="","",IF(ISNA(MATCH(B2329,Client_List!$B:$B,0)),"⚠ NOT FOUND","✓"))</f>
        <v/>
      </c>
    </row>
    <row r="2330" spans="1:12" ht="14" customHeight="1" x14ac:dyDescent="0.2">
      <c r="A2330" s="59"/>
      <c r="B2330" s="18"/>
      <c r="C2330" s="19" t="str">
        <f>IF(B2330="","",IFERROR(INDEX(Client_List!$C:$C,MATCH(B2330,Client_List!$B:$B,0)),""))</f>
        <v/>
      </c>
      <c r="D2330" s="19" t="str">
        <f>IF(B2330="","",IFERROR(INDEX(Client_List!$D:$D,MATCH(B2330,Client_List!$B:$B,0)),""))</f>
        <v/>
      </c>
      <c r="E2330" s="19" t="str">
        <f>IF(B2330="","",IFERROR(INDEX(Client_List!$K:$K,MATCH(B2330,Client_List!$B:$B,0)),""))</f>
        <v/>
      </c>
      <c r="F2330" s="19" t="str">
        <f>IF(B2330="","",IFERROR(INDEX(Client_List!$J:$J,MATCH(B2330,Client_List!$B:$B,0)),""))</f>
        <v/>
      </c>
      <c r="G2330" s="19"/>
      <c r="H2330" s="19" t="str">
        <f>IF(B2330="","",IFERROR(A2330-LOOKUP(2,1/($B$4:$B2329=B2330),$A$4:$A2329),""))</f>
        <v/>
      </c>
      <c r="I2330" s="19" t="str">
        <f t="shared" si="36"/>
        <v/>
      </c>
      <c r="J2330" s="19"/>
      <c r="K2330" s="6" t="str">
        <f>IF(B2330="","",IFERROR(AVERAGEIFS($I$4:$I2330,$B$4:$B2330,B2330,$I$4:$I2330,"&gt;"&amp;0),""))</f>
        <v/>
      </c>
      <c r="L2330" s="19" t="str">
        <f>IF(B2330="","",IF(ISNA(MATCH(B2330,Client_List!$B:$B,0)),"⚠ NOT FOUND","✓"))</f>
        <v/>
      </c>
    </row>
    <row r="2331" spans="1:12" ht="14" customHeight="1" x14ac:dyDescent="0.2">
      <c r="A2331" s="58"/>
      <c r="B2331" s="15"/>
      <c r="C2331" s="16" t="str">
        <f>IF(B2331="","",IFERROR(INDEX(Client_List!$C:$C,MATCH(B2331,Client_List!$B:$B,0)),""))</f>
        <v/>
      </c>
      <c r="D2331" s="16" t="str">
        <f>IF(B2331="","",IFERROR(INDEX(Client_List!$D:$D,MATCH(B2331,Client_List!$B:$B,0)),""))</f>
        <v/>
      </c>
      <c r="E2331" s="16" t="str">
        <f>IF(B2331="","",IFERROR(INDEX(Client_List!$K:$K,MATCH(B2331,Client_List!$B:$B,0)),""))</f>
        <v/>
      </c>
      <c r="F2331" s="16" t="str">
        <f>IF(B2331="","",IFERROR(INDEX(Client_List!$J:$J,MATCH(B2331,Client_List!$B:$B,0)),""))</f>
        <v/>
      </c>
      <c r="G2331" s="16"/>
      <c r="H2331" s="16" t="str">
        <f>IF(B2331="","",IFERROR(A2331-LOOKUP(2,1/($B$4:$B2330=B2331),$A$4:$A2330),""))</f>
        <v/>
      </c>
      <c r="I2331" s="16" t="str">
        <f t="shared" si="36"/>
        <v/>
      </c>
      <c r="J2331" s="16"/>
      <c r="K2331" s="6" t="str">
        <f>IF(B2331="","",IFERROR(AVERAGEIFS($I$4:$I2331,$B$4:$B2331,B2331,$I$4:$I2331,"&gt;"&amp;0),""))</f>
        <v/>
      </c>
      <c r="L2331" s="16" t="str">
        <f>IF(B2331="","",IF(ISNA(MATCH(B2331,Client_List!$B:$B,0)),"⚠ NOT FOUND","✓"))</f>
        <v/>
      </c>
    </row>
    <row r="2332" spans="1:12" ht="14" customHeight="1" x14ac:dyDescent="0.2">
      <c r="A2332" s="59"/>
      <c r="B2332" s="18"/>
      <c r="C2332" s="19" t="str">
        <f>IF(B2332="","",IFERROR(INDEX(Client_List!$C:$C,MATCH(B2332,Client_List!$B:$B,0)),""))</f>
        <v/>
      </c>
      <c r="D2332" s="19" t="str">
        <f>IF(B2332="","",IFERROR(INDEX(Client_List!$D:$D,MATCH(B2332,Client_List!$B:$B,0)),""))</f>
        <v/>
      </c>
      <c r="E2332" s="19" t="str">
        <f>IF(B2332="","",IFERROR(INDEX(Client_List!$K:$K,MATCH(B2332,Client_List!$B:$B,0)),""))</f>
        <v/>
      </c>
      <c r="F2332" s="19" t="str">
        <f>IF(B2332="","",IFERROR(INDEX(Client_List!$J:$J,MATCH(B2332,Client_List!$B:$B,0)),""))</f>
        <v/>
      </c>
      <c r="G2332" s="19"/>
      <c r="H2332" s="19" t="str">
        <f>IF(B2332="","",IFERROR(A2332-LOOKUP(2,1/($B$4:$B2331=B2332),$A$4:$A2331),""))</f>
        <v/>
      </c>
      <c r="I2332" s="19" t="str">
        <f t="shared" si="36"/>
        <v/>
      </c>
      <c r="J2332" s="19"/>
      <c r="K2332" s="6" t="str">
        <f>IF(B2332="","",IFERROR(AVERAGEIFS($I$4:$I2332,$B$4:$B2332,B2332,$I$4:$I2332,"&gt;"&amp;0),""))</f>
        <v/>
      </c>
      <c r="L2332" s="19" t="str">
        <f>IF(B2332="","",IF(ISNA(MATCH(B2332,Client_List!$B:$B,0)),"⚠ NOT FOUND","✓"))</f>
        <v/>
      </c>
    </row>
    <row r="2333" spans="1:12" ht="14" customHeight="1" x14ac:dyDescent="0.2">
      <c r="A2333" s="58"/>
      <c r="B2333" s="15"/>
      <c r="C2333" s="16" t="str">
        <f>IF(B2333="","",IFERROR(INDEX(Client_List!$C:$C,MATCH(B2333,Client_List!$B:$B,0)),""))</f>
        <v/>
      </c>
      <c r="D2333" s="16" t="str">
        <f>IF(B2333="","",IFERROR(INDEX(Client_List!$D:$D,MATCH(B2333,Client_List!$B:$B,0)),""))</f>
        <v/>
      </c>
      <c r="E2333" s="16" t="str">
        <f>IF(B2333="","",IFERROR(INDEX(Client_List!$K:$K,MATCH(B2333,Client_List!$B:$B,0)),""))</f>
        <v/>
      </c>
      <c r="F2333" s="16" t="str">
        <f>IF(B2333="","",IFERROR(INDEX(Client_List!$J:$J,MATCH(B2333,Client_List!$B:$B,0)),""))</f>
        <v/>
      </c>
      <c r="G2333" s="16"/>
      <c r="H2333" s="16" t="str">
        <f>IF(B2333="","",IFERROR(A2333-LOOKUP(2,1/($B$4:$B2332=B2333),$A$4:$A2332),""))</f>
        <v/>
      </c>
      <c r="I2333" s="16" t="str">
        <f t="shared" si="36"/>
        <v/>
      </c>
      <c r="J2333" s="16"/>
      <c r="K2333" s="6" t="str">
        <f>IF(B2333="","",IFERROR(AVERAGEIFS($I$4:$I2333,$B$4:$B2333,B2333,$I$4:$I2333,"&gt;"&amp;0),""))</f>
        <v/>
      </c>
      <c r="L2333" s="16" t="str">
        <f>IF(B2333="","",IF(ISNA(MATCH(B2333,Client_List!$B:$B,0)),"⚠ NOT FOUND","✓"))</f>
        <v/>
      </c>
    </row>
    <row r="2334" spans="1:12" ht="14" customHeight="1" x14ac:dyDescent="0.2">
      <c r="A2334" s="59"/>
      <c r="B2334" s="18"/>
      <c r="C2334" s="19" t="str">
        <f>IF(B2334="","",IFERROR(INDEX(Client_List!$C:$C,MATCH(B2334,Client_List!$B:$B,0)),""))</f>
        <v/>
      </c>
      <c r="D2334" s="19" t="str">
        <f>IF(B2334="","",IFERROR(INDEX(Client_List!$D:$D,MATCH(B2334,Client_List!$B:$B,0)),""))</f>
        <v/>
      </c>
      <c r="E2334" s="19" t="str">
        <f>IF(B2334="","",IFERROR(INDEX(Client_List!$K:$K,MATCH(B2334,Client_List!$B:$B,0)),""))</f>
        <v/>
      </c>
      <c r="F2334" s="19" t="str">
        <f>IF(B2334="","",IFERROR(INDEX(Client_List!$J:$J,MATCH(B2334,Client_List!$B:$B,0)),""))</f>
        <v/>
      </c>
      <c r="G2334" s="19"/>
      <c r="H2334" s="19" t="str">
        <f>IF(B2334="","",IFERROR(A2334-LOOKUP(2,1/($B$4:$B2333=B2334),$A$4:$A2333),""))</f>
        <v/>
      </c>
      <c r="I2334" s="19" t="str">
        <f t="shared" si="36"/>
        <v/>
      </c>
      <c r="J2334" s="19"/>
      <c r="K2334" s="6" t="str">
        <f>IF(B2334="","",IFERROR(AVERAGEIFS($I$4:$I2334,$B$4:$B2334,B2334,$I$4:$I2334,"&gt;"&amp;0),""))</f>
        <v/>
      </c>
      <c r="L2334" s="19" t="str">
        <f>IF(B2334="","",IF(ISNA(MATCH(B2334,Client_List!$B:$B,0)),"⚠ NOT FOUND","✓"))</f>
        <v/>
      </c>
    </row>
    <row r="2335" spans="1:12" ht="14" customHeight="1" x14ac:dyDescent="0.2">
      <c r="A2335" s="58"/>
      <c r="B2335" s="15"/>
      <c r="C2335" s="16" t="str">
        <f>IF(B2335="","",IFERROR(INDEX(Client_List!$C:$C,MATCH(B2335,Client_List!$B:$B,0)),""))</f>
        <v/>
      </c>
      <c r="D2335" s="16" t="str">
        <f>IF(B2335="","",IFERROR(INDEX(Client_List!$D:$D,MATCH(B2335,Client_List!$B:$B,0)),""))</f>
        <v/>
      </c>
      <c r="E2335" s="16" t="str">
        <f>IF(B2335="","",IFERROR(INDEX(Client_List!$K:$K,MATCH(B2335,Client_List!$B:$B,0)),""))</f>
        <v/>
      </c>
      <c r="F2335" s="16" t="str">
        <f>IF(B2335="","",IFERROR(INDEX(Client_List!$J:$J,MATCH(B2335,Client_List!$B:$B,0)),""))</f>
        <v/>
      </c>
      <c r="G2335" s="16"/>
      <c r="H2335" s="16" t="str">
        <f>IF(B2335="","",IFERROR(A2335-LOOKUP(2,1/($B$4:$B2334=B2335),$A$4:$A2334),""))</f>
        <v/>
      </c>
      <c r="I2335" s="16" t="str">
        <f t="shared" si="36"/>
        <v/>
      </c>
      <c r="J2335" s="16"/>
      <c r="K2335" s="6" t="str">
        <f>IF(B2335="","",IFERROR(AVERAGEIFS($I$4:$I2335,$B$4:$B2335,B2335,$I$4:$I2335,"&gt;"&amp;0),""))</f>
        <v/>
      </c>
      <c r="L2335" s="16" t="str">
        <f>IF(B2335="","",IF(ISNA(MATCH(B2335,Client_List!$B:$B,0)),"⚠ NOT FOUND","✓"))</f>
        <v/>
      </c>
    </row>
    <row r="2336" spans="1:12" ht="14" customHeight="1" x14ac:dyDescent="0.2">
      <c r="A2336" s="59"/>
      <c r="B2336" s="18"/>
      <c r="C2336" s="19" t="str">
        <f>IF(B2336="","",IFERROR(INDEX(Client_List!$C:$C,MATCH(B2336,Client_List!$B:$B,0)),""))</f>
        <v/>
      </c>
      <c r="D2336" s="19" t="str">
        <f>IF(B2336="","",IFERROR(INDEX(Client_List!$D:$D,MATCH(B2336,Client_List!$B:$B,0)),""))</f>
        <v/>
      </c>
      <c r="E2336" s="19" t="str">
        <f>IF(B2336="","",IFERROR(INDEX(Client_List!$K:$K,MATCH(B2336,Client_List!$B:$B,0)),""))</f>
        <v/>
      </c>
      <c r="F2336" s="19" t="str">
        <f>IF(B2336="","",IFERROR(INDEX(Client_List!$J:$J,MATCH(B2336,Client_List!$B:$B,0)),""))</f>
        <v/>
      </c>
      <c r="G2336" s="19"/>
      <c r="H2336" s="19" t="str">
        <f>IF(B2336="","",IFERROR(A2336-LOOKUP(2,1/($B$4:$B2335=B2336),$A$4:$A2335),""))</f>
        <v/>
      </c>
      <c r="I2336" s="19" t="str">
        <f t="shared" si="36"/>
        <v/>
      </c>
      <c r="J2336" s="19"/>
      <c r="K2336" s="6" t="str">
        <f>IF(B2336="","",IFERROR(AVERAGEIFS($I$4:$I2336,$B$4:$B2336,B2336,$I$4:$I2336,"&gt;"&amp;0),""))</f>
        <v/>
      </c>
      <c r="L2336" s="19" t="str">
        <f>IF(B2336="","",IF(ISNA(MATCH(B2336,Client_List!$B:$B,0)),"⚠ NOT FOUND","✓"))</f>
        <v/>
      </c>
    </row>
    <row r="2337" spans="1:12" ht="14" customHeight="1" x14ac:dyDescent="0.2">
      <c r="A2337" s="58"/>
      <c r="B2337" s="15"/>
      <c r="C2337" s="16" t="str">
        <f>IF(B2337="","",IFERROR(INDEX(Client_List!$C:$C,MATCH(B2337,Client_List!$B:$B,0)),""))</f>
        <v/>
      </c>
      <c r="D2337" s="16" t="str">
        <f>IF(B2337="","",IFERROR(INDEX(Client_List!$D:$D,MATCH(B2337,Client_List!$B:$B,0)),""))</f>
        <v/>
      </c>
      <c r="E2337" s="16" t="str">
        <f>IF(B2337="","",IFERROR(INDEX(Client_List!$K:$K,MATCH(B2337,Client_List!$B:$B,0)),""))</f>
        <v/>
      </c>
      <c r="F2337" s="16" t="str">
        <f>IF(B2337="","",IFERROR(INDEX(Client_List!$J:$J,MATCH(B2337,Client_List!$B:$B,0)),""))</f>
        <v/>
      </c>
      <c r="G2337" s="16"/>
      <c r="H2337" s="16" t="str">
        <f>IF(B2337="","",IFERROR(A2337-LOOKUP(2,1/($B$4:$B2336=B2337),$A$4:$A2336),""))</f>
        <v/>
      </c>
      <c r="I2337" s="16" t="str">
        <f t="shared" si="36"/>
        <v/>
      </c>
      <c r="J2337" s="16"/>
      <c r="K2337" s="6" t="str">
        <f>IF(B2337="","",IFERROR(AVERAGEIFS($I$4:$I2337,$B$4:$B2337,B2337,$I$4:$I2337,"&gt;"&amp;0),""))</f>
        <v/>
      </c>
      <c r="L2337" s="16" t="str">
        <f>IF(B2337="","",IF(ISNA(MATCH(B2337,Client_List!$B:$B,0)),"⚠ NOT FOUND","✓"))</f>
        <v/>
      </c>
    </row>
    <row r="2338" spans="1:12" ht="14" customHeight="1" x14ac:dyDescent="0.2">
      <c r="A2338" s="59"/>
      <c r="B2338" s="18"/>
      <c r="C2338" s="19" t="str">
        <f>IF(B2338="","",IFERROR(INDEX(Client_List!$C:$C,MATCH(B2338,Client_List!$B:$B,0)),""))</f>
        <v/>
      </c>
      <c r="D2338" s="19" t="str">
        <f>IF(B2338="","",IFERROR(INDEX(Client_List!$D:$D,MATCH(B2338,Client_List!$B:$B,0)),""))</f>
        <v/>
      </c>
      <c r="E2338" s="19" t="str">
        <f>IF(B2338="","",IFERROR(INDEX(Client_List!$K:$K,MATCH(B2338,Client_List!$B:$B,0)),""))</f>
        <v/>
      </c>
      <c r="F2338" s="19" t="str">
        <f>IF(B2338="","",IFERROR(INDEX(Client_List!$J:$J,MATCH(B2338,Client_List!$B:$B,0)),""))</f>
        <v/>
      </c>
      <c r="G2338" s="19"/>
      <c r="H2338" s="19" t="str">
        <f>IF(B2338="","",IFERROR(A2338-LOOKUP(2,1/($B$4:$B2337=B2338),$A$4:$A2337),""))</f>
        <v/>
      </c>
      <c r="I2338" s="19" t="str">
        <f t="shared" si="36"/>
        <v/>
      </c>
      <c r="J2338" s="19"/>
      <c r="K2338" s="6" t="str">
        <f>IF(B2338="","",IFERROR(AVERAGEIFS($I$4:$I2338,$B$4:$B2338,B2338,$I$4:$I2338,"&gt;"&amp;0),""))</f>
        <v/>
      </c>
      <c r="L2338" s="19" t="str">
        <f>IF(B2338="","",IF(ISNA(MATCH(B2338,Client_List!$B:$B,0)),"⚠ NOT FOUND","✓"))</f>
        <v/>
      </c>
    </row>
    <row r="2339" spans="1:12" ht="14" customHeight="1" x14ac:dyDescent="0.2">
      <c r="A2339" s="58"/>
      <c r="B2339" s="15"/>
      <c r="C2339" s="16" t="str">
        <f>IF(B2339="","",IFERROR(INDEX(Client_List!$C:$C,MATCH(B2339,Client_List!$B:$B,0)),""))</f>
        <v/>
      </c>
      <c r="D2339" s="16" t="str">
        <f>IF(B2339="","",IFERROR(INDEX(Client_List!$D:$D,MATCH(B2339,Client_List!$B:$B,0)),""))</f>
        <v/>
      </c>
      <c r="E2339" s="16" t="str">
        <f>IF(B2339="","",IFERROR(INDEX(Client_List!$K:$K,MATCH(B2339,Client_List!$B:$B,0)),""))</f>
        <v/>
      </c>
      <c r="F2339" s="16" t="str">
        <f>IF(B2339="","",IFERROR(INDEX(Client_List!$J:$J,MATCH(B2339,Client_List!$B:$B,0)),""))</f>
        <v/>
      </c>
      <c r="G2339" s="16"/>
      <c r="H2339" s="16" t="str">
        <f>IF(B2339="","",IFERROR(A2339-LOOKUP(2,1/($B$4:$B2338=B2339),$A$4:$A2338),""))</f>
        <v/>
      </c>
      <c r="I2339" s="16" t="str">
        <f t="shared" si="36"/>
        <v/>
      </c>
      <c r="J2339" s="16"/>
      <c r="K2339" s="6" t="str">
        <f>IF(B2339="","",IFERROR(AVERAGEIFS($I$4:$I2339,$B$4:$B2339,B2339,$I$4:$I2339,"&gt;"&amp;0),""))</f>
        <v/>
      </c>
      <c r="L2339" s="16" t="str">
        <f>IF(B2339="","",IF(ISNA(MATCH(B2339,Client_List!$B:$B,0)),"⚠ NOT FOUND","✓"))</f>
        <v/>
      </c>
    </row>
    <row r="2340" spans="1:12" ht="14" customHeight="1" x14ac:dyDescent="0.2">
      <c r="A2340" s="59"/>
      <c r="B2340" s="18"/>
      <c r="C2340" s="19" t="str">
        <f>IF(B2340="","",IFERROR(INDEX(Client_List!$C:$C,MATCH(B2340,Client_List!$B:$B,0)),""))</f>
        <v/>
      </c>
      <c r="D2340" s="19" t="str">
        <f>IF(B2340="","",IFERROR(INDEX(Client_List!$D:$D,MATCH(B2340,Client_List!$B:$B,0)),""))</f>
        <v/>
      </c>
      <c r="E2340" s="19" t="str">
        <f>IF(B2340="","",IFERROR(INDEX(Client_List!$K:$K,MATCH(B2340,Client_List!$B:$B,0)),""))</f>
        <v/>
      </c>
      <c r="F2340" s="19" t="str">
        <f>IF(B2340="","",IFERROR(INDEX(Client_List!$J:$J,MATCH(B2340,Client_List!$B:$B,0)),""))</f>
        <v/>
      </c>
      <c r="G2340" s="19"/>
      <c r="H2340" s="19" t="str">
        <f>IF(B2340="","",IFERROR(A2340-LOOKUP(2,1/($B$4:$B2339=B2340),$A$4:$A2339),""))</f>
        <v/>
      </c>
      <c r="I2340" s="19" t="str">
        <f t="shared" si="36"/>
        <v/>
      </c>
      <c r="J2340" s="19"/>
      <c r="K2340" s="6" t="str">
        <f>IF(B2340="","",IFERROR(AVERAGEIFS($I$4:$I2340,$B$4:$B2340,B2340,$I$4:$I2340,"&gt;"&amp;0),""))</f>
        <v/>
      </c>
      <c r="L2340" s="19" t="str">
        <f>IF(B2340="","",IF(ISNA(MATCH(B2340,Client_List!$B:$B,0)),"⚠ NOT FOUND","✓"))</f>
        <v/>
      </c>
    </row>
    <row r="2341" spans="1:12" ht="14" customHeight="1" x14ac:dyDescent="0.2">
      <c r="A2341" s="58"/>
      <c r="B2341" s="15"/>
      <c r="C2341" s="16" t="str">
        <f>IF(B2341="","",IFERROR(INDEX(Client_List!$C:$C,MATCH(B2341,Client_List!$B:$B,0)),""))</f>
        <v/>
      </c>
      <c r="D2341" s="16" t="str">
        <f>IF(B2341="","",IFERROR(INDEX(Client_List!$D:$D,MATCH(B2341,Client_List!$B:$B,0)),""))</f>
        <v/>
      </c>
      <c r="E2341" s="16" t="str">
        <f>IF(B2341="","",IFERROR(INDEX(Client_List!$K:$K,MATCH(B2341,Client_List!$B:$B,0)),""))</f>
        <v/>
      </c>
      <c r="F2341" s="16" t="str">
        <f>IF(B2341="","",IFERROR(INDEX(Client_List!$J:$J,MATCH(B2341,Client_List!$B:$B,0)),""))</f>
        <v/>
      </c>
      <c r="G2341" s="16"/>
      <c r="H2341" s="16" t="str">
        <f>IF(B2341="","",IFERROR(A2341-LOOKUP(2,1/($B$4:$B2340=B2341),$A$4:$A2340),""))</f>
        <v/>
      </c>
      <c r="I2341" s="16" t="str">
        <f t="shared" si="36"/>
        <v/>
      </c>
      <c r="J2341" s="16"/>
      <c r="K2341" s="6" t="str">
        <f>IF(B2341="","",IFERROR(AVERAGEIFS($I$4:$I2341,$B$4:$B2341,B2341,$I$4:$I2341,"&gt;"&amp;0),""))</f>
        <v/>
      </c>
      <c r="L2341" s="16" t="str">
        <f>IF(B2341="","",IF(ISNA(MATCH(B2341,Client_List!$B:$B,0)),"⚠ NOT FOUND","✓"))</f>
        <v/>
      </c>
    </row>
    <row r="2342" spans="1:12" ht="14" customHeight="1" x14ac:dyDescent="0.2">
      <c r="A2342" s="59"/>
      <c r="B2342" s="18"/>
      <c r="C2342" s="19" t="str">
        <f>IF(B2342="","",IFERROR(INDEX(Client_List!$C:$C,MATCH(B2342,Client_List!$B:$B,0)),""))</f>
        <v/>
      </c>
      <c r="D2342" s="19" t="str">
        <f>IF(B2342="","",IFERROR(INDEX(Client_List!$D:$D,MATCH(B2342,Client_List!$B:$B,0)),""))</f>
        <v/>
      </c>
      <c r="E2342" s="19" t="str">
        <f>IF(B2342="","",IFERROR(INDEX(Client_List!$K:$K,MATCH(B2342,Client_List!$B:$B,0)),""))</f>
        <v/>
      </c>
      <c r="F2342" s="19" t="str">
        <f>IF(B2342="","",IFERROR(INDEX(Client_List!$J:$J,MATCH(B2342,Client_List!$B:$B,0)),""))</f>
        <v/>
      </c>
      <c r="G2342" s="19"/>
      <c r="H2342" s="19" t="str">
        <f>IF(B2342="","",IFERROR(A2342-LOOKUP(2,1/($B$4:$B2341=B2342),$A$4:$A2341),""))</f>
        <v/>
      </c>
      <c r="I2342" s="19" t="str">
        <f t="shared" si="36"/>
        <v/>
      </c>
      <c r="J2342" s="19"/>
      <c r="K2342" s="6" t="str">
        <f>IF(B2342="","",IFERROR(AVERAGEIFS($I$4:$I2342,$B$4:$B2342,B2342,$I$4:$I2342,"&gt;"&amp;0),""))</f>
        <v/>
      </c>
      <c r="L2342" s="19" t="str">
        <f>IF(B2342="","",IF(ISNA(MATCH(B2342,Client_List!$B:$B,0)),"⚠ NOT FOUND","✓"))</f>
        <v/>
      </c>
    </row>
    <row r="2343" spans="1:12" ht="14" customHeight="1" x14ac:dyDescent="0.2">
      <c r="A2343" s="58"/>
      <c r="B2343" s="15"/>
      <c r="C2343" s="16" t="str">
        <f>IF(B2343="","",IFERROR(INDEX(Client_List!$C:$C,MATCH(B2343,Client_List!$B:$B,0)),""))</f>
        <v/>
      </c>
      <c r="D2343" s="16" t="str">
        <f>IF(B2343="","",IFERROR(INDEX(Client_List!$D:$D,MATCH(B2343,Client_List!$B:$B,0)),""))</f>
        <v/>
      </c>
      <c r="E2343" s="16" t="str">
        <f>IF(B2343="","",IFERROR(INDEX(Client_List!$K:$K,MATCH(B2343,Client_List!$B:$B,0)),""))</f>
        <v/>
      </c>
      <c r="F2343" s="16" t="str">
        <f>IF(B2343="","",IFERROR(INDEX(Client_List!$J:$J,MATCH(B2343,Client_List!$B:$B,0)),""))</f>
        <v/>
      </c>
      <c r="G2343" s="16"/>
      <c r="H2343" s="16" t="str">
        <f>IF(B2343="","",IFERROR(A2343-LOOKUP(2,1/($B$4:$B2342=B2343),$A$4:$A2342),""))</f>
        <v/>
      </c>
      <c r="I2343" s="16" t="str">
        <f t="shared" si="36"/>
        <v/>
      </c>
      <c r="J2343" s="16"/>
      <c r="K2343" s="6" t="str">
        <f>IF(B2343="","",IFERROR(AVERAGEIFS($I$4:$I2343,$B$4:$B2343,B2343,$I$4:$I2343,"&gt;"&amp;0),""))</f>
        <v/>
      </c>
      <c r="L2343" s="16" t="str">
        <f>IF(B2343="","",IF(ISNA(MATCH(B2343,Client_List!$B:$B,0)),"⚠ NOT FOUND","✓"))</f>
        <v/>
      </c>
    </row>
    <row r="2344" spans="1:12" ht="14" customHeight="1" x14ac:dyDescent="0.2">
      <c r="A2344" s="59"/>
      <c r="B2344" s="18"/>
      <c r="C2344" s="19" t="str">
        <f>IF(B2344="","",IFERROR(INDEX(Client_List!$C:$C,MATCH(B2344,Client_List!$B:$B,0)),""))</f>
        <v/>
      </c>
      <c r="D2344" s="19" t="str">
        <f>IF(B2344="","",IFERROR(INDEX(Client_List!$D:$D,MATCH(B2344,Client_List!$B:$B,0)),""))</f>
        <v/>
      </c>
      <c r="E2344" s="19" t="str">
        <f>IF(B2344="","",IFERROR(INDEX(Client_List!$K:$K,MATCH(B2344,Client_List!$B:$B,0)),""))</f>
        <v/>
      </c>
      <c r="F2344" s="19" t="str">
        <f>IF(B2344="","",IFERROR(INDEX(Client_List!$J:$J,MATCH(B2344,Client_List!$B:$B,0)),""))</f>
        <v/>
      </c>
      <c r="G2344" s="19"/>
      <c r="H2344" s="19" t="str">
        <f>IF(B2344="","",IFERROR(A2344-LOOKUP(2,1/($B$4:$B2343=B2344),$A$4:$A2343),""))</f>
        <v/>
      </c>
      <c r="I2344" s="19" t="str">
        <f t="shared" si="36"/>
        <v/>
      </c>
      <c r="J2344" s="19"/>
      <c r="K2344" s="6" t="str">
        <f>IF(B2344="","",IFERROR(AVERAGEIFS($I$4:$I2344,$B$4:$B2344,B2344,$I$4:$I2344,"&gt;"&amp;0),""))</f>
        <v/>
      </c>
      <c r="L2344" s="19" t="str">
        <f>IF(B2344="","",IF(ISNA(MATCH(B2344,Client_List!$B:$B,0)),"⚠ NOT FOUND","✓"))</f>
        <v/>
      </c>
    </row>
    <row r="2345" spans="1:12" ht="14" customHeight="1" x14ac:dyDescent="0.2">
      <c r="A2345" s="58"/>
      <c r="B2345" s="15"/>
      <c r="C2345" s="16" t="str">
        <f>IF(B2345="","",IFERROR(INDEX(Client_List!$C:$C,MATCH(B2345,Client_List!$B:$B,0)),""))</f>
        <v/>
      </c>
      <c r="D2345" s="16" t="str">
        <f>IF(B2345="","",IFERROR(INDEX(Client_List!$D:$D,MATCH(B2345,Client_List!$B:$B,0)),""))</f>
        <v/>
      </c>
      <c r="E2345" s="16" t="str">
        <f>IF(B2345="","",IFERROR(INDEX(Client_List!$K:$K,MATCH(B2345,Client_List!$B:$B,0)),""))</f>
        <v/>
      </c>
      <c r="F2345" s="16" t="str">
        <f>IF(B2345="","",IFERROR(INDEX(Client_List!$J:$J,MATCH(B2345,Client_List!$B:$B,0)),""))</f>
        <v/>
      </c>
      <c r="G2345" s="16"/>
      <c r="H2345" s="16" t="str">
        <f>IF(B2345="","",IFERROR(A2345-LOOKUP(2,1/($B$4:$B2344=B2345),$A$4:$A2344),""))</f>
        <v/>
      </c>
      <c r="I2345" s="16" t="str">
        <f t="shared" si="36"/>
        <v/>
      </c>
      <c r="J2345" s="16"/>
      <c r="K2345" s="6" t="str">
        <f>IF(B2345="","",IFERROR(AVERAGEIFS($I$4:$I2345,$B$4:$B2345,B2345,$I$4:$I2345,"&gt;"&amp;0),""))</f>
        <v/>
      </c>
      <c r="L2345" s="16" t="str">
        <f>IF(B2345="","",IF(ISNA(MATCH(B2345,Client_List!$B:$B,0)),"⚠ NOT FOUND","✓"))</f>
        <v/>
      </c>
    </row>
    <row r="2346" spans="1:12" ht="14" customHeight="1" x14ac:dyDescent="0.2">
      <c r="A2346" s="59"/>
      <c r="B2346" s="18"/>
      <c r="C2346" s="19" t="str">
        <f>IF(B2346="","",IFERROR(INDEX(Client_List!$C:$C,MATCH(B2346,Client_List!$B:$B,0)),""))</f>
        <v/>
      </c>
      <c r="D2346" s="19" t="str">
        <f>IF(B2346="","",IFERROR(INDEX(Client_List!$D:$D,MATCH(B2346,Client_List!$B:$B,0)),""))</f>
        <v/>
      </c>
      <c r="E2346" s="19" t="str">
        <f>IF(B2346="","",IFERROR(INDEX(Client_List!$K:$K,MATCH(B2346,Client_List!$B:$B,0)),""))</f>
        <v/>
      </c>
      <c r="F2346" s="19" t="str">
        <f>IF(B2346="","",IFERROR(INDEX(Client_List!$J:$J,MATCH(B2346,Client_List!$B:$B,0)),""))</f>
        <v/>
      </c>
      <c r="G2346" s="19"/>
      <c r="H2346" s="19" t="str">
        <f>IF(B2346="","",IFERROR(A2346-LOOKUP(2,1/($B$4:$B2345=B2346),$A$4:$A2345),""))</f>
        <v/>
      </c>
      <c r="I2346" s="19" t="str">
        <f t="shared" si="36"/>
        <v/>
      </c>
      <c r="J2346" s="19"/>
      <c r="K2346" s="6" t="str">
        <f>IF(B2346="","",IFERROR(AVERAGEIFS($I$4:$I2346,$B$4:$B2346,B2346,$I$4:$I2346,"&gt;"&amp;0),""))</f>
        <v/>
      </c>
      <c r="L2346" s="19" t="str">
        <f>IF(B2346="","",IF(ISNA(MATCH(B2346,Client_List!$B:$B,0)),"⚠ NOT FOUND","✓"))</f>
        <v/>
      </c>
    </row>
    <row r="2347" spans="1:12" ht="14" customHeight="1" x14ac:dyDescent="0.2">
      <c r="A2347" s="58"/>
      <c r="B2347" s="15"/>
      <c r="C2347" s="16" t="str">
        <f>IF(B2347="","",IFERROR(INDEX(Client_List!$C:$C,MATCH(B2347,Client_List!$B:$B,0)),""))</f>
        <v/>
      </c>
      <c r="D2347" s="16" t="str">
        <f>IF(B2347="","",IFERROR(INDEX(Client_List!$D:$D,MATCH(B2347,Client_List!$B:$B,0)),""))</f>
        <v/>
      </c>
      <c r="E2347" s="16" t="str">
        <f>IF(B2347="","",IFERROR(INDEX(Client_List!$K:$K,MATCH(B2347,Client_List!$B:$B,0)),""))</f>
        <v/>
      </c>
      <c r="F2347" s="16" t="str">
        <f>IF(B2347="","",IFERROR(INDEX(Client_List!$J:$J,MATCH(B2347,Client_List!$B:$B,0)),""))</f>
        <v/>
      </c>
      <c r="G2347" s="16"/>
      <c r="H2347" s="16" t="str">
        <f>IF(B2347="","",IFERROR(A2347-LOOKUP(2,1/($B$4:$B2346=B2347),$A$4:$A2346),""))</f>
        <v/>
      </c>
      <c r="I2347" s="16" t="str">
        <f t="shared" si="36"/>
        <v/>
      </c>
      <c r="J2347" s="16"/>
      <c r="K2347" s="6" t="str">
        <f>IF(B2347="","",IFERROR(AVERAGEIFS($I$4:$I2347,$B$4:$B2347,B2347,$I$4:$I2347,"&gt;"&amp;0),""))</f>
        <v/>
      </c>
      <c r="L2347" s="16" t="str">
        <f>IF(B2347="","",IF(ISNA(MATCH(B2347,Client_List!$B:$B,0)),"⚠ NOT FOUND","✓"))</f>
        <v/>
      </c>
    </row>
    <row r="2348" spans="1:12" ht="14" customHeight="1" x14ac:dyDescent="0.2">
      <c r="A2348" s="59"/>
      <c r="B2348" s="18"/>
      <c r="C2348" s="19" t="str">
        <f>IF(B2348="","",IFERROR(INDEX(Client_List!$C:$C,MATCH(B2348,Client_List!$B:$B,0)),""))</f>
        <v/>
      </c>
      <c r="D2348" s="19" t="str">
        <f>IF(B2348="","",IFERROR(INDEX(Client_List!$D:$D,MATCH(B2348,Client_List!$B:$B,0)),""))</f>
        <v/>
      </c>
      <c r="E2348" s="19" t="str">
        <f>IF(B2348="","",IFERROR(INDEX(Client_List!$K:$K,MATCH(B2348,Client_List!$B:$B,0)),""))</f>
        <v/>
      </c>
      <c r="F2348" s="19" t="str">
        <f>IF(B2348="","",IFERROR(INDEX(Client_List!$J:$J,MATCH(B2348,Client_List!$B:$B,0)),""))</f>
        <v/>
      </c>
      <c r="G2348" s="19"/>
      <c r="H2348" s="19" t="str">
        <f>IF(B2348="","",IFERROR(A2348-LOOKUP(2,1/($B$4:$B2347=B2348),$A$4:$A2347),""))</f>
        <v/>
      </c>
      <c r="I2348" s="19" t="str">
        <f t="shared" si="36"/>
        <v/>
      </c>
      <c r="J2348" s="19"/>
      <c r="K2348" s="6" t="str">
        <f>IF(B2348="","",IFERROR(AVERAGEIFS($I$4:$I2348,$B$4:$B2348,B2348,$I$4:$I2348,"&gt;"&amp;0),""))</f>
        <v/>
      </c>
      <c r="L2348" s="19" t="str">
        <f>IF(B2348="","",IF(ISNA(MATCH(B2348,Client_List!$B:$B,0)),"⚠ NOT FOUND","✓"))</f>
        <v/>
      </c>
    </row>
    <row r="2349" spans="1:12" ht="14" customHeight="1" x14ac:dyDescent="0.2">
      <c r="A2349" s="58"/>
      <c r="B2349" s="15"/>
      <c r="C2349" s="16" t="str">
        <f>IF(B2349="","",IFERROR(INDEX(Client_List!$C:$C,MATCH(B2349,Client_List!$B:$B,0)),""))</f>
        <v/>
      </c>
      <c r="D2349" s="16" t="str">
        <f>IF(B2349="","",IFERROR(INDEX(Client_List!$D:$D,MATCH(B2349,Client_List!$B:$B,0)),""))</f>
        <v/>
      </c>
      <c r="E2349" s="16" t="str">
        <f>IF(B2349="","",IFERROR(INDEX(Client_List!$K:$K,MATCH(B2349,Client_List!$B:$B,0)),""))</f>
        <v/>
      </c>
      <c r="F2349" s="16" t="str">
        <f>IF(B2349="","",IFERROR(INDEX(Client_List!$J:$J,MATCH(B2349,Client_List!$B:$B,0)),""))</f>
        <v/>
      </c>
      <c r="G2349" s="16"/>
      <c r="H2349" s="16" t="str">
        <f>IF(B2349="","",IFERROR(A2349-LOOKUP(2,1/($B$4:$B2348=B2349),$A$4:$A2348),""))</f>
        <v/>
      </c>
      <c r="I2349" s="16" t="str">
        <f t="shared" si="36"/>
        <v/>
      </c>
      <c r="J2349" s="16"/>
      <c r="K2349" s="6" t="str">
        <f>IF(B2349="","",IFERROR(AVERAGEIFS($I$4:$I2349,$B$4:$B2349,B2349,$I$4:$I2349,"&gt;"&amp;0),""))</f>
        <v/>
      </c>
      <c r="L2349" s="16" t="str">
        <f>IF(B2349="","",IF(ISNA(MATCH(B2349,Client_List!$B:$B,0)),"⚠ NOT FOUND","✓"))</f>
        <v/>
      </c>
    </row>
    <row r="2350" spans="1:12" ht="14" customHeight="1" x14ac:dyDescent="0.2">
      <c r="A2350" s="59"/>
      <c r="B2350" s="18"/>
      <c r="C2350" s="19" t="str">
        <f>IF(B2350="","",IFERROR(INDEX(Client_List!$C:$C,MATCH(B2350,Client_List!$B:$B,0)),""))</f>
        <v/>
      </c>
      <c r="D2350" s="19" t="str">
        <f>IF(B2350="","",IFERROR(INDEX(Client_List!$D:$D,MATCH(B2350,Client_List!$B:$B,0)),""))</f>
        <v/>
      </c>
      <c r="E2350" s="19" t="str">
        <f>IF(B2350="","",IFERROR(INDEX(Client_List!$K:$K,MATCH(B2350,Client_List!$B:$B,0)),""))</f>
        <v/>
      </c>
      <c r="F2350" s="19" t="str">
        <f>IF(B2350="","",IFERROR(INDEX(Client_List!$J:$J,MATCH(B2350,Client_List!$B:$B,0)),""))</f>
        <v/>
      </c>
      <c r="G2350" s="19"/>
      <c r="H2350" s="19" t="str">
        <f>IF(B2350="","",IFERROR(A2350-LOOKUP(2,1/($B$4:$B2349=B2350),$A$4:$A2349),""))</f>
        <v/>
      </c>
      <c r="I2350" s="19" t="str">
        <f t="shared" si="36"/>
        <v/>
      </c>
      <c r="J2350" s="19"/>
      <c r="K2350" s="6" t="str">
        <f>IF(B2350="","",IFERROR(AVERAGEIFS($I$4:$I2350,$B$4:$B2350,B2350,$I$4:$I2350,"&gt;"&amp;0),""))</f>
        <v/>
      </c>
      <c r="L2350" s="19" t="str">
        <f>IF(B2350="","",IF(ISNA(MATCH(B2350,Client_List!$B:$B,0)),"⚠ NOT FOUND","✓"))</f>
        <v/>
      </c>
    </row>
    <row r="2351" spans="1:12" ht="14" customHeight="1" x14ac:dyDescent="0.2">
      <c r="A2351" s="58"/>
      <c r="B2351" s="15"/>
      <c r="C2351" s="16" t="str">
        <f>IF(B2351="","",IFERROR(INDEX(Client_List!$C:$C,MATCH(B2351,Client_List!$B:$B,0)),""))</f>
        <v/>
      </c>
      <c r="D2351" s="16" t="str">
        <f>IF(B2351="","",IFERROR(INDEX(Client_List!$D:$D,MATCH(B2351,Client_List!$B:$B,0)),""))</f>
        <v/>
      </c>
      <c r="E2351" s="16" t="str">
        <f>IF(B2351="","",IFERROR(INDEX(Client_List!$K:$K,MATCH(B2351,Client_List!$B:$B,0)),""))</f>
        <v/>
      </c>
      <c r="F2351" s="16" t="str">
        <f>IF(B2351="","",IFERROR(INDEX(Client_List!$J:$J,MATCH(B2351,Client_List!$B:$B,0)),""))</f>
        <v/>
      </c>
      <c r="G2351" s="16"/>
      <c r="H2351" s="16" t="str">
        <f>IF(B2351="","",IFERROR(A2351-LOOKUP(2,1/($B$4:$B2350=B2351),$A$4:$A2350),""))</f>
        <v/>
      </c>
      <c r="I2351" s="16" t="str">
        <f t="shared" si="36"/>
        <v/>
      </c>
      <c r="J2351" s="16"/>
      <c r="K2351" s="6" t="str">
        <f>IF(B2351="","",IFERROR(AVERAGEIFS($I$4:$I2351,$B$4:$B2351,B2351,$I$4:$I2351,"&gt;"&amp;0),""))</f>
        <v/>
      </c>
      <c r="L2351" s="16" t="str">
        <f>IF(B2351="","",IF(ISNA(MATCH(B2351,Client_List!$B:$B,0)),"⚠ NOT FOUND","✓"))</f>
        <v/>
      </c>
    </row>
    <row r="2352" spans="1:12" ht="14" customHeight="1" x14ac:dyDescent="0.2">
      <c r="A2352" s="59"/>
      <c r="B2352" s="18"/>
      <c r="C2352" s="19" t="str">
        <f>IF(B2352="","",IFERROR(INDEX(Client_List!$C:$C,MATCH(B2352,Client_List!$B:$B,0)),""))</f>
        <v/>
      </c>
      <c r="D2352" s="19" t="str">
        <f>IF(B2352="","",IFERROR(INDEX(Client_List!$D:$D,MATCH(B2352,Client_List!$B:$B,0)),""))</f>
        <v/>
      </c>
      <c r="E2352" s="19" t="str">
        <f>IF(B2352="","",IFERROR(INDEX(Client_List!$K:$K,MATCH(B2352,Client_List!$B:$B,0)),""))</f>
        <v/>
      </c>
      <c r="F2352" s="19" t="str">
        <f>IF(B2352="","",IFERROR(INDEX(Client_List!$J:$J,MATCH(B2352,Client_List!$B:$B,0)),""))</f>
        <v/>
      </c>
      <c r="G2352" s="19"/>
      <c r="H2352" s="19" t="str">
        <f>IF(B2352="","",IFERROR(A2352-LOOKUP(2,1/($B$4:$B2351=B2352),$A$4:$A2351),""))</f>
        <v/>
      </c>
      <c r="I2352" s="19" t="str">
        <f t="shared" si="36"/>
        <v/>
      </c>
      <c r="J2352" s="19"/>
      <c r="K2352" s="6" t="str">
        <f>IF(B2352="","",IFERROR(AVERAGEIFS($I$4:$I2352,$B$4:$B2352,B2352,$I$4:$I2352,"&gt;"&amp;0),""))</f>
        <v/>
      </c>
      <c r="L2352" s="19" t="str">
        <f>IF(B2352="","",IF(ISNA(MATCH(B2352,Client_List!$B:$B,0)),"⚠ NOT FOUND","✓"))</f>
        <v/>
      </c>
    </row>
    <row r="2353" spans="1:12" ht="14" customHeight="1" x14ac:dyDescent="0.2">
      <c r="A2353" s="58"/>
      <c r="B2353" s="15"/>
      <c r="C2353" s="16" t="str">
        <f>IF(B2353="","",IFERROR(INDEX(Client_List!$C:$C,MATCH(B2353,Client_List!$B:$B,0)),""))</f>
        <v/>
      </c>
      <c r="D2353" s="16" t="str">
        <f>IF(B2353="","",IFERROR(INDEX(Client_List!$D:$D,MATCH(B2353,Client_List!$B:$B,0)),""))</f>
        <v/>
      </c>
      <c r="E2353" s="16" t="str">
        <f>IF(B2353="","",IFERROR(INDEX(Client_List!$K:$K,MATCH(B2353,Client_List!$B:$B,0)),""))</f>
        <v/>
      </c>
      <c r="F2353" s="16" t="str">
        <f>IF(B2353="","",IFERROR(INDEX(Client_List!$J:$J,MATCH(B2353,Client_List!$B:$B,0)),""))</f>
        <v/>
      </c>
      <c r="G2353" s="16"/>
      <c r="H2353" s="16" t="str">
        <f>IF(B2353="","",IFERROR(A2353-LOOKUP(2,1/($B$4:$B2352=B2353),$A$4:$A2352),""))</f>
        <v/>
      </c>
      <c r="I2353" s="16" t="str">
        <f t="shared" si="36"/>
        <v/>
      </c>
      <c r="J2353" s="16"/>
      <c r="K2353" s="6" t="str">
        <f>IF(B2353="","",IFERROR(AVERAGEIFS($I$4:$I2353,$B$4:$B2353,B2353,$I$4:$I2353,"&gt;"&amp;0),""))</f>
        <v/>
      </c>
      <c r="L2353" s="16" t="str">
        <f>IF(B2353="","",IF(ISNA(MATCH(B2353,Client_List!$B:$B,0)),"⚠ NOT FOUND","✓"))</f>
        <v/>
      </c>
    </row>
    <row r="2354" spans="1:12" ht="14" customHeight="1" x14ac:dyDescent="0.2">
      <c r="A2354" s="59"/>
      <c r="B2354" s="18"/>
      <c r="C2354" s="19" t="str">
        <f>IF(B2354="","",IFERROR(INDEX(Client_List!$C:$C,MATCH(B2354,Client_List!$B:$B,0)),""))</f>
        <v/>
      </c>
      <c r="D2354" s="19" t="str">
        <f>IF(B2354="","",IFERROR(INDEX(Client_List!$D:$D,MATCH(B2354,Client_List!$B:$B,0)),""))</f>
        <v/>
      </c>
      <c r="E2354" s="19" t="str">
        <f>IF(B2354="","",IFERROR(INDEX(Client_List!$K:$K,MATCH(B2354,Client_List!$B:$B,0)),""))</f>
        <v/>
      </c>
      <c r="F2354" s="19" t="str">
        <f>IF(B2354="","",IFERROR(INDEX(Client_List!$J:$J,MATCH(B2354,Client_List!$B:$B,0)),""))</f>
        <v/>
      </c>
      <c r="G2354" s="19"/>
      <c r="H2354" s="19" t="str">
        <f>IF(B2354="","",IFERROR(A2354-LOOKUP(2,1/($B$4:$B2353=B2354),$A$4:$A2353),""))</f>
        <v/>
      </c>
      <c r="I2354" s="19" t="str">
        <f t="shared" si="36"/>
        <v/>
      </c>
      <c r="J2354" s="19"/>
      <c r="K2354" s="6" t="str">
        <f>IF(B2354="","",IFERROR(AVERAGEIFS($I$4:$I2354,$B$4:$B2354,B2354,$I$4:$I2354,"&gt;"&amp;0),""))</f>
        <v/>
      </c>
      <c r="L2354" s="19" t="str">
        <f>IF(B2354="","",IF(ISNA(MATCH(B2354,Client_List!$B:$B,0)),"⚠ NOT FOUND","✓"))</f>
        <v/>
      </c>
    </row>
    <row r="2355" spans="1:12" ht="14" customHeight="1" x14ac:dyDescent="0.2">
      <c r="A2355" s="58"/>
      <c r="B2355" s="15"/>
      <c r="C2355" s="16" t="str">
        <f>IF(B2355="","",IFERROR(INDEX(Client_List!$C:$C,MATCH(B2355,Client_List!$B:$B,0)),""))</f>
        <v/>
      </c>
      <c r="D2355" s="16" t="str">
        <f>IF(B2355="","",IFERROR(INDEX(Client_List!$D:$D,MATCH(B2355,Client_List!$B:$B,0)),""))</f>
        <v/>
      </c>
      <c r="E2355" s="16" t="str">
        <f>IF(B2355="","",IFERROR(INDEX(Client_List!$K:$K,MATCH(B2355,Client_List!$B:$B,0)),""))</f>
        <v/>
      </c>
      <c r="F2355" s="16" t="str">
        <f>IF(B2355="","",IFERROR(INDEX(Client_List!$J:$J,MATCH(B2355,Client_List!$B:$B,0)),""))</f>
        <v/>
      </c>
      <c r="G2355" s="16"/>
      <c r="H2355" s="16" t="str">
        <f>IF(B2355="","",IFERROR(A2355-LOOKUP(2,1/($B$4:$B2354=B2355),$A$4:$A2354),""))</f>
        <v/>
      </c>
      <c r="I2355" s="16" t="str">
        <f t="shared" si="36"/>
        <v/>
      </c>
      <c r="J2355" s="16"/>
      <c r="K2355" s="6" t="str">
        <f>IF(B2355="","",IFERROR(AVERAGEIFS($I$4:$I2355,$B$4:$B2355,B2355,$I$4:$I2355,"&gt;"&amp;0),""))</f>
        <v/>
      </c>
      <c r="L2355" s="16" t="str">
        <f>IF(B2355="","",IF(ISNA(MATCH(B2355,Client_List!$B:$B,0)),"⚠ NOT FOUND","✓"))</f>
        <v/>
      </c>
    </row>
    <row r="2356" spans="1:12" ht="14" customHeight="1" x14ac:dyDescent="0.2">
      <c r="A2356" s="59"/>
      <c r="B2356" s="18"/>
      <c r="C2356" s="19" t="str">
        <f>IF(B2356="","",IFERROR(INDEX(Client_List!$C:$C,MATCH(B2356,Client_List!$B:$B,0)),""))</f>
        <v/>
      </c>
      <c r="D2356" s="19" t="str">
        <f>IF(B2356="","",IFERROR(INDEX(Client_List!$D:$D,MATCH(B2356,Client_List!$B:$B,0)),""))</f>
        <v/>
      </c>
      <c r="E2356" s="19" t="str">
        <f>IF(B2356="","",IFERROR(INDEX(Client_List!$K:$K,MATCH(B2356,Client_List!$B:$B,0)),""))</f>
        <v/>
      </c>
      <c r="F2356" s="19" t="str">
        <f>IF(B2356="","",IFERROR(INDEX(Client_List!$J:$J,MATCH(B2356,Client_List!$B:$B,0)),""))</f>
        <v/>
      </c>
      <c r="G2356" s="19"/>
      <c r="H2356" s="19" t="str">
        <f>IF(B2356="","",IFERROR(A2356-LOOKUP(2,1/($B$4:$B2355=B2356),$A$4:$A2355),""))</f>
        <v/>
      </c>
      <c r="I2356" s="19" t="str">
        <f t="shared" si="36"/>
        <v/>
      </c>
      <c r="J2356" s="19"/>
      <c r="K2356" s="6" t="str">
        <f>IF(B2356="","",IFERROR(AVERAGEIFS($I$4:$I2356,$B$4:$B2356,B2356,$I$4:$I2356,"&gt;"&amp;0),""))</f>
        <v/>
      </c>
      <c r="L2356" s="19" t="str">
        <f>IF(B2356="","",IF(ISNA(MATCH(B2356,Client_List!$B:$B,0)),"⚠ NOT FOUND","✓"))</f>
        <v/>
      </c>
    </row>
    <row r="2357" spans="1:12" ht="14" customHeight="1" x14ac:dyDescent="0.2">
      <c r="A2357" s="58"/>
      <c r="B2357" s="15"/>
      <c r="C2357" s="16" t="str">
        <f>IF(B2357="","",IFERROR(INDEX(Client_List!$C:$C,MATCH(B2357,Client_List!$B:$B,0)),""))</f>
        <v/>
      </c>
      <c r="D2357" s="16" t="str">
        <f>IF(B2357="","",IFERROR(INDEX(Client_List!$D:$D,MATCH(B2357,Client_List!$B:$B,0)),""))</f>
        <v/>
      </c>
      <c r="E2357" s="16" t="str">
        <f>IF(B2357="","",IFERROR(INDEX(Client_List!$K:$K,MATCH(B2357,Client_List!$B:$B,0)),""))</f>
        <v/>
      </c>
      <c r="F2357" s="16" t="str">
        <f>IF(B2357="","",IFERROR(INDEX(Client_List!$J:$J,MATCH(B2357,Client_List!$B:$B,0)),""))</f>
        <v/>
      </c>
      <c r="G2357" s="16"/>
      <c r="H2357" s="16" t="str">
        <f>IF(B2357="","",IFERROR(A2357-LOOKUP(2,1/($B$4:$B2356=B2357),$A$4:$A2356),""))</f>
        <v/>
      </c>
      <c r="I2357" s="16" t="str">
        <f t="shared" si="36"/>
        <v/>
      </c>
      <c r="J2357" s="16"/>
      <c r="K2357" s="6" t="str">
        <f>IF(B2357="","",IFERROR(AVERAGEIFS($I$4:$I2357,$B$4:$B2357,B2357,$I$4:$I2357,"&gt;"&amp;0),""))</f>
        <v/>
      </c>
      <c r="L2357" s="16" t="str">
        <f>IF(B2357="","",IF(ISNA(MATCH(B2357,Client_List!$B:$B,0)),"⚠ NOT FOUND","✓"))</f>
        <v/>
      </c>
    </row>
    <row r="2358" spans="1:12" ht="14" customHeight="1" x14ac:dyDescent="0.2">
      <c r="A2358" s="59"/>
      <c r="B2358" s="18"/>
      <c r="C2358" s="19" t="str">
        <f>IF(B2358="","",IFERROR(INDEX(Client_List!$C:$C,MATCH(B2358,Client_List!$B:$B,0)),""))</f>
        <v/>
      </c>
      <c r="D2358" s="19" t="str">
        <f>IF(B2358="","",IFERROR(INDEX(Client_List!$D:$D,MATCH(B2358,Client_List!$B:$B,0)),""))</f>
        <v/>
      </c>
      <c r="E2358" s="19" t="str">
        <f>IF(B2358="","",IFERROR(INDEX(Client_List!$K:$K,MATCH(B2358,Client_List!$B:$B,0)),""))</f>
        <v/>
      </c>
      <c r="F2358" s="19" t="str">
        <f>IF(B2358="","",IFERROR(INDEX(Client_List!$J:$J,MATCH(B2358,Client_List!$B:$B,0)),""))</f>
        <v/>
      </c>
      <c r="G2358" s="19"/>
      <c r="H2358" s="19" t="str">
        <f>IF(B2358="","",IFERROR(A2358-LOOKUP(2,1/($B$4:$B2357=B2358),$A$4:$A2357),""))</f>
        <v/>
      </c>
      <c r="I2358" s="19" t="str">
        <f t="shared" si="36"/>
        <v/>
      </c>
      <c r="J2358" s="19"/>
      <c r="K2358" s="6" t="str">
        <f>IF(B2358="","",IFERROR(AVERAGEIFS($I$4:$I2358,$B$4:$B2358,B2358,$I$4:$I2358,"&gt;"&amp;0),""))</f>
        <v/>
      </c>
      <c r="L2358" s="19" t="str">
        <f>IF(B2358="","",IF(ISNA(MATCH(B2358,Client_List!$B:$B,0)),"⚠ NOT FOUND","✓"))</f>
        <v/>
      </c>
    </row>
    <row r="2359" spans="1:12" ht="14" customHeight="1" x14ac:dyDescent="0.2">
      <c r="A2359" s="58"/>
      <c r="B2359" s="15"/>
      <c r="C2359" s="16" t="str">
        <f>IF(B2359="","",IFERROR(INDEX(Client_List!$C:$C,MATCH(B2359,Client_List!$B:$B,0)),""))</f>
        <v/>
      </c>
      <c r="D2359" s="16" t="str">
        <f>IF(B2359="","",IFERROR(INDEX(Client_List!$D:$D,MATCH(B2359,Client_List!$B:$B,0)),""))</f>
        <v/>
      </c>
      <c r="E2359" s="16" t="str">
        <f>IF(B2359="","",IFERROR(INDEX(Client_List!$K:$K,MATCH(B2359,Client_List!$B:$B,0)),""))</f>
        <v/>
      </c>
      <c r="F2359" s="16" t="str">
        <f>IF(B2359="","",IFERROR(INDEX(Client_List!$J:$J,MATCH(B2359,Client_List!$B:$B,0)),""))</f>
        <v/>
      </c>
      <c r="G2359" s="16"/>
      <c r="H2359" s="16" t="str">
        <f>IF(B2359="","",IFERROR(A2359-LOOKUP(2,1/($B$4:$B2358=B2359),$A$4:$A2358),""))</f>
        <v/>
      </c>
      <c r="I2359" s="16" t="str">
        <f t="shared" si="36"/>
        <v/>
      </c>
      <c r="J2359" s="16"/>
      <c r="K2359" s="6" t="str">
        <f>IF(B2359="","",IFERROR(AVERAGEIFS($I$4:$I2359,$B$4:$B2359,B2359,$I$4:$I2359,"&gt;"&amp;0),""))</f>
        <v/>
      </c>
      <c r="L2359" s="16" t="str">
        <f>IF(B2359="","",IF(ISNA(MATCH(B2359,Client_List!$B:$B,0)),"⚠ NOT FOUND","✓"))</f>
        <v/>
      </c>
    </row>
    <row r="2360" spans="1:12" ht="14" customHeight="1" x14ac:dyDescent="0.2">
      <c r="A2360" s="59"/>
      <c r="B2360" s="18"/>
      <c r="C2360" s="19" t="str">
        <f>IF(B2360="","",IFERROR(INDEX(Client_List!$C:$C,MATCH(B2360,Client_List!$B:$B,0)),""))</f>
        <v/>
      </c>
      <c r="D2360" s="19" t="str">
        <f>IF(B2360="","",IFERROR(INDEX(Client_List!$D:$D,MATCH(B2360,Client_List!$B:$B,0)),""))</f>
        <v/>
      </c>
      <c r="E2360" s="19" t="str">
        <f>IF(B2360="","",IFERROR(INDEX(Client_List!$K:$K,MATCH(B2360,Client_List!$B:$B,0)),""))</f>
        <v/>
      </c>
      <c r="F2360" s="19" t="str">
        <f>IF(B2360="","",IFERROR(INDEX(Client_List!$J:$J,MATCH(B2360,Client_List!$B:$B,0)),""))</f>
        <v/>
      </c>
      <c r="G2360" s="19"/>
      <c r="H2360" s="19" t="str">
        <f>IF(B2360="","",IFERROR(A2360-LOOKUP(2,1/($B$4:$B2359=B2360),$A$4:$A2359),""))</f>
        <v/>
      </c>
      <c r="I2360" s="19" t="str">
        <f t="shared" si="36"/>
        <v/>
      </c>
      <c r="J2360" s="19"/>
      <c r="K2360" s="6" t="str">
        <f>IF(B2360="","",IFERROR(AVERAGEIFS($I$4:$I2360,$B$4:$B2360,B2360,$I$4:$I2360,"&gt;"&amp;0),""))</f>
        <v/>
      </c>
      <c r="L2360" s="19" t="str">
        <f>IF(B2360="","",IF(ISNA(MATCH(B2360,Client_List!$B:$B,0)),"⚠ NOT FOUND","✓"))</f>
        <v/>
      </c>
    </row>
    <row r="2361" spans="1:12" ht="14" customHeight="1" x14ac:dyDescent="0.2">
      <c r="A2361" s="58"/>
      <c r="B2361" s="15"/>
      <c r="C2361" s="16" t="str">
        <f>IF(B2361="","",IFERROR(INDEX(Client_List!$C:$C,MATCH(B2361,Client_List!$B:$B,0)),""))</f>
        <v/>
      </c>
      <c r="D2361" s="16" t="str">
        <f>IF(B2361="","",IFERROR(INDEX(Client_List!$D:$D,MATCH(B2361,Client_List!$B:$B,0)),""))</f>
        <v/>
      </c>
      <c r="E2361" s="16" t="str">
        <f>IF(B2361="","",IFERROR(INDEX(Client_List!$K:$K,MATCH(B2361,Client_List!$B:$B,0)),""))</f>
        <v/>
      </c>
      <c r="F2361" s="16" t="str">
        <f>IF(B2361="","",IFERROR(INDEX(Client_List!$J:$J,MATCH(B2361,Client_List!$B:$B,0)),""))</f>
        <v/>
      </c>
      <c r="G2361" s="16"/>
      <c r="H2361" s="16" t="str">
        <f>IF(B2361="","",IFERROR(A2361-LOOKUP(2,1/($B$4:$B2360=B2361),$A$4:$A2360),""))</f>
        <v/>
      </c>
      <c r="I2361" s="16" t="str">
        <f t="shared" si="36"/>
        <v/>
      </c>
      <c r="J2361" s="16"/>
      <c r="K2361" s="6" t="str">
        <f>IF(B2361="","",IFERROR(AVERAGEIFS($I$4:$I2361,$B$4:$B2361,B2361,$I$4:$I2361,"&gt;"&amp;0),""))</f>
        <v/>
      </c>
      <c r="L2361" s="16" t="str">
        <f>IF(B2361="","",IF(ISNA(MATCH(B2361,Client_List!$B:$B,0)),"⚠ NOT FOUND","✓"))</f>
        <v/>
      </c>
    </row>
    <row r="2362" spans="1:12" ht="14" customHeight="1" x14ac:dyDescent="0.2">
      <c r="A2362" s="59"/>
      <c r="B2362" s="18"/>
      <c r="C2362" s="19" t="str">
        <f>IF(B2362="","",IFERROR(INDEX(Client_List!$C:$C,MATCH(B2362,Client_List!$B:$B,0)),""))</f>
        <v/>
      </c>
      <c r="D2362" s="19" t="str">
        <f>IF(B2362="","",IFERROR(INDEX(Client_List!$D:$D,MATCH(B2362,Client_List!$B:$B,0)),""))</f>
        <v/>
      </c>
      <c r="E2362" s="19" t="str">
        <f>IF(B2362="","",IFERROR(INDEX(Client_List!$K:$K,MATCH(B2362,Client_List!$B:$B,0)),""))</f>
        <v/>
      </c>
      <c r="F2362" s="19" t="str">
        <f>IF(B2362="","",IFERROR(INDEX(Client_List!$J:$J,MATCH(B2362,Client_List!$B:$B,0)),""))</f>
        <v/>
      </c>
      <c r="G2362" s="19"/>
      <c r="H2362" s="19" t="str">
        <f>IF(B2362="","",IFERROR(A2362-LOOKUP(2,1/($B$4:$B2361=B2362),$A$4:$A2361),""))</f>
        <v/>
      </c>
      <c r="I2362" s="19" t="str">
        <f t="shared" si="36"/>
        <v/>
      </c>
      <c r="J2362" s="19"/>
      <c r="K2362" s="6" t="str">
        <f>IF(B2362="","",IFERROR(AVERAGEIFS($I$4:$I2362,$B$4:$B2362,B2362,$I$4:$I2362,"&gt;"&amp;0),""))</f>
        <v/>
      </c>
      <c r="L2362" s="19" t="str">
        <f>IF(B2362="","",IF(ISNA(MATCH(B2362,Client_List!$B:$B,0)),"⚠ NOT FOUND","✓"))</f>
        <v/>
      </c>
    </row>
    <row r="2363" spans="1:12" ht="14" customHeight="1" x14ac:dyDescent="0.2">
      <c r="A2363" s="58"/>
      <c r="B2363" s="15"/>
      <c r="C2363" s="16" t="str">
        <f>IF(B2363="","",IFERROR(INDEX(Client_List!$C:$C,MATCH(B2363,Client_List!$B:$B,0)),""))</f>
        <v/>
      </c>
      <c r="D2363" s="16" t="str">
        <f>IF(B2363="","",IFERROR(INDEX(Client_List!$D:$D,MATCH(B2363,Client_List!$B:$B,0)),""))</f>
        <v/>
      </c>
      <c r="E2363" s="16" t="str">
        <f>IF(B2363="","",IFERROR(INDEX(Client_List!$K:$K,MATCH(B2363,Client_List!$B:$B,0)),""))</f>
        <v/>
      </c>
      <c r="F2363" s="16" t="str">
        <f>IF(B2363="","",IFERROR(INDEX(Client_List!$J:$J,MATCH(B2363,Client_List!$B:$B,0)),""))</f>
        <v/>
      </c>
      <c r="G2363" s="16"/>
      <c r="H2363" s="16" t="str">
        <f>IF(B2363="","",IFERROR(A2363-LOOKUP(2,1/($B$4:$B2362=B2363),$A$4:$A2362),""))</f>
        <v/>
      </c>
      <c r="I2363" s="16" t="str">
        <f t="shared" si="36"/>
        <v/>
      </c>
      <c r="J2363" s="16"/>
      <c r="K2363" s="6" t="str">
        <f>IF(B2363="","",IFERROR(AVERAGEIFS($I$4:$I2363,$B$4:$B2363,B2363,$I$4:$I2363,"&gt;"&amp;0),""))</f>
        <v/>
      </c>
      <c r="L2363" s="16" t="str">
        <f>IF(B2363="","",IF(ISNA(MATCH(B2363,Client_List!$B:$B,0)),"⚠ NOT FOUND","✓"))</f>
        <v/>
      </c>
    </row>
    <row r="2364" spans="1:12" ht="14" customHeight="1" x14ac:dyDescent="0.2">
      <c r="A2364" s="59"/>
      <c r="B2364" s="18"/>
      <c r="C2364" s="19" t="str">
        <f>IF(B2364="","",IFERROR(INDEX(Client_List!$C:$C,MATCH(B2364,Client_List!$B:$B,0)),""))</f>
        <v/>
      </c>
      <c r="D2364" s="19" t="str">
        <f>IF(B2364="","",IFERROR(INDEX(Client_List!$D:$D,MATCH(B2364,Client_List!$B:$B,0)),""))</f>
        <v/>
      </c>
      <c r="E2364" s="19" t="str">
        <f>IF(B2364="","",IFERROR(INDEX(Client_List!$K:$K,MATCH(B2364,Client_List!$B:$B,0)),""))</f>
        <v/>
      </c>
      <c r="F2364" s="19" t="str">
        <f>IF(B2364="","",IFERROR(INDEX(Client_List!$J:$J,MATCH(B2364,Client_List!$B:$B,0)),""))</f>
        <v/>
      </c>
      <c r="G2364" s="19"/>
      <c r="H2364" s="19" t="str">
        <f>IF(B2364="","",IFERROR(A2364-LOOKUP(2,1/($B$4:$B2363=B2364),$A$4:$A2363),""))</f>
        <v/>
      </c>
      <c r="I2364" s="19" t="str">
        <f t="shared" si="36"/>
        <v/>
      </c>
      <c r="J2364" s="19"/>
      <c r="K2364" s="6" t="str">
        <f>IF(B2364="","",IFERROR(AVERAGEIFS($I$4:$I2364,$B$4:$B2364,B2364,$I$4:$I2364,"&gt;"&amp;0),""))</f>
        <v/>
      </c>
      <c r="L2364" s="19" t="str">
        <f>IF(B2364="","",IF(ISNA(MATCH(B2364,Client_List!$B:$B,0)),"⚠ NOT FOUND","✓"))</f>
        <v/>
      </c>
    </row>
    <row r="2365" spans="1:12" ht="14" customHeight="1" x14ac:dyDescent="0.2">
      <c r="A2365" s="58"/>
      <c r="B2365" s="15"/>
      <c r="C2365" s="16" t="str">
        <f>IF(B2365="","",IFERROR(INDEX(Client_List!$C:$C,MATCH(B2365,Client_List!$B:$B,0)),""))</f>
        <v/>
      </c>
      <c r="D2365" s="16" t="str">
        <f>IF(B2365="","",IFERROR(INDEX(Client_List!$D:$D,MATCH(B2365,Client_List!$B:$B,0)),""))</f>
        <v/>
      </c>
      <c r="E2365" s="16" t="str">
        <f>IF(B2365="","",IFERROR(INDEX(Client_List!$K:$K,MATCH(B2365,Client_List!$B:$B,0)),""))</f>
        <v/>
      </c>
      <c r="F2365" s="16" t="str">
        <f>IF(B2365="","",IFERROR(INDEX(Client_List!$J:$J,MATCH(B2365,Client_List!$B:$B,0)),""))</f>
        <v/>
      </c>
      <c r="G2365" s="16"/>
      <c r="H2365" s="16" t="str">
        <f>IF(B2365="","",IFERROR(A2365-LOOKUP(2,1/($B$4:$B2364=B2365),$A$4:$A2364),""))</f>
        <v/>
      </c>
      <c r="I2365" s="16" t="str">
        <f t="shared" si="36"/>
        <v/>
      </c>
      <c r="J2365" s="16"/>
      <c r="K2365" s="6" t="str">
        <f>IF(B2365="","",IFERROR(AVERAGEIFS($I$4:$I2365,$B$4:$B2365,B2365,$I$4:$I2365,"&gt;"&amp;0),""))</f>
        <v/>
      </c>
      <c r="L2365" s="16" t="str">
        <f>IF(B2365="","",IF(ISNA(MATCH(B2365,Client_List!$B:$B,0)),"⚠ NOT FOUND","✓"))</f>
        <v/>
      </c>
    </row>
    <row r="2366" spans="1:12" ht="14" customHeight="1" x14ac:dyDescent="0.2">
      <c r="A2366" s="59"/>
      <c r="B2366" s="18"/>
      <c r="C2366" s="19" t="str">
        <f>IF(B2366="","",IFERROR(INDEX(Client_List!$C:$C,MATCH(B2366,Client_List!$B:$B,0)),""))</f>
        <v/>
      </c>
      <c r="D2366" s="19" t="str">
        <f>IF(B2366="","",IFERROR(INDEX(Client_List!$D:$D,MATCH(B2366,Client_List!$B:$B,0)),""))</f>
        <v/>
      </c>
      <c r="E2366" s="19" t="str">
        <f>IF(B2366="","",IFERROR(INDEX(Client_List!$K:$K,MATCH(B2366,Client_List!$B:$B,0)),""))</f>
        <v/>
      </c>
      <c r="F2366" s="19" t="str">
        <f>IF(B2366="","",IFERROR(INDEX(Client_List!$J:$J,MATCH(B2366,Client_List!$B:$B,0)),""))</f>
        <v/>
      </c>
      <c r="G2366" s="19"/>
      <c r="H2366" s="19" t="str">
        <f>IF(B2366="","",IFERROR(A2366-LOOKUP(2,1/($B$4:$B2365=B2366),$A$4:$A2365),""))</f>
        <v/>
      </c>
      <c r="I2366" s="19" t="str">
        <f t="shared" si="36"/>
        <v/>
      </c>
      <c r="J2366" s="19"/>
      <c r="K2366" s="6" t="str">
        <f>IF(B2366="","",IFERROR(AVERAGEIFS($I$4:$I2366,$B$4:$B2366,B2366,$I$4:$I2366,"&gt;"&amp;0),""))</f>
        <v/>
      </c>
      <c r="L2366" s="19" t="str">
        <f>IF(B2366="","",IF(ISNA(MATCH(B2366,Client_List!$B:$B,0)),"⚠ NOT FOUND","✓"))</f>
        <v/>
      </c>
    </row>
    <row r="2367" spans="1:12" ht="14" customHeight="1" x14ac:dyDescent="0.2">
      <c r="A2367" s="58"/>
      <c r="B2367" s="15"/>
      <c r="C2367" s="16" t="str">
        <f>IF(B2367="","",IFERROR(INDEX(Client_List!$C:$C,MATCH(B2367,Client_List!$B:$B,0)),""))</f>
        <v/>
      </c>
      <c r="D2367" s="16" t="str">
        <f>IF(B2367="","",IFERROR(INDEX(Client_List!$D:$D,MATCH(B2367,Client_List!$B:$B,0)),""))</f>
        <v/>
      </c>
      <c r="E2367" s="16" t="str">
        <f>IF(B2367="","",IFERROR(INDEX(Client_List!$K:$K,MATCH(B2367,Client_List!$B:$B,0)),""))</f>
        <v/>
      </c>
      <c r="F2367" s="16" t="str">
        <f>IF(B2367="","",IFERROR(INDEX(Client_List!$J:$J,MATCH(B2367,Client_List!$B:$B,0)),""))</f>
        <v/>
      </c>
      <c r="G2367" s="16"/>
      <c r="H2367" s="16" t="str">
        <f>IF(B2367="","",IFERROR(A2367-LOOKUP(2,1/($B$4:$B2366=B2367),$A$4:$A2366),""))</f>
        <v/>
      </c>
      <c r="I2367" s="16" t="str">
        <f t="shared" si="36"/>
        <v/>
      </c>
      <c r="J2367" s="16"/>
      <c r="K2367" s="6" t="str">
        <f>IF(B2367="","",IFERROR(AVERAGEIFS($I$4:$I2367,$B$4:$B2367,B2367,$I$4:$I2367,"&gt;"&amp;0),""))</f>
        <v/>
      </c>
      <c r="L2367" s="16" t="str">
        <f>IF(B2367="","",IF(ISNA(MATCH(B2367,Client_List!$B:$B,0)),"⚠ NOT FOUND","✓"))</f>
        <v/>
      </c>
    </row>
    <row r="2368" spans="1:12" ht="14" customHeight="1" x14ac:dyDescent="0.2">
      <c r="A2368" s="59"/>
      <c r="B2368" s="18"/>
      <c r="C2368" s="19" t="str">
        <f>IF(B2368="","",IFERROR(INDEX(Client_List!$C:$C,MATCH(B2368,Client_List!$B:$B,0)),""))</f>
        <v/>
      </c>
      <c r="D2368" s="19" t="str">
        <f>IF(B2368="","",IFERROR(INDEX(Client_List!$D:$D,MATCH(B2368,Client_List!$B:$B,0)),""))</f>
        <v/>
      </c>
      <c r="E2368" s="19" t="str">
        <f>IF(B2368="","",IFERROR(INDEX(Client_List!$K:$K,MATCH(B2368,Client_List!$B:$B,0)),""))</f>
        <v/>
      </c>
      <c r="F2368" s="19" t="str">
        <f>IF(B2368="","",IFERROR(INDEX(Client_List!$J:$J,MATCH(B2368,Client_List!$B:$B,0)),""))</f>
        <v/>
      </c>
      <c r="G2368" s="19"/>
      <c r="H2368" s="19" t="str">
        <f>IF(B2368="","",IFERROR(A2368-LOOKUP(2,1/($B$4:$B2367=B2368),$A$4:$A2367),""))</f>
        <v/>
      </c>
      <c r="I2368" s="19" t="str">
        <f t="shared" si="36"/>
        <v/>
      </c>
      <c r="J2368" s="19"/>
      <c r="K2368" s="6" t="str">
        <f>IF(B2368="","",IFERROR(AVERAGEIFS($I$4:$I2368,$B$4:$B2368,B2368,$I$4:$I2368,"&gt;"&amp;0),""))</f>
        <v/>
      </c>
      <c r="L2368" s="19" t="str">
        <f>IF(B2368="","",IF(ISNA(MATCH(B2368,Client_List!$B:$B,0)),"⚠ NOT FOUND","✓"))</f>
        <v/>
      </c>
    </row>
    <row r="2369" spans="1:12" ht="14" customHeight="1" x14ac:dyDescent="0.2">
      <c r="A2369" s="58"/>
      <c r="B2369" s="15"/>
      <c r="C2369" s="16" t="str">
        <f>IF(B2369="","",IFERROR(INDEX(Client_List!$C:$C,MATCH(B2369,Client_List!$B:$B,0)),""))</f>
        <v/>
      </c>
      <c r="D2369" s="16" t="str">
        <f>IF(B2369="","",IFERROR(INDEX(Client_List!$D:$D,MATCH(B2369,Client_List!$B:$B,0)),""))</f>
        <v/>
      </c>
      <c r="E2369" s="16" t="str">
        <f>IF(B2369="","",IFERROR(INDEX(Client_List!$K:$K,MATCH(B2369,Client_List!$B:$B,0)),""))</f>
        <v/>
      </c>
      <c r="F2369" s="16" t="str">
        <f>IF(B2369="","",IFERROR(INDEX(Client_List!$J:$J,MATCH(B2369,Client_List!$B:$B,0)),""))</f>
        <v/>
      </c>
      <c r="G2369" s="16"/>
      <c r="H2369" s="16" t="str">
        <f>IF(B2369="","",IFERROR(A2369-LOOKUP(2,1/($B$4:$B2368=B2369),$A$4:$A2368),""))</f>
        <v/>
      </c>
      <c r="I2369" s="16" t="str">
        <f t="shared" si="36"/>
        <v/>
      </c>
      <c r="J2369" s="16"/>
      <c r="K2369" s="6" t="str">
        <f>IF(B2369="","",IFERROR(AVERAGEIFS($I$4:$I2369,$B$4:$B2369,B2369,$I$4:$I2369,"&gt;"&amp;0),""))</f>
        <v/>
      </c>
      <c r="L2369" s="16" t="str">
        <f>IF(B2369="","",IF(ISNA(MATCH(B2369,Client_List!$B:$B,0)),"⚠ NOT FOUND","✓"))</f>
        <v/>
      </c>
    </row>
    <row r="2370" spans="1:12" ht="14" customHeight="1" x14ac:dyDescent="0.2">
      <c r="A2370" s="59"/>
      <c r="B2370" s="18"/>
      <c r="C2370" s="19" t="str">
        <f>IF(B2370="","",IFERROR(INDEX(Client_List!$C:$C,MATCH(B2370,Client_List!$B:$B,0)),""))</f>
        <v/>
      </c>
      <c r="D2370" s="19" t="str">
        <f>IF(B2370="","",IFERROR(INDEX(Client_List!$D:$D,MATCH(B2370,Client_List!$B:$B,0)),""))</f>
        <v/>
      </c>
      <c r="E2370" s="19" t="str">
        <f>IF(B2370="","",IFERROR(INDEX(Client_List!$K:$K,MATCH(B2370,Client_List!$B:$B,0)),""))</f>
        <v/>
      </c>
      <c r="F2370" s="19" t="str">
        <f>IF(B2370="","",IFERROR(INDEX(Client_List!$J:$J,MATCH(B2370,Client_List!$B:$B,0)),""))</f>
        <v/>
      </c>
      <c r="G2370" s="19"/>
      <c r="H2370" s="19" t="str">
        <f>IF(B2370="","",IFERROR(A2370-LOOKUP(2,1/($B$4:$B2369=B2370),$A$4:$A2369),""))</f>
        <v/>
      </c>
      <c r="I2370" s="19" t="str">
        <f t="shared" si="36"/>
        <v/>
      </c>
      <c r="J2370" s="19"/>
      <c r="K2370" s="6" t="str">
        <f>IF(B2370="","",IFERROR(AVERAGEIFS($I$4:$I2370,$B$4:$B2370,B2370,$I$4:$I2370,"&gt;"&amp;0),""))</f>
        <v/>
      </c>
      <c r="L2370" s="19" t="str">
        <f>IF(B2370="","",IF(ISNA(MATCH(B2370,Client_List!$B:$B,0)),"⚠ NOT FOUND","✓"))</f>
        <v/>
      </c>
    </row>
    <row r="2371" spans="1:12" ht="14" customHeight="1" x14ac:dyDescent="0.2">
      <c r="A2371" s="58"/>
      <c r="B2371" s="15"/>
      <c r="C2371" s="16" t="str">
        <f>IF(B2371="","",IFERROR(INDEX(Client_List!$C:$C,MATCH(B2371,Client_List!$B:$B,0)),""))</f>
        <v/>
      </c>
      <c r="D2371" s="16" t="str">
        <f>IF(B2371="","",IFERROR(INDEX(Client_List!$D:$D,MATCH(B2371,Client_List!$B:$B,0)),""))</f>
        <v/>
      </c>
      <c r="E2371" s="16" t="str">
        <f>IF(B2371="","",IFERROR(INDEX(Client_List!$K:$K,MATCH(B2371,Client_List!$B:$B,0)),""))</f>
        <v/>
      </c>
      <c r="F2371" s="16" t="str">
        <f>IF(B2371="","",IFERROR(INDEX(Client_List!$J:$J,MATCH(B2371,Client_List!$B:$B,0)),""))</f>
        <v/>
      </c>
      <c r="G2371" s="16"/>
      <c r="H2371" s="16" t="str">
        <f>IF(B2371="","",IFERROR(A2371-LOOKUP(2,1/($B$4:$B2370=B2371),$A$4:$A2370),""))</f>
        <v/>
      </c>
      <c r="I2371" s="16" t="str">
        <f t="shared" si="36"/>
        <v/>
      </c>
      <c r="J2371" s="16"/>
      <c r="K2371" s="6" t="str">
        <f>IF(B2371="","",IFERROR(AVERAGEIFS($I$4:$I2371,$B$4:$B2371,B2371,$I$4:$I2371,"&gt;"&amp;0),""))</f>
        <v/>
      </c>
      <c r="L2371" s="16" t="str">
        <f>IF(B2371="","",IF(ISNA(MATCH(B2371,Client_List!$B:$B,0)),"⚠ NOT FOUND","✓"))</f>
        <v/>
      </c>
    </row>
    <row r="2372" spans="1:12" ht="14" customHeight="1" x14ac:dyDescent="0.2">
      <c r="A2372" s="59"/>
      <c r="B2372" s="18"/>
      <c r="C2372" s="19" t="str">
        <f>IF(B2372="","",IFERROR(INDEX(Client_List!$C:$C,MATCH(B2372,Client_List!$B:$B,0)),""))</f>
        <v/>
      </c>
      <c r="D2372" s="19" t="str">
        <f>IF(B2372="","",IFERROR(INDEX(Client_List!$D:$D,MATCH(B2372,Client_List!$B:$B,0)),""))</f>
        <v/>
      </c>
      <c r="E2372" s="19" t="str">
        <f>IF(B2372="","",IFERROR(INDEX(Client_List!$K:$K,MATCH(B2372,Client_List!$B:$B,0)),""))</f>
        <v/>
      </c>
      <c r="F2372" s="19" t="str">
        <f>IF(B2372="","",IFERROR(INDEX(Client_List!$J:$J,MATCH(B2372,Client_List!$B:$B,0)),""))</f>
        <v/>
      </c>
      <c r="G2372" s="19"/>
      <c r="H2372" s="19" t="str">
        <f>IF(B2372="","",IFERROR(A2372-LOOKUP(2,1/($B$4:$B2371=B2372),$A$4:$A2371),""))</f>
        <v/>
      </c>
      <c r="I2372" s="19" t="str">
        <f t="shared" ref="I2372:I2435" si="37">IF(B2372="","",IFERROR(G2372/H2372,""))</f>
        <v/>
      </c>
      <c r="J2372" s="19"/>
      <c r="K2372" s="6" t="str">
        <f>IF(B2372="","",IFERROR(AVERAGEIFS($I$4:$I2372,$B$4:$B2372,B2372,$I$4:$I2372,"&gt;"&amp;0),""))</f>
        <v/>
      </c>
      <c r="L2372" s="19" t="str">
        <f>IF(B2372="","",IF(ISNA(MATCH(B2372,Client_List!$B:$B,0)),"⚠ NOT FOUND","✓"))</f>
        <v/>
      </c>
    </row>
    <row r="2373" spans="1:12" ht="14" customHeight="1" x14ac:dyDescent="0.2">
      <c r="A2373" s="58"/>
      <c r="B2373" s="15"/>
      <c r="C2373" s="16" t="str">
        <f>IF(B2373="","",IFERROR(INDEX(Client_List!$C:$C,MATCH(B2373,Client_List!$B:$B,0)),""))</f>
        <v/>
      </c>
      <c r="D2373" s="16" t="str">
        <f>IF(B2373="","",IFERROR(INDEX(Client_List!$D:$D,MATCH(B2373,Client_List!$B:$B,0)),""))</f>
        <v/>
      </c>
      <c r="E2373" s="16" t="str">
        <f>IF(B2373="","",IFERROR(INDEX(Client_List!$K:$K,MATCH(B2373,Client_List!$B:$B,0)),""))</f>
        <v/>
      </c>
      <c r="F2373" s="16" t="str">
        <f>IF(B2373="","",IFERROR(INDEX(Client_List!$J:$J,MATCH(B2373,Client_List!$B:$B,0)),""))</f>
        <v/>
      </c>
      <c r="G2373" s="16"/>
      <c r="H2373" s="16" t="str">
        <f>IF(B2373="","",IFERROR(A2373-LOOKUP(2,1/($B$4:$B2372=B2373),$A$4:$A2372),""))</f>
        <v/>
      </c>
      <c r="I2373" s="16" t="str">
        <f t="shared" si="37"/>
        <v/>
      </c>
      <c r="J2373" s="16"/>
      <c r="K2373" s="6" t="str">
        <f>IF(B2373="","",IFERROR(AVERAGEIFS($I$4:$I2373,$B$4:$B2373,B2373,$I$4:$I2373,"&gt;"&amp;0),""))</f>
        <v/>
      </c>
      <c r="L2373" s="16" t="str">
        <f>IF(B2373="","",IF(ISNA(MATCH(B2373,Client_List!$B:$B,0)),"⚠ NOT FOUND","✓"))</f>
        <v/>
      </c>
    </row>
    <row r="2374" spans="1:12" ht="14" customHeight="1" x14ac:dyDescent="0.2">
      <c r="A2374" s="59"/>
      <c r="B2374" s="18"/>
      <c r="C2374" s="19" t="str">
        <f>IF(B2374="","",IFERROR(INDEX(Client_List!$C:$C,MATCH(B2374,Client_List!$B:$B,0)),""))</f>
        <v/>
      </c>
      <c r="D2374" s="19" t="str">
        <f>IF(B2374="","",IFERROR(INDEX(Client_List!$D:$D,MATCH(B2374,Client_List!$B:$B,0)),""))</f>
        <v/>
      </c>
      <c r="E2374" s="19" t="str">
        <f>IF(B2374="","",IFERROR(INDEX(Client_List!$K:$K,MATCH(B2374,Client_List!$B:$B,0)),""))</f>
        <v/>
      </c>
      <c r="F2374" s="19" t="str">
        <f>IF(B2374="","",IFERROR(INDEX(Client_List!$J:$J,MATCH(B2374,Client_List!$B:$B,0)),""))</f>
        <v/>
      </c>
      <c r="G2374" s="19"/>
      <c r="H2374" s="19" t="str">
        <f>IF(B2374="","",IFERROR(A2374-LOOKUP(2,1/($B$4:$B2373=B2374),$A$4:$A2373),""))</f>
        <v/>
      </c>
      <c r="I2374" s="19" t="str">
        <f t="shared" si="37"/>
        <v/>
      </c>
      <c r="J2374" s="19"/>
      <c r="K2374" s="6" t="str">
        <f>IF(B2374="","",IFERROR(AVERAGEIFS($I$4:$I2374,$B$4:$B2374,B2374,$I$4:$I2374,"&gt;"&amp;0),""))</f>
        <v/>
      </c>
      <c r="L2374" s="19" t="str">
        <f>IF(B2374="","",IF(ISNA(MATCH(B2374,Client_List!$B:$B,0)),"⚠ NOT FOUND","✓"))</f>
        <v/>
      </c>
    </row>
    <row r="2375" spans="1:12" ht="14" customHeight="1" x14ac:dyDescent="0.2">
      <c r="A2375" s="58"/>
      <c r="B2375" s="15"/>
      <c r="C2375" s="16" t="str">
        <f>IF(B2375="","",IFERROR(INDEX(Client_List!$C:$C,MATCH(B2375,Client_List!$B:$B,0)),""))</f>
        <v/>
      </c>
      <c r="D2375" s="16" t="str">
        <f>IF(B2375="","",IFERROR(INDEX(Client_List!$D:$D,MATCH(B2375,Client_List!$B:$B,0)),""))</f>
        <v/>
      </c>
      <c r="E2375" s="16" t="str">
        <f>IF(B2375="","",IFERROR(INDEX(Client_List!$K:$K,MATCH(B2375,Client_List!$B:$B,0)),""))</f>
        <v/>
      </c>
      <c r="F2375" s="16" t="str">
        <f>IF(B2375="","",IFERROR(INDEX(Client_List!$J:$J,MATCH(B2375,Client_List!$B:$B,0)),""))</f>
        <v/>
      </c>
      <c r="G2375" s="16"/>
      <c r="H2375" s="16" t="str">
        <f>IF(B2375="","",IFERROR(A2375-LOOKUP(2,1/($B$4:$B2374=B2375),$A$4:$A2374),""))</f>
        <v/>
      </c>
      <c r="I2375" s="16" t="str">
        <f t="shared" si="37"/>
        <v/>
      </c>
      <c r="J2375" s="16"/>
      <c r="K2375" s="6" t="str">
        <f>IF(B2375="","",IFERROR(AVERAGEIFS($I$4:$I2375,$B$4:$B2375,B2375,$I$4:$I2375,"&gt;"&amp;0),""))</f>
        <v/>
      </c>
      <c r="L2375" s="16" t="str">
        <f>IF(B2375="","",IF(ISNA(MATCH(B2375,Client_List!$B:$B,0)),"⚠ NOT FOUND","✓"))</f>
        <v/>
      </c>
    </row>
    <row r="2376" spans="1:12" ht="14" customHeight="1" x14ac:dyDescent="0.2">
      <c r="A2376" s="59"/>
      <c r="B2376" s="18"/>
      <c r="C2376" s="19" t="str">
        <f>IF(B2376="","",IFERROR(INDEX(Client_List!$C:$C,MATCH(B2376,Client_List!$B:$B,0)),""))</f>
        <v/>
      </c>
      <c r="D2376" s="19" t="str">
        <f>IF(B2376="","",IFERROR(INDEX(Client_List!$D:$D,MATCH(B2376,Client_List!$B:$B,0)),""))</f>
        <v/>
      </c>
      <c r="E2376" s="19" t="str">
        <f>IF(B2376="","",IFERROR(INDEX(Client_List!$K:$K,MATCH(B2376,Client_List!$B:$B,0)),""))</f>
        <v/>
      </c>
      <c r="F2376" s="19" t="str">
        <f>IF(B2376="","",IFERROR(INDEX(Client_List!$J:$J,MATCH(B2376,Client_List!$B:$B,0)),""))</f>
        <v/>
      </c>
      <c r="G2376" s="19"/>
      <c r="H2376" s="19" t="str">
        <f>IF(B2376="","",IFERROR(A2376-LOOKUP(2,1/($B$4:$B2375=B2376),$A$4:$A2375),""))</f>
        <v/>
      </c>
      <c r="I2376" s="19" t="str">
        <f t="shared" si="37"/>
        <v/>
      </c>
      <c r="J2376" s="19"/>
      <c r="K2376" s="6" t="str">
        <f>IF(B2376="","",IFERROR(AVERAGEIFS($I$4:$I2376,$B$4:$B2376,B2376,$I$4:$I2376,"&gt;"&amp;0),""))</f>
        <v/>
      </c>
      <c r="L2376" s="19" t="str">
        <f>IF(B2376="","",IF(ISNA(MATCH(B2376,Client_List!$B:$B,0)),"⚠ NOT FOUND","✓"))</f>
        <v/>
      </c>
    </row>
    <row r="2377" spans="1:12" ht="14" customHeight="1" x14ac:dyDescent="0.2">
      <c r="A2377" s="58"/>
      <c r="B2377" s="15"/>
      <c r="C2377" s="16" t="str">
        <f>IF(B2377="","",IFERROR(INDEX(Client_List!$C:$C,MATCH(B2377,Client_List!$B:$B,0)),""))</f>
        <v/>
      </c>
      <c r="D2377" s="16" t="str">
        <f>IF(B2377="","",IFERROR(INDEX(Client_List!$D:$D,MATCH(B2377,Client_List!$B:$B,0)),""))</f>
        <v/>
      </c>
      <c r="E2377" s="16" t="str">
        <f>IF(B2377="","",IFERROR(INDEX(Client_List!$K:$K,MATCH(B2377,Client_List!$B:$B,0)),""))</f>
        <v/>
      </c>
      <c r="F2377" s="16" t="str">
        <f>IF(B2377="","",IFERROR(INDEX(Client_List!$J:$J,MATCH(B2377,Client_List!$B:$B,0)),""))</f>
        <v/>
      </c>
      <c r="G2377" s="16"/>
      <c r="H2377" s="16" t="str">
        <f>IF(B2377="","",IFERROR(A2377-LOOKUP(2,1/($B$4:$B2376=B2377),$A$4:$A2376),""))</f>
        <v/>
      </c>
      <c r="I2377" s="16" t="str">
        <f t="shared" si="37"/>
        <v/>
      </c>
      <c r="J2377" s="16"/>
      <c r="K2377" s="6" t="str">
        <f>IF(B2377="","",IFERROR(AVERAGEIFS($I$4:$I2377,$B$4:$B2377,B2377,$I$4:$I2377,"&gt;"&amp;0),""))</f>
        <v/>
      </c>
      <c r="L2377" s="16" t="str">
        <f>IF(B2377="","",IF(ISNA(MATCH(B2377,Client_List!$B:$B,0)),"⚠ NOT FOUND","✓"))</f>
        <v/>
      </c>
    </row>
    <row r="2378" spans="1:12" ht="14" customHeight="1" x14ac:dyDescent="0.2">
      <c r="A2378" s="59"/>
      <c r="B2378" s="18"/>
      <c r="C2378" s="19" t="str">
        <f>IF(B2378="","",IFERROR(INDEX(Client_List!$C:$C,MATCH(B2378,Client_List!$B:$B,0)),""))</f>
        <v/>
      </c>
      <c r="D2378" s="19" t="str">
        <f>IF(B2378="","",IFERROR(INDEX(Client_List!$D:$D,MATCH(B2378,Client_List!$B:$B,0)),""))</f>
        <v/>
      </c>
      <c r="E2378" s="19" t="str">
        <f>IF(B2378="","",IFERROR(INDEX(Client_List!$K:$K,MATCH(B2378,Client_List!$B:$B,0)),""))</f>
        <v/>
      </c>
      <c r="F2378" s="19" t="str">
        <f>IF(B2378="","",IFERROR(INDEX(Client_List!$J:$J,MATCH(B2378,Client_List!$B:$B,0)),""))</f>
        <v/>
      </c>
      <c r="G2378" s="19"/>
      <c r="H2378" s="19" t="str">
        <f>IF(B2378="","",IFERROR(A2378-LOOKUP(2,1/($B$4:$B2377=B2378),$A$4:$A2377),""))</f>
        <v/>
      </c>
      <c r="I2378" s="19" t="str">
        <f t="shared" si="37"/>
        <v/>
      </c>
      <c r="J2378" s="19"/>
      <c r="K2378" s="6" t="str">
        <f>IF(B2378="","",IFERROR(AVERAGEIFS($I$4:$I2378,$B$4:$B2378,B2378,$I$4:$I2378,"&gt;"&amp;0),""))</f>
        <v/>
      </c>
      <c r="L2378" s="19" t="str">
        <f>IF(B2378="","",IF(ISNA(MATCH(B2378,Client_List!$B:$B,0)),"⚠ NOT FOUND","✓"))</f>
        <v/>
      </c>
    </row>
    <row r="2379" spans="1:12" ht="14" customHeight="1" x14ac:dyDescent="0.2">
      <c r="A2379" s="58"/>
      <c r="B2379" s="15"/>
      <c r="C2379" s="16" t="str">
        <f>IF(B2379="","",IFERROR(INDEX(Client_List!$C:$C,MATCH(B2379,Client_List!$B:$B,0)),""))</f>
        <v/>
      </c>
      <c r="D2379" s="16" t="str">
        <f>IF(B2379="","",IFERROR(INDEX(Client_List!$D:$D,MATCH(B2379,Client_List!$B:$B,0)),""))</f>
        <v/>
      </c>
      <c r="E2379" s="16" t="str">
        <f>IF(B2379="","",IFERROR(INDEX(Client_List!$K:$K,MATCH(B2379,Client_List!$B:$B,0)),""))</f>
        <v/>
      </c>
      <c r="F2379" s="16" t="str">
        <f>IF(B2379="","",IFERROR(INDEX(Client_List!$J:$J,MATCH(B2379,Client_List!$B:$B,0)),""))</f>
        <v/>
      </c>
      <c r="G2379" s="16"/>
      <c r="H2379" s="16" t="str">
        <f>IF(B2379="","",IFERROR(A2379-LOOKUP(2,1/($B$4:$B2378=B2379),$A$4:$A2378),""))</f>
        <v/>
      </c>
      <c r="I2379" s="16" t="str">
        <f t="shared" si="37"/>
        <v/>
      </c>
      <c r="J2379" s="16"/>
      <c r="K2379" s="6" t="str">
        <f>IF(B2379="","",IFERROR(AVERAGEIFS($I$4:$I2379,$B$4:$B2379,B2379,$I$4:$I2379,"&gt;"&amp;0),""))</f>
        <v/>
      </c>
      <c r="L2379" s="16" t="str">
        <f>IF(B2379="","",IF(ISNA(MATCH(B2379,Client_List!$B:$B,0)),"⚠ NOT FOUND","✓"))</f>
        <v/>
      </c>
    </row>
    <row r="2380" spans="1:12" ht="14" customHeight="1" x14ac:dyDescent="0.2">
      <c r="A2380" s="59"/>
      <c r="B2380" s="18"/>
      <c r="C2380" s="19" t="str">
        <f>IF(B2380="","",IFERROR(INDEX(Client_List!$C:$C,MATCH(B2380,Client_List!$B:$B,0)),""))</f>
        <v/>
      </c>
      <c r="D2380" s="19" t="str">
        <f>IF(B2380="","",IFERROR(INDEX(Client_List!$D:$D,MATCH(B2380,Client_List!$B:$B,0)),""))</f>
        <v/>
      </c>
      <c r="E2380" s="19" t="str">
        <f>IF(B2380="","",IFERROR(INDEX(Client_List!$K:$K,MATCH(B2380,Client_List!$B:$B,0)),""))</f>
        <v/>
      </c>
      <c r="F2380" s="19" t="str">
        <f>IF(B2380="","",IFERROR(INDEX(Client_List!$J:$J,MATCH(B2380,Client_List!$B:$B,0)),""))</f>
        <v/>
      </c>
      <c r="G2380" s="19"/>
      <c r="H2380" s="19" t="str">
        <f>IF(B2380="","",IFERROR(A2380-LOOKUP(2,1/($B$4:$B2379=B2380),$A$4:$A2379),""))</f>
        <v/>
      </c>
      <c r="I2380" s="19" t="str">
        <f t="shared" si="37"/>
        <v/>
      </c>
      <c r="J2380" s="19"/>
      <c r="K2380" s="6" t="str">
        <f>IF(B2380="","",IFERROR(AVERAGEIFS($I$4:$I2380,$B$4:$B2380,B2380,$I$4:$I2380,"&gt;"&amp;0),""))</f>
        <v/>
      </c>
      <c r="L2380" s="19" t="str">
        <f>IF(B2380="","",IF(ISNA(MATCH(B2380,Client_List!$B:$B,0)),"⚠ NOT FOUND","✓"))</f>
        <v/>
      </c>
    </row>
    <row r="2381" spans="1:12" ht="14" customHeight="1" x14ac:dyDescent="0.2">
      <c r="A2381" s="58"/>
      <c r="B2381" s="15"/>
      <c r="C2381" s="16" t="str">
        <f>IF(B2381="","",IFERROR(INDEX(Client_List!$C:$C,MATCH(B2381,Client_List!$B:$B,0)),""))</f>
        <v/>
      </c>
      <c r="D2381" s="16" t="str">
        <f>IF(B2381="","",IFERROR(INDEX(Client_List!$D:$D,MATCH(B2381,Client_List!$B:$B,0)),""))</f>
        <v/>
      </c>
      <c r="E2381" s="16" t="str">
        <f>IF(B2381="","",IFERROR(INDEX(Client_List!$K:$K,MATCH(B2381,Client_List!$B:$B,0)),""))</f>
        <v/>
      </c>
      <c r="F2381" s="16" t="str">
        <f>IF(B2381="","",IFERROR(INDEX(Client_List!$J:$J,MATCH(B2381,Client_List!$B:$B,0)),""))</f>
        <v/>
      </c>
      <c r="G2381" s="16"/>
      <c r="H2381" s="16" t="str">
        <f>IF(B2381="","",IFERROR(A2381-LOOKUP(2,1/($B$4:$B2380=B2381),$A$4:$A2380),""))</f>
        <v/>
      </c>
      <c r="I2381" s="16" t="str">
        <f t="shared" si="37"/>
        <v/>
      </c>
      <c r="J2381" s="16"/>
      <c r="K2381" s="6" t="str">
        <f>IF(B2381="","",IFERROR(AVERAGEIFS($I$4:$I2381,$B$4:$B2381,B2381,$I$4:$I2381,"&gt;"&amp;0),""))</f>
        <v/>
      </c>
      <c r="L2381" s="16" t="str">
        <f>IF(B2381="","",IF(ISNA(MATCH(B2381,Client_List!$B:$B,0)),"⚠ NOT FOUND","✓"))</f>
        <v/>
      </c>
    </row>
    <row r="2382" spans="1:12" ht="14" customHeight="1" x14ac:dyDescent="0.2">
      <c r="A2382" s="59"/>
      <c r="B2382" s="18"/>
      <c r="C2382" s="19" t="str">
        <f>IF(B2382="","",IFERROR(INDEX(Client_List!$C:$C,MATCH(B2382,Client_List!$B:$B,0)),""))</f>
        <v/>
      </c>
      <c r="D2382" s="19" t="str">
        <f>IF(B2382="","",IFERROR(INDEX(Client_List!$D:$D,MATCH(B2382,Client_List!$B:$B,0)),""))</f>
        <v/>
      </c>
      <c r="E2382" s="19" t="str">
        <f>IF(B2382="","",IFERROR(INDEX(Client_List!$K:$K,MATCH(B2382,Client_List!$B:$B,0)),""))</f>
        <v/>
      </c>
      <c r="F2382" s="19" t="str">
        <f>IF(B2382="","",IFERROR(INDEX(Client_List!$J:$J,MATCH(B2382,Client_List!$B:$B,0)),""))</f>
        <v/>
      </c>
      <c r="G2382" s="19"/>
      <c r="H2382" s="19" t="str">
        <f>IF(B2382="","",IFERROR(A2382-LOOKUP(2,1/($B$4:$B2381=B2382),$A$4:$A2381),""))</f>
        <v/>
      </c>
      <c r="I2382" s="19" t="str">
        <f t="shared" si="37"/>
        <v/>
      </c>
      <c r="J2382" s="19"/>
      <c r="K2382" s="6" t="str">
        <f>IF(B2382="","",IFERROR(AVERAGEIFS($I$4:$I2382,$B$4:$B2382,B2382,$I$4:$I2382,"&gt;"&amp;0),""))</f>
        <v/>
      </c>
      <c r="L2382" s="19" t="str">
        <f>IF(B2382="","",IF(ISNA(MATCH(B2382,Client_List!$B:$B,0)),"⚠ NOT FOUND","✓"))</f>
        <v/>
      </c>
    </row>
    <row r="2383" spans="1:12" ht="14" customHeight="1" x14ac:dyDescent="0.2">
      <c r="A2383" s="58"/>
      <c r="B2383" s="15"/>
      <c r="C2383" s="16" t="str">
        <f>IF(B2383="","",IFERROR(INDEX(Client_List!$C:$C,MATCH(B2383,Client_List!$B:$B,0)),""))</f>
        <v/>
      </c>
      <c r="D2383" s="16" t="str">
        <f>IF(B2383="","",IFERROR(INDEX(Client_List!$D:$D,MATCH(B2383,Client_List!$B:$B,0)),""))</f>
        <v/>
      </c>
      <c r="E2383" s="16" t="str">
        <f>IF(B2383="","",IFERROR(INDEX(Client_List!$K:$K,MATCH(B2383,Client_List!$B:$B,0)),""))</f>
        <v/>
      </c>
      <c r="F2383" s="16" t="str">
        <f>IF(B2383="","",IFERROR(INDEX(Client_List!$J:$J,MATCH(B2383,Client_List!$B:$B,0)),""))</f>
        <v/>
      </c>
      <c r="G2383" s="16"/>
      <c r="H2383" s="16" t="str">
        <f>IF(B2383="","",IFERROR(A2383-LOOKUP(2,1/($B$4:$B2382=B2383),$A$4:$A2382),""))</f>
        <v/>
      </c>
      <c r="I2383" s="16" t="str">
        <f t="shared" si="37"/>
        <v/>
      </c>
      <c r="J2383" s="16"/>
      <c r="K2383" s="6" t="str">
        <f>IF(B2383="","",IFERROR(AVERAGEIFS($I$4:$I2383,$B$4:$B2383,B2383,$I$4:$I2383,"&gt;"&amp;0),""))</f>
        <v/>
      </c>
      <c r="L2383" s="16" t="str">
        <f>IF(B2383="","",IF(ISNA(MATCH(B2383,Client_List!$B:$B,0)),"⚠ NOT FOUND","✓"))</f>
        <v/>
      </c>
    </row>
    <row r="2384" spans="1:12" ht="14" customHeight="1" x14ac:dyDescent="0.2">
      <c r="A2384" s="59"/>
      <c r="B2384" s="18"/>
      <c r="C2384" s="19" t="str">
        <f>IF(B2384="","",IFERROR(INDEX(Client_List!$C:$C,MATCH(B2384,Client_List!$B:$B,0)),""))</f>
        <v/>
      </c>
      <c r="D2384" s="19" t="str">
        <f>IF(B2384="","",IFERROR(INDEX(Client_List!$D:$D,MATCH(B2384,Client_List!$B:$B,0)),""))</f>
        <v/>
      </c>
      <c r="E2384" s="19" t="str">
        <f>IF(B2384="","",IFERROR(INDEX(Client_List!$K:$K,MATCH(B2384,Client_List!$B:$B,0)),""))</f>
        <v/>
      </c>
      <c r="F2384" s="19" t="str">
        <f>IF(B2384="","",IFERROR(INDEX(Client_List!$J:$J,MATCH(B2384,Client_List!$B:$B,0)),""))</f>
        <v/>
      </c>
      <c r="G2384" s="19"/>
      <c r="H2384" s="19" t="str">
        <f>IF(B2384="","",IFERROR(A2384-LOOKUP(2,1/($B$4:$B2383=B2384),$A$4:$A2383),""))</f>
        <v/>
      </c>
      <c r="I2384" s="19" t="str">
        <f t="shared" si="37"/>
        <v/>
      </c>
      <c r="J2384" s="19"/>
      <c r="K2384" s="6" t="str">
        <f>IF(B2384="","",IFERROR(AVERAGEIFS($I$4:$I2384,$B$4:$B2384,B2384,$I$4:$I2384,"&gt;"&amp;0),""))</f>
        <v/>
      </c>
      <c r="L2384" s="19" t="str">
        <f>IF(B2384="","",IF(ISNA(MATCH(B2384,Client_List!$B:$B,0)),"⚠ NOT FOUND","✓"))</f>
        <v/>
      </c>
    </row>
    <row r="2385" spans="1:12" ht="14" customHeight="1" x14ac:dyDescent="0.2">
      <c r="A2385" s="58"/>
      <c r="B2385" s="15"/>
      <c r="C2385" s="16" t="str">
        <f>IF(B2385="","",IFERROR(INDEX(Client_List!$C:$C,MATCH(B2385,Client_List!$B:$B,0)),""))</f>
        <v/>
      </c>
      <c r="D2385" s="16" t="str">
        <f>IF(B2385="","",IFERROR(INDEX(Client_List!$D:$D,MATCH(B2385,Client_List!$B:$B,0)),""))</f>
        <v/>
      </c>
      <c r="E2385" s="16" t="str">
        <f>IF(B2385="","",IFERROR(INDEX(Client_List!$K:$K,MATCH(B2385,Client_List!$B:$B,0)),""))</f>
        <v/>
      </c>
      <c r="F2385" s="16" t="str">
        <f>IF(B2385="","",IFERROR(INDEX(Client_List!$J:$J,MATCH(B2385,Client_List!$B:$B,0)),""))</f>
        <v/>
      </c>
      <c r="G2385" s="16"/>
      <c r="H2385" s="16" t="str">
        <f>IF(B2385="","",IFERROR(A2385-LOOKUP(2,1/($B$4:$B2384=B2385),$A$4:$A2384),""))</f>
        <v/>
      </c>
      <c r="I2385" s="16" t="str">
        <f t="shared" si="37"/>
        <v/>
      </c>
      <c r="J2385" s="16"/>
      <c r="K2385" s="6" t="str">
        <f>IF(B2385="","",IFERROR(AVERAGEIFS($I$4:$I2385,$B$4:$B2385,B2385,$I$4:$I2385,"&gt;"&amp;0),""))</f>
        <v/>
      </c>
      <c r="L2385" s="16" t="str">
        <f>IF(B2385="","",IF(ISNA(MATCH(B2385,Client_List!$B:$B,0)),"⚠ NOT FOUND","✓"))</f>
        <v/>
      </c>
    </row>
    <row r="2386" spans="1:12" ht="14" customHeight="1" x14ac:dyDescent="0.2">
      <c r="A2386" s="59"/>
      <c r="B2386" s="18"/>
      <c r="C2386" s="19" t="str">
        <f>IF(B2386="","",IFERROR(INDEX(Client_List!$C:$C,MATCH(B2386,Client_List!$B:$B,0)),""))</f>
        <v/>
      </c>
      <c r="D2386" s="19" t="str">
        <f>IF(B2386="","",IFERROR(INDEX(Client_List!$D:$D,MATCH(B2386,Client_List!$B:$B,0)),""))</f>
        <v/>
      </c>
      <c r="E2386" s="19" t="str">
        <f>IF(B2386="","",IFERROR(INDEX(Client_List!$K:$K,MATCH(B2386,Client_List!$B:$B,0)),""))</f>
        <v/>
      </c>
      <c r="F2386" s="19" t="str">
        <f>IF(B2386="","",IFERROR(INDEX(Client_List!$J:$J,MATCH(B2386,Client_List!$B:$B,0)),""))</f>
        <v/>
      </c>
      <c r="G2386" s="19"/>
      <c r="H2386" s="19" t="str">
        <f>IF(B2386="","",IFERROR(A2386-LOOKUP(2,1/($B$4:$B2385=B2386),$A$4:$A2385),""))</f>
        <v/>
      </c>
      <c r="I2386" s="19" t="str">
        <f t="shared" si="37"/>
        <v/>
      </c>
      <c r="J2386" s="19"/>
      <c r="K2386" s="6" t="str">
        <f>IF(B2386="","",IFERROR(AVERAGEIFS($I$4:$I2386,$B$4:$B2386,B2386,$I$4:$I2386,"&gt;"&amp;0),""))</f>
        <v/>
      </c>
      <c r="L2386" s="19" t="str">
        <f>IF(B2386="","",IF(ISNA(MATCH(B2386,Client_List!$B:$B,0)),"⚠ NOT FOUND","✓"))</f>
        <v/>
      </c>
    </row>
    <row r="2387" spans="1:12" ht="14" customHeight="1" x14ac:dyDescent="0.2">
      <c r="A2387" s="58"/>
      <c r="B2387" s="15"/>
      <c r="C2387" s="16" t="str">
        <f>IF(B2387="","",IFERROR(INDEX(Client_List!$C:$C,MATCH(B2387,Client_List!$B:$B,0)),""))</f>
        <v/>
      </c>
      <c r="D2387" s="16" t="str">
        <f>IF(B2387="","",IFERROR(INDEX(Client_List!$D:$D,MATCH(B2387,Client_List!$B:$B,0)),""))</f>
        <v/>
      </c>
      <c r="E2387" s="16" t="str">
        <f>IF(B2387="","",IFERROR(INDEX(Client_List!$K:$K,MATCH(B2387,Client_List!$B:$B,0)),""))</f>
        <v/>
      </c>
      <c r="F2387" s="16" t="str">
        <f>IF(B2387="","",IFERROR(INDEX(Client_List!$J:$J,MATCH(B2387,Client_List!$B:$B,0)),""))</f>
        <v/>
      </c>
      <c r="G2387" s="16"/>
      <c r="H2387" s="16" t="str">
        <f>IF(B2387="","",IFERROR(A2387-LOOKUP(2,1/($B$4:$B2386=B2387),$A$4:$A2386),""))</f>
        <v/>
      </c>
      <c r="I2387" s="16" t="str">
        <f t="shared" si="37"/>
        <v/>
      </c>
      <c r="J2387" s="16"/>
      <c r="K2387" s="6" t="str">
        <f>IF(B2387="","",IFERROR(AVERAGEIFS($I$4:$I2387,$B$4:$B2387,B2387,$I$4:$I2387,"&gt;"&amp;0),""))</f>
        <v/>
      </c>
      <c r="L2387" s="16" t="str">
        <f>IF(B2387="","",IF(ISNA(MATCH(B2387,Client_List!$B:$B,0)),"⚠ NOT FOUND","✓"))</f>
        <v/>
      </c>
    </row>
    <row r="2388" spans="1:12" ht="14" customHeight="1" x14ac:dyDescent="0.2">
      <c r="A2388" s="59"/>
      <c r="B2388" s="18"/>
      <c r="C2388" s="19" t="str">
        <f>IF(B2388="","",IFERROR(INDEX(Client_List!$C:$C,MATCH(B2388,Client_List!$B:$B,0)),""))</f>
        <v/>
      </c>
      <c r="D2388" s="19" t="str">
        <f>IF(B2388="","",IFERROR(INDEX(Client_List!$D:$D,MATCH(B2388,Client_List!$B:$B,0)),""))</f>
        <v/>
      </c>
      <c r="E2388" s="19" t="str">
        <f>IF(B2388="","",IFERROR(INDEX(Client_List!$K:$K,MATCH(B2388,Client_List!$B:$B,0)),""))</f>
        <v/>
      </c>
      <c r="F2388" s="19" t="str">
        <f>IF(B2388="","",IFERROR(INDEX(Client_List!$J:$J,MATCH(B2388,Client_List!$B:$B,0)),""))</f>
        <v/>
      </c>
      <c r="G2388" s="19"/>
      <c r="H2388" s="19" t="str">
        <f>IF(B2388="","",IFERROR(A2388-LOOKUP(2,1/($B$4:$B2387=B2388),$A$4:$A2387),""))</f>
        <v/>
      </c>
      <c r="I2388" s="19" t="str">
        <f t="shared" si="37"/>
        <v/>
      </c>
      <c r="J2388" s="19"/>
      <c r="K2388" s="6" t="str">
        <f>IF(B2388="","",IFERROR(AVERAGEIFS($I$4:$I2388,$B$4:$B2388,B2388,$I$4:$I2388,"&gt;"&amp;0),""))</f>
        <v/>
      </c>
      <c r="L2388" s="19" t="str">
        <f>IF(B2388="","",IF(ISNA(MATCH(B2388,Client_List!$B:$B,0)),"⚠ NOT FOUND","✓"))</f>
        <v/>
      </c>
    </row>
    <row r="2389" spans="1:12" ht="14" customHeight="1" x14ac:dyDescent="0.2">
      <c r="A2389" s="58"/>
      <c r="B2389" s="15"/>
      <c r="C2389" s="16" t="str">
        <f>IF(B2389="","",IFERROR(INDEX(Client_List!$C:$C,MATCH(B2389,Client_List!$B:$B,0)),""))</f>
        <v/>
      </c>
      <c r="D2389" s="16" t="str">
        <f>IF(B2389="","",IFERROR(INDEX(Client_List!$D:$D,MATCH(B2389,Client_List!$B:$B,0)),""))</f>
        <v/>
      </c>
      <c r="E2389" s="16" t="str">
        <f>IF(B2389="","",IFERROR(INDEX(Client_List!$K:$K,MATCH(B2389,Client_List!$B:$B,0)),""))</f>
        <v/>
      </c>
      <c r="F2389" s="16" t="str">
        <f>IF(B2389="","",IFERROR(INDEX(Client_List!$J:$J,MATCH(B2389,Client_List!$B:$B,0)),""))</f>
        <v/>
      </c>
      <c r="G2389" s="16"/>
      <c r="H2389" s="16" t="str">
        <f>IF(B2389="","",IFERROR(A2389-LOOKUP(2,1/($B$4:$B2388=B2389),$A$4:$A2388),""))</f>
        <v/>
      </c>
      <c r="I2389" s="16" t="str">
        <f t="shared" si="37"/>
        <v/>
      </c>
      <c r="J2389" s="16"/>
      <c r="K2389" s="6" t="str">
        <f>IF(B2389="","",IFERROR(AVERAGEIFS($I$4:$I2389,$B$4:$B2389,B2389,$I$4:$I2389,"&gt;"&amp;0),""))</f>
        <v/>
      </c>
      <c r="L2389" s="16" t="str">
        <f>IF(B2389="","",IF(ISNA(MATCH(B2389,Client_List!$B:$B,0)),"⚠ NOT FOUND","✓"))</f>
        <v/>
      </c>
    </row>
    <row r="2390" spans="1:12" ht="14" customHeight="1" x14ac:dyDescent="0.2">
      <c r="A2390" s="59"/>
      <c r="B2390" s="18"/>
      <c r="C2390" s="19" t="str">
        <f>IF(B2390="","",IFERROR(INDEX(Client_List!$C:$C,MATCH(B2390,Client_List!$B:$B,0)),""))</f>
        <v/>
      </c>
      <c r="D2390" s="19" t="str">
        <f>IF(B2390="","",IFERROR(INDEX(Client_List!$D:$D,MATCH(B2390,Client_List!$B:$B,0)),""))</f>
        <v/>
      </c>
      <c r="E2390" s="19" t="str">
        <f>IF(B2390="","",IFERROR(INDEX(Client_List!$K:$K,MATCH(B2390,Client_List!$B:$B,0)),""))</f>
        <v/>
      </c>
      <c r="F2390" s="19" t="str">
        <f>IF(B2390="","",IFERROR(INDEX(Client_List!$J:$J,MATCH(B2390,Client_List!$B:$B,0)),""))</f>
        <v/>
      </c>
      <c r="G2390" s="19"/>
      <c r="H2390" s="19" t="str">
        <f>IF(B2390="","",IFERROR(A2390-LOOKUP(2,1/($B$4:$B2389=B2390),$A$4:$A2389),""))</f>
        <v/>
      </c>
      <c r="I2390" s="19" t="str">
        <f t="shared" si="37"/>
        <v/>
      </c>
      <c r="J2390" s="19"/>
      <c r="K2390" s="6" t="str">
        <f>IF(B2390="","",IFERROR(AVERAGEIFS($I$4:$I2390,$B$4:$B2390,B2390,$I$4:$I2390,"&gt;"&amp;0),""))</f>
        <v/>
      </c>
      <c r="L2390" s="19" t="str">
        <f>IF(B2390="","",IF(ISNA(MATCH(B2390,Client_List!$B:$B,0)),"⚠ NOT FOUND","✓"))</f>
        <v/>
      </c>
    </row>
    <row r="2391" spans="1:12" ht="14" customHeight="1" x14ac:dyDescent="0.2">
      <c r="A2391" s="58"/>
      <c r="B2391" s="15"/>
      <c r="C2391" s="16" t="str">
        <f>IF(B2391="","",IFERROR(INDEX(Client_List!$C:$C,MATCH(B2391,Client_List!$B:$B,0)),""))</f>
        <v/>
      </c>
      <c r="D2391" s="16" t="str">
        <f>IF(B2391="","",IFERROR(INDEX(Client_List!$D:$D,MATCH(B2391,Client_List!$B:$B,0)),""))</f>
        <v/>
      </c>
      <c r="E2391" s="16" t="str">
        <f>IF(B2391="","",IFERROR(INDEX(Client_List!$K:$K,MATCH(B2391,Client_List!$B:$B,0)),""))</f>
        <v/>
      </c>
      <c r="F2391" s="16" t="str">
        <f>IF(B2391="","",IFERROR(INDEX(Client_List!$J:$J,MATCH(B2391,Client_List!$B:$B,0)),""))</f>
        <v/>
      </c>
      <c r="G2391" s="16"/>
      <c r="H2391" s="16" t="str">
        <f>IF(B2391="","",IFERROR(A2391-LOOKUP(2,1/($B$4:$B2390=B2391),$A$4:$A2390),""))</f>
        <v/>
      </c>
      <c r="I2391" s="16" t="str">
        <f t="shared" si="37"/>
        <v/>
      </c>
      <c r="J2391" s="16"/>
      <c r="K2391" s="6" t="str">
        <f>IF(B2391="","",IFERROR(AVERAGEIFS($I$4:$I2391,$B$4:$B2391,B2391,$I$4:$I2391,"&gt;"&amp;0),""))</f>
        <v/>
      </c>
      <c r="L2391" s="16" t="str">
        <f>IF(B2391="","",IF(ISNA(MATCH(B2391,Client_List!$B:$B,0)),"⚠ NOT FOUND","✓"))</f>
        <v/>
      </c>
    </row>
    <row r="2392" spans="1:12" ht="14" customHeight="1" x14ac:dyDescent="0.2">
      <c r="A2392" s="59"/>
      <c r="B2392" s="18"/>
      <c r="C2392" s="19" t="str">
        <f>IF(B2392="","",IFERROR(INDEX(Client_List!$C:$C,MATCH(B2392,Client_List!$B:$B,0)),""))</f>
        <v/>
      </c>
      <c r="D2392" s="19" t="str">
        <f>IF(B2392="","",IFERROR(INDEX(Client_List!$D:$D,MATCH(B2392,Client_List!$B:$B,0)),""))</f>
        <v/>
      </c>
      <c r="E2392" s="19" t="str">
        <f>IF(B2392="","",IFERROR(INDEX(Client_List!$K:$K,MATCH(B2392,Client_List!$B:$B,0)),""))</f>
        <v/>
      </c>
      <c r="F2392" s="19" t="str">
        <f>IF(B2392="","",IFERROR(INDEX(Client_List!$J:$J,MATCH(B2392,Client_List!$B:$B,0)),""))</f>
        <v/>
      </c>
      <c r="G2392" s="19"/>
      <c r="H2392" s="19" t="str">
        <f>IF(B2392="","",IFERROR(A2392-LOOKUP(2,1/($B$4:$B2391=B2392),$A$4:$A2391),""))</f>
        <v/>
      </c>
      <c r="I2392" s="19" t="str">
        <f t="shared" si="37"/>
        <v/>
      </c>
      <c r="J2392" s="19"/>
      <c r="K2392" s="6" t="str">
        <f>IF(B2392="","",IFERROR(AVERAGEIFS($I$4:$I2392,$B$4:$B2392,B2392,$I$4:$I2392,"&gt;"&amp;0),""))</f>
        <v/>
      </c>
      <c r="L2392" s="19" t="str">
        <f>IF(B2392="","",IF(ISNA(MATCH(B2392,Client_List!$B:$B,0)),"⚠ NOT FOUND","✓"))</f>
        <v/>
      </c>
    </row>
    <row r="2393" spans="1:12" ht="14" customHeight="1" x14ac:dyDescent="0.2">
      <c r="A2393" s="58"/>
      <c r="B2393" s="15"/>
      <c r="C2393" s="16" t="str">
        <f>IF(B2393="","",IFERROR(INDEX(Client_List!$C:$C,MATCH(B2393,Client_List!$B:$B,0)),""))</f>
        <v/>
      </c>
      <c r="D2393" s="16" t="str">
        <f>IF(B2393="","",IFERROR(INDEX(Client_List!$D:$D,MATCH(B2393,Client_List!$B:$B,0)),""))</f>
        <v/>
      </c>
      <c r="E2393" s="16" t="str">
        <f>IF(B2393="","",IFERROR(INDEX(Client_List!$K:$K,MATCH(B2393,Client_List!$B:$B,0)),""))</f>
        <v/>
      </c>
      <c r="F2393" s="16" t="str">
        <f>IF(B2393="","",IFERROR(INDEX(Client_List!$J:$J,MATCH(B2393,Client_List!$B:$B,0)),""))</f>
        <v/>
      </c>
      <c r="G2393" s="16"/>
      <c r="H2393" s="16" t="str">
        <f>IF(B2393="","",IFERROR(A2393-LOOKUP(2,1/($B$4:$B2392=B2393),$A$4:$A2392),""))</f>
        <v/>
      </c>
      <c r="I2393" s="16" t="str">
        <f t="shared" si="37"/>
        <v/>
      </c>
      <c r="J2393" s="16"/>
      <c r="K2393" s="6" t="str">
        <f>IF(B2393="","",IFERROR(AVERAGEIFS($I$4:$I2393,$B$4:$B2393,B2393,$I$4:$I2393,"&gt;"&amp;0),""))</f>
        <v/>
      </c>
      <c r="L2393" s="16" t="str">
        <f>IF(B2393="","",IF(ISNA(MATCH(B2393,Client_List!$B:$B,0)),"⚠ NOT FOUND","✓"))</f>
        <v/>
      </c>
    </row>
    <row r="2394" spans="1:12" ht="14" customHeight="1" x14ac:dyDescent="0.2">
      <c r="A2394" s="59"/>
      <c r="B2394" s="18"/>
      <c r="C2394" s="19" t="str">
        <f>IF(B2394="","",IFERROR(INDEX(Client_List!$C:$C,MATCH(B2394,Client_List!$B:$B,0)),""))</f>
        <v/>
      </c>
      <c r="D2394" s="19" t="str">
        <f>IF(B2394="","",IFERROR(INDEX(Client_List!$D:$D,MATCH(B2394,Client_List!$B:$B,0)),""))</f>
        <v/>
      </c>
      <c r="E2394" s="19" t="str">
        <f>IF(B2394="","",IFERROR(INDEX(Client_List!$K:$K,MATCH(B2394,Client_List!$B:$B,0)),""))</f>
        <v/>
      </c>
      <c r="F2394" s="19" t="str">
        <f>IF(B2394="","",IFERROR(INDEX(Client_List!$J:$J,MATCH(B2394,Client_List!$B:$B,0)),""))</f>
        <v/>
      </c>
      <c r="G2394" s="19"/>
      <c r="H2394" s="19" t="str">
        <f>IF(B2394="","",IFERROR(A2394-LOOKUP(2,1/($B$4:$B2393=B2394),$A$4:$A2393),""))</f>
        <v/>
      </c>
      <c r="I2394" s="19" t="str">
        <f t="shared" si="37"/>
        <v/>
      </c>
      <c r="J2394" s="19"/>
      <c r="K2394" s="6" t="str">
        <f>IF(B2394="","",IFERROR(AVERAGEIFS($I$4:$I2394,$B$4:$B2394,B2394,$I$4:$I2394,"&gt;"&amp;0),""))</f>
        <v/>
      </c>
      <c r="L2394" s="19" t="str">
        <f>IF(B2394="","",IF(ISNA(MATCH(B2394,Client_List!$B:$B,0)),"⚠ NOT FOUND","✓"))</f>
        <v/>
      </c>
    </row>
    <row r="2395" spans="1:12" ht="14" customHeight="1" x14ac:dyDescent="0.2">
      <c r="A2395" s="58"/>
      <c r="B2395" s="15"/>
      <c r="C2395" s="16" t="str">
        <f>IF(B2395="","",IFERROR(INDEX(Client_List!$C:$C,MATCH(B2395,Client_List!$B:$B,0)),""))</f>
        <v/>
      </c>
      <c r="D2395" s="16" t="str">
        <f>IF(B2395="","",IFERROR(INDEX(Client_List!$D:$D,MATCH(B2395,Client_List!$B:$B,0)),""))</f>
        <v/>
      </c>
      <c r="E2395" s="16" t="str">
        <f>IF(B2395="","",IFERROR(INDEX(Client_List!$K:$K,MATCH(B2395,Client_List!$B:$B,0)),""))</f>
        <v/>
      </c>
      <c r="F2395" s="16" t="str">
        <f>IF(B2395="","",IFERROR(INDEX(Client_List!$J:$J,MATCH(B2395,Client_List!$B:$B,0)),""))</f>
        <v/>
      </c>
      <c r="G2395" s="16"/>
      <c r="H2395" s="16" t="str">
        <f>IF(B2395="","",IFERROR(A2395-LOOKUP(2,1/($B$4:$B2394=B2395),$A$4:$A2394),""))</f>
        <v/>
      </c>
      <c r="I2395" s="16" t="str">
        <f t="shared" si="37"/>
        <v/>
      </c>
      <c r="J2395" s="16"/>
      <c r="K2395" s="6" t="str">
        <f>IF(B2395="","",IFERROR(AVERAGEIFS($I$4:$I2395,$B$4:$B2395,B2395,$I$4:$I2395,"&gt;"&amp;0),""))</f>
        <v/>
      </c>
      <c r="L2395" s="16" t="str">
        <f>IF(B2395="","",IF(ISNA(MATCH(B2395,Client_List!$B:$B,0)),"⚠ NOT FOUND","✓"))</f>
        <v/>
      </c>
    </row>
    <row r="2396" spans="1:12" ht="14" customHeight="1" x14ac:dyDescent="0.2">
      <c r="A2396" s="59"/>
      <c r="B2396" s="18"/>
      <c r="C2396" s="19" t="str">
        <f>IF(B2396="","",IFERROR(INDEX(Client_List!$C:$C,MATCH(B2396,Client_List!$B:$B,0)),""))</f>
        <v/>
      </c>
      <c r="D2396" s="19" t="str">
        <f>IF(B2396="","",IFERROR(INDEX(Client_List!$D:$D,MATCH(B2396,Client_List!$B:$B,0)),""))</f>
        <v/>
      </c>
      <c r="E2396" s="19" t="str">
        <f>IF(B2396="","",IFERROR(INDEX(Client_List!$K:$K,MATCH(B2396,Client_List!$B:$B,0)),""))</f>
        <v/>
      </c>
      <c r="F2396" s="19" t="str">
        <f>IF(B2396="","",IFERROR(INDEX(Client_List!$J:$J,MATCH(B2396,Client_List!$B:$B,0)),""))</f>
        <v/>
      </c>
      <c r="G2396" s="19"/>
      <c r="H2396" s="19" t="str">
        <f>IF(B2396="","",IFERROR(A2396-LOOKUP(2,1/($B$4:$B2395=B2396),$A$4:$A2395),""))</f>
        <v/>
      </c>
      <c r="I2396" s="19" t="str">
        <f t="shared" si="37"/>
        <v/>
      </c>
      <c r="J2396" s="19"/>
      <c r="K2396" s="6" t="str">
        <f>IF(B2396="","",IFERROR(AVERAGEIFS($I$4:$I2396,$B$4:$B2396,B2396,$I$4:$I2396,"&gt;"&amp;0),""))</f>
        <v/>
      </c>
      <c r="L2396" s="19" t="str">
        <f>IF(B2396="","",IF(ISNA(MATCH(B2396,Client_List!$B:$B,0)),"⚠ NOT FOUND","✓"))</f>
        <v/>
      </c>
    </row>
    <row r="2397" spans="1:12" ht="14" customHeight="1" x14ac:dyDescent="0.2">
      <c r="A2397" s="58"/>
      <c r="B2397" s="15"/>
      <c r="C2397" s="16" t="str">
        <f>IF(B2397="","",IFERROR(INDEX(Client_List!$C:$C,MATCH(B2397,Client_List!$B:$B,0)),""))</f>
        <v/>
      </c>
      <c r="D2397" s="16" t="str">
        <f>IF(B2397="","",IFERROR(INDEX(Client_List!$D:$D,MATCH(B2397,Client_List!$B:$B,0)),""))</f>
        <v/>
      </c>
      <c r="E2397" s="16" t="str">
        <f>IF(B2397="","",IFERROR(INDEX(Client_List!$K:$K,MATCH(B2397,Client_List!$B:$B,0)),""))</f>
        <v/>
      </c>
      <c r="F2397" s="16" t="str">
        <f>IF(B2397="","",IFERROR(INDEX(Client_List!$J:$J,MATCH(B2397,Client_List!$B:$B,0)),""))</f>
        <v/>
      </c>
      <c r="G2397" s="16"/>
      <c r="H2397" s="16" t="str">
        <f>IF(B2397="","",IFERROR(A2397-LOOKUP(2,1/($B$4:$B2396=B2397),$A$4:$A2396),""))</f>
        <v/>
      </c>
      <c r="I2397" s="16" t="str">
        <f t="shared" si="37"/>
        <v/>
      </c>
      <c r="J2397" s="16"/>
      <c r="K2397" s="6" t="str">
        <f>IF(B2397="","",IFERROR(AVERAGEIFS($I$4:$I2397,$B$4:$B2397,B2397,$I$4:$I2397,"&gt;"&amp;0),""))</f>
        <v/>
      </c>
      <c r="L2397" s="16" t="str">
        <f>IF(B2397="","",IF(ISNA(MATCH(B2397,Client_List!$B:$B,0)),"⚠ NOT FOUND","✓"))</f>
        <v/>
      </c>
    </row>
    <row r="2398" spans="1:12" ht="14" customHeight="1" x14ac:dyDescent="0.2">
      <c r="A2398" s="59"/>
      <c r="B2398" s="18"/>
      <c r="C2398" s="19" t="str">
        <f>IF(B2398="","",IFERROR(INDEX(Client_List!$C:$C,MATCH(B2398,Client_List!$B:$B,0)),""))</f>
        <v/>
      </c>
      <c r="D2398" s="19" t="str">
        <f>IF(B2398="","",IFERROR(INDEX(Client_List!$D:$D,MATCH(B2398,Client_List!$B:$B,0)),""))</f>
        <v/>
      </c>
      <c r="E2398" s="19" t="str">
        <f>IF(B2398="","",IFERROR(INDEX(Client_List!$K:$K,MATCH(B2398,Client_List!$B:$B,0)),""))</f>
        <v/>
      </c>
      <c r="F2398" s="19" t="str">
        <f>IF(B2398="","",IFERROR(INDEX(Client_List!$J:$J,MATCH(B2398,Client_List!$B:$B,0)),""))</f>
        <v/>
      </c>
      <c r="G2398" s="19"/>
      <c r="H2398" s="19" t="str">
        <f>IF(B2398="","",IFERROR(A2398-LOOKUP(2,1/($B$4:$B2397=B2398),$A$4:$A2397),""))</f>
        <v/>
      </c>
      <c r="I2398" s="19" t="str">
        <f t="shared" si="37"/>
        <v/>
      </c>
      <c r="J2398" s="19"/>
      <c r="K2398" s="6" t="str">
        <f>IF(B2398="","",IFERROR(AVERAGEIFS($I$4:$I2398,$B$4:$B2398,B2398,$I$4:$I2398,"&gt;"&amp;0),""))</f>
        <v/>
      </c>
      <c r="L2398" s="19" t="str">
        <f>IF(B2398="","",IF(ISNA(MATCH(B2398,Client_List!$B:$B,0)),"⚠ NOT FOUND","✓"))</f>
        <v/>
      </c>
    </row>
    <row r="2399" spans="1:12" ht="14" customHeight="1" x14ac:dyDescent="0.2">
      <c r="A2399" s="58"/>
      <c r="B2399" s="15"/>
      <c r="C2399" s="16" t="str">
        <f>IF(B2399="","",IFERROR(INDEX(Client_List!$C:$C,MATCH(B2399,Client_List!$B:$B,0)),""))</f>
        <v/>
      </c>
      <c r="D2399" s="16" t="str">
        <f>IF(B2399="","",IFERROR(INDEX(Client_List!$D:$D,MATCH(B2399,Client_List!$B:$B,0)),""))</f>
        <v/>
      </c>
      <c r="E2399" s="16" t="str">
        <f>IF(B2399="","",IFERROR(INDEX(Client_List!$K:$K,MATCH(B2399,Client_List!$B:$B,0)),""))</f>
        <v/>
      </c>
      <c r="F2399" s="16" t="str">
        <f>IF(B2399="","",IFERROR(INDEX(Client_List!$J:$J,MATCH(B2399,Client_List!$B:$B,0)),""))</f>
        <v/>
      </c>
      <c r="G2399" s="16"/>
      <c r="H2399" s="16" t="str">
        <f>IF(B2399="","",IFERROR(A2399-LOOKUP(2,1/($B$4:$B2398=B2399),$A$4:$A2398),""))</f>
        <v/>
      </c>
      <c r="I2399" s="16" t="str">
        <f t="shared" si="37"/>
        <v/>
      </c>
      <c r="J2399" s="16"/>
      <c r="K2399" s="6" t="str">
        <f>IF(B2399="","",IFERROR(AVERAGEIFS($I$4:$I2399,$B$4:$B2399,B2399,$I$4:$I2399,"&gt;"&amp;0),""))</f>
        <v/>
      </c>
      <c r="L2399" s="16" t="str">
        <f>IF(B2399="","",IF(ISNA(MATCH(B2399,Client_List!$B:$B,0)),"⚠ NOT FOUND","✓"))</f>
        <v/>
      </c>
    </row>
    <row r="2400" spans="1:12" ht="14" customHeight="1" x14ac:dyDescent="0.2">
      <c r="A2400" s="59"/>
      <c r="B2400" s="18"/>
      <c r="C2400" s="19" t="str">
        <f>IF(B2400="","",IFERROR(INDEX(Client_List!$C:$C,MATCH(B2400,Client_List!$B:$B,0)),""))</f>
        <v/>
      </c>
      <c r="D2400" s="19" t="str">
        <f>IF(B2400="","",IFERROR(INDEX(Client_List!$D:$D,MATCH(B2400,Client_List!$B:$B,0)),""))</f>
        <v/>
      </c>
      <c r="E2400" s="19" t="str">
        <f>IF(B2400="","",IFERROR(INDEX(Client_List!$K:$K,MATCH(B2400,Client_List!$B:$B,0)),""))</f>
        <v/>
      </c>
      <c r="F2400" s="19" t="str">
        <f>IF(B2400="","",IFERROR(INDEX(Client_List!$J:$J,MATCH(B2400,Client_List!$B:$B,0)),""))</f>
        <v/>
      </c>
      <c r="G2400" s="19"/>
      <c r="H2400" s="19" t="str">
        <f>IF(B2400="","",IFERROR(A2400-LOOKUP(2,1/($B$4:$B2399=B2400),$A$4:$A2399),""))</f>
        <v/>
      </c>
      <c r="I2400" s="19" t="str">
        <f t="shared" si="37"/>
        <v/>
      </c>
      <c r="J2400" s="19"/>
      <c r="K2400" s="6" t="str">
        <f>IF(B2400="","",IFERROR(AVERAGEIFS($I$4:$I2400,$B$4:$B2400,B2400,$I$4:$I2400,"&gt;"&amp;0),""))</f>
        <v/>
      </c>
      <c r="L2400" s="19" t="str">
        <f>IF(B2400="","",IF(ISNA(MATCH(B2400,Client_List!$B:$B,0)),"⚠ NOT FOUND","✓"))</f>
        <v/>
      </c>
    </row>
    <row r="2401" spans="1:12" ht="14" customHeight="1" x14ac:dyDescent="0.2">
      <c r="A2401" s="58"/>
      <c r="B2401" s="15"/>
      <c r="C2401" s="16" t="str">
        <f>IF(B2401="","",IFERROR(INDEX(Client_List!$C:$C,MATCH(B2401,Client_List!$B:$B,0)),""))</f>
        <v/>
      </c>
      <c r="D2401" s="16" t="str">
        <f>IF(B2401="","",IFERROR(INDEX(Client_List!$D:$D,MATCH(B2401,Client_List!$B:$B,0)),""))</f>
        <v/>
      </c>
      <c r="E2401" s="16" t="str">
        <f>IF(B2401="","",IFERROR(INDEX(Client_List!$K:$K,MATCH(B2401,Client_List!$B:$B,0)),""))</f>
        <v/>
      </c>
      <c r="F2401" s="16" t="str">
        <f>IF(B2401="","",IFERROR(INDEX(Client_List!$J:$J,MATCH(B2401,Client_List!$B:$B,0)),""))</f>
        <v/>
      </c>
      <c r="G2401" s="16"/>
      <c r="H2401" s="16" t="str">
        <f>IF(B2401="","",IFERROR(A2401-LOOKUP(2,1/($B$4:$B2400=B2401),$A$4:$A2400),""))</f>
        <v/>
      </c>
      <c r="I2401" s="16" t="str">
        <f t="shared" si="37"/>
        <v/>
      </c>
      <c r="J2401" s="16"/>
      <c r="K2401" s="6" t="str">
        <f>IF(B2401="","",IFERROR(AVERAGEIFS($I$4:$I2401,$B$4:$B2401,B2401,$I$4:$I2401,"&gt;"&amp;0),""))</f>
        <v/>
      </c>
      <c r="L2401" s="16" t="str">
        <f>IF(B2401="","",IF(ISNA(MATCH(B2401,Client_List!$B:$B,0)),"⚠ NOT FOUND","✓"))</f>
        <v/>
      </c>
    </row>
    <row r="2402" spans="1:12" ht="14" customHeight="1" x14ac:dyDescent="0.2">
      <c r="A2402" s="59"/>
      <c r="B2402" s="18"/>
      <c r="C2402" s="19" t="str">
        <f>IF(B2402="","",IFERROR(INDEX(Client_List!$C:$C,MATCH(B2402,Client_List!$B:$B,0)),""))</f>
        <v/>
      </c>
      <c r="D2402" s="19" t="str">
        <f>IF(B2402="","",IFERROR(INDEX(Client_List!$D:$D,MATCH(B2402,Client_List!$B:$B,0)),""))</f>
        <v/>
      </c>
      <c r="E2402" s="19" t="str">
        <f>IF(B2402="","",IFERROR(INDEX(Client_List!$K:$K,MATCH(B2402,Client_List!$B:$B,0)),""))</f>
        <v/>
      </c>
      <c r="F2402" s="19" t="str">
        <f>IF(B2402="","",IFERROR(INDEX(Client_List!$J:$J,MATCH(B2402,Client_List!$B:$B,0)),""))</f>
        <v/>
      </c>
      <c r="G2402" s="19"/>
      <c r="H2402" s="19" t="str">
        <f>IF(B2402="","",IFERROR(A2402-LOOKUP(2,1/($B$4:$B2401=B2402),$A$4:$A2401),""))</f>
        <v/>
      </c>
      <c r="I2402" s="19" t="str">
        <f t="shared" si="37"/>
        <v/>
      </c>
      <c r="J2402" s="19"/>
      <c r="K2402" s="6" t="str">
        <f>IF(B2402="","",IFERROR(AVERAGEIFS($I$4:$I2402,$B$4:$B2402,B2402,$I$4:$I2402,"&gt;"&amp;0),""))</f>
        <v/>
      </c>
      <c r="L2402" s="19" t="str">
        <f>IF(B2402="","",IF(ISNA(MATCH(B2402,Client_List!$B:$B,0)),"⚠ NOT FOUND","✓"))</f>
        <v/>
      </c>
    </row>
    <row r="2403" spans="1:12" ht="14" customHeight="1" x14ac:dyDescent="0.2">
      <c r="A2403" s="58"/>
      <c r="B2403" s="15"/>
      <c r="C2403" s="16" t="str">
        <f>IF(B2403="","",IFERROR(INDEX(Client_List!$C:$C,MATCH(B2403,Client_List!$B:$B,0)),""))</f>
        <v/>
      </c>
      <c r="D2403" s="16" t="str">
        <f>IF(B2403="","",IFERROR(INDEX(Client_List!$D:$D,MATCH(B2403,Client_List!$B:$B,0)),""))</f>
        <v/>
      </c>
      <c r="E2403" s="16" t="str">
        <f>IF(B2403="","",IFERROR(INDEX(Client_List!$K:$K,MATCH(B2403,Client_List!$B:$B,0)),""))</f>
        <v/>
      </c>
      <c r="F2403" s="16" t="str">
        <f>IF(B2403="","",IFERROR(INDEX(Client_List!$J:$J,MATCH(B2403,Client_List!$B:$B,0)),""))</f>
        <v/>
      </c>
      <c r="G2403" s="16"/>
      <c r="H2403" s="16" t="str">
        <f>IF(B2403="","",IFERROR(A2403-LOOKUP(2,1/($B$4:$B2402=B2403),$A$4:$A2402),""))</f>
        <v/>
      </c>
      <c r="I2403" s="16" t="str">
        <f t="shared" si="37"/>
        <v/>
      </c>
      <c r="J2403" s="16"/>
      <c r="K2403" s="6" t="str">
        <f>IF(B2403="","",IFERROR(AVERAGEIFS($I$4:$I2403,$B$4:$B2403,B2403,$I$4:$I2403,"&gt;"&amp;0),""))</f>
        <v/>
      </c>
      <c r="L2403" s="16" t="str">
        <f>IF(B2403="","",IF(ISNA(MATCH(B2403,Client_List!$B:$B,0)),"⚠ NOT FOUND","✓"))</f>
        <v/>
      </c>
    </row>
    <row r="2404" spans="1:12" ht="14" customHeight="1" x14ac:dyDescent="0.2">
      <c r="A2404" s="59"/>
      <c r="B2404" s="18"/>
      <c r="C2404" s="19" t="str">
        <f>IF(B2404="","",IFERROR(INDEX(Client_List!$C:$C,MATCH(B2404,Client_List!$B:$B,0)),""))</f>
        <v/>
      </c>
      <c r="D2404" s="19" t="str">
        <f>IF(B2404="","",IFERROR(INDEX(Client_List!$D:$D,MATCH(B2404,Client_List!$B:$B,0)),""))</f>
        <v/>
      </c>
      <c r="E2404" s="19" t="str">
        <f>IF(B2404="","",IFERROR(INDEX(Client_List!$K:$K,MATCH(B2404,Client_List!$B:$B,0)),""))</f>
        <v/>
      </c>
      <c r="F2404" s="19" t="str">
        <f>IF(B2404="","",IFERROR(INDEX(Client_List!$J:$J,MATCH(B2404,Client_List!$B:$B,0)),""))</f>
        <v/>
      </c>
      <c r="G2404" s="19"/>
      <c r="H2404" s="19" t="str">
        <f>IF(B2404="","",IFERROR(A2404-LOOKUP(2,1/($B$4:$B2403=B2404),$A$4:$A2403),""))</f>
        <v/>
      </c>
      <c r="I2404" s="19" t="str">
        <f t="shared" si="37"/>
        <v/>
      </c>
      <c r="J2404" s="19"/>
      <c r="K2404" s="6" t="str">
        <f>IF(B2404="","",IFERROR(AVERAGEIFS($I$4:$I2404,$B$4:$B2404,B2404,$I$4:$I2404,"&gt;"&amp;0),""))</f>
        <v/>
      </c>
      <c r="L2404" s="19" t="str">
        <f>IF(B2404="","",IF(ISNA(MATCH(B2404,Client_List!$B:$B,0)),"⚠ NOT FOUND","✓"))</f>
        <v/>
      </c>
    </row>
    <row r="2405" spans="1:12" ht="14" customHeight="1" x14ac:dyDescent="0.2">
      <c r="A2405" s="58"/>
      <c r="B2405" s="15"/>
      <c r="C2405" s="16" t="str">
        <f>IF(B2405="","",IFERROR(INDEX(Client_List!$C:$C,MATCH(B2405,Client_List!$B:$B,0)),""))</f>
        <v/>
      </c>
      <c r="D2405" s="16" t="str">
        <f>IF(B2405="","",IFERROR(INDEX(Client_List!$D:$D,MATCH(B2405,Client_List!$B:$B,0)),""))</f>
        <v/>
      </c>
      <c r="E2405" s="16" t="str">
        <f>IF(B2405="","",IFERROR(INDEX(Client_List!$K:$K,MATCH(B2405,Client_List!$B:$B,0)),""))</f>
        <v/>
      </c>
      <c r="F2405" s="16" t="str">
        <f>IF(B2405="","",IFERROR(INDEX(Client_List!$J:$J,MATCH(B2405,Client_List!$B:$B,0)),""))</f>
        <v/>
      </c>
      <c r="G2405" s="16"/>
      <c r="H2405" s="16" t="str">
        <f>IF(B2405="","",IFERROR(A2405-LOOKUP(2,1/($B$4:$B2404=B2405),$A$4:$A2404),""))</f>
        <v/>
      </c>
      <c r="I2405" s="16" t="str">
        <f t="shared" si="37"/>
        <v/>
      </c>
      <c r="J2405" s="16"/>
      <c r="K2405" s="6" t="str">
        <f>IF(B2405="","",IFERROR(AVERAGEIFS($I$4:$I2405,$B$4:$B2405,B2405,$I$4:$I2405,"&gt;"&amp;0),""))</f>
        <v/>
      </c>
      <c r="L2405" s="16" t="str">
        <f>IF(B2405="","",IF(ISNA(MATCH(B2405,Client_List!$B:$B,0)),"⚠ NOT FOUND","✓"))</f>
        <v/>
      </c>
    </row>
    <row r="2406" spans="1:12" ht="14" customHeight="1" x14ac:dyDescent="0.2">
      <c r="A2406" s="59"/>
      <c r="B2406" s="18"/>
      <c r="C2406" s="19" t="str">
        <f>IF(B2406="","",IFERROR(INDEX(Client_List!$C:$C,MATCH(B2406,Client_List!$B:$B,0)),""))</f>
        <v/>
      </c>
      <c r="D2406" s="19" t="str">
        <f>IF(B2406="","",IFERROR(INDEX(Client_List!$D:$D,MATCH(B2406,Client_List!$B:$B,0)),""))</f>
        <v/>
      </c>
      <c r="E2406" s="19" t="str">
        <f>IF(B2406="","",IFERROR(INDEX(Client_List!$K:$K,MATCH(B2406,Client_List!$B:$B,0)),""))</f>
        <v/>
      </c>
      <c r="F2406" s="19" t="str">
        <f>IF(B2406="","",IFERROR(INDEX(Client_List!$J:$J,MATCH(B2406,Client_List!$B:$B,0)),""))</f>
        <v/>
      </c>
      <c r="G2406" s="19"/>
      <c r="H2406" s="19" t="str">
        <f>IF(B2406="","",IFERROR(A2406-LOOKUP(2,1/($B$4:$B2405=B2406),$A$4:$A2405),""))</f>
        <v/>
      </c>
      <c r="I2406" s="19" t="str">
        <f t="shared" si="37"/>
        <v/>
      </c>
      <c r="J2406" s="19"/>
      <c r="K2406" s="6" t="str">
        <f>IF(B2406="","",IFERROR(AVERAGEIFS($I$4:$I2406,$B$4:$B2406,B2406,$I$4:$I2406,"&gt;"&amp;0),""))</f>
        <v/>
      </c>
      <c r="L2406" s="19" t="str">
        <f>IF(B2406="","",IF(ISNA(MATCH(B2406,Client_List!$B:$B,0)),"⚠ NOT FOUND","✓"))</f>
        <v/>
      </c>
    </row>
    <row r="2407" spans="1:12" ht="14" customHeight="1" x14ac:dyDescent="0.2">
      <c r="A2407" s="58"/>
      <c r="B2407" s="15"/>
      <c r="C2407" s="16" t="str">
        <f>IF(B2407="","",IFERROR(INDEX(Client_List!$C:$C,MATCH(B2407,Client_List!$B:$B,0)),""))</f>
        <v/>
      </c>
      <c r="D2407" s="16" t="str">
        <f>IF(B2407="","",IFERROR(INDEX(Client_List!$D:$D,MATCH(B2407,Client_List!$B:$B,0)),""))</f>
        <v/>
      </c>
      <c r="E2407" s="16" t="str">
        <f>IF(B2407="","",IFERROR(INDEX(Client_List!$K:$K,MATCH(B2407,Client_List!$B:$B,0)),""))</f>
        <v/>
      </c>
      <c r="F2407" s="16" t="str">
        <f>IF(B2407="","",IFERROR(INDEX(Client_List!$J:$J,MATCH(B2407,Client_List!$B:$B,0)),""))</f>
        <v/>
      </c>
      <c r="G2407" s="16"/>
      <c r="H2407" s="16" t="str">
        <f>IF(B2407="","",IFERROR(A2407-LOOKUP(2,1/($B$4:$B2406=B2407),$A$4:$A2406),""))</f>
        <v/>
      </c>
      <c r="I2407" s="16" t="str">
        <f t="shared" si="37"/>
        <v/>
      </c>
      <c r="J2407" s="16"/>
      <c r="K2407" s="6" t="str">
        <f>IF(B2407="","",IFERROR(AVERAGEIFS($I$4:$I2407,$B$4:$B2407,B2407,$I$4:$I2407,"&gt;"&amp;0),""))</f>
        <v/>
      </c>
      <c r="L2407" s="16" t="str">
        <f>IF(B2407="","",IF(ISNA(MATCH(B2407,Client_List!$B:$B,0)),"⚠ NOT FOUND","✓"))</f>
        <v/>
      </c>
    </row>
    <row r="2408" spans="1:12" ht="14" customHeight="1" x14ac:dyDescent="0.2">
      <c r="A2408" s="59"/>
      <c r="B2408" s="18"/>
      <c r="C2408" s="19" t="str">
        <f>IF(B2408="","",IFERROR(INDEX(Client_List!$C:$C,MATCH(B2408,Client_List!$B:$B,0)),""))</f>
        <v/>
      </c>
      <c r="D2408" s="19" t="str">
        <f>IF(B2408="","",IFERROR(INDEX(Client_List!$D:$D,MATCH(B2408,Client_List!$B:$B,0)),""))</f>
        <v/>
      </c>
      <c r="E2408" s="19" t="str">
        <f>IF(B2408="","",IFERROR(INDEX(Client_List!$K:$K,MATCH(B2408,Client_List!$B:$B,0)),""))</f>
        <v/>
      </c>
      <c r="F2408" s="19" t="str">
        <f>IF(B2408="","",IFERROR(INDEX(Client_List!$J:$J,MATCH(B2408,Client_List!$B:$B,0)),""))</f>
        <v/>
      </c>
      <c r="G2408" s="19"/>
      <c r="H2408" s="19" t="str">
        <f>IF(B2408="","",IFERROR(A2408-LOOKUP(2,1/($B$4:$B2407=B2408),$A$4:$A2407),""))</f>
        <v/>
      </c>
      <c r="I2408" s="19" t="str">
        <f t="shared" si="37"/>
        <v/>
      </c>
      <c r="J2408" s="19"/>
      <c r="K2408" s="6" t="str">
        <f>IF(B2408="","",IFERROR(AVERAGEIFS($I$4:$I2408,$B$4:$B2408,B2408,$I$4:$I2408,"&gt;"&amp;0),""))</f>
        <v/>
      </c>
      <c r="L2408" s="19" t="str">
        <f>IF(B2408="","",IF(ISNA(MATCH(B2408,Client_List!$B:$B,0)),"⚠ NOT FOUND","✓"))</f>
        <v/>
      </c>
    </row>
    <row r="2409" spans="1:12" ht="14" customHeight="1" x14ac:dyDescent="0.2">
      <c r="A2409" s="58"/>
      <c r="B2409" s="15"/>
      <c r="C2409" s="16" t="str">
        <f>IF(B2409="","",IFERROR(INDEX(Client_List!$C:$C,MATCH(B2409,Client_List!$B:$B,0)),""))</f>
        <v/>
      </c>
      <c r="D2409" s="16" t="str">
        <f>IF(B2409="","",IFERROR(INDEX(Client_List!$D:$D,MATCH(B2409,Client_List!$B:$B,0)),""))</f>
        <v/>
      </c>
      <c r="E2409" s="16" t="str">
        <f>IF(B2409="","",IFERROR(INDEX(Client_List!$K:$K,MATCH(B2409,Client_List!$B:$B,0)),""))</f>
        <v/>
      </c>
      <c r="F2409" s="16" t="str">
        <f>IF(B2409="","",IFERROR(INDEX(Client_List!$J:$J,MATCH(B2409,Client_List!$B:$B,0)),""))</f>
        <v/>
      </c>
      <c r="G2409" s="16"/>
      <c r="H2409" s="16" t="str">
        <f>IF(B2409="","",IFERROR(A2409-LOOKUP(2,1/($B$4:$B2408=B2409),$A$4:$A2408),""))</f>
        <v/>
      </c>
      <c r="I2409" s="16" t="str">
        <f t="shared" si="37"/>
        <v/>
      </c>
      <c r="J2409" s="16"/>
      <c r="K2409" s="6" t="str">
        <f>IF(B2409="","",IFERROR(AVERAGEIFS($I$4:$I2409,$B$4:$B2409,B2409,$I$4:$I2409,"&gt;"&amp;0),""))</f>
        <v/>
      </c>
      <c r="L2409" s="16" t="str">
        <f>IF(B2409="","",IF(ISNA(MATCH(B2409,Client_List!$B:$B,0)),"⚠ NOT FOUND","✓"))</f>
        <v/>
      </c>
    </row>
    <row r="2410" spans="1:12" ht="14" customHeight="1" x14ac:dyDescent="0.2">
      <c r="A2410" s="59"/>
      <c r="B2410" s="18"/>
      <c r="C2410" s="19" t="str">
        <f>IF(B2410="","",IFERROR(INDEX(Client_List!$C:$C,MATCH(B2410,Client_List!$B:$B,0)),""))</f>
        <v/>
      </c>
      <c r="D2410" s="19" t="str">
        <f>IF(B2410="","",IFERROR(INDEX(Client_List!$D:$D,MATCH(B2410,Client_List!$B:$B,0)),""))</f>
        <v/>
      </c>
      <c r="E2410" s="19" t="str">
        <f>IF(B2410="","",IFERROR(INDEX(Client_List!$K:$K,MATCH(B2410,Client_List!$B:$B,0)),""))</f>
        <v/>
      </c>
      <c r="F2410" s="19" t="str">
        <f>IF(B2410="","",IFERROR(INDEX(Client_List!$J:$J,MATCH(B2410,Client_List!$B:$B,0)),""))</f>
        <v/>
      </c>
      <c r="G2410" s="19"/>
      <c r="H2410" s="19" t="str">
        <f>IF(B2410="","",IFERROR(A2410-LOOKUP(2,1/($B$4:$B2409=B2410),$A$4:$A2409),""))</f>
        <v/>
      </c>
      <c r="I2410" s="19" t="str">
        <f t="shared" si="37"/>
        <v/>
      </c>
      <c r="J2410" s="19"/>
      <c r="K2410" s="6" t="str">
        <f>IF(B2410="","",IFERROR(AVERAGEIFS($I$4:$I2410,$B$4:$B2410,B2410,$I$4:$I2410,"&gt;"&amp;0),""))</f>
        <v/>
      </c>
      <c r="L2410" s="19" t="str">
        <f>IF(B2410="","",IF(ISNA(MATCH(B2410,Client_List!$B:$B,0)),"⚠ NOT FOUND","✓"))</f>
        <v/>
      </c>
    </row>
    <row r="2411" spans="1:12" ht="14" customHeight="1" x14ac:dyDescent="0.2">
      <c r="A2411" s="58"/>
      <c r="B2411" s="15"/>
      <c r="C2411" s="16" t="str">
        <f>IF(B2411="","",IFERROR(INDEX(Client_List!$C:$C,MATCH(B2411,Client_List!$B:$B,0)),""))</f>
        <v/>
      </c>
      <c r="D2411" s="16" t="str">
        <f>IF(B2411="","",IFERROR(INDEX(Client_List!$D:$D,MATCH(B2411,Client_List!$B:$B,0)),""))</f>
        <v/>
      </c>
      <c r="E2411" s="16" t="str">
        <f>IF(B2411="","",IFERROR(INDEX(Client_List!$K:$K,MATCH(B2411,Client_List!$B:$B,0)),""))</f>
        <v/>
      </c>
      <c r="F2411" s="16" t="str">
        <f>IF(B2411="","",IFERROR(INDEX(Client_List!$J:$J,MATCH(B2411,Client_List!$B:$B,0)),""))</f>
        <v/>
      </c>
      <c r="G2411" s="16"/>
      <c r="H2411" s="16" t="str">
        <f>IF(B2411="","",IFERROR(A2411-LOOKUP(2,1/($B$4:$B2410=B2411),$A$4:$A2410),""))</f>
        <v/>
      </c>
      <c r="I2411" s="16" t="str">
        <f t="shared" si="37"/>
        <v/>
      </c>
      <c r="J2411" s="16"/>
      <c r="K2411" s="6" t="str">
        <f>IF(B2411="","",IFERROR(AVERAGEIFS($I$4:$I2411,$B$4:$B2411,B2411,$I$4:$I2411,"&gt;"&amp;0),""))</f>
        <v/>
      </c>
      <c r="L2411" s="16" t="str">
        <f>IF(B2411="","",IF(ISNA(MATCH(B2411,Client_List!$B:$B,0)),"⚠ NOT FOUND","✓"))</f>
        <v/>
      </c>
    </row>
    <row r="2412" spans="1:12" ht="14" customHeight="1" x14ac:dyDescent="0.2">
      <c r="A2412" s="59"/>
      <c r="B2412" s="18"/>
      <c r="C2412" s="19" t="str">
        <f>IF(B2412="","",IFERROR(INDEX(Client_List!$C:$C,MATCH(B2412,Client_List!$B:$B,0)),""))</f>
        <v/>
      </c>
      <c r="D2412" s="19" t="str">
        <f>IF(B2412="","",IFERROR(INDEX(Client_List!$D:$D,MATCH(B2412,Client_List!$B:$B,0)),""))</f>
        <v/>
      </c>
      <c r="E2412" s="19" t="str">
        <f>IF(B2412="","",IFERROR(INDEX(Client_List!$K:$K,MATCH(B2412,Client_List!$B:$B,0)),""))</f>
        <v/>
      </c>
      <c r="F2412" s="19" t="str">
        <f>IF(B2412="","",IFERROR(INDEX(Client_List!$J:$J,MATCH(B2412,Client_List!$B:$B,0)),""))</f>
        <v/>
      </c>
      <c r="G2412" s="19"/>
      <c r="H2412" s="19" t="str">
        <f>IF(B2412="","",IFERROR(A2412-LOOKUP(2,1/($B$4:$B2411=B2412),$A$4:$A2411),""))</f>
        <v/>
      </c>
      <c r="I2412" s="19" t="str">
        <f t="shared" si="37"/>
        <v/>
      </c>
      <c r="J2412" s="19"/>
      <c r="K2412" s="6" t="str">
        <f>IF(B2412="","",IFERROR(AVERAGEIFS($I$4:$I2412,$B$4:$B2412,B2412,$I$4:$I2412,"&gt;"&amp;0),""))</f>
        <v/>
      </c>
      <c r="L2412" s="19" t="str">
        <f>IF(B2412="","",IF(ISNA(MATCH(B2412,Client_List!$B:$B,0)),"⚠ NOT FOUND","✓"))</f>
        <v/>
      </c>
    </row>
    <row r="2413" spans="1:12" ht="14" customHeight="1" x14ac:dyDescent="0.2">
      <c r="A2413" s="58"/>
      <c r="B2413" s="15"/>
      <c r="C2413" s="16" t="str">
        <f>IF(B2413="","",IFERROR(INDEX(Client_List!$C:$C,MATCH(B2413,Client_List!$B:$B,0)),""))</f>
        <v/>
      </c>
      <c r="D2413" s="16" t="str">
        <f>IF(B2413="","",IFERROR(INDEX(Client_List!$D:$D,MATCH(B2413,Client_List!$B:$B,0)),""))</f>
        <v/>
      </c>
      <c r="E2413" s="16" t="str">
        <f>IF(B2413="","",IFERROR(INDEX(Client_List!$K:$K,MATCH(B2413,Client_List!$B:$B,0)),""))</f>
        <v/>
      </c>
      <c r="F2413" s="16" t="str">
        <f>IF(B2413="","",IFERROR(INDEX(Client_List!$J:$J,MATCH(B2413,Client_List!$B:$B,0)),""))</f>
        <v/>
      </c>
      <c r="G2413" s="16"/>
      <c r="H2413" s="16" t="str">
        <f>IF(B2413="","",IFERROR(A2413-LOOKUP(2,1/($B$4:$B2412=B2413),$A$4:$A2412),""))</f>
        <v/>
      </c>
      <c r="I2413" s="16" t="str">
        <f t="shared" si="37"/>
        <v/>
      </c>
      <c r="J2413" s="16"/>
      <c r="K2413" s="6" t="str">
        <f>IF(B2413="","",IFERROR(AVERAGEIFS($I$4:$I2413,$B$4:$B2413,B2413,$I$4:$I2413,"&gt;"&amp;0),""))</f>
        <v/>
      </c>
      <c r="L2413" s="16" t="str">
        <f>IF(B2413="","",IF(ISNA(MATCH(B2413,Client_List!$B:$B,0)),"⚠ NOT FOUND","✓"))</f>
        <v/>
      </c>
    </row>
    <row r="2414" spans="1:12" ht="14" customHeight="1" x14ac:dyDescent="0.2">
      <c r="A2414" s="59"/>
      <c r="B2414" s="18"/>
      <c r="C2414" s="19" t="str">
        <f>IF(B2414="","",IFERROR(INDEX(Client_List!$C:$C,MATCH(B2414,Client_List!$B:$B,0)),""))</f>
        <v/>
      </c>
      <c r="D2414" s="19" t="str">
        <f>IF(B2414="","",IFERROR(INDEX(Client_List!$D:$D,MATCH(B2414,Client_List!$B:$B,0)),""))</f>
        <v/>
      </c>
      <c r="E2414" s="19" t="str">
        <f>IF(B2414="","",IFERROR(INDEX(Client_List!$K:$K,MATCH(B2414,Client_List!$B:$B,0)),""))</f>
        <v/>
      </c>
      <c r="F2414" s="19" t="str">
        <f>IF(B2414="","",IFERROR(INDEX(Client_List!$J:$J,MATCH(B2414,Client_List!$B:$B,0)),""))</f>
        <v/>
      </c>
      <c r="G2414" s="19"/>
      <c r="H2414" s="19" t="str">
        <f>IF(B2414="","",IFERROR(A2414-LOOKUP(2,1/($B$4:$B2413=B2414),$A$4:$A2413),""))</f>
        <v/>
      </c>
      <c r="I2414" s="19" t="str">
        <f t="shared" si="37"/>
        <v/>
      </c>
      <c r="J2414" s="19"/>
      <c r="K2414" s="6" t="str">
        <f>IF(B2414="","",IFERROR(AVERAGEIFS($I$4:$I2414,$B$4:$B2414,B2414,$I$4:$I2414,"&gt;"&amp;0),""))</f>
        <v/>
      </c>
      <c r="L2414" s="19" t="str">
        <f>IF(B2414="","",IF(ISNA(MATCH(B2414,Client_List!$B:$B,0)),"⚠ NOT FOUND","✓"))</f>
        <v/>
      </c>
    </row>
    <row r="2415" spans="1:12" ht="14" customHeight="1" x14ac:dyDescent="0.2">
      <c r="A2415" s="58"/>
      <c r="B2415" s="15"/>
      <c r="C2415" s="16" t="str">
        <f>IF(B2415="","",IFERROR(INDEX(Client_List!$C:$C,MATCH(B2415,Client_List!$B:$B,0)),""))</f>
        <v/>
      </c>
      <c r="D2415" s="16" t="str">
        <f>IF(B2415="","",IFERROR(INDEX(Client_List!$D:$D,MATCH(B2415,Client_List!$B:$B,0)),""))</f>
        <v/>
      </c>
      <c r="E2415" s="16" t="str">
        <f>IF(B2415="","",IFERROR(INDEX(Client_List!$K:$K,MATCH(B2415,Client_List!$B:$B,0)),""))</f>
        <v/>
      </c>
      <c r="F2415" s="16" t="str">
        <f>IF(B2415="","",IFERROR(INDEX(Client_List!$J:$J,MATCH(B2415,Client_List!$B:$B,0)),""))</f>
        <v/>
      </c>
      <c r="G2415" s="16"/>
      <c r="H2415" s="16" t="str">
        <f>IF(B2415="","",IFERROR(A2415-LOOKUP(2,1/($B$4:$B2414=B2415),$A$4:$A2414),""))</f>
        <v/>
      </c>
      <c r="I2415" s="16" t="str">
        <f t="shared" si="37"/>
        <v/>
      </c>
      <c r="J2415" s="16"/>
      <c r="K2415" s="6" t="str">
        <f>IF(B2415="","",IFERROR(AVERAGEIFS($I$4:$I2415,$B$4:$B2415,B2415,$I$4:$I2415,"&gt;"&amp;0),""))</f>
        <v/>
      </c>
      <c r="L2415" s="16" t="str">
        <f>IF(B2415="","",IF(ISNA(MATCH(B2415,Client_List!$B:$B,0)),"⚠ NOT FOUND","✓"))</f>
        <v/>
      </c>
    </row>
    <row r="2416" spans="1:12" ht="14" customHeight="1" x14ac:dyDescent="0.2">
      <c r="A2416" s="59"/>
      <c r="B2416" s="18"/>
      <c r="C2416" s="19" t="str">
        <f>IF(B2416="","",IFERROR(INDEX(Client_List!$C:$C,MATCH(B2416,Client_List!$B:$B,0)),""))</f>
        <v/>
      </c>
      <c r="D2416" s="19" t="str">
        <f>IF(B2416="","",IFERROR(INDEX(Client_List!$D:$D,MATCH(B2416,Client_List!$B:$B,0)),""))</f>
        <v/>
      </c>
      <c r="E2416" s="19" t="str">
        <f>IF(B2416="","",IFERROR(INDEX(Client_List!$K:$K,MATCH(B2416,Client_List!$B:$B,0)),""))</f>
        <v/>
      </c>
      <c r="F2416" s="19" t="str">
        <f>IF(B2416="","",IFERROR(INDEX(Client_List!$J:$J,MATCH(B2416,Client_List!$B:$B,0)),""))</f>
        <v/>
      </c>
      <c r="G2416" s="19"/>
      <c r="H2416" s="19" t="str">
        <f>IF(B2416="","",IFERROR(A2416-LOOKUP(2,1/($B$4:$B2415=B2416),$A$4:$A2415),""))</f>
        <v/>
      </c>
      <c r="I2416" s="19" t="str">
        <f t="shared" si="37"/>
        <v/>
      </c>
      <c r="J2416" s="19"/>
      <c r="K2416" s="6" t="str">
        <f>IF(B2416="","",IFERROR(AVERAGEIFS($I$4:$I2416,$B$4:$B2416,B2416,$I$4:$I2416,"&gt;"&amp;0),""))</f>
        <v/>
      </c>
      <c r="L2416" s="19" t="str">
        <f>IF(B2416="","",IF(ISNA(MATCH(B2416,Client_List!$B:$B,0)),"⚠ NOT FOUND","✓"))</f>
        <v/>
      </c>
    </row>
    <row r="2417" spans="1:12" ht="14" customHeight="1" x14ac:dyDescent="0.2">
      <c r="A2417" s="58"/>
      <c r="B2417" s="15"/>
      <c r="C2417" s="16" t="str">
        <f>IF(B2417="","",IFERROR(INDEX(Client_List!$C:$C,MATCH(B2417,Client_List!$B:$B,0)),""))</f>
        <v/>
      </c>
      <c r="D2417" s="16" t="str">
        <f>IF(B2417="","",IFERROR(INDEX(Client_List!$D:$D,MATCH(B2417,Client_List!$B:$B,0)),""))</f>
        <v/>
      </c>
      <c r="E2417" s="16" t="str">
        <f>IF(B2417="","",IFERROR(INDEX(Client_List!$K:$K,MATCH(B2417,Client_List!$B:$B,0)),""))</f>
        <v/>
      </c>
      <c r="F2417" s="16" t="str">
        <f>IF(B2417="","",IFERROR(INDEX(Client_List!$J:$J,MATCH(B2417,Client_List!$B:$B,0)),""))</f>
        <v/>
      </c>
      <c r="G2417" s="16"/>
      <c r="H2417" s="16" t="str">
        <f>IF(B2417="","",IFERROR(A2417-LOOKUP(2,1/($B$4:$B2416=B2417),$A$4:$A2416),""))</f>
        <v/>
      </c>
      <c r="I2417" s="16" t="str">
        <f t="shared" si="37"/>
        <v/>
      </c>
      <c r="J2417" s="16"/>
      <c r="K2417" s="6" t="str">
        <f>IF(B2417="","",IFERROR(AVERAGEIFS($I$4:$I2417,$B$4:$B2417,B2417,$I$4:$I2417,"&gt;"&amp;0),""))</f>
        <v/>
      </c>
      <c r="L2417" s="16" t="str">
        <f>IF(B2417="","",IF(ISNA(MATCH(B2417,Client_List!$B:$B,0)),"⚠ NOT FOUND","✓"))</f>
        <v/>
      </c>
    </row>
    <row r="2418" spans="1:12" ht="14" customHeight="1" x14ac:dyDescent="0.2">
      <c r="A2418" s="59"/>
      <c r="B2418" s="18"/>
      <c r="C2418" s="19" t="str">
        <f>IF(B2418="","",IFERROR(INDEX(Client_List!$C:$C,MATCH(B2418,Client_List!$B:$B,0)),""))</f>
        <v/>
      </c>
      <c r="D2418" s="19" t="str">
        <f>IF(B2418="","",IFERROR(INDEX(Client_List!$D:$D,MATCH(B2418,Client_List!$B:$B,0)),""))</f>
        <v/>
      </c>
      <c r="E2418" s="19" t="str">
        <f>IF(B2418="","",IFERROR(INDEX(Client_List!$K:$K,MATCH(B2418,Client_List!$B:$B,0)),""))</f>
        <v/>
      </c>
      <c r="F2418" s="19" t="str">
        <f>IF(B2418="","",IFERROR(INDEX(Client_List!$J:$J,MATCH(B2418,Client_List!$B:$B,0)),""))</f>
        <v/>
      </c>
      <c r="G2418" s="19"/>
      <c r="H2418" s="19" t="str">
        <f>IF(B2418="","",IFERROR(A2418-LOOKUP(2,1/($B$4:$B2417=B2418),$A$4:$A2417),""))</f>
        <v/>
      </c>
      <c r="I2418" s="19" t="str">
        <f t="shared" si="37"/>
        <v/>
      </c>
      <c r="J2418" s="19"/>
      <c r="K2418" s="6" t="str">
        <f>IF(B2418="","",IFERROR(AVERAGEIFS($I$4:$I2418,$B$4:$B2418,B2418,$I$4:$I2418,"&gt;"&amp;0),""))</f>
        <v/>
      </c>
      <c r="L2418" s="19" t="str">
        <f>IF(B2418="","",IF(ISNA(MATCH(B2418,Client_List!$B:$B,0)),"⚠ NOT FOUND","✓"))</f>
        <v/>
      </c>
    </row>
    <row r="2419" spans="1:12" ht="14" customHeight="1" x14ac:dyDescent="0.2">
      <c r="A2419" s="58"/>
      <c r="B2419" s="15"/>
      <c r="C2419" s="16" t="str">
        <f>IF(B2419="","",IFERROR(INDEX(Client_List!$C:$C,MATCH(B2419,Client_List!$B:$B,0)),""))</f>
        <v/>
      </c>
      <c r="D2419" s="16" t="str">
        <f>IF(B2419="","",IFERROR(INDEX(Client_List!$D:$D,MATCH(B2419,Client_List!$B:$B,0)),""))</f>
        <v/>
      </c>
      <c r="E2419" s="16" t="str">
        <f>IF(B2419="","",IFERROR(INDEX(Client_List!$K:$K,MATCH(B2419,Client_List!$B:$B,0)),""))</f>
        <v/>
      </c>
      <c r="F2419" s="16" t="str">
        <f>IF(B2419="","",IFERROR(INDEX(Client_List!$J:$J,MATCH(B2419,Client_List!$B:$B,0)),""))</f>
        <v/>
      </c>
      <c r="G2419" s="16"/>
      <c r="H2419" s="16" t="str">
        <f>IF(B2419="","",IFERROR(A2419-LOOKUP(2,1/($B$4:$B2418=B2419),$A$4:$A2418),""))</f>
        <v/>
      </c>
      <c r="I2419" s="16" t="str">
        <f t="shared" si="37"/>
        <v/>
      </c>
      <c r="J2419" s="16"/>
      <c r="K2419" s="6" t="str">
        <f>IF(B2419="","",IFERROR(AVERAGEIFS($I$4:$I2419,$B$4:$B2419,B2419,$I$4:$I2419,"&gt;"&amp;0),""))</f>
        <v/>
      </c>
      <c r="L2419" s="16" t="str">
        <f>IF(B2419="","",IF(ISNA(MATCH(B2419,Client_List!$B:$B,0)),"⚠ NOT FOUND","✓"))</f>
        <v/>
      </c>
    </row>
    <row r="2420" spans="1:12" ht="14" customHeight="1" x14ac:dyDescent="0.2">
      <c r="A2420" s="59"/>
      <c r="B2420" s="18"/>
      <c r="C2420" s="19" t="str">
        <f>IF(B2420="","",IFERROR(INDEX(Client_List!$C:$C,MATCH(B2420,Client_List!$B:$B,0)),""))</f>
        <v/>
      </c>
      <c r="D2420" s="19" t="str">
        <f>IF(B2420="","",IFERROR(INDEX(Client_List!$D:$D,MATCH(B2420,Client_List!$B:$B,0)),""))</f>
        <v/>
      </c>
      <c r="E2420" s="19" t="str">
        <f>IF(B2420="","",IFERROR(INDEX(Client_List!$K:$K,MATCH(B2420,Client_List!$B:$B,0)),""))</f>
        <v/>
      </c>
      <c r="F2420" s="19" t="str">
        <f>IF(B2420="","",IFERROR(INDEX(Client_List!$J:$J,MATCH(B2420,Client_List!$B:$B,0)),""))</f>
        <v/>
      </c>
      <c r="G2420" s="19"/>
      <c r="H2420" s="19" t="str">
        <f>IF(B2420="","",IFERROR(A2420-LOOKUP(2,1/($B$4:$B2419=B2420),$A$4:$A2419),""))</f>
        <v/>
      </c>
      <c r="I2420" s="19" t="str">
        <f t="shared" si="37"/>
        <v/>
      </c>
      <c r="J2420" s="19"/>
      <c r="K2420" s="6" t="str">
        <f>IF(B2420="","",IFERROR(AVERAGEIFS($I$4:$I2420,$B$4:$B2420,B2420,$I$4:$I2420,"&gt;"&amp;0),""))</f>
        <v/>
      </c>
      <c r="L2420" s="19" t="str">
        <f>IF(B2420="","",IF(ISNA(MATCH(B2420,Client_List!$B:$B,0)),"⚠ NOT FOUND","✓"))</f>
        <v/>
      </c>
    </row>
    <row r="2421" spans="1:12" ht="14" customHeight="1" x14ac:dyDescent="0.2">
      <c r="A2421" s="58"/>
      <c r="B2421" s="15"/>
      <c r="C2421" s="16" t="str">
        <f>IF(B2421="","",IFERROR(INDEX(Client_List!$C:$C,MATCH(B2421,Client_List!$B:$B,0)),""))</f>
        <v/>
      </c>
      <c r="D2421" s="16" t="str">
        <f>IF(B2421="","",IFERROR(INDEX(Client_List!$D:$D,MATCH(B2421,Client_List!$B:$B,0)),""))</f>
        <v/>
      </c>
      <c r="E2421" s="16" t="str">
        <f>IF(B2421="","",IFERROR(INDEX(Client_List!$K:$K,MATCH(B2421,Client_List!$B:$B,0)),""))</f>
        <v/>
      </c>
      <c r="F2421" s="16" t="str">
        <f>IF(B2421="","",IFERROR(INDEX(Client_List!$J:$J,MATCH(B2421,Client_List!$B:$B,0)),""))</f>
        <v/>
      </c>
      <c r="G2421" s="16"/>
      <c r="H2421" s="16" t="str">
        <f>IF(B2421="","",IFERROR(A2421-LOOKUP(2,1/($B$4:$B2420=B2421),$A$4:$A2420),""))</f>
        <v/>
      </c>
      <c r="I2421" s="16" t="str">
        <f t="shared" si="37"/>
        <v/>
      </c>
      <c r="J2421" s="16"/>
      <c r="K2421" s="6" t="str">
        <f>IF(B2421="","",IFERROR(AVERAGEIFS($I$4:$I2421,$B$4:$B2421,B2421,$I$4:$I2421,"&gt;"&amp;0),""))</f>
        <v/>
      </c>
      <c r="L2421" s="16" t="str">
        <f>IF(B2421="","",IF(ISNA(MATCH(B2421,Client_List!$B:$B,0)),"⚠ NOT FOUND","✓"))</f>
        <v/>
      </c>
    </row>
    <row r="2422" spans="1:12" ht="14" customHeight="1" x14ac:dyDescent="0.2">
      <c r="A2422" s="59"/>
      <c r="B2422" s="18"/>
      <c r="C2422" s="19" t="str">
        <f>IF(B2422="","",IFERROR(INDEX(Client_List!$C:$C,MATCH(B2422,Client_List!$B:$B,0)),""))</f>
        <v/>
      </c>
      <c r="D2422" s="19" t="str">
        <f>IF(B2422="","",IFERROR(INDEX(Client_List!$D:$D,MATCH(B2422,Client_List!$B:$B,0)),""))</f>
        <v/>
      </c>
      <c r="E2422" s="19" t="str">
        <f>IF(B2422="","",IFERROR(INDEX(Client_List!$K:$K,MATCH(B2422,Client_List!$B:$B,0)),""))</f>
        <v/>
      </c>
      <c r="F2422" s="19" t="str">
        <f>IF(B2422="","",IFERROR(INDEX(Client_List!$J:$J,MATCH(B2422,Client_List!$B:$B,0)),""))</f>
        <v/>
      </c>
      <c r="G2422" s="19"/>
      <c r="H2422" s="19" t="str">
        <f>IF(B2422="","",IFERROR(A2422-LOOKUP(2,1/($B$4:$B2421=B2422),$A$4:$A2421),""))</f>
        <v/>
      </c>
      <c r="I2422" s="19" t="str">
        <f t="shared" si="37"/>
        <v/>
      </c>
      <c r="J2422" s="19"/>
      <c r="K2422" s="6" t="str">
        <f>IF(B2422="","",IFERROR(AVERAGEIFS($I$4:$I2422,$B$4:$B2422,B2422,$I$4:$I2422,"&gt;"&amp;0),""))</f>
        <v/>
      </c>
      <c r="L2422" s="19" t="str">
        <f>IF(B2422="","",IF(ISNA(MATCH(B2422,Client_List!$B:$B,0)),"⚠ NOT FOUND","✓"))</f>
        <v/>
      </c>
    </row>
    <row r="2423" spans="1:12" ht="14" customHeight="1" x14ac:dyDescent="0.2">
      <c r="A2423" s="58"/>
      <c r="B2423" s="15"/>
      <c r="C2423" s="16" t="str">
        <f>IF(B2423="","",IFERROR(INDEX(Client_List!$C:$C,MATCH(B2423,Client_List!$B:$B,0)),""))</f>
        <v/>
      </c>
      <c r="D2423" s="16" t="str">
        <f>IF(B2423="","",IFERROR(INDEX(Client_List!$D:$D,MATCH(B2423,Client_List!$B:$B,0)),""))</f>
        <v/>
      </c>
      <c r="E2423" s="16" t="str">
        <f>IF(B2423="","",IFERROR(INDEX(Client_List!$K:$K,MATCH(B2423,Client_List!$B:$B,0)),""))</f>
        <v/>
      </c>
      <c r="F2423" s="16" t="str">
        <f>IF(B2423="","",IFERROR(INDEX(Client_List!$J:$J,MATCH(B2423,Client_List!$B:$B,0)),""))</f>
        <v/>
      </c>
      <c r="G2423" s="16"/>
      <c r="H2423" s="16" t="str">
        <f>IF(B2423="","",IFERROR(A2423-LOOKUP(2,1/($B$4:$B2422=B2423),$A$4:$A2422),""))</f>
        <v/>
      </c>
      <c r="I2423" s="16" t="str">
        <f t="shared" si="37"/>
        <v/>
      </c>
      <c r="J2423" s="16"/>
      <c r="K2423" s="6" t="str">
        <f>IF(B2423="","",IFERROR(AVERAGEIFS($I$4:$I2423,$B$4:$B2423,B2423,$I$4:$I2423,"&gt;"&amp;0),""))</f>
        <v/>
      </c>
      <c r="L2423" s="16" t="str">
        <f>IF(B2423="","",IF(ISNA(MATCH(B2423,Client_List!$B:$B,0)),"⚠ NOT FOUND","✓"))</f>
        <v/>
      </c>
    </row>
    <row r="2424" spans="1:12" ht="14" customHeight="1" x14ac:dyDescent="0.2">
      <c r="A2424" s="59"/>
      <c r="B2424" s="18"/>
      <c r="C2424" s="19" t="str">
        <f>IF(B2424="","",IFERROR(INDEX(Client_List!$C:$C,MATCH(B2424,Client_List!$B:$B,0)),""))</f>
        <v/>
      </c>
      <c r="D2424" s="19" t="str">
        <f>IF(B2424="","",IFERROR(INDEX(Client_List!$D:$D,MATCH(B2424,Client_List!$B:$B,0)),""))</f>
        <v/>
      </c>
      <c r="E2424" s="19" t="str">
        <f>IF(B2424="","",IFERROR(INDEX(Client_List!$K:$K,MATCH(B2424,Client_List!$B:$B,0)),""))</f>
        <v/>
      </c>
      <c r="F2424" s="19" t="str">
        <f>IF(B2424="","",IFERROR(INDEX(Client_List!$J:$J,MATCH(B2424,Client_List!$B:$B,0)),""))</f>
        <v/>
      </c>
      <c r="G2424" s="19"/>
      <c r="H2424" s="19" t="str">
        <f>IF(B2424="","",IFERROR(A2424-LOOKUP(2,1/($B$4:$B2423=B2424),$A$4:$A2423),""))</f>
        <v/>
      </c>
      <c r="I2424" s="19" t="str">
        <f t="shared" si="37"/>
        <v/>
      </c>
      <c r="J2424" s="19"/>
      <c r="K2424" s="6" t="str">
        <f>IF(B2424="","",IFERROR(AVERAGEIFS($I$4:$I2424,$B$4:$B2424,B2424,$I$4:$I2424,"&gt;"&amp;0),""))</f>
        <v/>
      </c>
      <c r="L2424" s="19" t="str">
        <f>IF(B2424="","",IF(ISNA(MATCH(B2424,Client_List!$B:$B,0)),"⚠ NOT FOUND","✓"))</f>
        <v/>
      </c>
    </row>
    <row r="2425" spans="1:12" ht="14" customHeight="1" x14ac:dyDescent="0.2">
      <c r="A2425" s="58"/>
      <c r="B2425" s="15"/>
      <c r="C2425" s="16" t="str">
        <f>IF(B2425="","",IFERROR(INDEX(Client_List!$C:$C,MATCH(B2425,Client_List!$B:$B,0)),""))</f>
        <v/>
      </c>
      <c r="D2425" s="16" t="str">
        <f>IF(B2425="","",IFERROR(INDEX(Client_List!$D:$D,MATCH(B2425,Client_List!$B:$B,0)),""))</f>
        <v/>
      </c>
      <c r="E2425" s="16" t="str">
        <f>IF(B2425="","",IFERROR(INDEX(Client_List!$K:$K,MATCH(B2425,Client_List!$B:$B,0)),""))</f>
        <v/>
      </c>
      <c r="F2425" s="16" t="str">
        <f>IF(B2425="","",IFERROR(INDEX(Client_List!$J:$J,MATCH(B2425,Client_List!$B:$B,0)),""))</f>
        <v/>
      </c>
      <c r="G2425" s="16"/>
      <c r="H2425" s="16" t="str">
        <f>IF(B2425="","",IFERROR(A2425-LOOKUP(2,1/($B$4:$B2424=B2425),$A$4:$A2424),""))</f>
        <v/>
      </c>
      <c r="I2425" s="16" t="str">
        <f t="shared" si="37"/>
        <v/>
      </c>
      <c r="J2425" s="16"/>
      <c r="K2425" s="6" t="str">
        <f>IF(B2425="","",IFERROR(AVERAGEIFS($I$4:$I2425,$B$4:$B2425,B2425,$I$4:$I2425,"&gt;"&amp;0),""))</f>
        <v/>
      </c>
      <c r="L2425" s="16" t="str">
        <f>IF(B2425="","",IF(ISNA(MATCH(B2425,Client_List!$B:$B,0)),"⚠ NOT FOUND","✓"))</f>
        <v/>
      </c>
    </row>
    <row r="2426" spans="1:12" ht="14" customHeight="1" x14ac:dyDescent="0.2">
      <c r="A2426" s="59"/>
      <c r="B2426" s="18"/>
      <c r="C2426" s="19" t="str">
        <f>IF(B2426="","",IFERROR(INDEX(Client_List!$C:$C,MATCH(B2426,Client_List!$B:$B,0)),""))</f>
        <v/>
      </c>
      <c r="D2426" s="19" t="str">
        <f>IF(B2426="","",IFERROR(INDEX(Client_List!$D:$D,MATCH(B2426,Client_List!$B:$B,0)),""))</f>
        <v/>
      </c>
      <c r="E2426" s="19" t="str">
        <f>IF(B2426="","",IFERROR(INDEX(Client_List!$K:$K,MATCH(B2426,Client_List!$B:$B,0)),""))</f>
        <v/>
      </c>
      <c r="F2426" s="19" t="str">
        <f>IF(B2426="","",IFERROR(INDEX(Client_List!$J:$J,MATCH(B2426,Client_List!$B:$B,0)),""))</f>
        <v/>
      </c>
      <c r="G2426" s="19"/>
      <c r="H2426" s="19" t="str">
        <f>IF(B2426="","",IFERROR(A2426-LOOKUP(2,1/($B$4:$B2425=B2426),$A$4:$A2425),""))</f>
        <v/>
      </c>
      <c r="I2426" s="19" t="str">
        <f t="shared" si="37"/>
        <v/>
      </c>
      <c r="J2426" s="19"/>
      <c r="K2426" s="6" t="str">
        <f>IF(B2426="","",IFERROR(AVERAGEIFS($I$4:$I2426,$B$4:$B2426,B2426,$I$4:$I2426,"&gt;"&amp;0),""))</f>
        <v/>
      </c>
      <c r="L2426" s="19" t="str">
        <f>IF(B2426="","",IF(ISNA(MATCH(B2426,Client_List!$B:$B,0)),"⚠ NOT FOUND","✓"))</f>
        <v/>
      </c>
    </row>
    <row r="2427" spans="1:12" ht="14" customHeight="1" x14ac:dyDescent="0.2">
      <c r="A2427" s="58"/>
      <c r="B2427" s="15"/>
      <c r="C2427" s="16" t="str">
        <f>IF(B2427="","",IFERROR(INDEX(Client_List!$C:$C,MATCH(B2427,Client_List!$B:$B,0)),""))</f>
        <v/>
      </c>
      <c r="D2427" s="16" t="str">
        <f>IF(B2427="","",IFERROR(INDEX(Client_List!$D:$D,MATCH(B2427,Client_List!$B:$B,0)),""))</f>
        <v/>
      </c>
      <c r="E2427" s="16" t="str">
        <f>IF(B2427="","",IFERROR(INDEX(Client_List!$K:$K,MATCH(B2427,Client_List!$B:$B,0)),""))</f>
        <v/>
      </c>
      <c r="F2427" s="16" t="str">
        <f>IF(B2427="","",IFERROR(INDEX(Client_List!$J:$J,MATCH(B2427,Client_List!$B:$B,0)),""))</f>
        <v/>
      </c>
      <c r="G2427" s="16"/>
      <c r="H2427" s="16" t="str">
        <f>IF(B2427="","",IFERROR(A2427-LOOKUP(2,1/($B$4:$B2426=B2427),$A$4:$A2426),""))</f>
        <v/>
      </c>
      <c r="I2427" s="16" t="str">
        <f t="shared" si="37"/>
        <v/>
      </c>
      <c r="J2427" s="16"/>
      <c r="K2427" s="6" t="str">
        <f>IF(B2427="","",IFERROR(AVERAGEIFS($I$4:$I2427,$B$4:$B2427,B2427,$I$4:$I2427,"&gt;"&amp;0),""))</f>
        <v/>
      </c>
      <c r="L2427" s="16" t="str">
        <f>IF(B2427="","",IF(ISNA(MATCH(B2427,Client_List!$B:$B,0)),"⚠ NOT FOUND","✓"))</f>
        <v/>
      </c>
    </row>
    <row r="2428" spans="1:12" ht="14" customHeight="1" x14ac:dyDescent="0.2">
      <c r="A2428" s="59"/>
      <c r="B2428" s="18"/>
      <c r="C2428" s="19" t="str">
        <f>IF(B2428="","",IFERROR(INDEX(Client_List!$C:$C,MATCH(B2428,Client_List!$B:$B,0)),""))</f>
        <v/>
      </c>
      <c r="D2428" s="19" t="str">
        <f>IF(B2428="","",IFERROR(INDEX(Client_List!$D:$D,MATCH(B2428,Client_List!$B:$B,0)),""))</f>
        <v/>
      </c>
      <c r="E2428" s="19" t="str">
        <f>IF(B2428="","",IFERROR(INDEX(Client_List!$K:$K,MATCH(B2428,Client_List!$B:$B,0)),""))</f>
        <v/>
      </c>
      <c r="F2428" s="19" t="str">
        <f>IF(B2428="","",IFERROR(INDEX(Client_List!$J:$J,MATCH(B2428,Client_List!$B:$B,0)),""))</f>
        <v/>
      </c>
      <c r="G2428" s="19"/>
      <c r="H2428" s="19" t="str">
        <f>IF(B2428="","",IFERROR(A2428-LOOKUP(2,1/($B$4:$B2427=B2428),$A$4:$A2427),""))</f>
        <v/>
      </c>
      <c r="I2428" s="19" t="str">
        <f t="shared" si="37"/>
        <v/>
      </c>
      <c r="J2428" s="19"/>
      <c r="K2428" s="6" t="str">
        <f>IF(B2428="","",IFERROR(AVERAGEIFS($I$4:$I2428,$B$4:$B2428,B2428,$I$4:$I2428,"&gt;"&amp;0),""))</f>
        <v/>
      </c>
      <c r="L2428" s="19" t="str">
        <f>IF(B2428="","",IF(ISNA(MATCH(B2428,Client_List!$B:$B,0)),"⚠ NOT FOUND","✓"))</f>
        <v/>
      </c>
    </row>
    <row r="2429" spans="1:12" ht="14" customHeight="1" x14ac:dyDescent="0.2">
      <c r="A2429" s="58"/>
      <c r="B2429" s="15"/>
      <c r="C2429" s="16" t="str">
        <f>IF(B2429="","",IFERROR(INDEX(Client_List!$C:$C,MATCH(B2429,Client_List!$B:$B,0)),""))</f>
        <v/>
      </c>
      <c r="D2429" s="16" t="str">
        <f>IF(B2429="","",IFERROR(INDEX(Client_List!$D:$D,MATCH(B2429,Client_List!$B:$B,0)),""))</f>
        <v/>
      </c>
      <c r="E2429" s="16" t="str">
        <f>IF(B2429="","",IFERROR(INDEX(Client_List!$K:$K,MATCH(B2429,Client_List!$B:$B,0)),""))</f>
        <v/>
      </c>
      <c r="F2429" s="16" t="str">
        <f>IF(B2429="","",IFERROR(INDEX(Client_List!$J:$J,MATCH(B2429,Client_List!$B:$B,0)),""))</f>
        <v/>
      </c>
      <c r="G2429" s="16"/>
      <c r="H2429" s="16" t="str">
        <f>IF(B2429="","",IFERROR(A2429-LOOKUP(2,1/($B$4:$B2428=B2429),$A$4:$A2428),""))</f>
        <v/>
      </c>
      <c r="I2429" s="16" t="str">
        <f t="shared" si="37"/>
        <v/>
      </c>
      <c r="J2429" s="16"/>
      <c r="K2429" s="6" t="str">
        <f>IF(B2429="","",IFERROR(AVERAGEIFS($I$4:$I2429,$B$4:$B2429,B2429,$I$4:$I2429,"&gt;"&amp;0),""))</f>
        <v/>
      </c>
      <c r="L2429" s="16" t="str">
        <f>IF(B2429="","",IF(ISNA(MATCH(B2429,Client_List!$B:$B,0)),"⚠ NOT FOUND","✓"))</f>
        <v/>
      </c>
    </row>
    <row r="2430" spans="1:12" ht="14" customHeight="1" x14ac:dyDescent="0.2">
      <c r="A2430" s="59"/>
      <c r="B2430" s="18"/>
      <c r="C2430" s="19" t="str">
        <f>IF(B2430="","",IFERROR(INDEX(Client_List!$C:$C,MATCH(B2430,Client_List!$B:$B,0)),""))</f>
        <v/>
      </c>
      <c r="D2430" s="19" t="str">
        <f>IF(B2430="","",IFERROR(INDEX(Client_List!$D:$D,MATCH(B2430,Client_List!$B:$B,0)),""))</f>
        <v/>
      </c>
      <c r="E2430" s="19" t="str">
        <f>IF(B2430="","",IFERROR(INDEX(Client_List!$K:$K,MATCH(B2430,Client_List!$B:$B,0)),""))</f>
        <v/>
      </c>
      <c r="F2430" s="19" t="str">
        <f>IF(B2430="","",IFERROR(INDEX(Client_List!$J:$J,MATCH(B2430,Client_List!$B:$B,0)),""))</f>
        <v/>
      </c>
      <c r="G2430" s="19"/>
      <c r="H2430" s="19" t="str">
        <f>IF(B2430="","",IFERROR(A2430-LOOKUP(2,1/($B$4:$B2429=B2430),$A$4:$A2429),""))</f>
        <v/>
      </c>
      <c r="I2430" s="19" t="str">
        <f t="shared" si="37"/>
        <v/>
      </c>
      <c r="J2430" s="19"/>
      <c r="K2430" s="6" t="str">
        <f>IF(B2430="","",IFERROR(AVERAGEIFS($I$4:$I2430,$B$4:$B2430,B2430,$I$4:$I2430,"&gt;"&amp;0),""))</f>
        <v/>
      </c>
      <c r="L2430" s="19" t="str">
        <f>IF(B2430="","",IF(ISNA(MATCH(B2430,Client_List!$B:$B,0)),"⚠ NOT FOUND","✓"))</f>
        <v/>
      </c>
    </row>
    <row r="2431" spans="1:12" ht="14" customHeight="1" x14ac:dyDescent="0.2">
      <c r="A2431" s="58"/>
      <c r="B2431" s="15"/>
      <c r="C2431" s="16" t="str">
        <f>IF(B2431="","",IFERROR(INDEX(Client_List!$C:$C,MATCH(B2431,Client_List!$B:$B,0)),""))</f>
        <v/>
      </c>
      <c r="D2431" s="16" t="str">
        <f>IF(B2431="","",IFERROR(INDEX(Client_List!$D:$D,MATCH(B2431,Client_List!$B:$B,0)),""))</f>
        <v/>
      </c>
      <c r="E2431" s="16" t="str">
        <f>IF(B2431="","",IFERROR(INDEX(Client_List!$K:$K,MATCH(B2431,Client_List!$B:$B,0)),""))</f>
        <v/>
      </c>
      <c r="F2431" s="16" t="str">
        <f>IF(B2431="","",IFERROR(INDEX(Client_List!$J:$J,MATCH(B2431,Client_List!$B:$B,0)),""))</f>
        <v/>
      </c>
      <c r="G2431" s="16"/>
      <c r="H2431" s="16" t="str">
        <f>IF(B2431="","",IFERROR(A2431-LOOKUP(2,1/($B$4:$B2430=B2431),$A$4:$A2430),""))</f>
        <v/>
      </c>
      <c r="I2431" s="16" t="str">
        <f t="shared" si="37"/>
        <v/>
      </c>
      <c r="J2431" s="16"/>
      <c r="K2431" s="6" t="str">
        <f>IF(B2431="","",IFERROR(AVERAGEIFS($I$4:$I2431,$B$4:$B2431,B2431,$I$4:$I2431,"&gt;"&amp;0),""))</f>
        <v/>
      </c>
      <c r="L2431" s="16" t="str">
        <f>IF(B2431="","",IF(ISNA(MATCH(B2431,Client_List!$B:$B,0)),"⚠ NOT FOUND","✓"))</f>
        <v/>
      </c>
    </row>
    <row r="2432" spans="1:12" ht="14" customHeight="1" x14ac:dyDescent="0.2">
      <c r="A2432" s="59"/>
      <c r="B2432" s="18"/>
      <c r="C2432" s="19" t="str">
        <f>IF(B2432="","",IFERROR(INDEX(Client_List!$C:$C,MATCH(B2432,Client_List!$B:$B,0)),""))</f>
        <v/>
      </c>
      <c r="D2432" s="19" t="str">
        <f>IF(B2432="","",IFERROR(INDEX(Client_List!$D:$D,MATCH(B2432,Client_List!$B:$B,0)),""))</f>
        <v/>
      </c>
      <c r="E2432" s="19" t="str">
        <f>IF(B2432="","",IFERROR(INDEX(Client_List!$K:$K,MATCH(B2432,Client_List!$B:$B,0)),""))</f>
        <v/>
      </c>
      <c r="F2432" s="19" t="str">
        <f>IF(B2432="","",IFERROR(INDEX(Client_List!$J:$J,MATCH(B2432,Client_List!$B:$B,0)),""))</f>
        <v/>
      </c>
      <c r="G2432" s="19"/>
      <c r="H2432" s="19" t="str">
        <f>IF(B2432="","",IFERROR(A2432-LOOKUP(2,1/($B$4:$B2431=B2432),$A$4:$A2431),""))</f>
        <v/>
      </c>
      <c r="I2432" s="19" t="str">
        <f t="shared" si="37"/>
        <v/>
      </c>
      <c r="J2432" s="19"/>
      <c r="K2432" s="6" t="str">
        <f>IF(B2432="","",IFERROR(AVERAGEIFS($I$4:$I2432,$B$4:$B2432,B2432,$I$4:$I2432,"&gt;"&amp;0),""))</f>
        <v/>
      </c>
      <c r="L2432" s="19" t="str">
        <f>IF(B2432="","",IF(ISNA(MATCH(B2432,Client_List!$B:$B,0)),"⚠ NOT FOUND","✓"))</f>
        <v/>
      </c>
    </row>
    <row r="2433" spans="1:12" ht="14" customHeight="1" x14ac:dyDescent="0.2">
      <c r="A2433" s="58"/>
      <c r="B2433" s="15"/>
      <c r="C2433" s="16" t="str">
        <f>IF(B2433="","",IFERROR(INDEX(Client_List!$C:$C,MATCH(B2433,Client_List!$B:$B,0)),""))</f>
        <v/>
      </c>
      <c r="D2433" s="16" t="str">
        <f>IF(B2433="","",IFERROR(INDEX(Client_List!$D:$D,MATCH(B2433,Client_List!$B:$B,0)),""))</f>
        <v/>
      </c>
      <c r="E2433" s="16" t="str">
        <f>IF(B2433="","",IFERROR(INDEX(Client_List!$K:$K,MATCH(B2433,Client_List!$B:$B,0)),""))</f>
        <v/>
      </c>
      <c r="F2433" s="16" t="str">
        <f>IF(B2433="","",IFERROR(INDEX(Client_List!$J:$J,MATCH(B2433,Client_List!$B:$B,0)),""))</f>
        <v/>
      </c>
      <c r="G2433" s="16"/>
      <c r="H2433" s="16" t="str">
        <f>IF(B2433="","",IFERROR(A2433-LOOKUP(2,1/($B$4:$B2432=B2433),$A$4:$A2432),""))</f>
        <v/>
      </c>
      <c r="I2433" s="16" t="str">
        <f t="shared" si="37"/>
        <v/>
      </c>
      <c r="J2433" s="16"/>
      <c r="K2433" s="6" t="str">
        <f>IF(B2433="","",IFERROR(AVERAGEIFS($I$4:$I2433,$B$4:$B2433,B2433,$I$4:$I2433,"&gt;"&amp;0),""))</f>
        <v/>
      </c>
      <c r="L2433" s="16" t="str">
        <f>IF(B2433="","",IF(ISNA(MATCH(B2433,Client_List!$B:$B,0)),"⚠ NOT FOUND","✓"))</f>
        <v/>
      </c>
    </row>
    <row r="2434" spans="1:12" ht="14" customHeight="1" x14ac:dyDescent="0.2">
      <c r="A2434" s="59"/>
      <c r="B2434" s="18"/>
      <c r="C2434" s="19" t="str">
        <f>IF(B2434="","",IFERROR(INDEX(Client_List!$C:$C,MATCH(B2434,Client_List!$B:$B,0)),""))</f>
        <v/>
      </c>
      <c r="D2434" s="19" t="str">
        <f>IF(B2434="","",IFERROR(INDEX(Client_List!$D:$D,MATCH(B2434,Client_List!$B:$B,0)),""))</f>
        <v/>
      </c>
      <c r="E2434" s="19" t="str">
        <f>IF(B2434="","",IFERROR(INDEX(Client_List!$K:$K,MATCH(B2434,Client_List!$B:$B,0)),""))</f>
        <v/>
      </c>
      <c r="F2434" s="19" t="str">
        <f>IF(B2434="","",IFERROR(INDEX(Client_List!$J:$J,MATCH(B2434,Client_List!$B:$B,0)),""))</f>
        <v/>
      </c>
      <c r="G2434" s="19"/>
      <c r="H2434" s="19" t="str">
        <f>IF(B2434="","",IFERROR(A2434-LOOKUP(2,1/($B$4:$B2433=B2434),$A$4:$A2433),""))</f>
        <v/>
      </c>
      <c r="I2434" s="19" t="str">
        <f t="shared" si="37"/>
        <v/>
      </c>
      <c r="J2434" s="19"/>
      <c r="K2434" s="6" t="str">
        <f>IF(B2434="","",IFERROR(AVERAGEIFS($I$4:$I2434,$B$4:$B2434,B2434,$I$4:$I2434,"&gt;"&amp;0),""))</f>
        <v/>
      </c>
      <c r="L2434" s="19" t="str">
        <f>IF(B2434="","",IF(ISNA(MATCH(B2434,Client_List!$B:$B,0)),"⚠ NOT FOUND","✓"))</f>
        <v/>
      </c>
    </row>
    <row r="2435" spans="1:12" ht="14" customHeight="1" x14ac:dyDescent="0.2">
      <c r="A2435" s="58"/>
      <c r="B2435" s="15"/>
      <c r="C2435" s="16" t="str">
        <f>IF(B2435="","",IFERROR(INDEX(Client_List!$C:$C,MATCH(B2435,Client_List!$B:$B,0)),""))</f>
        <v/>
      </c>
      <c r="D2435" s="16" t="str">
        <f>IF(B2435="","",IFERROR(INDEX(Client_List!$D:$D,MATCH(B2435,Client_List!$B:$B,0)),""))</f>
        <v/>
      </c>
      <c r="E2435" s="16" t="str">
        <f>IF(B2435="","",IFERROR(INDEX(Client_List!$K:$K,MATCH(B2435,Client_List!$B:$B,0)),""))</f>
        <v/>
      </c>
      <c r="F2435" s="16" t="str">
        <f>IF(B2435="","",IFERROR(INDEX(Client_List!$J:$J,MATCH(B2435,Client_List!$B:$B,0)),""))</f>
        <v/>
      </c>
      <c r="G2435" s="16"/>
      <c r="H2435" s="16" t="str">
        <f>IF(B2435="","",IFERROR(A2435-LOOKUP(2,1/($B$4:$B2434=B2435),$A$4:$A2434),""))</f>
        <v/>
      </c>
      <c r="I2435" s="16" t="str">
        <f t="shared" si="37"/>
        <v/>
      </c>
      <c r="J2435" s="16"/>
      <c r="K2435" s="6" t="str">
        <f>IF(B2435="","",IFERROR(AVERAGEIFS($I$4:$I2435,$B$4:$B2435,B2435,$I$4:$I2435,"&gt;"&amp;0),""))</f>
        <v/>
      </c>
      <c r="L2435" s="16" t="str">
        <f>IF(B2435="","",IF(ISNA(MATCH(B2435,Client_List!$B:$B,0)),"⚠ NOT FOUND","✓"))</f>
        <v/>
      </c>
    </row>
    <row r="2436" spans="1:12" ht="14" customHeight="1" x14ac:dyDescent="0.2">
      <c r="A2436" s="59"/>
      <c r="B2436" s="18"/>
      <c r="C2436" s="19" t="str">
        <f>IF(B2436="","",IFERROR(INDEX(Client_List!$C:$C,MATCH(B2436,Client_List!$B:$B,0)),""))</f>
        <v/>
      </c>
      <c r="D2436" s="19" t="str">
        <f>IF(B2436="","",IFERROR(INDEX(Client_List!$D:$D,MATCH(B2436,Client_List!$B:$B,0)),""))</f>
        <v/>
      </c>
      <c r="E2436" s="19" t="str">
        <f>IF(B2436="","",IFERROR(INDEX(Client_List!$K:$K,MATCH(B2436,Client_List!$B:$B,0)),""))</f>
        <v/>
      </c>
      <c r="F2436" s="19" t="str">
        <f>IF(B2436="","",IFERROR(INDEX(Client_List!$J:$J,MATCH(B2436,Client_List!$B:$B,0)),""))</f>
        <v/>
      </c>
      <c r="G2436" s="19"/>
      <c r="H2436" s="19" t="str">
        <f>IF(B2436="","",IFERROR(A2436-LOOKUP(2,1/($B$4:$B2435=B2436),$A$4:$A2435),""))</f>
        <v/>
      </c>
      <c r="I2436" s="19" t="str">
        <f t="shared" ref="I2436:I2499" si="38">IF(B2436="","",IFERROR(G2436/H2436,""))</f>
        <v/>
      </c>
      <c r="J2436" s="19"/>
      <c r="K2436" s="6" t="str">
        <f>IF(B2436="","",IFERROR(AVERAGEIFS($I$4:$I2436,$B$4:$B2436,B2436,$I$4:$I2436,"&gt;"&amp;0),""))</f>
        <v/>
      </c>
      <c r="L2436" s="19" t="str">
        <f>IF(B2436="","",IF(ISNA(MATCH(B2436,Client_List!$B:$B,0)),"⚠ NOT FOUND","✓"))</f>
        <v/>
      </c>
    </row>
    <row r="2437" spans="1:12" ht="14" customHeight="1" x14ac:dyDescent="0.2">
      <c r="A2437" s="58"/>
      <c r="B2437" s="15"/>
      <c r="C2437" s="16" t="str">
        <f>IF(B2437="","",IFERROR(INDEX(Client_List!$C:$C,MATCH(B2437,Client_List!$B:$B,0)),""))</f>
        <v/>
      </c>
      <c r="D2437" s="16" t="str">
        <f>IF(B2437="","",IFERROR(INDEX(Client_List!$D:$D,MATCH(B2437,Client_List!$B:$B,0)),""))</f>
        <v/>
      </c>
      <c r="E2437" s="16" t="str">
        <f>IF(B2437="","",IFERROR(INDEX(Client_List!$K:$K,MATCH(B2437,Client_List!$B:$B,0)),""))</f>
        <v/>
      </c>
      <c r="F2437" s="16" t="str">
        <f>IF(B2437="","",IFERROR(INDEX(Client_List!$J:$J,MATCH(B2437,Client_List!$B:$B,0)),""))</f>
        <v/>
      </c>
      <c r="G2437" s="16"/>
      <c r="H2437" s="16" t="str">
        <f>IF(B2437="","",IFERROR(A2437-LOOKUP(2,1/($B$4:$B2436=B2437),$A$4:$A2436),""))</f>
        <v/>
      </c>
      <c r="I2437" s="16" t="str">
        <f t="shared" si="38"/>
        <v/>
      </c>
      <c r="J2437" s="16"/>
      <c r="K2437" s="6" t="str">
        <f>IF(B2437="","",IFERROR(AVERAGEIFS($I$4:$I2437,$B$4:$B2437,B2437,$I$4:$I2437,"&gt;"&amp;0),""))</f>
        <v/>
      </c>
      <c r="L2437" s="16" t="str">
        <f>IF(B2437="","",IF(ISNA(MATCH(B2437,Client_List!$B:$B,0)),"⚠ NOT FOUND","✓"))</f>
        <v/>
      </c>
    </row>
    <row r="2438" spans="1:12" ht="14" customHeight="1" x14ac:dyDescent="0.2">
      <c r="A2438" s="59"/>
      <c r="B2438" s="18"/>
      <c r="C2438" s="19" t="str">
        <f>IF(B2438="","",IFERROR(INDEX(Client_List!$C:$C,MATCH(B2438,Client_List!$B:$B,0)),""))</f>
        <v/>
      </c>
      <c r="D2438" s="19" t="str">
        <f>IF(B2438="","",IFERROR(INDEX(Client_List!$D:$D,MATCH(B2438,Client_List!$B:$B,0)),""))</f>
        <v/>
      </c>
      <c r="E2438" s="19" t="str">
        <f>IF(B2438="","",IFERROR(INDEX(Client_List!$K:$K,MATCH(B2438,Client_List!$B:$B,0)),""))</f>
        <v/>
      </c>
      <c r="F2438" s="19" t="str">
        <f>IF(B2438="","",IFERROR(INDEX(Client_List!$J:$J,MATCH(B2438,Client_List!$B:$B,0)),""))</f>
        <v/>
      </c>
      <c r="G2438" s="19"/>
      <c r="H2438" s="19" t="str">
        <f>IF(B2438="","",IFERROR(A2438-LOOKUP(2,1/($B$4:$B2437=B2438),$A$4:$A2437),""))</f>
        <v/>
      </c>
      <c r="I2438" s="19" t="str">
        <f t="shared" si="38"/>
        <v/>
      </c>
      <c r="J2438" s="19"/>
      <c r="K2438" s="6" t="str">
        <f>IF(B2438="","",IFERROR(AVERAGEIFS($I$4:$I2438,$B$4:$B2438,B2438,$I$4:$I2438,"&gt;"&amp;0),""))</f>
        <v/>
      </c>
      <c r="L2438" s="19" t="str">
        <f>IF(B2438="","",IF(ISNA(MATCH(B2438,Client_List!$B:$B,0)),"⚠ NOT FOUND","✓"))</f>
        <v/>
      </c>
    </row>
    <row r="2439" spans="1:12" ht="14" customHeight="1" x14ac:dyDescent="0.2">
      <c r="A2439" s="58"/>
      <c r="B2439" s="15"/>
      <c r="C2439" s="16" t="str">
        <f>IF(B2439="","",IFERROR(INDEX(Client_List!$C:$C,MATCH(B2439,Client_List!$B:$B,0)),""))</f>
        <v/>
      </c>
      <c r="D2439" s="16" t="str">
        <f>IF(B2439="","",IFERROR(INDEX(Client_List!$D:$D,MATCH(B2439,Client_List!$B:$B,0)),""))</f>
        <v/>
      </c>
      <c r="E2439" s="16" t="str">
        <f>IF(B2439="","",IFERROR(INDEX(Client_List!$K:$K,MATCH(B2439,Client_List!$B:$B,0)),""))</f>
        <v/>
      </c>
      <c r="F2439" s="16" t="str">
        <f>IF(B2439="","",IFERROR(INDEX(Client_List!$J:$J,MATCH(B2439,Client_List!$B:$B,0)),""))</f>
        <v/>
      </c>
      <c r="G2439" s="16"/>
      <c r="H2439" s="16" t="str">
        <f>IF(B2439="","",IFERROR(A2439-LOOKUP(2,1/($B$4:$B2438=B2439),$A$4:$A2438),""))</f>
        <v/>
      </c>
      <c r="I2439" s="16" t="str">
        <f t="shared" si="38"/>
        <v/>
      </c>
      <c r="J2439" s="16"/>
      <c r="K2439" s="6" t="str">
        <f>IF(B2439="","",IFERROR(AVERAGEIFS($I$4:$I2439,$B$4:$B2439,B2439,$I$4:$I2439,"&gt;"&amp;0),""))</f>
        <v/>
      </c>
      <c r="L2439" s="16" t="str">
        <f>IF(B2439="","",IF(ISNA(MATCH(B2439,Client_List!$B:$B,0)),"⚠ NOT FOUND","✓"))</f>
        <v/>
      </c>
    </row>
    <row r="2440" spans="1:12" ht="14" customHeight="1" x14ac:dyDescent="0.2">
      <c r="A2440" s="59"/>
      <c r="B2440" s="18"/>
      <c r="C2440" s="19" t="str">
        <f>IF(B2440="","",IFERROR(INDEX(Client_List!$C:$C,MATCH(B2440,Client_List!$B:$B,0)),""))</f>
        <v/>
      </c>
      <c r="D2440" s="19" t="str">
        <f>IF(B2440="","",IFERROR(INDEX(Client_List!$D:$D,MATCH(B2440,Client_List!$B:$B,0)),""))</f>
        <v/>
      </c>
      <c r="E2440" s="19" t="str">
        <f>IF(B2440="","",IFERROR(INDEX(Client_List!$K:$K,MATCH(B2440,Client_List!$B:$B,0)),""))</f>
        <v/>
      </c>
      <c r="F2440" s="19" t="str">
        <f>IF(B2440="","",IFERROR(INDEX(Client_List!$J:$J,MATCH(B2440,Client_List!$B:$B,0)),""))</f>
        <v/>
      </c>
      <c r="G2440" s="19"/>
      <c r="H2440" s="19" t="str">
        <f>IF(B2440="","",IFERROR(A2440-LOOKUP(2,1/($B$4:$B2439=B2440),$A$4:$A2439),""))</f>
        <v/>
      </c>
      <c r="I2440" s="19" t="str">
        <f t="shared" si="38"/>
        <v/>
      </c>
      <c r="J2440" s="19"/>
      <c r="K2440" s="6" t="str">
        <f>IF(B2440="","",IFERROR(AVERAGEIFS($I$4:$I2440,$B$4:$B2440,B2440,$I$4:$I2440,"&gt;"&amp;0),""))</f>
        <v/>
      </c>
      <c r="L2440" s="19" t="str">
        <f>IF(B2440="","",IF(ISNA(MATCH(B2440,Client_List!$B:$B,0)),"⚠ NOT FOUND","✓"))</f>
        <v/>
      </c>
    </row>
    <row r="2441" spans="1:12" ht="14" customHeight="1" x14ac:dyDescent="0.2">
      <c r="A2441" s="58"/>
      <c r="B2441" s="15"/>
      <c r="C2441" s="16" t="str">
        <f>IF(B2441="","",IFERROR(INDEX(Client_List!$C:$C,MATCH(B2441,Client_List!$B:$B,0)),""))</f>
        <v/>
      </c>
      <c r="D2441" s="16" t="str">
        <f>IF(B2441="","",IFERROR(INDEX(Client_List!$D:$D,MATCH(B2441,Client_List!$B:$B,0)),""))</f>
        <v/>
      </c>
      <c r="E2441" s="16" t="str">
        <f>IF(B2441="","",IFERROR(INDEX(Client_List!$K:$K,MATCH(B2441,Client_List!$B:$B,0)),""))</f>
        <v/>
      </c>
      <c r="F2441" s="16" t="str">
        <f>IF(B2441="","",IFERROR(INDEX(Client_List!$J:$J,MATCH(B2441,Client_List!$B:$B,0)),""))</f>
        <v/>
      </c>
      <c r="G2441" s="16"/>
      <c r="H2441" s="16" t="str">
        <f>IF(B2441="","",IFERROR(A2441-LOOKUP(2,1/($B$4:$B2440=B2441),$A$4:$A2440),""))</f>
        <v/>
      </c>
      <c r="I2441" s="16" t="str">
        <f t="shared" si="38"/>
        <v/>
      </c>
      <c r="J2441" s="16"/>
      <c r="K2441" s="6" t="str">
        <f>IF(B2441="","",IFERROR(AVERAGEIFS($I$4:$I2441,$B$4:$B2441,B2441,$I$4:$I2441,"&gt;"&amp;0),""))</f>
        <v/>
      </c>
      <c r="L2441" s="16" t="str">
        <f>IF(B2441="","",IF(ISNA(MATCH(B2441,Client_List!$B:$B,0)),"⚠ NOT FOUND","✓"))</f>
        <v/>
      </c>
    </row>
    <row r="2442" spans="1:12" ht="14" customHeight="1" x14ac:dyDescent="0.2">
      <c r="A2442" s="59"/>
      <c r="B2442" s="18"/>
      <c r="C2442" s="19" t="str">
        <f>IF(B2442="","",IFERROR(INDEX(Client_List!$C:$C,MATCH(B2442,Client_List!$B:$B,0)),""))</f>
        <v/>
      </c>
      <c r="D2442" s="19" t="str">
        <f>IF(B2442="","",IFERROR(INDEX(Client_List!$D:$D,MATCH(B2442,Client_List!$B:$B,0)),""))</f>
        <v/>
      </c>
      <c r="E2442" s="19" t="str">
        <f>IF(B2442="","",IFERROR(INDEX(Client_List!$K:$K,MATCH(B2442,Client_List!$B:$B,0)),""))</f>
        <v/>
      </c>
      <c r="F2442" s="19" t="str">
        <f>IF(B2442="","",IFERROR(INDEX(Client_List!$J:$J,MATCH(B2442,Client_List!$B:$B,0)),""))</f>
        <v/>
      </c>
      <c r="G2442" s="19"/>
      <c r="H2442" s="19" t="str">
        <f>IF(B2442="","",IFERROR(A2442-LOOKUP(2,1/($B$4:$B2441=B2442),$A$4:$A2441),""))</f>
        <v/>
      </c>
      <c r="I2442" s="19" t="str">
        <f t="shared" si="38"/>
        <v/>
      </c>
      <c r="J2442" s="19"/>
      <c r="K2442" s="6" t="str">
        <f>IF(B2442="","",IFERROR(AVERAGEIFS($I$4:$I2442,$B$4:$B2442,B2442,$I$4:$I2442,"&gt;"&amp;0),""))</f>
        <v/>
      </c>
      <c r="L2442" s="19" t="str">
        <f>IF(B2442="","",IF(ISNA(MATCH(B2442,Client_List!$B:$B,0)),"⚠ NOT FOUND","✓"))</f>
        <v/>
      </c>
    </row>
    <row r="2443" spans="1:12" ht="14" customHeight="1" x14ac:dyDescent="0.2">
      <c r="A2443" s="58"/>
      <c r="B2443" s="15"/>
      <c r="C2443" s="16" t="str">
        <f>IF(B2443="","",IFERROR(INDEX(Client_List!$C:$C,MATCH(B2443,Client_List!$B:$B,0)),""))</f>
        <v/>
      </c>
      <c r="D2443" s="16" t="str">
        <f>IF(B2443="","",IFERROR(INDEX(Client_List!$D:$D,MATCH(B2443,Client_List!$B:$B,0)),""))</f>
        <v/>
      </c>
      <c r="E2443" s="16" t="str">
        <f>IF(B2443="","",IFERROR(INDEX(Client_List!$K:$K,MATCH(B2443,Client_List!$B:$B,0)),""))</f>
        <v/>
      </c>
      <c r="F2443" s="16" t="str">
        <f>IF(B2443="","",IFERROR(INDEX(Client_List!$J:$J,MATCH(B2443,Client_List!$B:$B,0)),""))</f>
        <v/>
      </c>
      <c r="G2443" s="16"/>
      <c r="H2443" s="16" t="str">
        <f>IF(B2443="","",IFERROR(A2443-LOOKUP(2,1/($B$4:$B2442=B2443),$A$4:$A2442),""))</f>
        <v/>
      </c>
      <c r="I2443" s="16" t="str">
        <f t="shared" si="38"/>
        <v/>
      </c>
      <c r="J2443" s="16"/>
      <c r="K2443" s="6" t="str">
        <f>IF(B2443="","",IFERROR(AVERAGEIFS($I$4:$I2443,$B$4:$B2443,B2443,$I$4:$I2443,"&gt;"&amp;0),""))</f>
        <v/>
      </c>
      <c r="L2443" s="16" t="str">
        <f>IF(B2443="","",IF(ISNA(MATCH(B2443,Client_List!$B:$B,0)),"⚠ NOT FOUND","✓"))</f>
        <v/>
      </c>
    </row>
    <row r="2444" spans="1:12" ht="14" customHeight="1" x14ac:dyDescent="0.2">
      <c r="A2444" s="59"/>
      <c r="B2444" s="18"/>
      <c r="C2444" s="19" t="str">
        <f>IF(B2444="","",IFERROR(INDEX(Client_List!$C:$C,MATCH(B2444,Client_List!$B:$B,0)),""))</f>
        <v/>
      </c>
      <c r="D2444" s="19" t="str">
        <f>IF(B2444="","",IFERROR(INDEX(Client_List!$D:$D,MATCH(B2444,Client_List!$B:$B,0)),""))</f>
        <v/>
      </c>
      <c r="E2444" s="19" t="str">
        <f>IF(B2444="","",IFERROR(INDEX(Client_List!$K:$K,MATCH(B2444,Client_List!$B:$B,0)),""))</f>
        <v/>
      </c>
      <c r="F2444" s="19" t="str">
        <f>IF(B2444="","",IFERROR(INDEX(Client_List!$J:$J,MATCH(B2444,Client_List!$B:$B,0)),""))</f>
        <v/>
      </c>
      <c r="G2444" s="19"/>
      <c r="H2444" s="19" t="str">
        <f>IF(B2444="","",IFERROR(A2444-LOOKUP(2,1/($B$4:$B2443=B2444),$A$4:$A2443),""))</f>
        <v/>
      </c>
      <c r="I2444" s="19" t="str">
        <f t="shared" si="38"/>
        <v/>
      </c>
      <c r="J2444" s="19"/>
      <c r="K2444" s="6" t="str">
        <f>IF(B2444="","",IFERROR(AVERAGEIFS($I$4:$I2444,$B$4:$B2444,B2444,$I$4:$I2444,"&gt;"&amp;0),""))</f>
        <v/>
      </c>
      <c r="L2444" s="19" t="str">
        <f>IF(B2444="","",IF(ISNA(MATCH(B2444,Client_List!$B:$B,0)),"⚠ NOT FOUND","✓"))</f>
        <v/>
      </c>
    </row>
    <row r="2445" spans="1:12" ht="14" customHeight="1" x14ac:dyDescent="0.2">
      <c r="A2445" s="58"/>
      <c r="B2445" s="15"/>
      <c r="C2445" s="16" t="str">
        <f>IF(B2445="","",IFERROR(INDEX(Client_List!$C:$C,MATCH(B2445,Client_List!$B:$B,0)),""))</f>
        <v/>
      </c>
      <c r="D2445" s="16" t="str">
        <f>IF(B2445="","",IFERROR(INDEX(Client_List!$D:$D,MATCH(B2445,Client_List!$B:$B,0)),""))</f>
        <v/>
      </c>
      <c r="E2445" s="16" t="str">
        <f>IF(B2445="","",IFERROR(INDEX(Client_List!$K:$K,MATCH(B2445,Client_List!$B:$B,0)),""))</f>
        <v/>
      </c>
      <c r="F2445" s="16" t="str">
        <f>IF(B2445="","",IFERROR(INDEX(Client_List!$J:$J,MATCH(B2445,Client_List!$B:$B,0)),""))</f>
        <v/>
      </c>
      <c r="G2445" s="16"/>
      <c r="H2445" s="16" t="str">
        <f>IF(B2445="","",IFERROR(A2445-LOOKUP(2,1/($B$4:$B2444=B2445),$A$4:$A2444),""))</f>
        <v/>
      </c>
      <c r="I2445" s="16" t="str">
        <f t="shared" si="38"/>
        <v/>
      </c>
      <c r="J2445" s="16"/>
      <c r="K2445" s="6" t="str">
        <f>IF(B2445="","",IFERROR(AVERAGEIFS($I$4:$I2445,$B$4:$B2445,B2445,$I$4:$I2445,"&gt;"&amp;0),""))</f>
        <v/>
      </c>
      <c r="L2445" s="16" t="str">
        <f>IF(B2445="","",IF(ISNA(MATCH(B2445,Client_List!$B:$B,0)),"⚠ NOT FOUND","✓"))</f>
        <v/>
      </c>
    </row>
    <row r="2446" spans="1:12" ht="14" customHeight="1" x14ac:dyDescent="0.2">
      <c r="A2446" s="59"/>
      <c r="B2446" s="18"/>
      <c r="C2446" s="19" t="str">
        <f>IF(B2446="","",IFERROR(INDEX(Client_List!$C:$C,MATCH(B2446,Client_List!$B:$B,0)),""))</f>
        <v/>
      </c>
      <c r="D2446" s="19" t="str">
        <f>IF(B2446="","",IFERROR(INDEX(Client_List!$D:$D,MATCH(B2446,Client_List!$B:$B,0)),""))</f>
        <v/>
      </c>
      <c r="E2446" s="19" t="str">
        <f>IF(B2446="","",IFERROR(INDEX(Client_List!$K:$K,MATCH(B2446,Client_List!$B:$B,0)),""))</f>
        <v/>
      </c>
      <c r="F2446" s="19" t="str">
        <f>IF(B2446="","",IFERROR(INDEX(Client_List!$J:$J,MATCH(B2446,Client_List!$B:$B,0)),""))</f>
        <v/>
      </c>
      <c r="G2446" s="19"/>
      <c r="H2446" s="19" t="str">
        <f>IF(B2446="","",IFERROR(A2446-LOOKUP(2,1/($B$4:$B2445=B2446),$A$4:$A2445),""))</f>
        <v/>
      </c>
      <c r="I2446" s="19" t="str">
        <f t="shared" si="38"/>
        <v/>
      </c>
      <c r="J2446" s="19"/>
      <c r="K2446" s="6" t="str">
        <f>IF(B2446="","",IFERROR(AVERAGEIFS($I$4:$I2446,$B$4:$B2446,B2446,$I$4:$I2446,"&gt;"&amp;0),""))</f>
        <v/>
      </c>
      <c r="L2446" s="19" t="str">
        <f>IF(B2446="","",IF(ISNA(MATCH(B2446,Client_List!$B:$B,0)),"⚠ NOT FOUND","✓"))</f>
        <v/>
      </c>
    </row>
    <row r="2447" spans="1:12" ht="14" customHeight="1" x14ac:dyDescent="0.2">
      <c r="A2447" s="58"/>
      <c r="B2447" s="15"/>
      <c r="C2447" s="16" t="str">
        <f>IF(B2447="","",IFERROR(INDEX(Client_List!$C:$C,MATCH(B2447,Client_List!$B:$B,0)),""))</f>
        <v/>
      </c>
      <c r="D2447" s="16" t="str">
        <f>IF(B2447="","",IFERROR(INDEX(Client_List!$D:$D,MATCH(B2447,Client_List!$B:$B,0)),""))</f>
        <v/>
      </c>
      <c r="E2447" s="16" t="str">
        <f>IF(B2447="","",IFERROR(INDEX(Client_List!$K:$K,MATCH(B2447,Client_List!$B:$B,0)),""))</f>
        <v/>
      </c>
      <c r="F2447" s="16" t="str">
        <f>IF(B2447="","",IFERROR(INDEX(Client_List!$J:$J,MATCH(B2447,Client_List!$B:$B,0)),""))</f>
        <v/>
      </c>
      <c r="G2447" s="16"/>
      <c r="H2447" s="16" t="str">
        <f>IF(B2447="","",IFERROR(A2447-LOOKUP(2,1/($B$4:$B2446=B2447),$A$4:$A2446),""))</f>
        <v/>
      </c>
      <c r="I2447" s="16" t="str">
        <f t="shared" si="38"/>
        <v/>
      </c>
      <c r="J2447" s="16"/>
      <c r="K2447" s="6" t="str">
        <f>IF(B2447="","",IFERROR(AVERAGEIFS($I$4:$I2447,$B$4:$B2447,B2447,$I$4:$I2447,"&gt;"&amp;0),""))</f>
        <v/>
      </c>
      <c r="L2447" s="16" t="str">
        <f>IF(B2447="","",IF(ISNA(MATCH(B2447,Client_List!$B:$B,0)),"⚠ NOT FOUND","✓"))</f>
        <v/>
      </c>
    </row>
    <row r="2448" spans="1:12" ht="14" customHeight="1" x14ac:dyDescent="0.2">
      <c r="A2448" s="59"/>
      <c r="B2448" s="18"/>
      <c r="C2448" s="19" t="str">
        <f>IF(B2448="","",IFERROR(INDEX(Client_List!$C:$C,MATCH(B2448,Client_List!$B:$B,0)),""))</f>
        <v/>
      </c>
      <c r="D2448" s="19" t="str">
        <f>IF(B2448="","",IFERROR(INDEX(Client_List!$D:$D,MATCH(B2448,Client_List!$B:$B,0)),""))</f>
        <v/>
      </c>
      <c r="E2448" s="19" t="str">
        <f>IF(B2448="","",IFERROR(INDEX(Client_List!$K:$K,MATCH(B2448,Client_List!$B:$B,0)),""))</f>
        <v/>
      </c>
      <c r="F2448" s="19" t="str">
        <f>IF(B2448="","",IFERROR(INDEX(Client_List!$J:$J,MATCH(B2448,Client_List!$B:$B,0)),""))</f>
        <v/>
      </c>
      <c r="G2448" s="19"/>
      <c r="H2448" s="19" t="str">
        <f>IF(B2448="","",IFERROR(A2448-LOOKUP(2,1/($B$4:$B2447=B2448),$A$4:$A2447),""))</f>
        <v/>
      </c>
      <c r="I2448" s="19" t="str">
        <f t="shared" si="38"/>
        <v/>
      </c>
      <c r="J2448" s="19"/>
      <c r="K2448" s="6" t="str">
        <f>IF(B2448="","",IFERROR(AVERAGEIFS($I$4:$I2448,$B$4:$B2448,B2448,$I$4:$I2448,"&gt;"&amp;0),""))</f>
        <v/>
      </c>
      <c r="L2448" s="19" t="str">
        <f>IF(B2448="","",IF(ISNA(MATCH(B2448,Client_List!$B:$B,0)),"⚠ NOT FOUND","✓"))</f>
        <v/>
      </c>
    </row>
    <row r="2449" spans="1:12" ht="14" customHeight="1" x14ac:dyDescent="0.2">
      <c r="A2449" s="58"/>
      <c r="B2449" s="15"/>
      <c r="C2449" s="16" t="str">
        <f>IF(B2449="","",IFERROR(INDEX(Client_List!$C:$C,MATCH(B2449,Client_List!$B:$B,0)),""))</f>
        <v/>
      </c>
      <c r="D2449" s="16" t="str">
        <f>IF(B2449="","",IFERROR(INDEX(Client_List!$D:$D,MATCH(B2449,Client_List!$B:$B,0)),""))</f>
        <v/>
      </c>
      <c r="E2449" s="16" t="str">
        <f>IF(B2449="","",IFERROR(INDEX(Client_List!$K:$K,MATCH(B2449,Client_List!$B:$B,0)),""))</f>
        <v/>
      </c>
      <c r="F2449" s="16" t="str">
        <f>IF(B2449="","",IFERROR(INDEX(Client_List!$J:$J,MATCH(B2449,Client_List!$B:$B,0)),""))</f>
        <v/>
      </c>
      <c r="G2449" s="16"/>
      <c r="H2449" s="16" t="str">
        <f>IF(B2449="","",IFERROR(A2449-LOOKUP(2,1/($B$4:$B2448=B2449),$A$4:$A2448),""))</f>
        <v/>
      </c>
      <c r="I2449" s="16" t="str">
        <f t="shared" si="38"/>
        <v/>
      </c>
      <c r="J2449" s="16"/>
      <c r="K2449" s="6" t="str">
        <f>IF(B2449="","",IFERROR(AVERAGEIFS($I$4:$I2449,$B$4:$B2449,B2449,$I$4:$I2449,"&gt;"&amp;0),""))</f>
        <v/>
      </c>
      <c r="L2449" s="16" t="str">
        <f>IF(B2449="","",IF(ISNA(MATCH(B2449,Client_List!$B:$B,0)),"⚠ NOT FOUND","✓"))</f>
        <v/>
      </c>
    </row>
    <row r="2450" spans="1:12" ht="14" customHeight="1" x14ac:dyDescent="0.2">
      <c r="A2450" s="59"/>
      <c r="B2450" s="18"/>
      <c r="C2450" s="19" t="str">
        <f>IF(B2450="","",IFERROR(INDEX(Client_List!$C:$C,MATCH(B2450,Client_List!$B:$B,0)),""))</f>
        <v/>
      </c>
      <c r="D2450" s="19" t="str">
        <f>IF(B2450="","",IFERROR(INDEX(Client_List!$D:$D,MATCH(B2450,Client_List!$B:$B,0)),""))</f>
        <v/>
      </c>
      <c r="E2450" s="19" t="str">
        <f>IF(B2450="","",IFERROR(INDEX(Client_List!$K:$K,MATCH(B2450,Client_List!$B:$B,0)),""))</f>
        <v/>
      </c>
      <c r="F2450" s="19" t="str">
        <f>IF(B2450="","",IFERROR(INDEX(Client_List!$J:$J,MATCH(B2450,Client_List!$B:$B,0)),""))</f>
        <v/>
      </c>
      <c r="G2450" s="19"/>
      <c r="H2450" s="19" t="str">
        <f>IF(B2450="","",IFERROR(A2450-LOOKUP(2,1/($B$4:$B2449=B2450),$A$4:$A2449),""))</f>
        <v/>
      </c>
      <c r="I2450" s="19" t="str">
        <f t="shared" si="38"/>
        <v/>
      </c>
      <c r="J2450" s="19"/>
      <c r="K2450" s="6" t="str">
        <f>IF(B2450="","",IFERROR(AVERAGEIFS($I$4:$I2450,$B$4:$B2450,B2450,$I$4:$I2450,"&gt;"&amp;0),""))</f>
        <v/>
      </c>
      <c r="L2450" s="19" t="str">
        <f>IF(B2450="","",IF(ISNA(MATCH(B2450,Client_List!$B:$B,0)),"⚠ NOT FOUND","✓"))</f>
        <v/>
      </c>
    </row>
    <row r="2451" spans="1:12" ht="14" customHeight="1" x14ac:dyDescent="0.2">
      <c r="A2451" s="58"/>
      <c r="B2451" s="15"/>
      <c r="C2451" s="16" t="str">
        <f>IF(B2451="","",IFERROR(INDEX(Client_List!$C:$C,MATCH(B2451,Client_List!$B:$B,0)),""))</f>
        <v/>
      </c>
      <c r="D2451" s="16" t="str">
        <f>IF(B2451="","",IFERROR(INDEX(Client_List!$D:$D,MATCH(B2451,Client_List!$B:$B,0)),""))</f>
        <v/>
      </c>
      <c r="E2451" s="16" t="str">
        <f>IF(B2451="","",IFERROR(INDEX(Client_List!$K:$K,MATCH(B2451,Client_List!$B:$B,0)),""))</f>
        <v/>
      </c>
      <c r="F2451" s="16" t="str">
        <f>IF(B2451="","",IFERROR(INDEX(Client_List!$J:$J,MATCH(B2451,Client_List!$B:$B,0)),""))</f>
        <v/>
      </c>
      <c r="G2451" s="16"/>
      <c r="H2451" s="16" t="str">
        <f>IF(B2451="","",IFERROR(A2451-LOOKUP(2,1/($B$4:$B2450=B2451),$A$4:$A2450),""))</f>
        <v/>
      </c>
      <c r="I2451" s="16" t="str">
        <f t="shared" si="38"/>
        <v/>
      </c>
      <c r="J2451" s="16"/>
      <c r="K2451" s="6" t="str">
        <f>IF(B2451="","",IFERROR(AVERAGEIFS($I$4:$I2451,$B$4:$B2451,B2451,$I$4:$I2451,"&gt;"&amp;0),""))</f>
        <v/>
      </c>
      <c r="L2451" s="16" t="str">
        <f>IF(B2451="","",IF(ISNA(MATCH(B2451,Client_List!$B:$B,0)),"⚠ NOT FOUND","✓"))</f>
        <v/>
      </c>
    </row>
    <row r="2452" spans="1:12" ht="14" customHeight="1" x14ac:dyDescent="0.2">
      <c r="A2452" s="59"/>
      <c r="B2452" s="18"/>
      <c r="C2452" s="19" t="str">
        <f>IF(B2452="","",IFERROR(INDEX(Client_List!$C:$C,MATCH(B2452,Client_List!$B:$B,0)),""))</f>
        <v/>
      </c>
      <c r="D2452" s="19" t="str">
        <f>IF(B2452="","",IFERROR(INDEX(Client_List!$D:$D,MATCH(B2452,Client_List!$B:$B,0)),""))</f>
        <v/>
      </c>
      <c r="E2452" s="19" t="str">
        <f>IF(B2452="","",IFERROR(INDEX(Client_List!$K:$K,MATCH(B2452,Client_List!$B:$B,0)),""))</f>
        <v/>
      </c>
      <c r="F2452" s="19" t="str">
        <f>IF(B2452="","",IFERROR(INDEX(Client_List!$J:$J,MATCH(B2452,Client_List!$B:$B,0)),""))</f>
        <v/>
      </c>
      <c r="G2452" s="19"/>
      <c r="H2452" s="19" t="str">
        <f>IF(B2452="","",IFERROR(A2452-LOOKUP(2,1/($B$4:$B2451=B2452),$A$4:$A2451),""))</f>
        <v/>
      </c>
      <c r="I2452" s="19" t="str">
        <f t="shared" si="38"/>
        <v/>
      </c>
      <c r="J2452" s="19"/>
      <c r="K2452" s="6" t="str">
        <f>IF(B2452="","",IFERROR(AVERAGEIFS($I$4:$I2452,$B$4:$B2452,B2452,$I$4:$I2452,"&gt;"&amp;0),""))</f>
        <v/>
      </c>
      <c r="L2452" s="19" t="str">
        <f>IF(B2452="","",IF(ISNA(MATCH(B2452,Client_List!$B:$B,0)),"⚠ NOT FOUND","✓"))</f>
        <v/>
      </c>
    </row>
    <row r="2453" spans="1:12" ht="14" customHeight="1" x14ac:dyDescent="0.2">
      <c r="A2453" s="58"/>
      <c r="B2453" s="15"/>
      <c r="C2453" s="16" t="str">
        <f>IF(B2453="","",IFERROR(INDEX(Client_List!$C:$C,MATCH(B2453,Client_List!$B:$B,0)),""))</f>
        <v/>
      </c>
      <c r="D2453" s="16" t="str">
        <f>IF(B2453="","",IFERROR(INDEX(Client_List!$D:$D,MATCH(B2453,Client_List!$B:$B,0)),""))</f>
        <v/>
      </c>
      <c r="E2453" s="16" t="str">
        <f>IF(B2453="","",IFERROR(INDEX(Client_List!$K:$K,MATCH(B2453,Client_List!$B:$B,0)),""))</f>
        <v/>
      </c>
      <c r="F2453" s="16" t="str">
        <f>IF(B2453="","",IFERROR(INDEX(Client_List!$J:$J,MATCH(B2453,Client_List!$B:$B,0)),""))</f>
        <v/>
      </c>
      <c r="G2453" s="16"/>
      <c r="H2453" s="16" t="str">
        <f>IF(B2453="","",IFERROR(A2453-LOOKUP(2,1/($B$4:$B2452=B2453),$A$4:$A2452),""))</f>
        <v/>
      </c>
      <c r="I2453" s="16" t="str">
        <f t="shared" si="38"/>
        <v/>
      </c>
      <c r="J2453" s="16"/>
      <c r="K2453" s="6" t="str">
        <f>IF(B2453="","",IFERROR(AVERAGEIFS($I$4:$I2453,$B$4:$B2453,B2453,$I$4:$I2453,"&gt;"&amp;0),""))</f>
        <v/>
      </c>
      <c r="L2453" s="16" t="str">
        <f>IF(B2453="","",IF(ISNA(MATCH(B2453,Client_List!$B:$B,0)),"⚠ NOT FOUND","✓"))</f>
        <v/>
      </c>
    </row>
    <row r="2454" spans="1:12" ht="14" customHeight="1" x14ac:dyDescent="0.2">
      <c r="A2454" s="59"/>
      <c r="B2454" s="18"/>
      <c r="C2454" s="19" t="str">
        <f>IF(B2454="","",IFERROR(INDEX(Client_List!$C:$C,MATCH(B2454,Client_List!$B:$B,0)),""))</f>
        <v/>
      </c>
      <c r="D2454" s="19" t="str">
        <f>IF(B2454="","",IFERROR(INDEX(Client_List!$D:$D,MATCH(B2454,Client_List!$B:$B,0)),""))</f>
        <v/>
      </c>
      <c r="E2454" s="19" t="str">
        <f>IF(B2454="","",IFERROR(INDEX(Client_List!$K:$K,MATCH(B2454,Client_List!$B:$B,0)),""))</f>
        <v/>
      </c>
      <c r="F2454" s="19" t="str">
        <f>IF(B2454="","",IFERROR(INDEX(Client_List!$J:$J,MATCH(B2454,Client_List!$B:$B,0)),""))</f>
        <v/>
      </c>
      <c r="G2454" s="19"/>
      <c r="H2454" s="19" t="str">
        <f>IF(B2454="","",IFERROR(A2454-LOOKUP(2,1/($B$4:$B2453=B2454),$A$4:$A2453),""))</f>
        <v/>
      </c>
      <c r="I2454" s="19" t="str">
        <f t="shared" si="38"/>
        <v/>
      </c>
      <c r="J2454" s="19"/>
      <c r="K2454" s="6" t="str">
        <f>IF(B2454="","",IFERROR(AVERAGEIFS($I$4:$I2454,$B$4:$B2454,B2454,$I$4:$I2454,"&gt;"&amp;0),""))</f>
        <v/>
      </c>
      <c r="L2454" s="19" t="str">
        <f>IF(B2454="","",IF(ISNA(MATCH(B2454,Client_List!$B:$B,0)),"⚠ NOT FOUND","✓"))</f>
        <v/>
      </c>
    </row>
    <row r="2455" spans="1:12" ht="14" customHeight="1" x14ac:dyDescent="0.2">
      <c r="A2455" s="58"/>
      <c r="B2455" s="15"/>
      <c r="C2455" s="16" t="str">
        <f>IF(B2455="","",IFERROR(INDEX(Client_List!$C:$C,MATCH(B2455,Client_List!$B:$B,0)),""))</f>
        <v/>
      </c>
      <c r="D2455" s="16" t="str">
        <f>IF(B2455="","",IFERROR(INDEX(Client_List!$D:$D,MATCH(B2455,Client_List!$B:$B,0)),""))</f>
        <v/>
      </c>
      <c r="E2455" s="16" t="str">
        <f>IF(B2455="","",IFERROR(INDEX(Client_List!$K:$K,MATCH(B2455,Client_List!$B:$B,0)),""))</f>
        <v/>
      </c>
      <c r="F2455" s="16" t="str">
        <f>IF(B2455="","",IFERROR(INDEX(Client_List!$J:$J,MATCH(B2455,Client_List!$B:$B,0)),""))</f>
        <v/>
      </c>
      <c r="G2455" s="16"/>
      <c r="H2455" s="16" t="str">
        <f>IF(B2455="","",IFERROR(A2455-LOOKUP(2,1/($B$4:$B2454=B2455),$A$4:$A2454),""))</f>
        <v/>
      </c>
      <c r="I2455" s="16" t="str">
        <f t="shared" si="38"/>
        <v/>
      </c>
      <c r="J2455" s="16"/>
      <c r="K2455" s="6" t="str">
        <f>IF(B2455="","",IFERROR(AVERAGEIFS($I$4:$I2455,$B$4:$B2455,B2455,$I$4:$I2455,"&gt;"&amp;0),""))</f>
        <v/>
      </c>
      <c r="L2455" s="16" t="str">
        <f>IF(B2455="","",IF(ISNA(MATCH(B2455,Client_List!$B:$B,0)),"⚠ NOT FOUND","✓"))</f>
        <v/>
      </c>
    </row>
    <row r="2456" spans="1:12" ht="14" customHeight="1" x14ac:dyDescent="0.2">
      <c r="A2456" s="59"/>
      <c r="B2456" s="18"/>
      <c r="C2456" s="19" t="str">
        <f>IF(B2456="","",IFERROR(INDEX(Client_List!$C:$C,MATCH(B2456,Client_List!$B:$B,0)),""))</f>
        <v/>
      </c>
      <c r="D2456" s="19" t="str">
        <f>IF(B2456="","",IFERROR(INDEX(Client_List!$D:$D,MATCH(B2456,Client_List!$B:$B,0)),""))</f>
        <v/>
      </c>
      <c r="E2456" s="19" t="str">
        <f>IF(B2456="","",IFERROR(INDEX(Client_List!$K:$K,MATCH(B2456,Client_List!$B:$B,0)),""))</f>
        <v/>
      </c>
      <c r="F2456" s="19" t="str">
        <f>IF(B2456="","",IFERROR(INDEX(Client_List!$J:$J,MATCH(B2456,Client_List!$B:$B,0)),""))</f>
        <v/>
      </c>
      <c r="G2456" s="19"/>
      <c r="H2456" s="19" t="str">
        <f>IF(B2456="","",IFERROR(A2456-LOOKUP(2,1/($B$4:$B2455=B2456),$A$4:$A2455),""))</f>
        <v/>
      </c>
      <c r="I2456" s="19" t="str">
        <f t="shared" si="38"/>
        <v/>
      </c>
      <c r="J2456" s="19"/>
      <c r="K2456" s="6" t="str">
        <f>IF(B2456="","",IFERROR(AVERAGEIFS($I$4:$I2456,$B$4:$B2456,B2456,$I$4:$I2456,"&gt;"&amp;0),""))</f>
        <v/>
      </c>
      <c r="L2456" s="19" t="str">
        <f>IF(B2456="","",IF(ISNA(MATCH(B2456,Client_List!$B:$B,0)),"⚠ NOT FOUND","✓"))</f>
        <v/>
      </c>
    </row>
    <row r="2457" spans="1:12" ht="14" customHeight="1" x14ac:dyDescent="0.2">
      <c r="A2457" s="58"/>
      <c r="B2457" s="15"/>
      <c r="C2457" s="16" t="str">
        <f>IF(B2457="","",IFERROR(INDEX(Client_List!$C:$C,MATCH(B2457,Client_List!$B:$B,0)),""))</f>
        <v/>
      </c>
      <c r="D2457" s="16" t="str">
        <f>IF(B2457="","",IFERROR(INDEX(Client_List!$D:$D,MATCH(B2457,Client_List!$B:$B,0)),""))</f>
        <v/>
      </c>
      <c r="E2457" s="16" t="str">
        <f>IF(B2457="","",IFERROR(INDEX(Client_List!$K:$K,MATCH(B2457,Client_List!$B:$B,0)),""))</f>
        <v/>
      </c>
      <c r="F2457" s="16" t="str">
        <f>IF(B2457="","",IFERROR(INDEX(Client_List!$J:$J,MATCH(B2457,Client_List!$B:$B,0)),""))</f>
        <v/>
      </c>
      <c r="G2457" s="16"/>
      <c r="H2457" s="16" t="str">
        <f>IF(B2457="","",IFERROR(A2457-LOOKUP(2,1/($B$4:$B2456=B2457),$A$4:$A2456),""))</f>
        <v/>
      </c>
      <c r="I2457" s="16" t="str">
        <f t="shared" si="38"/>
        <v/>
      </c>
      <c r="J2457" s="16"/>
      <c r="K2457" s="6" t="str">
        <f>IF(B2457="","",IFERROR(AVERAGEIFS($I$4:$I2457,$B$4:$B2457,B2457,$I$4:$I2457,"&gt;"&amp;0),""))</f>
        <v/>
      </c>
      <c r="L2457" s="16" t="str">
        <f>IF(B2457="","",IF(ISNA(MATCH(B2457,Client_List!$B:$B,0)),"⚠ NOT FOUND","✓"))</f>
        <v/>
      </c>
    </row>
    <row r="2458" spans="1:12" ht="14" customHeight="1" x14ac:dyDescent="0.2">
      <c r="A2458" s="59"/>
      <c r="B2458" s="18"/>
      <c r="C2458" s="19" t="str">
        <f>IF(B2458="","",IFERROR(INDEX(Client_List!$C:$C,MATCH(B2458,Client_List!$B:$B,0)),""))</f>
        <v/>
      </c>
      <c r="D2458" s="19" t="str">
        <f>IF(B2458="","",IFERROR(INDEX(Client_List!$D:$D,MATCH(B2458,Client_List!$B:$B,0)),""))</f>
        <v/>
      </c>
      <c r="E2458" s="19" t="str">
        <f>IF(B2458="","",IFERROR(INDEX(Client_List!$K:$K,MATCH(B2458,Client_List!$B:$B,0)),""))</f>
        <v/>
      </c>
      <c r="F2458" s="19" t="str">
        <f>IF(B2458="","",IFERROR(INDEX(Client_List!$J:$J,MATCH(B2458,Client_List!$B:$B,0)),""))</f>
        <v/>
      </c>
      <c r="G2458" s="19"/>
      <c r="H2458" s="19" t="str">
        <f>IF(B2458="","",IFERROR(A2458-LOOKUP(2,1/($B$4:$B2457=B2458),$A$4:$A2457),""))</f>
        <v/>
      </c>
      <c r="I2458" s="19" t="str">
        <f t="shared" si="38"/>
        <v/>
      </c>
      <c r="J2458" s="19"/>
      <c r="K2458" s="6" t="str">
        <f>IF(B2458="","",IFERROR(AVERAGEIFS($I$4:$I2458,$B$4:$B2458,B2458,$I$4:$I2458,"&gt;"&amp;0),""))</f>
        <v/>
      </c>
      <c r="L2458" s="19" t="str">
        <f>IF(B2458="","",IF(ISNA(MATCH(B2458,Client_List!$B:$B,0)),"⚠ NOT FOUND","✓"))</f>
        <v/>
      </c>
    </row>
    <row r="2459" spans="1:12" ht="14" customHeight="1" x14ac:dyDescent="0.2">
      <c r="A2459" s="58"/>
      <c r="B2459" s="15"/>
      <c r="C2459" s="16" t="str">
        <f>IF(B2459="","",IFERROR(INDEX(Client_List!$C:$C,MATCH(B2459,Client_List!$B:$B,0)),""))</f>
        <v/>
      </c>
      <c r="D2459" s="16" t="str">
        <f>IF(B2459="","",IFERROR(INDEX(Client_List!$D:$D,MATCH(B2459,Client_List!$B:$B,0)),""))</f>
        <v/>
      </c>
      <c r="E2459" s="16" t="str">
        <f>IF(B2459="","",IFERROR(INDEX(Client_List!$K:$K,MATCH(B2459,Client_List!$B:$B,0)),""))</f>
        <v/>
      </c>
      <c r="F2459" s="16" t="str">
        <f>IF(B2459="","",IFERROR(INDEX(Client_List!$J:$J,MATCH(B2459,Client_List!$B:$B,0)),""))</f>
        <v/>
      </c>
      <c r="G2459" s="16"/>
      <c r="H2459" s="16" t="str">
        <f>IF(B2459="","",IFERROR(A2459-LOOKUP(2,1/($B$4:$B2458=B2459),$A$4:$A2458),""))</f>
        <v/>
      </c>
      <c r="I2459" s="16" t="str">
        <f t="shared" si="38"/>
        <v/>
      </c>
      <c r="J2459" s="16"/>
      <c r="K2459" s="6" t="str">
        <f>IF(B2459="","",IFERROR(AVERAGEIFS($I$4:$I2459,$B$4:$B2459,B2459,$I$4:$I2459,"&gt;"&amp;0),""))</f>
        <v/>
      </c>
      <c r="L2459" s="16" t="str">
        <f>IF(B2459="","",IF(ISNA(MATCH(B2459,Client_List!$B:$B,0)),"⚠ NOT FOUND","✓"))</f>
        <v/>
      </c>
    </row>
    <row r="2460" spans="1:12" ht="14" customHeight="1" x14ac:dyDescent="0.2">
      <c r="A2460" s="59"/>
      <c r="B2460" s="18"/>
      <c r="C2460" s="19" t="str">
        <f>IF(B2460="","",IFERROR(INDEX(Client_List!$C:$C,MATCH(B2460,Client_List!$B:$B,0)),""))</f>
        <v/>
      </c>
      <c r="D2460" s="19" t="str">
        <f>IF(B2460="","",IFERROR(INDEX(Client_List!$D:$D,MATCH(B2460,Client_List!$B:$B,0)),""))</f>
        <v/>
      </c>
      <c r="E2460" s="19" t="str">
        <f>IF(B2460="","",IFERROR(INDEX(Client_List!$K:$K,MATCH(B2460,Client_List!$B:$B,0)),""))</f>
        <v/>
      </c>
      <c r="F2460" s="19" t="str">
        <f>IF(B2460="","",IFERROR(INDEX(Client_List!$J:$J,MATCH(B2460,Client_List!$B:$B,0)),""))</f>
        <v/>
      </c>
      <c r="G2460" s="19"/>
      <c r="H2460" s="19" t="str">
        <f>IF(B2460="","",IFERROR(A2460-LOOKUP(2,1/($B$4:$B2459=B2460),$A$4:$A2459),""))</f>
        <v/>
      </c>
      <c r="I2460" s="19" t="str">
        <f t="shared" si="38"/>
        <v/>
      </c>
      <c r="J2460" s="19"/>
      <c r="K2460" s="6" t="str">
        <f>IF(B2460="","",IFERROR(AVERAGEIFS($I$4:$I2460,$B$4:$B2460,B2460,$I$4:$I2460,"&gt;"&amp;0),""))</f>
        <v/>
      </c>
      <c r="L2460" s="19" t="str">
        <f>IF(B2460="","",IF(ISNA(MATCH(B2460,Client_List!$B:$B,0)),"⚠ NOT FOUND","✓"))</f>
        <v/>
      </c>
    </row>
    <row r="2461" spans="1:12" ht="14" customHeight="1" x14ac:dyDescent="0.2">
      <c r="A2461" s="58"/>
      <c r="B2461" s="15"/>
      <c r="C2461" s="16" t="str">
        <f>IF(B2461="","",IFERROR(INDEX(Client_List!$C:$C,MATCH(B2461,Client_List!$B:$B,0)),""))</f>
        <v/>
      </c>
      <c r="D2461" s="16" t="str">
        <f>IF(B2461="","",IFERROR(INDEX(Client_List!$D:$D,MATCH(B2461,Client_List!$B:$B,0)),""))</f>
        <v/>
      </c>
      <c r="E2461" s="16" t="str">
        <f>IF(B2461="","",IFERROR(INDEX(Client_List!$K:$K,MATCH(B2461,Client_List!$B:$B,0)),""))</f>
        <v/>
      </c>
      <c r="F2461" s="16" t="str">
        <f>IF(B2461="","",IFERROR(INDEX(Client_List!$J:$J,MATCH(B2461,Client_List!$B:$B,0)),""))</f>
        <v/>
      </c>
      <c r="G2461" s="16"/>
      <c r="H2461" s="16" t="str">
        <f>IF(B2461="","",IFERROR(A2461-LOOKUP(2,1/($B$4:$B2460=B2461),$A$4:$A2460),""))</f>
        <v/>
      </c>
      <c r="I2461" s="16" t="str">
        <f t="shared" si="38"/>
        <v/>
      </c>
      <c r="J2461" s="16"/>
      <c r="K2461" s="6" t="str">
        <f>IF(B2461="","",IFERROR(AVERAGEIFS($I$4:$I2461,$B$4:$B2461,B2461,$I$4:$I2461,"&gt;"&amp;0),""))</f>
        <v/>
      </c>
      <c r="L2461" s="16" t="str">
        <f>IF(B2461="","",IF(ISNA(MATCH(B2461,Client_List!$B:$B,0)),"⚠ NOT FOUND","✓"))</f>
        <v/>
      </c>
    </row>
    <row r="2462" spans="1:12" ht="14" customHeight="1" x14ac:dyDescent="0.2">
      <c r="A2462" s="59"/>
      <c r="B2462" s="18"/>
      <c r="C2462" s="19" t="str">
        <f>IF(B2462="","",IFERROR(INDEX(Client_List!$C:$C,MATCH(B2462,Client_List!$B:$B,0)),""))</f>
        <v/>
      </c>
      <c r="D2462" s="19" t="str">
        <f>IF(B2462="","",IFERROR(INDEX(Client_List!$D:$D,MATCH(B2462,Client_List!$B:$B,0)),""))</f>
        <v/>
      </c>
      <c r="E2462" s="19" t="str">
        <f>IF(B2462="","",IFERROR(INDEX(Client_List!$K:$K,MATCH(B2462,Client_List!$B:$B,0)),""))</f>
        <v/>
      </c>
      <c r="F2462" s="19" t="str">
        <f>IF(B2462="","",IFERROR(INDEX(Client_List!$J:$J,MATCH(B2462,Client_List!$B:$B,0)),""))</f>
        <v/>
      </c>
      <c r="G2462" s="19"/>
      <c r="H2462" s="19" t="str">
        <f>IF(B2462="","",IFERROR(A2462-LOOKUP(2,1/($B$4:$B2461=B2462),$A$4:$A2461),""))</f>
        <v/>
      </c>
      <c r="I2462" s="19" t="str">
        <f t="shared" si="38"/>
        <v/>
      </c>
      <c r="J2462" s="19"/>
      <c r="K2462" s="6" t="str">
        <f>IF(B2462="","",IFERROR(AVERAGEIFS($I$4:$I2462,$B$4:$B2462,B2462,$I$4:$I2462,"&gt;"&amp;0),""))</f>
        <v/>
      </c>
      <c r="L2462" s="19" t="str">
        <f>IF(B2462="","",IF(ISNA(MATCH(B2462,Client_List!$B:$B,0)),"⚠ NOT FOUND","✓"))</f>
        <v/>
      </c>
    </row>
    <row r="2463" spans="1:12" ht="14" customHeight="1" x14ac:dyDescent="0.2">
      <c r="A2463" s="58"/>
      <c r="B2463" s="15"/>
      <c r="C2463" s="16" t="str">
        <f>IF(B2463="","",IFERROR(INDEX(Client_List!$C:$C,MATCH(B2463,Client_List!$B:$B,0)),""))</f>
        <v/>
      </c>
      <c r="D2463" s="16" t="str">
        <f>IF(B2463="","",IFERROR(INDEX(Client_List!$D:$D,MATCH(B2463,Client_List!$B:$B,0)),""))</f>
        <v/>
      </c>
      <c r="E2463" s="16" t="str">
        <f>IF(B2463="","",IFERROR(INDEX(Client_List!$K:$K,MATCH(B2463,Client_List!$B:$B,0)),""))</f>
        <v/>
      </c>
      <c r="F2463" s="16" t="str">
        <f>IF(B2463="","",IFERROR(INDEX(Client_List!$J:$J,MATCH(B2463,Client_List!$B:$B,0)),""))</f>
        <v/>
      </c>
      <c r="G2463" s="16"/>
      <c r="H2463" s="16" t="str">
        <f>IF(B2463="","",IFERROR(A2463-LOOKUP(2,1/($B$4:$B2462=B2463),$A$4:$A2462),""))</f>
        <v/>
      </c>
      <c r="I2463" s="16" t="str">
        <f t="shared" si="38"/>
        <v/>
      </c>
      <c r="J2463" s="16"/>
      <c r="K2463" s="6" t="str">
        <f>IF(B2463="","",IFERROR(AVERAGEIFS($I$4:$I2463,$B$4:$B2463,B2463,$I$4:$I2463,"&gt;"&amp;0),""))</f>
        <v/>
      </c>
      <c r="L2463" s="16" t="str">
        <f>IF(B2463="","",IF(ISNA(MATCH(B2463,Client_List!$B:$B,0)),"⚠ NOT FOUND","✓"))</f>
        <v/>
      </c>
    </row>
    <row r="2464" spans="1:12" ht="14" customHeight="1" x14ac:dyDescent="0.2">
      <c r="A2464" s="59"/>
      <c r="B2464" s="18"/>
      <c r="C2464" s="19" t="str">
        <f>IF(B2464="","",IFERROR(INDEX(Client_List!$C:$C,MATCH(B2464,Client_List!$B:$B,0)),""))</f>
        <v/>
      </c>
      <c r="D2464" s="19" t="str">
        <f>IF(B2464="","",IFERROR(INDEX(Client_List!$D:$D,MATCH(B2464,Client_List!$B:$B,0)),""))</f>
        <v/>
      </c>
      <c r="E2464" s="19" t="str">
        <f>IF(B2464="","",IFERROR(INDEX(Client_List!$K:$K,MATCH(B2464,Client_List!$B:$B,0)),""))</f>
        <v/>
      </c>
      <c r="F2464" s="19" t="str">
        <f>IF(B2464="","",IFERROR(INDEX(Client_List!$J:$J,MATCH(B2464,Client_List!$B:$B,0)),""))</f>
        <v/>
      </c>
      <c r="G2464" s="19"/>
      <c r="H2464" s="19" t="str">
        <f>IF(B2464="","",IFERROR(A2464-LOOKUP(2,1/($B$4:$B2463=B2464),$A$4:$A2463),""))</f>
        <v/>
      </c>
      <c r="I2464" s="19" t="str">
        <f t="shared" si="38"/>
        <v/>
      </c>
      <c r="J2464" s="19"/>
      <c r="K2464" s="6" t="str">
        <f>IF(B2464="","",IFERROR(AVERAGEIFS($I$4:$I2464,$B$4:$B2464,B2464,$I$4:$I2464,"&gt;"&amp;0),""))</f>
        <v/>
      </c>
      <c r="L2464" s="19" t="str">
        <f>IF(B2464="","",IF(ISNA(MATCH(B2464,Client_List!$B:$B,0)),"⚠ NOT FOUND","✓"))</f>
        <v/>
      </c>
    </row>
    <row r="2465" spans="1:12" ht="14" customHeight="1" x14ac:dyDescent="0.2">
      <c r="A2465" s="58"/>
      <c r="B2465" s="15"/>
      <c r="C2465" s="16" t="str">
        <f>IF(B2465="","",IFERROR(INDEX(Client_List!$C:$C,MATCH(B2465,Client_List!$B:$B,0)),""))</f>
        <v/>
      </c>
      <c r="D2465" s="16" t="str">
        <f>IF(B2465="","",IFERROR(INDEX(Client_List!$D:$D,MATCH(B2465,Client_List!$B:$B,0)),""))</f>
        <v/>
      </c>
      <c r="E2465" s="16" t="str">
        <f>IF(B2465="","",IFERROR(INDEX(Client_List!$K:$K,MATCH(B2465,Client_List!$B:$B,0)),""))</f>
        <v/>
      </c>
      <c r="F2465" s="16" t="str">
        <f>IF(B2465="","",IFERROR(INDEX(Client_List!$J:$J,MATCH(B2465,Client_List!$B:$B,0)),""))</f>
        <v/>
      </c>
      <c r="G2465" s="16"/>
      <c r="H2465" s="16" t="str">
        <f>IF(B2465="","",IFERROR(A2465-LOOKUP(2,1/($B$4:$B2464=B2465),$A$4:$A2464),""))</f>
        <v/>
      </c>
      <c r="I2465" s="16" t="str">
        <f t="shared" si="38"/>
        <v/>
      </c>
      <c r="J2465" s="16"/>
      <c r="K2465" s="6" t="str">
        <f>IF(B2465="","",IFERROR(AVERAGEIFS($I$4:$I2465,$B$4:$B2465,B2465,$I$4:$I2465,"&gt;"&amp;0),""))</f>
        <v/>
      </c>
      <c r="L2465" s="16" t="str">
        <f>IF(B2465="","",IF(ISNA(MATCH(B2465,Client_List!$B:$B,0)),"⚠ NOT FOUND","✓"))</f>
        <v/>
      </c>
    </row>
    <row r="2466" spans="1:12" ht="14" customHeight="1" x14ac:dyDescent="0.2">
      <c r="A2466" s="59"/>
      <c r="B2466" s="18"/>
      <c r="C2466" s="19" t="str">
        <f>IF(B2466="","",IFERROR(INDEX(Client_List!$C:$C,MATCH(B2466,Client_List!$B:$B,0)),""))</f>
        <v/>
      </c>
      <c r="D2466" s="19" t="str">
        <f>IF(B2466="","",IFERROR(INDEX(Client_List!$D:$D,MATCH(B2466,Client_List!$B:$B,0)),""))</f>
        <v/>
      </c>
      <c r="E2466" s="19" t="str">
        <f>IF(B2466="","",IFERROR(INDEX(Client_List!$K:$K,MATCH(B2466,Client_List!$B:$B,0)),""))</f>
        <v/>
      </c>
      <c r="F2466" s="19" t="str">
        <f>IF(B2466="","",IFERROR(INDEX(Client_List!$J:$J,MATCH(B2466,Client_List!$B:$B,0)),""))</f>
        <v/>
      </c>
      <c r="G2466" s="19"/>
      <c r="H2466" s="19" t="str">
        <f>IF(B2466="","",IFERROR(A2466-LOOKUP(2,1/($B$4:$B2465=B2466),$A$4:$A2465),""))</f>
        <v/>
      </c>
      <c r="I2466" s="19" t="str">
        <f t="shared" si="38"/>
        <v/>
      </c>
      <c r="J2466" s="19"/>
      <c r="K2466" s="6" t="str">
        <f>IF(B2466="","",IFERROR(AVERAGEIFS($I$4:$I2466,$B$4:$B2466,B2466,$I$4:$I2466,"&gt;"&amp;0),""))</f>
        <v/>
      </c>
      <c r="L2466" s="19" t="str">
        <f>IF(B2466="","",IF(ISNA(MATCH(B2466,Client_List!$B:$B,0)),"⚠ NOT FOUND","✓"))</f>
        <v/>
      </c>
    </row>
    <row r="2467" spans="1:12" ht="14" customHeight="1" x14ac:dyDescent="0.2">
      <c r="A2467" s="58"/>
      <c r="B2467" s="15"/>
      <c r="C2467" s="16" t="str">
        <f>IF(B2467="","",IFERROR(INDEX(Client_List!$C:$C,MATCH(B2467,Client_List!$B:$B,0)),""))</f>
        <v/>
      </c>
      <c r="D2467" s="16" t="str">
        <f>IF(B2467="","",IFERROR(INDEX(Client_List!$D:$D,MATCH(B2467,Client_List!$B:$B,0)),""))</f>
        <v/>
      </c>
      <c r="E2467" s="16" t="str">
        <f>IF(B2467="","",IFERROR(INDEX(Client_List!$K:$K,MATCH(B2467,Client_List!$B:$B,0)),""))</f>
        <v/>
      </c>
      <c r="F2467" s="16" t="str">
        <f>IF(B2467="","",IFERROR(INDEX(Client_List!$J:$J,MATCH(B2467,Client_List!$B:$B,0)),""))</f>
        <v/>
      </c>
      <c r="G2467" s="16"/>
      <c r="H2467" s="16" t="str">
        <f>IF(B2467="","",IFERROR(A2467-LOOKUP(2,1/($B$4:$B2466=B2467),$A$4:$A2466),""))</f>
        <v/>
      </c>
      <c r="I2467" s="16" t="str">
        <f t="shared" si="38"/>
        <v/>
      </c>
      <c r="J2467" s="16"/>
      <c r="K2467" s="6" t="str">
        <f>IF(B2467="","",IFERROR(AVERAGEIFS($I$4:$I2467,$B$4:$B2467,B2467,$I$4:$I2467,"&gt;"&amp;0),""))</f>
        <v/>
      </c>
      <c r="L2467" s="16" t="str">
        <f>IF(B2467="","",IF(ISNA(MATCH(B2467,Client_List!$B:$B,0)),"⚠ NOT FOUND","✓"))</f>
        <v/>
      </c>
    </row>
    <row r="2468" spans="1:12" ht="14" customHeight="1" x14ac:dyDescent="0.2">
      <c r="A2468" s="59"/>
      <c r="B2468" s="18"/>
      <c r="C2468" s="19" t="str">
        <f>IF(B2468="","",IFERROR(INDEX(Client_List!$C:$C,MATCH(B2468,Client_List!$B:$B,0)),""))</f>
        <v/>
      </c>
      <c r="D2468" s="19" t="str">
        <f>IF(B2468="","",IFERROR(INDEX(Client_List!$D:$D,MATCH(B2468,Client_List!$B:$B,0)),""))</f>
        <v/>
      </c>
      <c r="E2468" s="19" t="str">
        <f>IF(B2468="","",IFERROR(INDEX(Client_List!$K:$K,MATCH(B2468,Client_List!$B:$B,0)),""))</f>
        <v/>
      </c>
      <c r="F2468" s="19" t="str">
        <f>IF(B2468="","",IFERROR(INDEX(Client_List!$J:$J,MATCH(B2468,Client_List!$B:$B,0)),""))</f>
        <v/>
      </c>
      <c r="G2468" s="19"/>
      <c r="H2468" s="19" t="str">
        <f>IF(B2468="","",IFERROR(A2468-LOOKUP(2,1/($B$4:$B2467=B2468),$A$4:$A2467),""))</f>
        <v/>
      </c>
      <c r="I2468" s="19" t="str">
        <f t="shared" si="38"/>
        <v/>
      </c>
      <c r="J2468" s="19"/>
      <c r="K2468" s="6" t="str">
        <f>IF(B2468="","",IFERROR(AVERAGEIFS($I$4:$I2468,$B$4:$B2468,B2468,$I$4:$I2468,"&gt;"&amp;0),""))</f>
        <v/>
      </c>
      <c r="L2468" s="19" t="str">
        <f>IF(B2468="","",IF(ISNA(MATCH(B2468,Client_List!$B:$B,0)),"⚠ NOT FOUND","✓"))</f>
        <v/>
      </c>
    </row>
    <row r="2469" spans="1:12" ht="14" customHeight="1" x14ac:dyDescent="0.2">
      <c r="A2469" s="58"/>
      <c r="B2469" s="15"/>
      <c r="C2469" s="16" t="str">
        <f>IF(B2469="","",IFERROR(INDEX(Client_List!$C:$C,MATCH(B2469,Client_List!$B:$B,0)),""))</f>
        <v/>
      </c>
      <c r="D2469" s="16" t="str">
        <f>IF(B2469="","",IFERROR(INDEX(Client_List!$D:$D,MATCH(B2469,Client_List!$B:$B,0)),""))</f>
        <v/>
      </c>
      <c r="E2469" s="16" t="str">
        <f>IF(B2469="","",IFERROR(INDEX(Client_List!$K:$K,MATCH(B2469,Client_List!$B:$B,0)),""))</f>
        <v/>
      </c>
      <c r="F2469" s="16" t="str">
        <f>IF(B2469="","",IFERROR(INDEX(Client_List!$J:$J,MATCH(B2469,Client_List!$B:$B,0)),""))</f>
        <v/>
      </c>
      <c r="G2469" s="16"/>
      <c r="H2469" s="16" t="str">
        <f>IF(B2469="","",IFERROR(A2469-LOOKUP(2,1/($B$4:$B2468=B2469),$A$4:$A2468),""))</f>
        <v/>
      </c>
      <c r="I2469" s="16" t="str">
        <f t="shared" si="38"/>
        <v/>
      </c>
      <c r="J2469" s="16"/>
      <c r="K2469" s="6" t="str">
        <f>IF(B2469="","",IFERROR(AVERAGEIFS($I$4:$I2469,$B$4:$B2469,B2469,$I$4:$I2469,"&gt;"&amp;0),""))</f>
        <v/>
      </c>
      <c r="L2469" s="16" t="str">
        <f>IF(B2469="","",IF(ISNA(MATCH(B2469,Client_List!$B:$B,0)),"⚠ NOT FOUND","✓"))</f>
        <v/>
      </c>
    </row>
    <row r="2470" spans="1:12" ht="14" customHeight="1" x14ac:dyDescent="0.2">
      <c r="A2470" s="59"/>
      <c r="B2470" s="18"/>
      <c r="C2470" s="19" t="str">
        <f>IF(B2470="","",IFERROR(INDEX(Client_List!$C:$C,MATCH(B2470,Client_List!$B:$B,0)),""))</f>
        <v/>
      </c>
      <c r="D2470" s="19" t="str">
        <f>IF(B2470="","",IFERROR(INDEX(Client_List!$D:$D,MATCH(B2470,Client_List!$B:$B,0)),""))</f>
        <v/>
      </c>
      <c r="E2470" s="19" t="str">
        <f>IF(B2470="","",IFERROR(INDEX(Client_List!$K:$K,MATCH(B2470,Client_List!$B:$B,0)),""))</f>
        <v/>
      </c>
      <c r="F2470" s="19" t="str">
        <f>IF(B2470="","",IFERROR(INDEX(Client_List!$J:$J,MATCH(B2470,Client_List!$B:$B,0)),""))</f>
        <v/>
      </c>
      <c r="G2470" s="19"/>
      <c r="H2470" s="19" t="str">
        <f>IF(B2470="","",IFERROR(A2470-LOOKUP(2,1/($B$4:$B2469=B2470),$A$4:$A2469),""))</f>
        <v/>
      </c>
      <c r="I2470" s="19" t="str">
        <f t="shared" si="38"/>
        <v/>
      </c>
      <c r="J2470" s="19"/>
      <c r="K2470" s="6" t="str">
        <f>IF(B2470="","",IFERROR(AVERAGEIFS($I$4:$I2470,$B$4:$B2470,B2470,$I$4:$I2470,"&gt;"&amp;0),""))</f>
        <v/>
      </c>
      <c r="L2470" s="19" t="str">
        <f>IF(B2470="","",IF(ISNA(MATCH(B2470,Client_List!$B:$B,0)),"⚠ NOT FOUND","✓"))</f>
        <v/>
      </c>
    </row>
    <row r="2471" spans="1:12" ht="14" customHeight="1" x14ac:dyDescent="0.2">
      <c r="A2471" s="58"/>
      <c r="B2471" s="15"/>
      <c r="C2471" s="16" t="str">
        <f>IF(B2471="","",IFERROR(INDEX(Client_List!$C:$C,MATCH(B2471,Client_List!$B:$B,0)),""))</f>
        <v/>
      </c>
      <c r="D2471" s="16" t="str">
        <f>IF(B2471="","",IFERROR(INDEX(Client_List!$D:$D,MATCH(B2471,Client_List!$B:$B,0)),""))</f>
        <v/>
      </c>
      <c r="E2471" s="16" t="str">
        <f>IF(B2471="","",IFERROR(INDEX(Client_List!$K:$K,MATCH(B2471,Client_List!$B:$B,0)),""))</f>
        <v/>
      </c>
      <c r="F2471" s="16" t="str">
        <f>IF(B2471="","",IFERROR(INDEX(Client_List!$J:$J,MATCH(B2471,Client_List!$B:$B,0)),""))</f>
        <v/>
      </c>
      <c r="G2471" s="16"/>
      <c r="H2471" s="16" t="str">
        <f>IF(B2471="","",IFERROR(A2471-LOOKUP(2,1/($B$4:$B2470=B2471),$A$4:$A2470),""))</f>
        <v/>
      </c>
      <c r="I2471" s="16" t="str">
        <f t="shared" si="38"/>
        <v/>
      </c>
      <c r="J2471" s="16"/>
      <c r="K2471" s="6" t="str">
        <f>IF(B2471="","",IFERROR(AVERAGEIFS($I$4:$I2471,$B$4:$B2471,B2471,$I$4:$I2471,"&gt;"&amp;0),""))</f>
        <v/>
      </c>
      <c r="L2471" s="16" t="str">
        <f>IF(B2471="","",IF(ISNA(MATCH(B2471,Client_List!$B:$B,0)),"⚠ NOT FOUND","✓"))</f>
        <v/>
      </c>
    </row>
    <row r="2472" spans="1:12" ht="14" customHeight="1" x14ac:dyDescent="0.2">
      <c r="A2472" s="59"/>
      <c r="B2472" s="18"/>
      <c r="C2472" s="19" t="str">
        <f>IF(B2472="","",IFERROR(INDEX(Client_List!$C:$C,MATCH(B2472,Client_List!$B:$B,0)),""))</f>
        <v/>
      </c>
      <c r="D2472" s="19" t="str">
        <f>IF(B2472="","",IFERROR(INDEX(Client_List!$D:$D,MATCH(B2472,Client_List!$B:$B,0)),""))</f>
        <v/>
      </c>
      <c r="E2472" s="19" t="str">
        <f>IF(B2472="","",IFERROR(INDEX(Client_List!$K:$K,MATCH(B2472,Client_List!$B:$B,0)),""))</f>
        <v/>
      </c>
      <c r="F2472" s="19" t="str">
        <f>IF(B2472="","",IFERROR(INDEX(Client_List!$J:$J,MATCH(B2472,Client_List!$B:$B,0)),""))</f>
        <v/>
      </c>
      <c r="G2472" s="19"/>
      <c r="H2472" s="19" t="str">
        <f>IF(B2472="","",IFERROR(A2472-LOOKUP(2,1/($B$4:$B2471=B2472),$A$4:$A2471),""))</f>
        <v/>
      </c>
      <c r="I2472" s="19" t="str">
        <f t="shared" si="38"/>
        <v/>
      </c>
      <c r="J2472" s="19"/>
      <c r="K2472" s="6" t="str">
        <f>IF(B2472="","",IFERROR(AVERAGEIFS($I$4:$I2472,$B$4:$B2472,B2472,$I$4:$I2472,"&gt;"&amp;0),""))</f>
        <v/>
      </c>
      <c r="L2472" s="19" t="str">
        <f>IF(B2472="","",IF(ISNA(MATCH(B2472,Client_List!$B:$B,0)),"⚠ NOT FOUND","✓"))</f>
        <v/>
      </c>
    </row>
    <row r="2473" spans="1:12" ht="14" customHeight="1" x14ac:dyDescent="0.2">
      <c r="A2473" s="58"/>
      <c r="B2473" s="15"/>
      <c r="C2473" s="16" t="str">
        <f>IF(B2473="","",IFERROR(INDEX(Client_List!$C:$C,MATCH(B2473,Client_List!$B:$B,0)),""))</f>
        <v/>
      </c>
      <c r="D2473" s="16" t="str">
        <f>IF(B2473="","",IFERROR(INDEX(Client_List!$D:$D,MATCH(B2473,Client_List!$B:$B,0)),""))</f>
        <v/>
      </c>
      <c r="E2473" s="16" t="str">
        <f>IF(B2473="","",IFERROR(INDEX(Client_List!$K:$K,MATCH(B2473,Client_List!$B:$B,0)),""))</f>
        <v/>
      </c>
      <c r="F2473" s="16" t="str">
        <f>IF(B2473="","",IFERROR(INDEX(Client_List!$J:$J,MATCH(B2473,Client_List!$B:$B,0)),""))</f>
        <v/>
      </c>
      <c r="G2473" s="16"/>
      <c r="H2473" s="16" t="str">
        <f>IF(B2473="","",IFERROR(A2473-LOOKUP(2,1/($B$4:$B2472=B2473),$A$4:$A2472),""))</f>
        <v/>
      </c>
      <c r="I2473" s="16" t="str">
        <f t="shared" si="38"/>
        <v/>
      </c>
      <c r="J2473" s="16"/>
      <c r="K2473" s="6" t="str">
        <f>IF(B2473="","",IFERROR(AVERAGEIFS($I$4:$I2473,$B$4:$B2473,B2473,$I$4:$I2473,"&gt;"&amp;0),""))</f>
        <v/>
      </c>
      <c r="L2473" s="16" t="str">
        <f>IF(B2473="","",IF(ISNA(MATCH(B2473,Client_List!$B:$B,0)),"⚠ NOT FOUND","✓"))</f>
        <v/>
      </c>
    </row>
    <row r="2474" spans="1:12" ht="14" customHeight="1" x14ac:dyDescent="0.2">
      <c r="A2474" s="59"/>
      <c r="B2474" s="18"/>
      <c r="C2474" s="19" t="str">
        <f>IF(B2474="","",IFERROR(INDEX(Client_List!$C:$C,MATCH(B2474,Client_List!$B:$B,0)),""))</f>
        <v/>
      </c>
      <c r="D2474" s="19" t="str">
        <f>IF(B2474="","",IFERROR(INDEX(Client_List!$D:$D,MATCH(B2474,Client_List!$B:$B,0)),""))</f>
        <v/>
      </c>
      <c r="E2474" s="19" t="str">
        <f>IF(B2474="","",IFERROR(INDEX(Client_List!$K:$K,MATCH(B2474,Client_List!$B:$B,0)),""))</f>
        <v/>
      </c>
      <c r="F2474" s="19" t="str">
        <f>IF(B2474="","",IFERROR(INDEX(Client_List!$J:$J,MATCH(B2474,Client_List!$B:$B,0)),""))</f>
        <v/>
      </c>
      <c r="G2474" s="19"/>
      <c r="H2474" s="19" t="str">
        <f>IF(B2474="","",IFERROR(A2474-LOOKUP(2,1/($B$4:$B2473=B2474),$A$4:$A2473),""))</f>
        <v/>
      </c>
      <c r="I2474" s="19" t="str">
        <f t="shared" si="38"/>
        <v/>
      </c>
      <c r="J2474" s="19"/>
      <c r="K2474" s="6" t="str">
        <f>IF(B2474="","",IFERROR(AVERAGEIFS($I$4:$I2474,$B$4:$B2474,B2474,$I$4:$I2474,"&gt;"&amp;0),""))</f>
        <v/>
      </c>
      <c r="L2474" s="19" t="str">
        <f>IF(B2474="","",IF(ISNA(MATCH(B2474,Client_List!$B:$B,0)),"⚠ NOT FOUND","✓"))</f>
        <v/>
      </c>
    </row>
    <row r="2475" spans="1:12" ht="14" customHeight="1" x14ac:dyDescent="0.2">
      <c r="A2475" s="58"/>
      <c r="B2475" s="15"/>
      <c r="C2475" s="16" t="str">
        <f>IF(B2475="","",IFERROR(INDEX(Client_List!$C:$C,MATCH(B2475,Client_List!$B:$B,0)),""))</f>
        <v/>
      </c>
      <c r="D2475" s="16" t="str">
        <f>IF(B2475="","",IFERROR(INDEX(Client_List!$D:$D,MATCH(B2475,Client_List!$B:$B,0)),""))</f>
        <v/>
      </c>
      <c r="E2475" s="16" t="str">
        <f>IF(B2475="","",IFERROR(INDEX(Client_List!$K:$K,MATCH(B2475,Client_List!$B:$B,0)),""))</f>
        <v/>
      </c>
      <c r="F2475" s="16" t="str">
        <f>IF(B2475="","",IFERROR(INDEX(Client_List!$J:$J,MATCH(B2475,Client_List!$B:$B,0)),""))</f>
        <v/>
      </c>
      <c r="G2475" s="16"/>
      <c r="H2475" s="16" t="str">
        <f>IF(B2475="","",IFERROR(A2475-LOOKUP(2,1/($B$4:$B2474=B2475),$A$4:$A2474),""))</f>
        <v/>
      </c>
      <c r="I2475" s="16" t="str">
        <f t="shared" si="38"/>
        <v/>
      </c>
      <c r="J2475" s="16"/>
      <c r="K2475" s="6" t="str">
        <f>IF(B2475="","",IFERROR(AVERAGEIFS($I$4:$I2475,$B$4:$B2475,B2475,$I$4:$I2475,"&gt;"&amp;0),""))</f>
        <v/>
      </c>
      <c r="L2475" s="16" t="str">
        <f>IF(B2475="","",IF(ISNA(MATCH(B2475,Client_List!$B:$B,0)),"⚠ NOT FOUND","✓"))</f>
        <v/>
      </c>
    </row>
    <row r="2476" spans="1:12" ht="14" customHeight="1" x14ac:dyDescent="0.2">
      <c r="A2476" s="59"/>
      <c r="B2476" s="18"/>
      <c r="C2476" s="19" t="str">
        <f>IF(B2476="","",IFERROR(INDEX(Client_List!$C:$C,MATCH(B2476,Client_List!$B:$B,0)),""))</f>
        <v/>
      </c>
      <c r="D2476" s="19" t="str">
        <f>IF(B2476="","",IFERROR(INDEX(Client_List!$D:$D,MATCH(B2476,Client_List!$B:$B,0)),""))</f>
        <v/>
      </c>
      <c r="E2476" s="19" t="str">
        <f>IF(B2476="","",IFERROR(INDEX(Client_List!$K:$K,MATCH(B2476,Client_List!$B:$B,0)),""))</f>
        <v/>
      </c>
      <c r="F2476" s="19" t="str">
        <f>IF(B2476="","",IFERROR(INDEX(Client_List!$J:$J,MATCH(B2476,Client_List!$B:$B,0)),""))</f>
        <v/>
      </c>
      <c r="G2476" s="19"/>
      <c r="H2476" s="19" t="str">
        <f>IF(B2476="","",IFERROR(A2476-LOOKUP(2,1/($B$4:$B2475=B2476),$A$4:$A2475),""))</f>
        <v/>
      </c>
      <c r="I2476" s="19" t="str">
        <f t="shared" si="38"/>
        <v/>
      </c>
      <c r="J2476" s="19"/>
      <c r="K2476" s="6" t="str">
        <f>IF(B2476="","",IFERROR(AVERAGEIFS($I$4:$I2476,$B$4:$B2476,B2476,$I$4:$I2476,"&gt;"&amp;0),""))</f>
        <v/>
      </c>
      <c r="L2476" s="19" t="str">
        <f>IF(B2476="","",IF(ISNA(MATCH(B2476,Client_List!$B:$B,0)),"⚠ NOT FOUND","✓"))</f>
        <v/>
      </c>
    </row>
    <row r="2477" spans="1:12" ht="14" customHeight="1" x14ac:dyDescent="0.2">
      <c r="A2477" s="58"/>
      <c r="B2477" s="15"/>
      <c r="C2477" s="16" t="str">
        <f>IF(B2477="","",IFERROR(INDEX(Client_List!$C:$C,MATCH(B2477,Client_List!$B:$B,0)),""))</f>
        <v/>
      </c>
      <c r="D2477" s="16" t="str">
        <f>IF(B2477="","",IFERROR(INDEX(Client_List!$D:$D,MATCH(B2477,Client_List!$B:$B,0)),""))</f>
        <v/>
      </c>
      <c r="E2477" s="16" t="str">
        <f>IF(B2477="","",IFERROR(INDEX(Client_List!$K:$K,MATCH(B2477,Client_List!$B:$B,0)),""))</f>
        <v/>
      </c>
      <c r="F2477" s="16" t="str">
        <f>IF(B2477="","",IFERROR(INDEX(Client_List!$J:$J,MATCH(B2477,Client_List!$B:$B,0)),""))</f>
        <v/>
      </c>
      <c r="G2477" s="16"/>
      <c r="H2477" s="16" t="str">
        <f>IF(B2477="","",IFERROR(A2477-LOOKUP(2,1/($B$4:$B2476=B2477),$A$4:$A2476),""))</f>
        <v/>
      </c>
      <c r="I2477" s="16" t="str">
        <f t="shared" si="38"/>
        <v/>
      </c>
      <c r="J2477" s="16"/>
      <c r="K2477" s="6" t="str">
        <f>IF(B2477="","",IFERROR(AVERAGEIFS($I$4:$I2477,$B$4:$B2477,B2477,$I$4:$I2477,"&gt;"&amp;0),""))</f>
        <v/>
      </c>
      <c r="L2477" s="16" t="str">
        <f>IF(B2477="","",IF(ISNA(MATCH(B2477,Client_List!$B:$B,0)),"⚠ NOT FOUND","✓"))</f>
        <v/>
      </c>
    </row>
    <row r="2478" spans="1:12" ht="14" customHeight="1" x14ac:dyDescent="0.2">
      <c r="A2478" s="59"/>
      <c r="B2478" s="18"/>
      <c r="C2478" s="19" t="str">
        <f>IF(B2478="","",IFERROR(INDEX(Client_List!$C:$C,MATCH(B2478,Client_List!$B:$B,0)),""))</f>
        <v/>
      </c>
      <c r="D2478" s="19" t="str">
        <f>IF(B2478="","",IFERROR(INDEX(Client_List!$D:$D,MATCH(B2478,Client_List!$B:$B,0)),""))</f>
        <v/>
      </c>
      <c r="E2478" s="19" t="str">
        <f>IF(B2478="","",IFERROR(INDEX(Client_List!$K:$K,MATCH(B2478,Client_List!$B:$B,0)),""))</f>
        <v/>
      </c>
      <c r="F2478" s="19" t="str">
        <f>IF(B2478="","",IFERROR(INDEX(Client_List!$J:$J,MATCH(B2478,Client_List!$B:$B,0)),""))</f>
        <v/>
      </c>
      <c r="G2478" s="19"/>
      <c r="H2478" s="19" t="str">
        <f>IF(B2478="","",IFERROR(A2478-LOOKUP(2,1/($B$4:$B2477=B2478),$A$4:$A2477),""))</f>
        <v/>
      </c>
      <c r="I2478" s="19" t="str">
        <f t="shared" si="38"/>
        <v/>
      </c>
      <c r="J2478" s="19"/>
      <c r="K2478" s="6" t="str">
        <f>IF(B2478="","",IFERROR(AVERAGEIFS($I$4:$I2478,$B$4:$B2478,B2478,$I$4:$I2478,"&gt;"&amp;0),""))</f>
        <v/>
      </c>
      <c r="L2478" s="19" t="str">
        <f>IF(B2478="","",IF(ISNA(MATCH(B2478,Client_List!$B:$B,0)),"⚠ NOT FOUND","✓"))</f>
        <v/>
      </c>
    </row>
    <row r="2479" spans="1:12" ht="14" customHeight="1" x14ac:dyDescent="0.2">
      <c r="A2479" s="58"/>
      <c r="B2479" s="15"/>
      <c r="C2479" s="16" t="str">
        <f>IF(B2479="","",IFERROR(INDEX(Client_List!$C:$C,MATCH(B2479,Client_List!$B:$B,0)),""))</f>
        <v/>
      </c>
      <c r="D2479" s="16" t="str">
        <f>IF(B2479="","",IFERROR(INDEX(Client_List!$D:$D,MATCH(B2479,Client_List!$B:$B,0)),""))</f>
        <v/>
      </c>
      <c r="E2479" s="16" t="str">
        <f>IF(B2479="","",IFERROR(INDEX(Client_List!$K:$K,MATCH(B2479,Client_List!$B:$B,0)),""))</f>
        <v/>
      </c>
      <c r="F2479" s="16" t="str">
        <f>IF(B2479="","",IFERROR(INDEX(Client_List!$J:$J,MATCH(B2479,Client_List!$B:$B,0)),""))</f>
        <v/>
      </c>
      <c r="G2479" s="16"/>
      <c r="H2479" s="16" t="str">
        <f>IF(B2479="","",IFERROR(A2479-LOOKUP(2,1/($B$4:$B2478=B2479),$A$4:$A2478),""))</f>
        <v/>
      </c>
      <c r="I2479" s="16" t="str">
        <f t="shared" si="38"/>
        <v/>
      </c>
      <c r="J2479" s="16"/>
      <c r="K2479" s="6" t="str">
        <f>IF(B2479="","",IFERROR(AVERAGEIFS($I$4:$I2479,$B$4:$B2479,B2479,$I$4:$I2479,"&gt;"&amp;0),""))</f>
        <v/>
      </c>
      <c r="L2479" s="16" t="str">
        <f>IF(B2479="","",IF(ISNA(MATCH(B2479,Client_List!$B:$B,0)),"⚠ NOT FOUND","✓"))</f>
        <v/>
      </c>
    </row>
    <row r="2480" spans="1:12" ht="14" customHeight="1" x14ac:dyDescent="0.2">
      <c r="A2480" s="59"/>
      <c r="B2480" s="18"/>
      <c r="C2480" s="19" t="str">
        <f>IF(B2480="","",IFERROR(INDEX(Client_List!$C:$C,MATCH(B2480,Client_List!$B:$B,0)),""))</f>
        <v/>
      </c>
      <c r="D2480" s="19" t="str">
        <f>IF(B2480="","",IFERROR(INDEX(Client_List!$D:$D,MATCH(B2480,Client_List!$B:$B,0)),""))</f>
        <v/>
      </c>
      <c r="E2480" s="19" t="str">
        <f>IF(B2480="","",IFERROR(INDEX(Client_List!$K:$K,MATCH(B2480,Client_List!$B:$B,0)),""))</f>
        <v/>
      </c>
      <c r="F2480" s="19" t="str">
        <f>IF(B2480="","",IFERROR(INDEX(Client_List!$J:$J,MATCH(B2480,Client_List!$B:$B,0)),""))</f>
        <v/>
      </c>
      <c r="G2480" s="19"/>
      <c r="H2480" s="19" t="str">
        <f>IF(B2480="","",IFERROR(A2480-LOOKUP(2,1/($B$4:$B2479=B2480),$A$4:$A2479),""))</f>
        <v/>
      </c>
      <c r="I2480" s="19" t="str">
        <f t="shared" si="38"/>
        <v/>
      </c>
      <c r="J2480" s="19"/>
      <c r="K2480" s="6" t="str">
        <f>IF(B2480="","",IFERROR(AVERAGEIFS($I$4:$I2480,$B$4:$B2480,B2480,$I$4:$I2480,"&gt;"&amp;0),""))</f>
        <v/>
      </c>
      <c r="L2480" s="19" t="str">
        <f>IF(B2480="","",IF(ISNA(MATCH(B2480,Client_List!$B:$B,0)),"⚠ NOT FOUND","✓"))</f>
        <v/>
      </c>
    </row>
    <row r="2481" spans="1:12" ht="14" customHeight="1" x14ac:dyDescent="0.2">
      <c r="A2481" s="58"/>
      <c r="B2481" s="15"/>
      <c r="C2481" s="16" t="str">
        <f>IF(B2481="","",IFERROR(INDEX(Client_List!$C:$C,MATCH(B2481,Client_List!$B:$B,0)),""))</f>
        <v/>
      </c>
      <c r="D2481" s="16" t="str">
        <f>IF(B2481="","",IFERROR(INDEX(Client_List!$D:$D,MATCH(B2481,Client_List!$B:$B,0)),""))</f>
        <v/>
      </c>
      <c r="E2481" s="16" t="str">
        <f>IF(B2481="","",IFERROR(INDEX(Client_List!$K:$K,MATCH(B2481,Client_List!$B:$B,0)),""))</f>
        <v/>
      </c>
      <c r="F2481" s="16" t="str">
        <f>IF(B2481="","",IFERROR(INDEX(Client_List!$J:$J,MATCH(B2481,Client_List!$B:$B,0)),""))</f>
        <v/>
      </c>
      <c r="G2481" s="16"/>
      <c r="H2481" s="16" t="str">
        <f>IF(B2481="","",IFERROR(A2481-LOOKUP(2,1/($B$4:$B2480=B2481),$A$4:$A2480),""))</f>
        <v/>
      </c>
      <c r="I2481" s="16" t="str">
        <f t="shared" si="38"/>
        <v/>
      </c>
      <c r="J2481" s="16"/>
      <c r="K2481" s="6" t="str">
        <f>IF(B2481="","",IFERROR(AVERAGEIFS($I$4:$I2481,$B$4:$B2481,B2481,$I$4:$I2481,"&gt;"&amp;0),""))</f>
        <v/>
      </c>
      <c r="L2481" s="16" t="str">
        <f>IF(B2481="","",IF(ISNA(MATCH(B2481,Client_List!$B:$B,0)),"⚠ NOT FOUND","✓"))</f>
        <v/>
      </c>
    </row>
    <row r="2482" spans="1:12" ht="14" customHeight="1" x14ac:dyDescent="0.2">
      <c r="A2482" s="59"/>
      <c r="B2482" s="18"/>
      <c r="C2482" s="19" t="str">
        <f>IF(B2482="","",IFERROR(INDEX(Client_List!$C:$C,MATCH(B2482,Client_List!$B:$B,0)),""))</f>
        <v/>
      </c>
      <c r="D2482" s="19" t="str">
        <f>IF(B2482="","",IFERROR(INDEX(Client_List!$D:$D,MATCH(B2482,Client_List!$B:$B,0)),""))</f>
        <v/>
      </c>
      <c r="E2482" s="19" t="str">
        <f>IF(B2482="","",IFERROR(INDEX(Client_List!$K:$K,MATCH(B2482,Client_List!$B:$B,0)),""))</f>
        <v/>
      </c>
      <c r="F2482" s="19" t="str">
        <f>IF(B2482="","",IFERROR(INDEX(Client_List!$J:$J,MATCH(B2482,Client_List!$B:$B,0)),""))</f>
        <v/>
      </c>
      <c r="G2482" s="19"/>
      <c r="H2482" s="19" t="str">
        <f>IF(B2482="","",IFERROR(A2482-LOOKUP(2,1/($B$4:$B2481=B2482),$A$4:$A2481),""))</f>
        <v/>
      </c>
      <c r="I2482" s="19" t="str">
        <f t="shared" si="38"/>
        <v/>
      </c>
      <c r="J2482" s="19"/>
      <c r="K2482" s="6" t="str">
        <f>IF(B2482="","",IFERROR(AVERAGEIFS($I$4:$I2482,$B$4:$B2482,B2482,$I$4:$I2482,"&gt;"&amp;0),""))</f>
        <v/>
      </c>
      <c r="L2482" s="19" t="str">
        <f>IF(B2482="","",IF(ISNA(MATCH(B2482,Client_List!$B:$B,0)),"⚠ NOT FOUND","✓"))</f>
        <v/>
      </c>
    </row>
    <row r="2483" spans="1:12" ht="14" customHeight="1" x14ac:dyDescent="0.2">
      <c r="A2483" s="58"/>
      <c r="B2483" s="15"/>
      <c r="C2483" s="16" t="str">
        <f>IF(B2483="","",IFERROR(INDEX(Client_List!$C:$C,MATCH(B2483,Client_List!$B:$B,0)),""))</f>
        <v/>
      </c>
      <c r="D2483" s="16" t="str">
        <f>IF(B2483="","",IFERROR(INDEX(Client_List!$D:$D,MATCH(B2483,Client_List!$B:$B,0)),""))</f>
        <v/>
      </c>
      <c r="E2483" s="16" t="str">
        <f>IF(B2483="","",IFERROR(INDEX(Client_List!$K:$K,MATCH(B2483,Client_List!$B:$B,0)),""))</f>
        <v/>
      </c>
      <c r="F2483" s="16" t="str">
        <f>IF(B2483="","",IFERROR(INDEX(Client_List!$J:$J,MATCH(B2483,Client_List!$B:$B,0)),""))</f>
        <v/>
      </c>
      <c r="G2483" s="16"/>
      <c r="H2483" s="16" t="str">
        <f>IF(B2483="","",IFERROR(A2483-LOOKUP(2,1/($B$4:$B2482=B2483),$A$4:$A2482),""))</f>
        <v/>
      </c>
      <c r="I2483" s="16" t="str">
        <f t="shared" si="38"/>
        <v/>
      </c>
      <c r="J2483" s="16"/>
      <c r="K2483" s="6" t="str">
        <f>IF(B2483="","",IFERROR(AVERAGEIFS($I$4:$I2483,$B$4:$B2483,B2483,$I$4:$I2483,"&gt;"&amp;0),""))</f>
        <v/>
      </c>
      <c r="L2483" s="16" t="str">
        <f>IF(B2483="","",IF(ISNA(MATCH(B2483,Client_List!$B:$B,0)),"⚠ NOT FOUND","✓"))</f>
        <v/>
      </c>
    </row>
    <row r="2484" spans="1:12" ht="14" customHeight="1" x14ac:dyDescent="0.2">
      <c r="A2484" s="59"/>
      <c r="B2484" s="18"/>
      <c r="C2484" s="19" t="str">
        <f>IF(B2484="","",IFERROR(INDEX(Client_List!$C:$C,MATCH(B2484,Client_List!$B:$B,0)),""))</f>
        <v/>
      </c>
      <c r="D2484" s="19" t="str">
        <f>IF(B2484="","",IFERROR(INDEX(Client_List!$D:$D,MATCH(B2484,Client_List!$B:$B,0)),""))</f>
        <v/>
      </c>
      <c r="E2484" s="19" t="str">
        <f>IF(B2484="","",IFERROR(INDEX(Client_List!$K:$K,MATCH(B2484,Client_List!$B:$B,0)),""))</f>
        <v/>
      </c>
      <c r="F2484" s="19" t="str">
        <f>IF(B2484="","",IFERROR(INDEX(Client_List!$J:$J,MATCH(B2484,Client_List!$B:$B,0)),""))</f>
        <v/>
      </c>
      <c r="G2484" s="19"/>
      <c r="H2484" s="19" t="str">
        <f>IF(B2484="","",IFERROR(A2484-LOOKUP(2,1/($B$4:$B2483=B2484),$A$4:$A2483),""))</f>
        <v/>
      </c>
      <c r="I2484" s="19" t="str">
        <f t="shared" si="38"/>
        <v/>
      </c>
      <c r="J2484" s="19"/>
      <c r="K2484" s="6" t="str">
        <f>IF(B2484="","",IFERROR(AVERAGEIFS($I$4:$I2484,$B$4:$B2484,B2484,$I$4:$I2484,"&gt;"&amp;0),""))</f>
        <v/>
      </c>
      <c r="L2484" s="19" t="str">
        <f>IF(B2484="","",IF(ISNA(MATCH(B2484,Client_List!$B:$B,0)),"⚠ NOT FOUND","✓"))</f>
        <v/>
      </c>
    </row>
    <row r="2485" spans="1:12" ht="14" customHeight="1" x14ac:dyDescent="0.2">
      <c r="A2485" s="58"/>
      <c r="B2485" s="15"/>
      <c r="C2485" s="16" t="str">
        <f>IF(B2485="","",IFERROR(INDEX(Client_List!$C:$C,MATCH(B2485,Client_List!$B:$B,0)),""))</f>
        <v/>
      </c>
      <c r="D2485" s="16" t="str">
        <f>IF(B2485="","",IFERROR(INDEX(Client_List!$D:$D,MATCH(B2485,Client_List!$B:$B,0)),""))</f>
        <v/>
      </c>
      <c r="E2485" s="16" t="str">
        <f>IF(B2485="","",IFERROR(INDEX(Client_List!$K:$K,MATCH(B2485,Client_List!$B:$B,0)),""))</f>
        <v/>
      </c>
      <c r="F2485" s="16" t="str">
        <f>IF(B2485="","",IFERROR(INDEX(Client_List!$J:$J,MATCH(B2485,Client_List!$B:$B,0)),""))</f>
        <v/>
      </c>
      <c r="G2485" s="16"/>
      <c r="H2485" s="16" t="str">
        <f>IF(B2485="","",IFERROR(A2485-LOOKUP(2,1/($B$4:$B2484=B2485),$A$4:$A2484),""))</f>
        <v/>
      </c>
      <c r="I2485" s="16" t="str">
        <f t="shared" si="38"/>
        <v/>
      </c>
      <c r="J2485" s="16"/>
      <c r="K2485" s="6" t="str">
        <f>IF(B2485="","",IFERROR(AVERAGEIFS($I$4:$I2485,$B$4:$B2485,B2485,$I$4:$I2485,"&gt;"&amp;0),""))</f>
        <v/>
      </c>
      <c r="L2485" s="16" t="str">
        <f>IF(B2485="","",IF(ISNA(MATCH(B2485,Client_List!$B:$B,0)),"⚠ NOT FOUND","✓"))</f>
        <v/>
      </c>
    </row>
    <row r="2486" spans="1:12" ht="14" customHeight="1" x14ac:dyDescent="0.2">
      <c r="A2486" s="59"/>
      <c r="B2486" s="18"/>
      <c r="C2486" s="19" t="str">
        <f>IF(B2486="","",IFERROR(INDEX(Client_List!$C:$C,MATCH(B2486,Client_List!$B:$B,0)),""))</f>
        <v/>
      </c>
      <c r="D2486" s="19" t="str">
        <f>IF(B2486="","",IFERROR(INDEX(Client_List!$D:$D,MATCH(B2486,Client_List!$B:$B,0)),""))</f>
        <v/>
      </c>
      <c r="E2486" s="19" t="str">
        <f>IF(B2486="","",IFERROR(INDEX(Client_List!$K:$K,MATCH(B2486,Client_List!$B:$B,0)),""))</f>
        <v/>
      </c>
      <c r="F2486" s="19" t="str">
        <f>IF(B2486="","",IFERROR(INDEX(Client_List!$J:$J,MATCH(B2486,Client_List!$B:$B,0)),""))</f>
        <v/>
      </c>
      <c r="G2486" s="19"/>
      <c r="H2486" s="19" t="str">
        <f>IF(B2486="","",IFERROR(A2486-LOOKUP(2,1/($B$4:$B2485=B2486),$A$4:$A2485),""))</f>
        <v/>
      </c>
      <c r="I2486" s="19" t="str">
        <f t="shared" si="38"/>
        <v/>
      </c>
      <c r="J2486" s="19"/>
      <c r="K2486" s="6" t="str">
        <f>IF(B2486="","",IFERROR(AVERAGEIFS($I$4:$I2486,$B$4:$B2486,B2486,$I$4:$I2486,"&gt;"&amp;0),""))</f>
        <v/>
      </c>
      <c r="L2486" s="19" t="str">
        <f>IF(B2486="","",IF(ISNA(MATCH(B2486,Client_List!$B:$B,0)),"⚠ NOT FOUND","✓"))</f>
        <v/>
      </c>
    </row>
    <row r="2487" spans="1:12" ht="14" customHeight="1" x14ac:dyDescent="0.2">
      <c r="A2487" s="58"/>
      <c r="B2487" s="15"/>
      <c r="C2487" s="16" t="str">
        <f>IF(B2487="","",IFERROR(INDEX(Client_List!$C:$C,MATCH(B2487,Client_List!$B:$B,0)),""))</f>
        <v/>
      </c>
      <c r="D2487" s="16" t="str">
        <f>IF(B2487="","",IFERROR(INDEX(Client_List!$D:$D,MATCH(B2487,Client_List!$B:$B,0)),""))</f>
        <v/>
      </c>
      <c r="E2487" s="16" t="str">
        <f>IF(B2487="","",IFERROR(INDEX(Client_List!$K:$K,MATCH(B2487,Client_List!$B:$B,0)),""))</f>
        <v/>
      </c>
      <c r="F2487" s="16" t="str">
        <f>IF(B2487="","",IFERROR(INDEX(Client_List!$J:$J,MATCH(B2487,Client_List!$B:$B,0)),""))</f>
        <v/>
      </c>
      <c r="G2487" s="16"/>
      <c r="H2487" s="16" t="str">
        <f>IF(B2487="","",IFERROR(A2487-LOOKUP(2,1/($B$4:$B2486=B2487),$A$4:$A2486),""))</f>
        <v/>
      </c>
      <c r="I2487" s="16" t="str">
        <f t="shared" si="38"/>
        <v/>
      </c>
      <c r="J2487" s="16"/>
      <c r="K2487" s="6" t="str">
        <f>IF(B2487="","",IFERROR(AVERAGEIFS($I$4:$I2487,$B$4:$B2487,B2487,$I$4:$I2487,"&gt;"&amp;0),""))</f>
        <v/>
      </c>
      <c r="L2487" s="16" t="str">
        <f>IF(B2487="","",IF(ISNA(MATCH(B2487,Client_List!$B:$B,0)),"⚠ NOT FOUND","✓"))</f>
        <v/>
      </c>
    </row>
    <row r="2488" spans="1:12" ht="14" customHeight="1" x14ac:dyDescent="0.2">
      <c r="A2488" s="59"/>
      <c r="B2488" s="18"/>
      <c r="C2488" s="19" t="str">
        <f>IF(B2488="","",IFERROR(INDEX(Client_List!$C:$C,MATCH(B2488,Client_List!$B:$B,0)),""))</f>
        <v/>
      </c>
      <c r="D2488" s="19" t="str">
        <f>IF(B2488="","",IFERROR(INDEX(Client_List!$D:$D,MATCH(B2488,Client_List!$B:$B,0)),""))</f>
        <v/>
      </c>
      <c r="E2488" s="19" t="str">
        <f>IF(B2488="","",IFERROR(INDEX(Client_List!$K:$K,MATCH(B2488,Client_List!$B:$B,0)),""))</f>
        <v/>
      </c>
      <c r="F2488" s="19" t="str">
        <f>IF(B2488="","",IFERROR(INDEX(Client_List!$J:$J,MATCH(B2488,Client_List!$B:$B,0)),""))</f>
        <v/>
      </c>
      <c r="G2488" s="19"/>
      <c r="H2488" s="19" t="str">
        <f>IF(B2488="","",IFERROR(A2488-LOOKUP(2,1/($B$4:$B2487=B2488),$A$4:$A2487),""))</f>
        <v/>
      </c>
      <c r="I2488" s="19" t="str">
        <f t="shared" si="38"/>
        <v/>
      </c>
      <c r="J2488" s="19"/>
      <c r="K2488" s="6" t="str">
        <f>IF(B2488="","",IFERROR(AVERAGEIFS($I$4:$I2488,$B$4:$B2488,B2488,$I$4:$I2488,"&gt;"&amp;0),""))</f>
        <v/>
      </c>
      <c r="L2488" s="19" t="str">
        <f>IF(B2488="","",IF(ISNA(MATCH(B2488,Client_List!$B:$B,0)),"⚠ NOT FOUND","✓"))</f>
        <v/>
      </c>
    </row>
    <row r="2489" spans="1:12" ht="14" customHeight="1" x14ac:dyDescent="0.2">
      <c r="A2489" s="58"/>
      <c r="B2489" s="15"/>
      <c r="C2489" s="16" t="str">
        <f>IF(B2489="","",IFERROR(INDEX(Client_List!$C:$C,MATCH(B2489,Client_List!$B:$B,0)),""))</f>
        <v/>
      </c>
      <c r="D2489" s="16" t="str">
        <f>IF(B2489="","",IFERROR(INDEX(Client_List!$D:$D,MATCH(B2489,Client_List!$B:$B,0)),""))</f>
        <v/>
      </c>
      <c r="E2489" s="16" t="str">
        <f>IF(B2489="","",IFERROR(INDEX(Client_List!$K:$K,MATCH(B2489,Client_List!$B:$B,0)),""))</f>
        <v/>
      </c>
      <c r="F2489" s="16" t="str">
        <f>IF(B2489="","",IFERROR(INDEX(Client_List!$J:$J,MATCH(B2489,Client_List!$B:$B,0)),""))</f>
        <v/>
      </c>
      <c r="G2489" s="16"/>
      <c r="H2489" s="16" t="str">
        <f>IF(B2489="","",IFERROR(A2489-LOOKUP(2,1/($B$4:$B2488=B2489),$A$4:$A2488),""))</f>
        <v/>
      </c>
      <c r="I2489" s="16" t="str">
        <f t="shared" si="38"/>
        <v/>
      </c>
      <c r="J2489" s="16"/>
      <c r="K2489" s="6" t="str">
        <f>IF(B2489="","",IFERROR(AVERAGEIFS($I$4:$I2489,$B$4:$B2489,B2489,$I$4:$I2489,"&gt;"&amp;0),""))</f>
        <v/>
      </c>
      <c r="L2489" s="16" t="str">
        <f>IF(B2489="","",IF(ISNA(MATCH(B2489,Client_List!$B:$B,0)),"⚠ NOT FOUND","✓"))</f>
        <v/>
      </c>
    </row>
    <row r="2490" spans="1:12" ht="14" customHeight="1" x14ac:dyDescent="0.2">
      <c r="A2490" s="59"/>
      <c r="B2490" s="18"/>
      <c r="C2490" s="19" t="str">
        <f>IF(B2490="","",IFERROR(INDEX(Client_List!$C:$C,MATCH(B2490,Client_List!$B:$B,0)),""))</f>
        <v/>
      </c>
      <c r="D2490" s="19" t="str">
        <f>IF(B2490="","",IFERROR(INDEX(Client_List!$D:$D,MATCH(B2490,Client_List!$B:$B,0)),""))</f>
        <v/>
      </c>
      <c r="E2490" s="19" t="str">
        <f>IF(B2490="","",IFERROR(INDEX(Client_List!$K:$K,MATCH(B2490,Client_List!$B:$B,0)),""))</f>
        <v/>
      </c>
      <c r="F2490" s="19" t="str">
        <f>IF(B2490="","",IFERROR(INDEX(Client_List!$J:$J,MATCH(B2490,Client_List!$B:$B,0)),""))</f>
        <v/>
      </c>
      <c r="G2490" s="19"/>
      <c r="H2490" s="19" t="str">
        <f>IF(B2490="","",IFERROR(A2490-LOOKUP(2,1/($B$4:$B2489=B2490),$A$4:$A2489),""))</f>
        <v/>
      </c>
      <c r="I2490" s="19" t="str">
        <f t="shared" si="38"/>
        <v/>
      </c>
      <c r="J2490" s="19"/>
      <c r="K2490" s="6" t="str">
        <f>IF(B2490="","",IFERROR(AVERAGEIFS($I$4:$I2490,$B$4:$B2490,B2490,$I$4:$I2490,"&gt;"&amp;0),""))</f>
        <v/>
      </c>
      <c r="L2490" s="19" t="str">
        <f>IF(B2490="","",IF(ISNA(MATCH(B2490,Client_List!$B:$B,0)),"⚠ NOT FOUND","✓"))</f>
        <v/>
      </c>
    </row>
    <row r="2491" spans="1:12" ht="14" customHeight="1" x14ac:dyDescent="0.2">
      <c r="A2491" s="58"/>
      <c r="B2491" s="15"/>
      <c r="C2491" s="16" t="str">
        <f>IF(B2491="","",IFERROR(INDEX(Client_List!$C:$C,MATCH(B2491,Client_List!$B:$B,0)),""))</f>
        <v/>
      </c>
      <c r="D2491" s="16" t="str">
        <f>IF(B2491="","",IFERROR(INDEX(Client_List!$D:$D,MATCH(B2491,Client_List!$B:$B,0)),""))</f>
        <v/>
      </c>
      <c r="E2491" s="16" t="str">
        <f>IF(B2491="","",IFERROR(INDEX(Client_List!$K:$K,MATCH(B2491,Client_List!$B:$B,0)),""))</f>
        <v/>
      </c>
      <c r="F2491" s="16" t="str">
        <f>IF(B2491="","",IFERROR(INDEX(Client_List!$J:$J,MATCH(B2491,Client_List!$B:$B,0)),""))</f>
        <v/>
      </c>
      <c r="G2491" s="16"/>
      <c r="H2491" s="16" t="str">
        <f>IF(B2491="","",IFERROR(A2491-LOOKUP(2,1/($B$4:$B2490=B2491),$A$4:$A2490),""))</f>
        <v/>
      </c>
      <c r="I2491" s="16" t="str">
        <f t="shared" si="38"/>
        <v/>
      </c>
      <c r="J2491" s="16"/>
      <c r="K2491" s="6" t="str">
        <f>IF(B2491="","",IFERROR(AVERAGEIFS($I$4:$I2491,$B$4:$B2491,B2491,$I$4:$I2491,"&gt;"&amp;0),""))</f>
        <v/>
      </c>
      <c r="L2491" s="16" t="str">
        <f>IF(B2491="","",IF(ISNA(MATCH(B2491,Client_List!$B:$B,0)),"⚠ NOT FOUND","✓"))</f>
        <v/>
      </c>
    </row>
    <row r="2492" spans="1:12" ht="14" customHeight="1" x14ac:dyDescent="0.2">
      <c r="A2492" s="59"/>
      <c r="B2492" s="18"/>
      <c r="C2492" s="19" t="str">
        <f>IF(B2492="","",IFERROR(INDEX(Client_List!$C:$C,MATCH(B2492,Client_List!$B:$B,0)),""))</f>
        <v/>
      </c>
      <c r="D2492" s="19" t="str">
        <f>IF(B2492="","",IFERROR(INDEX(Client_List!$D:$D,MATCH(B2492,Client_List!$B:$B,0)),""))</f>
        <v/>
      </c>
      <c r="E2492" s="19" t="str">
        <f>IF(B2492="","",IFERROR(INDEX(Client_List!$K:$K,MATCH(B2492,Client_List!$B:$B,0)),""))</f>
        <v/>
      </c>
      <c r="F2492" s="19" t="str">
        <f>IF(B2492="","",IFERROR(INDEX(Client_List!$J:$J,MATCH(B2492,Client_List!$B:$B,0)),""))</f>
        <v/>
      </c>
      <c r="G2492" s="19"/>
      <c r="H2492" s="19" t="str">
        <f>IF(B2492="","",IFERROR(A2492-LOOKUP(2,1/($B$4:$B2491=B2492),$A$4:$A2491),""))</f>
        <v/>
      </c>
      <c r="I2492" s="19" t="str">
        <f t="shared" si="38"/>
        <v/>
      </c>
      <c r="J2492" s="19"/>
      <c r="K2492" s="6" t="str">
        <f>IF(B2492="","",IFERROR(AVERAGEIFS($I$4:$I2492,$B$4:$B2492,B2492,$I$4:$I2492,"&gt;"&amp;0),""))</f>
        <v/>
      </c>
      <c r="L2492" s="19" t="str">
        <f>IF(B2492="","",IF(ISNA(MATCH(B2492,Client_List!$B:$B,0)),"⚠ NOT FOUND","✓"))</f>
        <v/>
      </c>
    </row>
    <row r="2493" spans="1:12" ht="14" customHeight="1" x14ac:dyDescent="0.2">
      <c r="A2493" s="58"/>
      <c r="B2493" s="15"/>
      <c r="C2493" s="16" t="str">
        <f>IF(B2493="","",IFERROR(INDEX(Client_List!$C:$C,MATCH(B2493,Client_List!$B:$B,0)),""))</f>
        <v/>
      </c>
      <c r="D2493" s="16" t="str">
        <f>IF(B2493="","",IFERROR(INDEX(Client_List!$D:$D,MATCH(B2493,Client_List!$B:$B,0)),""))</f>
        <v/>
      </c>
      <c r="E2493" s="16" t="str">
        <f>IF(B2493="","",IFERROR(INDEX(Client_List!$K:$K,MATCH(B2493,Client_List!$B:$B,0)),""))</f>
        <v/>
      </c>
      <c r="F2493" s="16" t="str">
        <f>IF(B2493="","",IFERROR(INDEX(Client_List!$J:$J,MATCH(B2493,Client_List!$B:$B,0)),""))</f>
        <v/>
      </c>
      <c r="G2493" s="16"/>
      <c r="H2493" s="16" t="str">
        <f>IF(B2493="","",IFERROR(A2493-LOOKUP(2,1/($B$4:$B2492=B2493),$A$4:$A2492),""))</f>
        <v/>
      </c>
      <c r="I2493" s="16" t="str">
        <f t="shared" si="38"/>
        <v/>
      </c>
      <c r="J2493" s="16"/>
      <c r="K2493" s="6" t="str">
        <f>IF(B2493="","",IFERROR(AVERAGEIFS($I$4:$I2493,$B$4:$B2493,B2493,$I$4:$I2493,"&gt;"&amp;0),""))</f>
        <v/>
      </c>
      <c r="L2493" s="16" t="str">
        <f>IF(B2493="","",IF(ISNA(MATCH(B2493,Client_List!$B:$B,0)),"⚠ NOT FOUND","✓"))</f>
        <v/>
      </c>
    </row>
    <row r="2494" spans="1:12" ht="14" customHeight="1" x14ac:dyDescent="0.2">
      <c r="A2494" s="59"/>
      <c r="B2494" s="18"/>
      <c r="C2494" s="19" t="str">
        <f>IF(B2494="","",IFERROR(INDEX(Client_List!$C:$C,MATCH(B2494,Client_List!$B:$B,0)),""))</f>
        <v/>
      </c>
      <c r="D2494" s="19" t="str">
        <f>IF(B2494="","",IFERROR(INDEX(Client_List!$D:$D,MATCH(B2494,Client_List!$B:$B,0)),""))</f>
        <v/>
      </c>
      <c r="E2494" s="19" t="str">
        <f>IF(B2494="","",IFERROR(INDEX(Client_List!$K:$K,MATCH(B2494,Client_List!$B:$B,0)),""))</f>
        <v/>
      </c>
      <c r="F2494" s="19" t="str">
        <f>IF(B2494="","",IFERROR(INDEX(Client_List!$J:$J,MATCH(B2494,Client_List!$B:$B,0)),""))</f>
        <v/>
      </c>
      <c r="G2494" s="19"/>
      <c r="H2494" s="19" t="str">
        <f>IF(B2494="","",IFERROR(A2494-LOOKUP(2,1/($B$4:$B2493=B2494),$A$4:$A2493),""))</f>
        <v/>
      </c>
      <c r="I2494" s="19" t="str">
        <f t="shared" si="38"/>
        <v/>
      </c>
      <c r="J2494" s="19"/>
      <c r="K2494" s="6" t="str">
        <f>IF(B2494="","",IFERROR(AVERAGEIFS($I$4:$I2494,$B$4:$B2494,B2494,$I$4:$I2494,"&gt;"&amp;0),""))</f>
        <v/>
      </c>
      <c r="L2494" s="19" t="str">
        <f>IF(B2494="","",IF(ISNA(MATCH(B2494,Client_List!$B:$B,0)),"⚠ NOT FOUND","✓"))</f>
        <v/>
      </c>
    </row>
    <row r="2495" spans="1:12" ht="14" customHeight="1" x14ac:dyDescent="0.2">
      <c r="A2495" s="58"/>
      <c r="B2495" s="15"/>
      <c r="C2495" s="16" t="str">
        <f>IF(B2495="","",IFERROR(INDEX(Client_List!$C:$C,MATCH(B2495,Client_List!$B:$B,0)),""))</f>
        <v/>
      </c>
      <c r="D2495" s="16" t="str">
        <f>IF(B2495="","",IFERROR(INDEX(Client_List!$D:$D,MATCH(B2495,Client_List!$B:$B,0)),""))</f>
        <v/>
      </c>
      <c r="E2495" s="16" t="str">
        <f>IF(B2495="","",IFERROR(INDEX(Client_List!$K:$K,MATCH(B2495,Client_List!$B:$B,0)),""))</f>
        <v/>
      </c>
      <c r="F2495" s="16" t="str">
        <f>IF(B2495="","",IFERROR(INDEX(Client_List!$J:$J,MATCH(B2495,Client_List!$B:$B,0)),""))</f>
        <v/>
      </c>
      <c r="G2495" s="16"/>
      <c r="H2495" s="16" t="str">
        <f>IF(B2495="","",IFERROR(A2495-LOOKUP(2,1/($B$4:$B2494=B2495),$A$4:$A2494),""))</f>
        <v/>
      </c>
      <c r="I2495" s="16" t="str">
        <f t="shared" si="38"/>
        <v/>
      </c>
      <c r="J2495" s="16"/>
      <c r="K2495" s="6" t="str">
        <f>IF(B2495="","",IFERROR(AVERAGEIFS($I$4:$I2495,$B$4:$B2495,B2495,$I$4:$I2495,"&gt;"&amp;0),""))</f>
        <v/>
      </c>
      <c r="L2495" s="16" t="str">
        <f>IF(B2495="","",IF(ISNA(MATCH(B2495,Client_List!$B:$B,0)),"⚠ NOT FOUND","✓"))</f>
        <v/>
      </c>
    </row>
    <row r="2496" spans="1:12" ht="14" customHeight="1" x14ac:dyDescent="0.2">
      <c r="A2496" s="59"/>
      <c r="B2496" s="18"/>
      <c r="C2496" s="19" t="str">
        <f>IF(B2496="","",IFERROR(INDEX(Client_List!$C:$C,MATCH(B2496,Client_List!$B:$B,0)),""))</f>
        <v/>
      </c>
      <c r="D2496" s="19" t="str">
        <f>IF(B2496="","",IFERROR(INDEX(Client_List!$D:$D,MATCH(B2496,Client_List!$B:$B,0)),""))</f>
        <v/>
      </c>
      <c r="E2496" s="19" t="str">
        <f>IF(B2496="","",IFERROR(INDEX(Client_List!$K:$K,MATCH(B2496,Client_List!$B:$B,0)),""))</f>
        <v/>
      </c>
      <c r="F2496" s="19" t="str">
        <f>IF(B2496="","",IFERROR(INDEX(Client_List!$J:$J,MATCH(B2496,Client_List!$B:$B,0)),""))</f>
        <v/>
      </c>
      <c r="G2496" s="19"/>
      <c r="H2496" s="19" t="str">
        <f>IF(B2496="","",IFERROR(A2496-LOOKUP(2,1/($B$4:$B2495=B2496),$A$4:$A2495),""))</f>
        <v/>
      </c>
      <c r="I2496" s="19" t="str">
        <f t="shared" si="38"/>
        <v/>
      </c>
      <c r="J2496" s="19"/>
      <c r="K2496" s="6" t="str">
        <f>IF(B2496="","",IFERROR(AVERAGEIFS($I$4:$I2496,$B$4:$B2496,B2496,$I$4:$I2496,"&gt;"&amp;0),""))</f>
        <v/>
      </c>
      <c r="L2496" s="19" t="str">
        <f>IF(B2496="","",IF(ISNA(MATCH(B2496,Client_List!$B:$B,0)),"⚠ NOT FOUND","✓"))</f>
        <v/>
      </c>
    </row>
    <row r="2497" spans="1:12" ht="14" customHeight="1" x14ac:dyDescent="0.2">
      <c r="A2497" s="58"/>
      <c r="B2497" s="15"/>
      <c r="C2497" s="16" t="str">
        <f>IF(B2497="","",IFERROR(INDEX(Client_List!$C:$C,MATCH(B2497,Client_List!$B:$B,0)),""))</f>
        <v/>
      </c>
      <c r="D2497" s="16" t="str">
        <f>IF(B2497="","",IFERROR(INDEX(Client_List!$D:$D,MATCH(B2497,Client_List!$B:$B,0)),""))</f>
        <v/>
      </c>
      <c r="E2497" s="16" t="str">
        <f>IF(B2497="","",IFERROR(INDEX(Client_List!$K:$K,MATCH(B2497,Client_List!$B:$B,0)),""))</f>
        <v/>
      </c>
      <c r="F2497" s="16" t="str">
        <f>IF(B2497="","",IFERROR(INDEX(Client_List!$J:$J,MATCH(B2497,Client_List!$B:$B,0)),""))</f>
        <v/>
      </c>
      <c r="G2497" s="16"/>
      <c r="H2497" s="16" t="str">
        <f>IF(B2497="","",IFERROR(A2497-LOOKUP(2,1/($B$4:$B2496=B2497),$A$4:$A2496),""))</f>
        <v/>
      </c>
      <c r="I2497" s="16" t="str">
        <f t="shared" si="38"/>
        <v/>
      </c>
      <c r="J2497" s="16"/>
      <c r="K2497" s="6" t="str">
        <f>IF(B2497="","",IFERROR(AVERAGEIFS($I$4:$I2497,$B$4:$B2497,B2497,$I$4:$I2497,"&gt;"&amp;0),""))</f>
        <v/>
      </c>
      <c r="L2497" s="16" t="str">
        <f>IF(B2497="","",IF(ISNA(MATCH(B2497,Client_List!$B:$B,0)),"⚠ NOT FOUND","✓"))</f>
        <v/>
      </c>
    </row>
    <row r="2498" spans="1:12" ht="14" customHeight="1" x14ac:dyDescent="0.2">
      <c r="A2498" s="59"/>
      <c r="B2498" s="18"/>
      <c r="C2498" s="19" t="str">
        <f>IF(B2498="","",IFERROR(INDEX(Client_List!$C:$C,MATCH(B2498,Client_List!$B:$B,0)),""))</f>
        <v/>
      </c>
      <c r="D2498" s="19" t="str">
        <f>IF(B2498="","",IFERROR(INDEX(Client_List!$D:$D,MATCH(B2498,Client_List!$B:$B,0)),""))</f>
        <v/>
      </c>
      <c r="E2498" s="19" t="str">
        <f>IF(B2498="","",IFERROR(INDEX(Client_List!$K:$K,MATCH(B2498,Client_List!$B:$B,0)),""))</f>
        <v/>
      </c>
      <c r="F2498" s="19" t="str">
        <f>IF(B2498="","",IFERROR(INDEX(Client_List!$J:$J,MATCH(B2498,Client_List!$B:$B,0)),""))</f>
        <v/>
      </c>
      <c r="G2498" s="19"/>
      <c r="H2498" s="19" t="str">
        <f>IF(B2498="","",IFERROR(A2498-LOOKUP(2,1/($B$4:$B2497=B2498),$A$4:$A2497),""))</f>
        <v/>
      </c>
      <c r="I2498" s="19" t="str">
        <f t="shared" si="38"/>
        <v/>
      </c>
      <c r="J2498" s="19"/>
      <c r="K2498" s="6" t="str">
        <f>IF(B2498="","",IFERROR(AVERAGEIFS($I$4:$I2498,$B$4:$B2498,B2498,$I$4:$I2498,"&gt;"&amp;0),""))</f>
        <v/>
      </c>
      <c r="L2498" s="19" t="str">
        <f>IF(B2498="","",IF(ISNA(MATCH(B2498,Client_List!$B:$B,0)),"⚠ NOT FOUND","✓"))</f>
        <v/>
      </c>
    </row>
    <row r="2499" spans="1:12" ht="14" customHeight="1" x14ac:dyDescent="0.2">
      <c r="A2499" s="58"/>
      <c r="B2499" s="15"/>
      <c r="C2499" s="16" t="str">
        <f>IF(B2499="","",IFERROR(INDEX(Client_List!$C:$C,MATCH(B2499,Client_List!$B:$B,0)),""))</f>
        <v/>
      </c>
      <c r="D2499" s="16" t="str">
        <f>IF(B2499="","",IFERROR(INDEX(Client_List!$D:$D,MATCH(B2499,Client_List!$B:$B,0)),""))</f>
        <v/>
      </c>
      <c r="E2499" s="16" t="str">
        <f>IF(B2499="","",IFERROR(INDEX(Client_List!$K:$K,MATCH(B2499,Client_List!$B:$B,0)),""))</f>
        <v/>
      </c>
      <c r="F2499" s="16" t="str">
        <f>IF(B2499="","",IFERROR(INDEX(Client_List!$J:$J,MATCH(B2499,Client_List!$B:$B,0)),""))</f>
        <v/>
      </c>
      <c r="G2499" s="16"/>
      <c r="H2499" s="16" t="str">
        <f>IF(B2499="","",IFERROR(A2499-LOOKUP(2,1/($B$4:$B2498=B2499),$A$4:$A2498),""))</f>
        <v/>
      </c>
      <c r="I2499" s="16" t="str">
        <f t="shared" si="38"/>
        <v/>
      </c>
      <c r="J2499" s="16"/>
      <c r="K2499" s="6" t="str">
        <f>IF(B2499="","",IFERROR(AVERAGEIFS($I$4:$I2499,$B$4:$B2499,B2499,$I$4:$I2499,"&gt;"&amp;0),""))</f>
        <v/>
      </c>
      <c r="L2499" s="16" t="str">
        <f>IF(B2499="","",IF(ISNA(MATCH(B2499,Client_List!$B:$B,0)),"⚠ NOT FOUND","✓"))</f>
        <v/>
      </c>
    </row>
    <row r="2500" spans="1:12" ht="14" customHeight="1" x14ac:dyDescent="0.2">
      <c r="A2500" s="59"/>
      <c r="B2500" s="18"/>
      <c r="C2500" s="19" t="str">
        <f>IF(B2500="","",IFERROR(INDEX(Client_List!$C:$C,MATCH(B2500,Client_List!$B:$B,0)),""))</f>
        <v/>
      </c>
      <c r="D2500" s="19" t="str">
        <f>IF(B2500="","",IFERROR(INDEX(Client_List!$D:$D,MATCH(B2500,Client_List!$B:$B,0)),""))</f>
        <v/>
      </c>
      <c r="E2500" s="19" t="str">
        <f>IF(B2500="","",IFERROR(INDEX(Client_List!$K:$K,MATCH(B2500,Client_List!$B:$B,0)),""))</f>
        <v/>
      </c>
      <c r="F2500" s="19" t="str">
        <f>IF(B2500="","",IFERROR(INDEX(Client_List!$J:$J,MATCH(B2500,Client_List!$B:$B,0)),""))</f>
        <v/>
      </c>
      <c r="G2500" s="19"/>
      <c r="H2500" s="19" t="str">
        <f>IF(B2500="","",IFERROR(A2500-LOOKUP(2,1/($B$4:$B2499=B2500),$A$4:$A2499),""))</f>
        <v/>
      </c>
      <c r="I2500" s="19" t="str">
        <f t="shared" ref="I2500" si="39">IF(B2500="","",IFERROR(G2500/H2500,""))</f>
        <v/>
      </c>
      <c r="J2500" s="19"/>
      <c r="K2500" s="6" t="str">
        <f>IF(B2500="","",IFERROR(AVERAGEIFS($I$4:$I2500,$B$4:$B2500,B2500,$I$4:$I2500,"&gt;"&amp;0),""))</f>
        <v/>
      </c>
      <c r="L2500" s="19" t="str">
        <f>IF(B2500="","",IF(ISNA(MATCH(B2500,Client_List!$B:$B,0)),"⚠ NOT FOUND","✓"))</f>
        <v/>
      </c>
    </row>
    <row r="2501" spans="1:12" ht="14" customHeight="1" x14ac:dyDescent="0.2">
      <c r="A2501" s="14"/>
      <c r="B2501" s="15"/>
      <c r="C2501" s="16"/>
      <c r="D2501" s="16"/>
      <c r="E2501" s="16"/>
      <c r="F2501" s="16"/>
      <c r="G2501" s="16"/>
      <c r="H2501" s="16"/>
      <c r="I2501" s="16"/>
      <c r="J2501" s="16"/>
      <c r="K2501" s="6"/>
      <c r="L2501" s="16"/>
    </row>
    <row r="2502" spans="1:12" ht="14" customHeight="1" x14ac:dyDescent="0.2">
      <c r="A2502" s="17"/>
      <c r="B2502" s="18"/>
      <c r="C2502" s="19"/>
      <c r="D2502" s="19"/>
      <c r="E2502" s="19"/>
      <c r="F2502" s="19"/>
      <c r="G2502" s="19"/>
      <c r="H2502" s="19"/>
      <c r="I2502" s="19"/>
      <c r="J2502" s="19"/>
      <c r="K2502" s="6"/>
      <c r="L2502" s="19"/>
    </row>
    <row r="2503" spans="1:12" ht="14" customHeight="1" x14ac:dyDescent="0.2">
      <c r="A2503" s="14"/>
      <c r="B2503" s="15"/>
      <c r="C2503" s="16"/>
      <c r="D2503" s="16"/>
      <c r="E2503" s="16"/>
      <c r="F2503" s="16"/>
      <c r="G2503" s="16"/>
      <c r="H2503" s="16"/>
      <c r="I2503" s="16"/>
      <c r="J2503" s="16"/>
      <c r="K2503" s="6"/>
      <c r="L2503" s="16"/>
    </row>
    <row r="2504" spans="1:12" ht="14" customHeight="1" x14ac:dyDescent="0.2">
      <c r="A2504" s="17"/>
      <c r="B2504" s="18"/>
      <c r="C2504" s="19"/>
      <c r="D2504" s="19"/>
      <c r="E2504" s="19"/>
      <c r="F2504" s="19"/>
      <c r="G2504" s="19"/>
      <c r="H2504" s="19"/>
      <c r="I2504" s="19"/>
      <c r="J2504" s="19"/>
      <c r="K2504" s="6"/>
      <c r="L2504" s="19"/>
    </row>
    <row r="2505" spans="1:12" ht="14" customHeight="1" x14ac:dyDescent="0.2">
      <c r="A2505" s="14"/>
      <c r="B2505" s="15"/>
      <c r="C2505" s="16"/>
      <c r="D2505" s="16"/>
      <c r="E2505" s="16"/>
      <c r="F2505" s="16"/>
      <c r="G2505" s="16"/>
      <c r="H2505" s="16"/>
      <c r="I2505" s="16"/>
      <c r="J2505" s="16"/>
      <c r="K2505" s="6"/>
      <c r="L2505" s="16"/>
    </row>
    <row r="2506" spans="1:12" ht="14" customHeight="1" x14ac:dyDescent="0.2">
      <c r="A2506" s="17"/>
      <c r="B2506" s="18"/>
      <c r="C2506" s="19"/>
      <c r="D2506" s="19"/>
      <c r="E2506" s="19"/>
      <c r="F2506" s="19"/>
      <c r="G2506" s="19"/>
      <c r="H2506" s="19"/>
      <c r="I2506" s="19"/>
      <c r="J2506" s="19"/>
      <c r="K2506" s="6"/>
      <c r="L2506" s="19"/>
    </row>
    <row r="2507" spans="1:12" ht="14" customHeight="1" x14ac:dyDescent="0.2">
      <c r="A2507" s="14"/>
      <c r="B2507" s="15"/>
      <c r="C2507" s="16"/>
      <c r="D2507" s="16"/>
      <c r="E2507" s="16"/>
      <c r="F2507" s="16"/>
      <c r="G2507" s="16"/>
      <c r="H2507" s="16"/>
      <c r="I2507" s="16"/>
      <c r="J2507" s="16"/>
      <c r="K2507" s="6"/>
      <c r="L2507" s="16"/>
    </row>
    <row r="2508" spans="1:12" ht="14" customHeight="1" x14ac:dyDescent="0.2">
      <c r="A2508" s="17"/>
      <c r="B2508" s="18"/>
      <c r="C2508" s="19"/>
      <c r="D2508" s="19"/>
      <c r="E2508" s="19"/>
      <c r="F2508" s="19"/>
      <c r="G2508" s="19"/>
      <c r="H2508" s="19"/>
      <c r="I2508" s="19"/>
      <c r="J2508" s="19"/>
      <c r="K2508" s="6"/>
      <c r="L2508" s="19"/>
    </row>
    <row r="2509" spans="1:12" ht="14" customHeight="1" x14ac:dyDescent="0.2">
      <c r="A2509" s="14"/>
      <c r="B2509" s="15"/>
      <c r="C2509" s="16"/>
      <c r="D2509" s="16"/>
      <c r="E2509" s="16"/>
      <c r="F2509" s="16"/>
      <c r="G2509" s="16"/>
      <c r="H2509" s="16"/>
      <c r="I2509" s="16"/>
      <c r="J2509" s="16"/>
      <c r="K2509" s="6"/>
      <c r="L2509" s="16"/>
    </row>
    <row r="2510" spans="1:12" ht="14" customHeight="1" x14ac:dyDescent="0.2">
      <c r="A2510" s="17"/>
      <c r="B2510" s="18"/>
      <c r="C2510" s="19"/>
      <c r="D2510" s="19"/>
      <c r="E2510" s="19"/>
      <c r="F2510" s="19"/>
      <c r="G2510" s="19"/>
      <c r="H2510" s="19"/>
      <c r="I2510" s="19"/>
      <c r="J2510" s="19"/>
      <c r="K2510" s="6"/>
      <c r="L2510" s="19"/>
    </row>
    <row r="2511" spans="1:12" ht="14" customHeight="1" x14ac:dyDescent="0.2">
      <c r="A2511" s="14"/>
      <c r="B2511" s="15"/>
      <c r="C2511" s="16"/>
      <c r="D2511" s="16"/>
      <c r="E2511" s="16"/>
      <c r="F2511" s="16"/>
      <c r="G2511" s="16"/>
      <c r="H2511" s="16"/>
      <c r="I2511" s="16"/>
      <c r="J2511" s="16"/>
      <c r="K2511" s="6"/>
      <c r="L2511" s="16"/>
    </row>
    <row r="2512" spans="1:12" ht="14" customHeight="1" x14ac:dyDescent="0.2">
      <c r="A2512" s="17"/>
      <c r="B2512" s="18"/>
      <c r="C2512" s="19"/>
      <c r="D2512" s="19"/>
      <c r="E2512" s="19"/>
      <c r="F2512" s="19"/>
      <c r="G2512" s="19"/>
      <c r="H2512" s="19"/>
      <c r="I2512" s="19"/>
      <c r="J2512" s="19"/>
      <c r="K2512" s="6"/>
      <c r="L2512" s="19"/>
    </row>
    <row r="2513" spans="1:12" ht="14" customHeight="1" x14ac:dyDescent="0.2">
      <c r="A2513" s="14"/>
      <c r="B2513" s="15"/>
      <c r="C2513" s="16"/>
      <c r="D2513" s="16"/>
      <c r="E2513" s="16"/>
      <c r="F2513" s="16"/>
      <c r="G2513" s="16"/>
      <c r="H2513" s="16"/>
      <c r="I2513" s="16"/>
      <c r="J2513" s="16"/>
      <c r="K2513" s="6"/>
      <c r="L2513" s="16"/>
    </row>
    <row r="2514" spans="1:12" ht="14" customHeight="1" x14ac:dyDescent="0.2">
      <c r="A2514" s="17"/>
      <c r="B2514" s="18"/>
      <c r="C2514" s="19"/>
      <c r="D2514" s="19"/>
      <c r="E2514" s="19"/>
      <c r="F2514" s="19"/>
      <c r="G2514" s="19"/>
      <c r="H2514" s="19"/>
      <c r="I2514" s="19"/>
      <c r="J2514" s="19"/>
      <c r="K2514" s="6"/>
      <c r="L2514" s="19"/>
    </row>
    <row r="2515" spans="1:12" ht="14" customHeight="1" x14ac:dyDescent="0.2">
      <c r="A2515" s="14"/>
      <c r="B2515" s="15"/>
      <c r="C2515" s="16"/>
      <c r="D2515" s="16"/>
      <c r="E2515" s="16"/>
      <c r="F2515" s="16"/>
      <c r="G2515" s="16"/>
      <c r="H2515" s="16"/>
      <c r="I2515" s="16"/>
      <c r="J2515" s="16"/>
      <c r="K2515" s="6"/>
      <c r="L2515" s="16"/>
    </row>
    <row r="2516" spans="1:12" ht="14" customHeight="1" x14ac:dyDescent="0.2">
      <c r="A2516" s="17"/>
      <c r="B2516" s="18"/>
      <c r="C2516" s="19"/>
      <c r="D2516" s="19"/>
      <c r="E2516" s="19"/>
      <c r="F2516" s="19"/>
      <c r="G2516" s="19"/>
      <c r="H2516" s="19"/>
      <c r="I2516" s="19"/>
      <c r="J2516" s="19"/>
      <c r="K2516" s="6"/>
      <c r="L2516" s="19"/>
    </row>
    <row r="2517" spans="1:12" ht="14" customHeight="1" x14ac:dyDescent="0.2">
      <c r="A2517" s="14"/>
      <c r="B2517" s="15"/>
      <c r="C2517" s="16"/>
      <c r="D2517" s="16"/>
      <c r="E2517" s="16"/>
      <c r="F2517" s="16"/>
      <c r="G2517" s="16"/>
      <c r="H2517" s="16"/>
      <c r="I2517" s="16"/>
      <c r="J2517" s="16"/>
      <c r="K2517" s="6"/>
      <c r="L2517" s="16"/>
    </row>
    <row r="2518" spans="1:12" ht="14" customHeight="1" x14ac:dyDescent="0.2">
      <c r="A2518" s="17"/>
      <c r="B2518" s="18"/>
      <c r="C2518" s="19"/>
      <c r="D2518" s="19"/>
      <c r="E2518" s="19"/>
      <c r="F2518" s="19"/>
      <c r="G2518" s="19"/>
      <c r="H2518" s="19"/>
      <c r="I2518" s="19"/>
      <c r="J2518" s="19"/>
      <c r="K2518" s="6"/>
      <c r="L2518" s="19"/>
    </row>
    <row r="2519" spans="1:12" ht="14" customHeight="1" x14ac:dyDescent="0.2">
      <c r="A2519" s="14"/>
      <c r="B2519" s="15"/>
      <c r="C2519" s="16"/>
      <c r="D2519" s="16"/>
      <c r="E2519" s="16"/>
      <c r="F2519" s="16"/>
      <c r="G2519" s="16"/>
      <c r="H2519" s="16"/>
      <c r="I2519" s="16"/>
      <c r="J2519" s="16"/>
      <c r="K2519" s="6"/>
      <c r="L2519" s="16"/>
    </row>
    <row r="2520" spans="1:12" ht="14" customHeight="1" x14ac:dyDescent="0.2">
      <c r="A2520" s="17"/>
      <c r="B2520" s="18"/>
      <c r="C2520" s="19"/>
      <c r="D2520" s="19"/>
      <c r="E2520" s="19"/>
      <c r="F2520" s="19"/>
      <c r="G2520" s="19"/>
      <c r="H2520" s="19"/>
      <c r="I2520" s="19"/>
      <c r="J2520" s="19"/>
      <c r="K2520" s="6"/>
      <c r="L2520" s="19"/>
    </row>
    <row r="2521" spans="1:12" ht="14" customHeight="1" x14ac:dyDescent="0.2">
      <c r="A2521" s="14"/>
      <c r="B2521" s="15"/>
      <c r="C2521" s="16"/>
      <c r="D2521" s="16"/>
      <c r="E2521" s="16"/>
      <c r="F2521" s="16"/>
      <c r="G2521" s="16"/>
      <c r="H2521" s="16"/>
      <c r="I2521" s="16"/>
      <c r="J2521" s="16"/>
      <c r="K2521" s="6"/>
      <c r="L2521" s="16"/>
    </row>
    <row r="2522" spans="1:12" ht="14" customHeight="1" x14ac:dyDescent="0.2">
      <c r="A2522" s="17"/>
      <c r="B2522" s="18"/>
      <c r="C2522" s="19"/>
      <c r="D2522" s="19"/>
      <c r="E2522" s="19"/>
      <c r="F2522" s="19"/>
      <c r="G2522" s="19"/>
      <c r="H2522" s="19"/>
      <c r="I2522" s="19"/>
      <c r="J2522" s="19"/>
      <c r="K2522" s="6"/>
      <c r="L2522" s="19"/>
    </row>
    <row r="2523" spans="1:12" ht="14" customHeight="1" x14ac:dyDescent="0.2">
      <c r="A2523" s="14"/>
      <c r="B2523" s="15"/>
      <c r="C2523" s="16"/>
      <c r="D2523" s="16"/>
      <c r="E2523" s="16"/>
      <c r="F2523" s="16"/>
      <c r="G2523" s="16"/>
      <c r="H2523" s="16"/>
      <c r="I2523" s="16"/>
      <c r="J2523" s="16"/>
      <c r="K2523" s="6"/>
      <c r="L2523" s="16"/>
    </row>
    <row r="2524" spans="1:12" ht="14" customHeight="1" x14ac:dyDescent="0.2">
      <c r="A2524" s="17"/>
      <c r="B2524" s="18"/>
      <c r="C2524" s="19"/>
      <c r="D2524" s="19"/>
      <c r="E2524" s="19"/>
      <c r="F2524" s="19"/>
      <c r="G2524" s="19"/>
      <c r="H2524" s="19"/>
      <c r="I2524" s="19"/>
      <c r="J2524" s="19"/>
      <c r="K2524" s="6"/>
      <c r="L2524" s="19"/>
    </row>
    <row r="2525" spans="1:12" ht="14" customHeight="1" x14ac:dyDescent="0.2">
      <c r="A2525" s="14"/>
      <c r="B2525" s="15"/>
      <c r="C2525" s="16"/>
      <c r="D2525" s="16"/>
      <c r="E2525" s="16"/>
      <c r="F2525" s="16"/>
      <c r="G2525" s="16"/>
      <c r="H2525" s="16"/>
      <c r="I2525" s="16"/>
      <c r="J2525" s="16"/>
      <c r="K2525" s="6"/>
      <c r="L2525" s="16"/>
    </row>
    <row r="2526" spans="1:12" ht="14" customHeight="1" x14ac:dyDescent="0.2">
      <c r="A2526" s="17"/>
      <c r="B2526" s="18"/>
      <c r="C2526" s="19"/>
      <c r="D2526" s="19"/>
      <c r="E2526" s="19"/>
      <c r="F2526" s="19"/>
      <c r="G2526" s="19"/>
      <c r="H2526" s="19"/>
      <c r="I2526" s="19"/>
      <c r="J2526" s="19"/>
      <c r="K2526" s="6"/>
      <c r="L2526" s="19"/>
    </row>
    <row r="2527" spans="1:12" ht="14" customHeight="1" x14ac:dyDescent="0.2">
      <c r="A2527" s="14"/>
      <c r="B2527" s="15"/>
      <c r="C2527" s="16"/>
      <c r="D2527" s="16"/>
      <c r="E2527" s="16"/>
      <c r="F2527" s="16"/>
      <c r="G2527" s="16"/>
      <c r="H2527" s="16"/>
      <c r="I2527" s="16"/>
      <c r="J2527" s="16"/>
      <c r="K2527" s="6"/>
      <c r="L2527" s="16"/>
    </row>
    <row r="2528" spans="1:12" ht="14" customHeight="1" x14ac:dyDescent="0.2">
      <c r="A2528" s="17"/>
      <c r="B2528" s="18"/>
      <c r="C2528" s="19"/>
      <c r="D2528" s="19"/>
      <c r="E2528" s="19"/>
      <c r="F2528" s="19"/>
      <c r="G2528" s="19"/>
      <c r="H2528" s="19"/>
      <c r="I2528" s="19"/>
      <c r="J2528" s="19"/>
      <c r="K2528" s="6"/>
      <c r="L2528" s="19"/>
    </row>
    <row r="2529" spans="1:12" ht="14" customHeight="1" x14ac:dyDescent="0.2">
      <c r="A2529" s="14"/>
      <c r="B2529" s="15"/>
      <c r="C2529" s="16"/>
      <c r="D2529" s="16"/>
      <c r="E2529" s="16"/>
      <c r="F2529" s="16"/>
      <c r="G2529" s="16"/>
      <c r="H2529" s="16"/>
      <c r="I2529" s="16"/>
      <c r="J2529" s="16"/>
      <c r="K2529" s="6"/>
      <c r="L2529" s="16"/>
    </row>
    <row r="2530" spans="1:12" ht="14" customHeight="1" x14ac:dyDescent="0.2">
      <c r="A2530" s="17"/>
      <c r="B2530" s="18"/>
      <c r="C2530" s="19"/>
      <c r="D2530" s="19"/>
      <c r="E2530" s="19"/>
      <c r="F2530" s="19"/>
      <c r="G2530" s="19"/>
      <c r="H2530" s="19"/>
      <c r="I2530" s="19"/>
      <c r="J2530" s="19"/>
      <c r="K2530" s="6"/>
      <c r="L2530" s="19"/>
    </row>
    <row r="2531" spans="1:12" ht="14" customHeight="1" x14ac:dyDescent="0.2">
      <c r="A2531" s="14"/>
      <c r="B2531" s="15"/>
      <c r="C2531" s="16"/>
      <c r="D2531" s="16"/>
      <c r="E2531" s="16"/>
      <c r="F2531" s="16"/>
      <c r="G2531" s="16"/>
      <c r="H2531" s="16"/>
      <c r="I2531" s="16"/>
      <c r="J2531" s="16"/>
      <c r="K2531" s="6"/>
      <c r="L2531" s="16"/>
    </row>
    <row r="2532" spans="1:12" ht="14" customHeight="1" x14ac:dyDescent="0.2">
      <c r="A2532" s="17"/>
      <c r="B2532" s="18"/>
      <c r="C2532" s="19"/>
      <c r="D2532" s="19"/>
      <c r="E2532" s="19"/>
      <c r="F2532" s="19"/>
      <c r="G2532" s="19"/>
      <c r="H2532" s="19"/>
      <c r="I2532" s="19"/>
      <c r="J2532" s="19"/>
      <c r="K2532" s="6"/>
      <c r="L2532" s="19"/>
    </row>
    <row r="2533" spans="1:12" ht="14" customHeight="1" x14ac:dyDescent="0.2">
      <c r="A2533" s="14"/>
      <c r="B2533" s="15"/>
      <c r="C2533" s="16"/>
      <c r="D2533" s="16"/>
      <c r="E2533" s="16"/>
      <c r="F2533" s="16"/>
      <c r="G2533" s="16"/>
      <c r="H2533" s="16"/>
      <c r="I2533" s="16"/>
      <c r="J2533" s="16"/>
      <c r="K2533" s="6"/>
      <c r="L2533" s="16"/>
    </row>
    <row r="2534" spans="1:12" ht="14" customHeight="1" x14ac:dyDescent="0.2">
      <c r="A2534" s="17"/>
      <c r="B2534" s="18"/>
      <c r="C2534" s="19"/>
      <c r="D2534" s="19"/>
      <c r="E2534" s="19"/>
      <c r="F2534" s="19"/>
      <c r="G2534" s="19"/>
      <c r="H2534" s="19"/>
      <c r="I2534" s="19"/>
      <c r="J2534" s="19"/>
      <c r="K2534" s="6"/>
      <c r="L2534" s="19"/>
    </row>
    <row r="2535" spans="1:12" ht="14" customHeight="1" x14ac:dyDescent="0.2">
      <c r="A2535" s="14"/>
      <c r="B2535" s="15"/>
      <c r="C2535" s="16"/>
      <c r="D2535" s="16"/>
      <c r="E2535" s="16"/>
      <c r="F2535" s="16"/>
      <c r="G2535" s="16"/>
      <c r="H2535" s="16"/>
      <c r="I2535" s="16"/>
      <c r="J2535" s="16"/>
      <c r="K2535" s="6"/>
      <c r="L2535" s="16"/>
    </row>
    <row r="2536" spans="1:12" ht="14" customHeight="1" x14ac:dyDescent="0.2">
      <c r="A2536" s="17"/>
      <c r="B2536" s="18"/>
      <c r="C2536" s="19"/>
      <c r="D2536" s="19"/>
      <c r="E2536" s="19"/>
      <c r="F2536" s="19"/>
      <c r="G2536" s="19"/>
      <c r="H2536" s="19"/>
      <c r="I2536" s="19"/>
      <c r="J2536" s="19"/>
      <c r="K2536" s="6"/>
      <c r="L2536" s="19"/>
    </row>
    <row r="2537" spans="1:12" ht="14" customHeight="1" x14ac:dyDescent="0.2">
      <c r="A2537" s="14"/>
      <c r="B2537" s="15"/>
      <c r="C2537" s="16"/>
      <c r="D2537" s="16"/>
      <c r="E2537" s="16"/>
      <c r="F2537" s="16"/>
      <c r="G2537" s="16"/>
      <c r="H2537" s="16"/>
      <c r="I2537" s="16"/>
      <c r="J2537" s="16"/>
      <c r="K2537" s="6"/>
      <c r="L2537" s="16"/>
    </row>
    <row r="2538" spans="1:12" ht="14" customHeight="1" x14ac:dyDescent="0.2">
      <c r="A2538" s="17"/>
      <c r="B2538" s="18"/>
      <c r="C2538" s="19"/>
      <c r="D2538" s="19"/>
      <c r="E2538" s="19"/>
      <c r="F2538" s="19"/>
      <c r="G2538" s="19"/>
      <c r="H2538" s="19"/>
      <c r="I2538" s="19"/>
      <c r="J2538" s="19"/>
      <c r="K2538" s="6"/>
      <c r="L2538" s="19"/>
    </row>
    <row r="2539" spans="1:12" ht="14" customHeight="1" x14ac:dyDescent="0.2">
      <c r="A2539" s="14"/>
      <c r="B2539" s="15"/>
      <c r="C2539" s="16"/>
      <c r="D2539" s="16"/>
      <c r="E2539" s="16"/>
      <c r="F2539" s="16"/>
      <c r="G2539" s="16"/>
      <c r="H2539" s="16"/>
      <c r="I2539" s="16"/>
      <c r="J2539" s="16"/>
      <c r="K2539" s="6"/>
      <c r="L2539" s="16"/>
    </row>
    <row r="2540" spans="1:12" ht="14" customHeight="1" x14ac:dyDescent="0.2">
      <c r="A2540" s="17"/>
      <c r="B2540" s="18"/>
      <c r="C2540" s="19"/>
      <c r="D2540" s="19"/>
      <c r="E2540" s="19"/>
      <c r="F2540" s="19"/>
      <c r="G2540" s="19"/>
      <c r="H2540" s="19"/>
      <c r="I2540" s="19"/>
      <c r="J2540" s="19"/>
      <c r="K2540" s="6"/>
      <c r="L2540" s="19"/>
    </row>
    <row r="2541" spans="1:12" ht="14" customHeight="1" x14ac:dyDescent="0.2">
      <c r="A2541" s="14"/>
      <c r="B2541" s="15"/>
      <c r="C2541" s="16"/>
      <c r="D2541" s="16"/>
      <c r="E2541" s="16"/>
      <c r="F2541" s="16"/>
      <c r="G2541" s="16"/>
      <c r="H2541" s="16"/>
      <c r="I2541" s="16"/>
      <c r="J2541" s="16"/>
      <c r="K2541" s="6"/>
      <c r="L2541" s="16"/>
    </row>
    <row r="2542" spans="1:12" ht="14" customHeight="1" x14ac:dyDescent="0.2">
      <c r="A2542" s="17"/>
      <c r="B2542" s="18"/>
      <c r="C2542" s="19"/>
      <c r="D2542" s="19"/>
      <c r="E2542" s="19"/>
      <c r="F2542" s="19"/>
      <c r="G2542" s="19"/>
      <c r="H2542" s="19"/>
      <c r="I2542" s="19"/>
      <c r="J2542" s="19"/>
      <c r="K2542" s="6"/>
      <c r="L2542" s="19"/>
    </row>
    <row r="2543" spans="1:12" ht="14" customHeight="1" x14ac:dyDescent="0.2">
      <c r="A2543" s="14"/>
      <c r="B2543" s="15"/>
      <c r="C2543" s="16"/>
      <c r="D2543" s="16"/>
      <c r="E2543" s="16"/>
      <c r="F2543" s="16"/>
      <c r="G2543" s="16"/>
      <c r="H2543" s="16"/>
      <c r="I2543" s="16"/>
      <c r="J2543" s="16"/>
      <c r="K2543" s="6"/>
      <c r="L2543" s="16"/>
    </row>
    <row r="2544" spans="1:12" ht="14" customHeight="1" x14ac:dyDescent="0.2">
      <c r="A2544" s="17"/>
      <c r="B2544" s="18"/>
      <c r="C2544" s="19"/>
      <c r="D2544" s="19"/>
      <c r="E2544" s="19"/>
      <c r="F2544" s="19"/>
      <c r="G2544" s="19"/>
      <c r="H2544" s="19"/>
      <c r="I2544" s="19"/>
      <c r="J2544" s="19"/>
      <c r="K2544" s="6"/>
      <c r="L2544" s="19"/>
    </row>
    <row r="2545" spans="1:12" ht="14" customHeight="1" x14ac:dyDescent="0.2">
      <c r="A2545" s="14"/>
      <c r="B2545" s="15"/>
      <c r="C2545" s="16"/>
      <c r="D2545" s="16"/>
      <c r="E2545" s="16"/>
      <c r="F2545" s="16"/>
      <c r="G2545" s="16"/>
      <c r="H2545" s="16"/>
      <c r="I2545" s="16"/>
      <c r="J2545" s="16"/>
      <c r="K2545" s="6"/>
      <c r="L2545" s="16"/>
    </row>
    <row r="2546" spans="1:12" ht="14" customHeight="1" x14ac:dyDescent="0.2">
      <c r="A2546" s="17"/>
      <c r="B2546" s="18"/>
      <c r="C2546" s="19"/>
      <c r="D2546" s="19"/>
      <c r="E2546" s="19"/>
      <c r="F2546" s="19"/>
      <c r="G2546" s="19"/>
      <c r="H2546" s="19"/>
      <c r="I2546" s="19"/>
      <c r="J2546" s="19"/>
      <c r="K2546" s="6"/>
      <c r="L2546" s="19"/>
    </row>
    <row r="2547" spans="1:12" ht="14" customHeight="1" x14ac:dyDescent="0.2">
      <c r="A2547" s="14"/>
      <c r="B2547" s="15"/>
      <c r="C2547" s="16"/>
      <c r="D2547" s="16"/>
      <c r="E2547" s="16"/>
      <c r="F2547" s="16"/>
      <c r="G2547" s="16"/>
      <c r="H2547" s="16"/>
      <c r="I2547" s="16"/>
      <c r="J2547" s="16"/>
      <c r="K2547" s="6"/>
      <c r="L2547" s="16"/>
    </row>
    <row r="2548" spans="1:12" ht="14" customHeight="1" x14ac:dyDescent="0.2">
      <c r="A2548" s="17"/>
      <c r="B2548" s="18"/>
      <c r="C2548" s="19"/>
      <c r="D2548" s="19"/>
      <c r="E2548" s="19"/>
      <c r="F2548" s="19"/>
      <c r="G2548" s="19"/>
      <c r="H2548" s="19"/>
      <c r="I2548" s="19"/>
      <c r="J2548" s="19"/>
      <c r="K2548" s="6"/>
      <c r="L2548" s="19"/>
    </row>
    <row r="2549" spans="1:12" ht="14" customHeight="1" x14ac:dyDescent="0.2">
      <c r="A2549" s="14"/>
      <c r="B2549" s="15"/>
      <c r="C2549" s="16"/>
      <c r="D2549" s="16"/>
      <c r="E2549" s="16"/>
      <c r="F2549" s="16"/>
      <c r="G2549" s="16"/>
      <c r="H2549" s="16"/>
      <c r="I2549" s="16"/>
      <c r="J2549" s="16"/>
      <c r="K2549" s="6"/>
      <c r="L2549" s="16"/>
    </row>
    <row r="2550" spans="1:12" ht="14" customHeight="1" x14ac:dyDescent="0.2">
      <c r="A2550" s="17"/>
      <c r="B2550" s="18"/>
      <c r="C2550" s="19"/>
      <c r="D2550" s="19"/>
      <c r="E2550" s="19"/>
      <c r="F2550" s="19"/>
      <c r="G2550" s="19"/>
      <c r="H2550" s="19"/>
      <c r="I2550" s="19"/>
      <c r="J2550" s="19"/>
      <c r="K2550" s="6"/>
      <c r="L2550" s="19"/>
    </row>
    <row r="2551" spans="1:12" ht="14" customHeight="1" x14ac:dyDescent="0.2">
      <c r="A2551" s="14"/>
      <c r="B2551" s="15"/>
      <c r="C2551" s="16"/>
      <c r="D2551" s="16"/>
      <c r="E2551" s="16"/>
      <c r="F2551" s="16"/>
      <c r="G2551" s="16"/>
      <c r="H2551" s="16"/>
      <c r="I2551" s="16"/>
      <c r="J2551" s="16"/>
      <c r="K2551" s="6"/>
      <c r="L2551" s="16"/>
    </row>
    <row r="2552" spans="1:12" ht="14" customHeight="1" x14ac:dyDescent="0.2">
      <c r="A2552" s="17"/>
      <c r="B2552" s="18"/>
      <c r="C2552" s="19"/>
      <c r="D2552" s="19"/>
      <c r="E2552" s="19"/>
      <c r="F2552" s="19"/>
      <c r="G2552" s="19"/>
      <c r="H2552" s="19"/>
      <c r="I2552" s="19"/>
      <c r="J2552" s="19"/>
      <c r="K2552" s="6"/>
      <c r="L2552" s="19"/>
    </row>
    <row r="2553" spans="1:12" ht="14" customHeight="1" x14ac:dyDescent="0.2">
      <c r="A2553" s="14"/>
      <c r="B2553" s="15"/>
      <c r="C2553" s="16"/>
      <c r="D2553" s="16"/>
      <c r="E2553" s="16"/>
      <c r="F2553" s="16"/>
      <c r="G2553" s="16"/>
      <c r="H2553" s="16"/>
      <c r="I2553" s="16"/>
      <c r="J2553" s="16"/>
      <c r="K2553" s="6"/>
      <c r="L2553" s="16"/>
    </row>
    <row r="2554" spans="1:12" ht="14" customHeight="1" x14ac:dyDescent="0.2">
      <c r="A2554" s="17"/>
      <c r="B2554" s="18"/>
      <c r="C2554" s="19"/>
      <c r="D2554" s="19"/>
      <c r="E2554" s="19"/>
      <c r="F2554" s="19"/>
      <c r="G2554" s="19"/>
      <c r="H2554" s="19"/>
      <c r="I2554" s="19"/>
      <c r="J2554" s="19"/>
      <c r="K2554" s="6"/>
      <c r="L2554" s="19"/>
    </row>
    <row r="2555" spans="1:12" ht="14" customHeight="1" x14ac:dyDescent="0.2">
      <c r="A2555" s="14"/>
      <c r="B2555" s="15"/>
      <c r="C2555" s="16"/>
      <c r="D2555" s="16"/>
      <c r="E2555" s="16"/>
      <c r="F2555" s="16"/>
      <c r="G2555" s="16"/>
      <c r="H2555" s="16"/>
      <c r="I2555" s="16"/>
      <c r="J2555" s="16"/>
      <c r="K2555" s="6"/>
      <c r="L2555" s="16"/>
    </row>
    <row r="2556" spans="1:12" ht="14" customHeight="1" x14ac:dyDescent="0.2">
      <c r="A2556" s="17"/>
      <c r="B2556" s="18"/>
      <c r="C2556" s="19"/>
      <c r="D2556" s="19"/>
      <c r="E2556" s="19"/>
      <c r="F2556" s="19"/>
      <c r="G2556" s="19"/>
      <c r="H2556" s="19"/>
      <c r="I2556" s="19"/>
      <c r="J2556" s="19"/>
      <c r="K2556" s="6"/>
      <c r="L2556" s="19"/>
    </row>
    <row r="2557" spans="1:12" ht="14" customHeight="1" x14ac:dyDescent="0.2">
      <c r="A2557" s="14"/>
      <c r="B2557" s="15"/>
      <c r="C2557" s="16"/>
      <c r="D2557" s="16"/>
      <c r="E2557" s="16"/>
      <c r="F2557" s="16"/>
      <c r="G2557" s="16"/>
      <c r="H2557" s="16"/>
      <c r="I2557" s="16"/>
      <c r="J2557" s="16"/>
      <c r="K2557" s="6"/>
      <c r="L2557" s="16"/>
    </row>
    <row r="2558" spans="1:12" ht="14" customHeight="1" x14ac:dyDescent="0.2">
      <c r="A2558" s="17"/>
      <c r="B2558" s="18"/>
      <c r="C2558" s="19"/>
      <c r="D2558" s="19"/>
      <c r="E2558" s="19"/>
      <c r="F2558" s="19"/>
      <c r="G2558" s="19"/>
      <c r="H2558" s="19"/>
      <c r="I2558" s="19"/>
      <c r="J2558" s="19"/>
      <c r="K2558" s="6"/>
      <c r="L2558" s="19"/>
    </row>
    <row r="2559" spans="1:12" ht="14" customHeight="1" x14ac:dyDescent="0.2">
      <c r="A2559" s="14"/>
      <c r="B2559" s="15"/>
      <c r="C2559" s="16"/>
      <c r="D2559" s="16"/>
      <c r="E2559" s="16"/>
      <c r="F2559" s="16"/>
      <c r="G2559" s="16"/>
      <c r="H2559" s="16"/>
      <c r="I2559" s="16"/>
      <c r="J2559" s="16"/>
      <c r="K2559" s="6"/>
      <c r="L2559" s="16"/>
    </row>
    <row r="2560" spans="1:12" ht="14" customHeight="1" x14ac:dyDescent="0.2">
      <c r="A2560" s="17"/>
      <c r="B2560" s="18"/>
      <c r="C2560" s="19"/>
      <c r="D2560" s="19"/>
      <c r="E2560" s="19"/>
      <c r="F2560" s="19"/>
      <c r="G2560" s="19"/>
      <c r="H2560" s="19"/>
      <c r="I2560" s="19"/>
      <c r="J2560" s="19"/>
      <c r="K2560" s="6"/>
      <c r="L2560" s="19"/>
    </row>
    <row r="2561" spans="1:12" ht="14" customHeight="1" x14ac:dyDescent="0.2">
      <c r="A2561" s="14"/>
      <c r="B2561" s="15"/>
      <c r="C2561" s="16"/>
      <c r="D2561" s="16"/>
      <c r="E2561" s="16"/>
      <c r="F2561" s="16"/>
      <c r="G2561" s="16"/>
      <c r="H2561" s="16"/>
      <c r="I2561" s="16"/>
      <c r="J2561" s="16"/>
      <c r="K2561" s="6"/>
      <c r="L2561" s="16"/>
    </row>
    <row r="2562" spans="1:12" ht="14" customHeight="1" x14ac:dyDescent="0.2">
      <c r="A2562" s="17"/>
      <c r="B2562" s="18"/>
      <c r="C2562" s="19"/>
      <c r="D2562" s="19"/>
      <c r="E2562" s="19"/>
      <c r="F2562" s="19"/>
      <c r="G2562" s="19"/>
      <c r="H2562" s="19"/>
      <c r="I2562" s="19"/>
      <c r="J2562" s="19"/>
      <c r="K2562" s="6"/>
      <c r="L2562" s="19"/>
    </row>
    <row r="2563" spans="1:12" ht="14" customHeight="1" x14ac:dyDescent="0.2">
      <c r="A2563" s="14"/>
      <c r="B2563" s="15"/>
      <c r="C2563" s="16"/>
      <c r="D2563" s="16"/>
      <c r="E2563" s="16"/>
      <c r="F2563" s="16"/>
      <c r="G2563" s="16"/>
      <c r="H2563" s="16"/>
      <c r="I2563" s="16"/>
      <c r="J2563" s="16"/>
      <c r="K2563" s="6"/>
      <c r="L2563" s="16"/>
    </row>
    <row r="2564" spans="1:12" ht="14" customHeight="1" x14ac:dyDescent="0.2">
      <c r="A2564" s="17"/>
      <c r="B2564" s="18"/>
      <c r="C2564" s="19"/>
      <c r="D2564" s="19"/>
      <c r="E2564" s="19"/>
      <c r="F2564" s="19"/>
      <c r="G2564" s="19"/>
      <c r="H2564" s="19"/>
      <c r="I2564" s="19"/>
      <c r="J2564" s="19"/>
      <c r="K2564" s="6"/>
      <c r="L2564" s="19"/>
    </row>
    <row r="2565" spans="1:12" ht="14" customHeight="1" x14ac:dyDescent="0.2">
      <c r="A2565" s="14"/>
      <c r="B2565" s="15"/>
      <c r="C2565" s="16"/>
      <c r="D2565" s="16"/>
      <c r="E2565" s="16"/>
      <c r="F2565" s="16"/>
      <c r="G2565" s="16"/>
      <c r="H2565" s="16"/>
      <c r="I2565" s="16"/>
      <c r="J2565" s="16"/>
      <c r="K2565" s="6"/>
      <c r="L2565" s="16"/>
    </row>
    <row r="2566" spans="1:12" ht="14" customHeight="1" x14ac:dyDescent="0.2">
      <c r="A2566" s="17"/>
      <c r="B2566" s="18"/>
      <c r="C2566" s="19"/>
      <c r="D2566" s="19"/>
      <c r="E2566" s="19"/>
      <c r="F2566" s="19"/>
      <c r="G2566" s="19"/>
      <c r="H2566" s="19"/>
      <c r="I2566" s="19"/>
      <c r="J2566" s="19"/>
      <c r="K2566" s="6"/>
      <c r="L2566" s="19"/>
    </row>
    <row r="2567" spans="1:12" ht="14" customHeight="1" x14ac:dyDescent="0.2">
      <c r="A2567" s="14"/>
      <c r="B2567" s="15"/>
      <c r="C2567" s="16"/>
      <c r="D2567" s="16"/>
      <c r="E2567" s="16"/>
      <c r="F2567" s="16"/>
      <c r="G2567" s="16"/>
      <c r="H2567" s="16"/>
      <c r="I2567" s="16"/>
      <c r="J2567" s="16"/>
      <c r="K2567" s="6"/>
      <c r="L2567" s="16"/>
    </row>
    <row r="2568" spans="1:12" ht="14" customHeight="1" x14ac:dyDescent="0.2">
      <c r="A2568" s="17"/>
      <c r="B2568" s="18"/>
      <c r="C2568" s="19"/>
      <c r="D2568" s="19"/>
      <c r="E2568" s="19"/>
      <c r="F2568" s="19"/>
      <c r="G2568" s="19"/>
      <c r="H2568" s="19"/>
      <c r="I2568" s="19"/>
      <c r="J2568" s="19"/>
      <c r="K2568" s="6"/>
      <c r="L2568" s="19"/>
    </row>
    <row r="2569" spans="1:12" ht="14" customHeight="1" x14ac:dyDescent="0.2">
      <c r="A2569" s="14"/>
      <c r="B2569" s="15"/>
      <c r="C2569" s="16"/>
      <c r="D2569" s="16"/>
      <c r="E2569" s="16"/>
      <c r="F2569" s="16"/>
      <c r="G2569" s="16"/>
      <c r="H2569" s="16"/>
      <c r="I2569" s="16"/>
      <c r="J2569" s="16"/>
      <c r="K2569" s="6"/>
      <c r="L2569" s="16"/>
    </row>
    <row r="2570" spans="1:12" ht="14" customHeight="1" x14ac:dyDescent="0.2">
      <c r="A2570" s="17"/>
      <c r="B2570" s="18"/>
      <c r="C2570" s="19"/>
      <c r="D2570" s="19"/>
      <c r="E2570" s="19"/>
      <c r="F2570" s="19"/>
      <c r="G2570" s="19"/>
      <c r="H2570" s="19"/>
      <c r="I2570" s="19"/>
      <c r="J2570" s="19"/>
      <c r="K2570" s="6"/>
      <c r="L2570" s="19"/>
    </row>
    <row r="2571" spans="1:12" ht="14" customHeight="1" x14ac:dyDescent="0.2">
      <c r="A2571" s="14"/>
      <c r="B2571" s="15"/>
      <c r="C2571" s="16"/>
      <c r="D2571" s="16"/>
      <c r="E2571" s="16"/>
      <c r="F2571" s="16"/>
      <c r="G2571" s="16"/>
      <c r="H2571" s="16"/>
      <c r="I2571" s="16"/>
      <c r="J2571" s="16"/>
      <c r="K2571" s="6"/>
      <c r="L2571" s="16"/>
    </row>
    <row r="2572" spans="1:12" ht="14" customHeight="1" x14ac:dyDescent="0.2">
      <c r="A2572" s="17"/>
      <c r="B2572" s="18"/>
      <c r="C2572" s="19"/>
      <c r="D2572" s="19"/>
      <c r="E2572" s="19"/>
      <c r="F2572" s="19"/>
      <c r="G2572" s="19"/>
      <c r="H2572" s="19"/>
      <c r="I2572" s="19"/>
      <c r="J2572" s="19"/>
      <c r="K2572" s="6"/>
      <c r="L2572" s="19"/>
    </row>
    <row r="2573" spans="1:12" ht="14" customHeight="1" x14ac:dyDescent="0.2">
      <c r="A2573" s="14"/>
      <c r="B2573" s="15"/>
      <c r="C2573" s="16"/>
      <c r="D2573" s="16"/>
      <c r="E2573" s="16"/>
      <c r="F2573" s="16"/>
      <c r="G2573" s="16"/>
      <c r="H2573" s="16"/>
      <c r="I2573" s="16"/>
      <c r="J2573" s="16"/>
      <c r="K2573" s="6"/>
      <c r="L2573" s="16"/>
    </row>
    <row r="2574" spans="1:12" ht="14" customHeight="1" x14ac:dyDescent="0.2">
      <c r="A2574" s="17"/>
      <c r="B2574" s="18"/>
      <c r="C2574" s="19"/>
      <c r="D2574" s="19"/>
      <c r="E2574" s="19"/>
      <c r="F2574" s="19"/>
      <c r="G2574" s="19"/>
      <c r="H2574" s="19"/>
      <c r="I2574" s="19"/>
      <c r="J2574" s="19"/>
      <c r="K2574" s="6"/>
      <c r="L2574" s="19"/>
    </row>
    <row r="2575" spans="1:12" ht="14" customHeight="1" x14ac:dyDescent="0.2">
      <c r="A2575" s="14"/>
      <c r="B2575" s="15"/>
      <c r="C2575" s="16"/>
      <c r="D2575" s="16"/>
      <c r="E2575" s="16"/>
      <c r="F2575" s="16"/>
      <c r="G2575" s="16"/>
      <c r="H2575" s="16"/>
      <c r="I2575" s="16"/>
      <c r="J2575" s="16"/>
      <c r="K2575" s="6"/>
      <c r="L2575" s="16"/>
    </row>
    <row r="2576" spans="1:12" ht="14" customHeight="1" x14ac:dyDescent="0.2">
      <c r="A2576" s="17"/>
      <c r="B2576" s="18"/>
      <c r="C2576" s="19"/>
      <c r="D2576" s="19"/>
      <c r="E2576" s="19"/>
      <c r="F2576" s="19"/>
      <c r="G2576" s="19"/>
      <c r="H2576" s="19"/>
      <c r="I2576" s="19"/>
      <c r="J2576" s="19"/>
      <c r="K2576" s="6"/>
      <c r="L2576" s="19"/>
    </row>
    <row r="2577" spans="1:12" ht="14" customHeight="1" x14ac:dyDescent="0.2">
      <c r="A2577" s="14"/>
      <c r="B2577" s="15"/>
      <c r="C2577" s="16"/>
      <c r="D2577" s="16"/>
      <c r="E2577" s="16"/>
      <c r="F2577" s="16"/>
      <c r="G2577" s="16"/>
      <c r="H2577" s="16"/>
      <c r="I2577" s="16"/>
      <c r="J2577" s="16"/>
      <c r="K2577" s="6"/>
      <c r="L2577" s="16"/>
    </row>
    <row r="2578" spans="1:12" ht="14" customHeight="1" x14ac:dyDescent="0.2">
      <c r="A2578" s="17"/>
      <c r="B2578" s="18"/>
      <c r="C2578" s="19"/>
      <c r="D2578" s="19"/>
      <c r="E2578" s="19"/>
      <c r="F2578" s="19"/>
      <c r="G2578" s="19"/>
      <c r="H2578" s="19"/>
      <c r="I2578" s="19"/>
      <c r="J2578" s="19"/>
      <c r="K2578" s="6"/>
      <c r="L2578" s="19"/>
    </row>
    <row r="2579" spans="1:12" ht="14" customHeight="1" x14ac:dyDescent="0.2">
      <c r="A2579" s="14"/>
      <c r="B2579" s="15"/>
      <c r="C2579" s="16"/>
      <c r="D2579" s="16"/>
      <c r="E2579" s="16"/>
      <c r="F2579" s="16"/>
      <c r="G2579" s="16"/>
      <c r="H2579" s="16"/>
      <c r="I2579" s="16"/>
      <c r="J2579" s="16"/>
      <c r="K2579" s="6"/>
      <c r="L2579" s="16"/>
    </row>
    <row r="2580" spans="1:12" ht="14" customHeight="1" x14ac:dyDescent="0.2">
      <c r="A2580" s="17"/>
      <c r="B2580" s="18"/>
      <c r="C2580" s="19"/>
      <c r="D2580" s="19"/>
      <c r="E2580" s="19"/>
      <c r="F2580" s="19"/>
      <c r="G2580" s="19"/>
      <c r="H2580" s="19"/>
      <c r="I2580" s="19"/>
      <c r="J2580" s="19"/>
      <c r="K2580" s="6"/>
      <c r="L2580" s="19"/>
    </row>
    <row r="2581" spans="1:12" ht="14" customHeight="1" x14ac:dyDescent="0.2">
      <c r="A2581" s="14"/>
      <c r="B2581" s="15"/>
      <c r="C2581" s="16"/>
      <c r="D2581" s="16"/>
      <c r="E2581" s="16"/>
      <c r="F2581" s="16"/>
      <c r="G2581" s="16"/>
      <c r="H2581" s="16"/>
      <c r="I2581" s="16"/>
      <c r="J2581" s="16"/>
      <c r="K2581" s="6"/>
      <c r="L2581" s="16"/>
    </row>
    <row r="2582" spans="1:12" ht="14" customHeight="1" x14ac:dyDescent="0.2">
      <c r="A2582" s="17"/>
      <c r="B2582" s="18"/>
      <c r="C2582" s="19"/>
      <c r="D2582" s="19"/>
      <c r="E2582" s="19"/>
      <c r="F2582" s="19"/>
      <c r="G2582" s="19"/>
      <c r="H2582" s="19"/>
      <c r="I2582" s="19"/>
      <c r="J2582" s="19"/>
      <c r="K2582" s="6"/>
      <c r="L2582" s="19"/>
    </row>
    <row r="2583" spans="1:12" ht="14" customHeight="1" x14ac:dyDescent="0.2">
      <c r="A2583" s="14"/>
      <c r="B2583" s="15"/>
      <c r="C2583" s="16"/>
      <c r="D2583" s="16"/>
      <c r="E2583" s="16"/>
      <c r="F2583" s="16"/>
      <c r="G2583" s="16"/>
      <c r="H2583" s="16"/>
      <c r="I2583" s="16"/>
      <c r="J2583" s="16"/>
      <c r="K2583" s="6"/>
      <c r="L2583" s="16"/>
    </row>
    <row r="2584" spans="1:12" ht="14" customHeight="1" x14ac:dyDescent="0.2">
      <c r="A2584" s="17"/>
      <c r="B2584" s="18"/>
      <c r="C2584" s="19"/>
      <c r="D2584" s="19"/>
      <c r="E2584" s="19"/>
      <c r="F2584" s="19"/>
      <c r="G2584" s="19"/>
      <c r="H2584" s="19"/>
      <c r="I2584" s="19"/>
      <c r="J2584" s="19"/>
      <c r="K2584" s="6"/>
      <c r="L2584" s="19"/>
    </row>
    <row r="2585" spans="1:12" ht="14" customHeight="1" x14ac:dyDescent="0.2">
      <c r="A2585" s="14"/>
      <c r="B2585" s="15"/>
      <c r="C2585" s="16"/>
      <c r="D2585" s="16"/>
      <c r="E2585" s="16"/>
      <c r="F2585" s="16"/>
      <c r="G2585" s="16"/>
      <c r="H2585" s="16"/>
      <c r="I2585" s="16"/>
      <c r="J2585" s="16"/>
      <c r="K2585" s="6"/>
      <c r="L2585" s="16"/>
    </row>
    <row r="2586" spans="1:12" ht="14" customHeight="1" x14ac:dyDescent="0.2">
      <c r="A2586" s="17"/>
      <c r="B2586" s="18"/>
      <c r="C2586" s="19"/>
      <c r="D2586" s="19"/>
      <c r="E2586" s="19"/>
      <c r="F2586" s="19"/>
      <c r="G2586" s="19"/>
      <c r="H2586" s="19"/>
      <c r="I2586" s="19"/>
      <c r="J2586" s="19"/>
      <c r="K2586" s="6"/>
      <c r="L2586" s="19"/>
    </row>
    <row r="2587" spans="1:12" ht="14" customHeight="1" x14ac:dyDescent="0.2">
      <c r="A2587" s="14"/>
      <c r="B2587" s="15"/>
      <c r="C2587" s="16"/>
      <c r="D2587" s="16"/>
      <c r="E2587" s="16"/>
      <c r="F2587" s="16"/>
      <c r="G2587" s="16"/>
      <c r="H2587" s="16"/>
      <c r="I2587" s="16"/>
      <c r="J2587" s="16"/>
      <c r="K2587" s="6"/>
      <c r="L2587" s="16"/>
    </row>
    <row r="2588" spans="1:12" ht="14" customHeight="1" x14ac:dyDescent="0.2">
      <c r="A2588" s="17"/>
      <c r="B2588" s="18"/>
      <c r="C2588" s="19"/>
      <c r="D2588" s="19"/>
      <c r="E2588" s="19"/>
      <c r="F2588" s="19"/>
      <c r="G2588" s="19"/>
      <c r="H2588" s="19"/>
      <c r="I2588" s="19"/>
      <c r="J2588" s="19"/>
      <c r="K2588" s="6"/>
      <c r="L2588" s="19"/>
    </row>
    <row r="2589" spans="1:12" ht="14" customHeight="1" x14ac:dyDescent="0.2">
      <c r="A2589" s="14"/>
      <c r="B2589" s="15"/>
      <c r="C2589" s="16"/>
      <c r="D2589" s="16"/>
      <c r="E2589" s="16"/>
      <c r="F2589" s="16"/>
      <c r="G2589" s="16"/>
      <c r="H2589" s="16"/>
      <c r="I2589" s="16"/>
      <c r="J2589" s="16"/>
      <c r="K2589" s="6"/>
      <c r="L2589" s="16"/>
    </row>
    <row r="2590" spans="1:12" ht="14" customHeight="1" x14ac:dyDescent="0.2">
      <c r="A2590" s="17"/>
      <c r="B2590" s="18"/>
      <c r="C2590" s="19"/>
      <c r="D2590" s="19"/>
      <c r="E2590" s="19"/>
      <c r="F2590" s="19"/>
      <c r="G2590" s="19"/>
      <c r="H2590" s="19"/>
      <c r="I2590" s="19"/>
      <c r="J2590" s="19"/>
      <c r="K2590" s="6"/>
      <c r="L2590" s="19"/>
    </row>
    <row r="2591" spans="1:12" ht="14" customHeight="1" x14ac:dyDescent="0.2">
      <c r="A2591" s="14"/>
      <c r="B2591" s="15"/>
      <c r="C2591" s="16"/>
      <c r="D2591" s="16"/>
      <c r="E2591" s="16"/>
      <c r="F2591" s="16"/>
      <c r="G2591" s="16"/>
      <c r="H2591" s="16"/>
      <c r="I2591" s="16"/>
      <c r="J2591" s="16"/>
      <c r="K2591" s="6"/>
      <c r="L2591" s="16"/>
    </row>
    <row r="2592" spans="1:12" ht="14" customHeight="1" x14ac:dyDescent="0.2">
      <c r="A2592" s="17"/>
      <c r="B2592" s="18"/>
      <c r="C2592" s="19"/>
      <c r="D2592" s="19"/>
      <c r="E2592" s="19"/>
      <c r="F2592" s="19"/>
      <c r="G2592" s="19"/>
      <c r="H2592" s="19"/>
      <c r="I2592" s="19"/>
      <c r="J2592" s="19"/>
      <c r="K2592" s="6"/>
      <c r="L2592" s="19"/>
    </row>
    <row r="2593" spans="1:12" ht="14" customHeight="1" x14ac:dyDescent="0.2">
      <c r="A2593" s="14"/>
      <c r="B2593" s="15"/>
      <c r="C2593" s="16"/>
      <c r="D2593" s="16"/>
      <c r="E2593" s="16"/>
      <c r="F2593" s="16"/>
      <c r="G2593" s="16"/>
      <c r="H2593" s="16"/>
      <c r="I2593" s="16"/>
      <c r="J2593" s="16"/>
      <c r="K2593" s="6"/>
      <c r="L2593" s="16"/>
    </row>
    <row r="2594" spans="1:12" ht="14" customHeight="1" x14ac:dyDescent="0.2">
      <c r="A2594" s="17"/>
      <c r="B2594" s="18"/>
      <c r="C2594" s="19"/>
      <c r="D2594" s="19"/>
      <c r="E2594" s="19"/>
      <c r="F2594" s="19"/>
      <c r="G2594" s="19"/>
      <c r="H2594" s="19"/>
      <c r="I2594" s="19"/>
      <c r="J2594" s="19"/>
      <c r="K2594" s="6"/>
      <c r="L2594" s="19"/>
    </row>
    <row r="2595" spans="1:12" ht="14" customHeight="1" x14ac:dyDescent="0.2">
      <c r="A2595" s="14"/>
      <c r="B2595" s="15"/>
      <c r="C2595" s="16"/>
      <c r="D2595" s="16"/>
      <c r="E2595" s="16"/>
      <c r="F2595" s="16"/>
      <c r="G2595" s="16"/>
      <c r="H2595" s="16"/>
      <c r="I2595" s="16"/>
      <c r="J2595" s="16"/>
      <c r="K2595" s="6"/>
      <c r="L2595" s="16"/>
    </row>
    <row r="2596" spans="1:12" ht="14" customHeight="1" x14ac:dyDescent="0.2">
      <c r="A2596" s="17"/>
      <c r="B2596" s="18"/>
      <c r="C2596" s="19"/>
      <c r="D2596" s="19"/>
      <c r="E2596" s="19"/>
      <c r="F2596" s="19"/>
      <c r="G2596" s="19"/>
      <c r="H2596" s="19"/>
      <c r="I2596" s="19"/>
      <c r="J2596" s="19"/>
      <c r="K2596" s="6"/>
      <c r="L2596" s="19"/>
    </row>
    <row r="2597" spans="1:12" ht="14" customHeight="1" x14ac:dyDescent="0.2">
      <c r="A2597" s="14"/>
      <c r="B2597" s="15"/>
      <c r="C2597" s="16"/>
      <c r="D2597" s="16"/>
      <c r="E2597" s="16"/>
      <c r="F2597" s="16"/>
      <c r="G2597" s="16"/>
      <c r="H2597" s="16"/>
      <c r="I2597" s="16"/>
      <c r="J2597" s="16"/>
      <c r="K2597" s="6"/>
      <c r="L2597" s="16"/>
    </row>
    <row r="2598" spans="1:12" ht="14" customHeight="1" x14ac:dyDescent="0.2">
      <c r="A2598" s="17"/>
      <c r="B2598" s="18"/>
      <c r="C2598" s="19"/>
      <c r="D2598" s="19"/>
      <c r="E2598" s="19"/>
      <c r="F2598" s="19"/>
      <c r="G2598" s="19"/>
      <c r="H2598" s="19"/>
      <c r="I2598" s="19"/>
      <c r="J2598" s="19"/>
      <c r="K2598" s="6"/>
      <c r="L2598" s="19"/>
    </row>
    <row r="2599" spans="1:12" ht="14" customHeight="1" x14ac:dyDescent="0.2">
      <c r="A2599" s="14"/>
      <c r="B2599" s="15"/>
      <c r="C2599" s="16"/>
      <c r="D2599" s="16"/>
      <c r="E2599" s="16"/>
      <c r="F2599" s="16"/>
      <c r="G2599" s="16"/>
      <c r="H2599" s="16"/>
      <c r="I2599" s="16"/>
      <c r="J2599" s="16"/>
      <c r="K2599" s="6"/>
      <c r="L2599" s="16"/>
    </row>
    <row r="2600" spans="1:12" ht="14" customHeight="1" x14ac:dyDescent="0.2">
      <c r="A2600" s="17"/>
      <c r="B2600" s="18"/>
      <c r="C2600" s="19"/>
      <c r="D2600" s="19"/>
      <c r="E2600" s="19"/>
      <c r="F2600" s="19"/>
      <c r="G2600" s="19"/>
      <c r="H2600" s="19"/>
      <c r="I2600" s="19"/>
      <c r="J2600" s="19"/>
      <c r="K2600" s="6"/>
      <c r="L2600" s="19"/>
    </row>
    <row r="2601" spans="1:12" ht="14" customHeight="1" x14ac:dyDescent="0.2">
      <c r="A2601" s="14"/>
      <c r="B2601" s="15"/>
      <c r="C2601" s="16"/>
      <c r="D2601" s="16"/>
      <c r="E2601" s="16"/>
      <c r="F2601" s="16"/>
      <c r="G2601" s="16"/>
      <c r="H2601" s="16"/>
      <c r="I2601" s="16"/>
      <c r="J2601" s="16"/>
      <c r="K2601" s="6"/>
      <c r="L2601" s="16"/>
    </row>
    <row r="2602" spans="1:12" ht="14" customHeight="1" x14ac:dyDescent="0.2">
      <c r="A2602" s="17"/>
      <c r="B2602" s="18"/>
      <c r="C2602" s="19"/>
      <c r="D2602" s="19"/>
      <c r="E2602" s="19"/>
      <c r="F2602" s="19"/>
      <c r="G2602" s="19"/>
      <c r="H2602" s="19"/>
      <c r="I2602" s="19"/>
      <c r="J2602" s="19"/>
      <c r="K2602" s="6"/>
      <c r="L2602" s="19"/>
    </row>
    <row r="2603" spans="1:12" ht="14" customHeight="1" x14ac:dyDescent="0.2">
      <c r="A2603" s="14"/>
      <c r="B2603" s="15"/>
      <c r="C2603" s="16"/>
      <c r="D2603" s="16"/>
      <c r="E2603" s="16"/>
      <c r="F2603" s="16"/>
      <c r="G2603" s="16"/>
      <c r="H2603" s="16"/>
      <c r="I2603" s="16"/>
      <c r="J2603" s="16"/>
      <c r="K2603" s="6"/>
      <c r="L2603" s="16"/>
    </row>
    <row r="2604" spans="1:12" ht="14" customHeight="1" x14ac:dyDescent="0.2">
      <c r="A2604" s="17"/>
      <c r="B2604" s="18"/>
      <c r="C2604" s="19"/>
      <c r="D2604" s="19"/>
      <c r="E2604" s="19"/>
      <c r="F2604" s="19"/>
      <c r="G2604" s="19"/>
      <c r="H2604" s="19"/>
      <c r="I2604" s="19"/>
      <c r="J2604" s="19"/>
      <c r="K2604" s="6"/>
      <c r="L2604" s="19"/>
    </row>
    <row r="2605" spans="1:12" ht="14" customHeight="1" x14ac:dyDescent="0.2">
      <c r="A2605" s="14"/>
      <c r="B2605" s="15"/>
      <c r="C2605" s="16"/>
      <c r="D2605" s="16"/>
      <c r="E2605" s="16"/>
      <c r="F2605" s="16"/>
      <c r="G2605" s="16"/>
      <c r="H2605" s="16"/>
      <c r="I2605" s="16"/>
      <c r="J2605" s="16"/>
      <c r="K2605" s="6"/>
      <c r="L2605" s="16"/>
    </row>
    <row r="2606" spans="1:12" ht="14" customHeight="1" x14ac:dyDescent="0.2">
      <c r="A2606" s="17"/>
      <c r="B2606" s="18"/>
      <c r="C2606" s="19"/>
      <c r="D2606" s="19"/>
      <c r="E2606" s="19"/>
      <c r="F2606" s="19"/>
      <c r="G2606" s="19"/>
      <c r="H2606" s="19"/>
      <c r="I2606" s="19"/>
      <c r="J2606" s="19"/>
      <c r="K2606" s="6"/>
      <c r="L2606" s="19"/>
    </row>
    <row r="2607" spans="1:12" ht="14" customHeight="1" x14ac:dyDescent="0.2">
      <c r="A2607" s="14"/>
      <c r="B2607" s="15"/>
      <c r="C2607" s="16"/>
      <c r="D2607" s="16"/>
      <c r="E2607" s="16"/>
      <c r="F2607" s="16"/>
      <c r="G2607" s="16"/>
      <c r="H2607" s="16"/>
      <c r="I2607" s="16"/>
      <c r="J2607" s="16"/>
      <c r="K2607" s="6"/>
      <c r="L2607" s="16"/>
    </row>
    <row r="2608" spans="1:12" ht="14" customHeight="1" x14ac:dyDescent="0.2">
      <c r="A2608" s="17"/>
      <c r="B2608" s="18"/>
      <c r="C2608" s="19"/>
      <c r="D2608" s="19"/>
      <c r="E2608" s="19"/>
      <c r="F2608" s="19"/>
      <c r="G2608" s="19"/>
      <c r="H2608" s="19"/>
      <c r="I2608" s="19"/>
      <c r="J2608" s="19"/>
      <c r="K2608" s="6"/>
      <c r="L2608" s="19"/>
    </row>
    <row r="2609" spans="1:12" ht="14" customHeight="1" x14ac:dyDescent="0.2">
      <c r="A2609" s="14"/>
      <c r="B2609" s="15"/>
      <c r="C2609" s="16"/>
      <c r="D2609" s="16"/>
      <c r="E2609" s="16"/>
      <c r="F2609" s="16"/>
      <c r="G2609" s="16"/>
      <c r="H2609" s="16"/>
      <c r="I2609" s="16"/>
      <c r="J2609" s="16"/>
      <c r="K2609" s="6"/>
      <c r="L2609" s="16"/>
    </row>
    <row r="2610" spans="1:12" ht="14" customHeight="1" x14ac:dyDescent="0.2">
      <c r="A2610" s="17"/>
      <c r="B2610" s="18"/>
      <c r="C2610" s="19"/>
      <c r="D2610" s="19"/>
      <c r="E2610" s="19"/>
      <c r="F2610" s="19"/>
      <c r="G2610" s="19"/>
      <c r="H2610" s="19"/>
      <c r="I2610" s="19"/>
      <c r="J2610" s="19"/>
      <c r="K2610" s="6"/>
      <c r="L2610" s="19"/>
    </row>
    <row r="2611" spans="1:12" ht="14" customHeight="1" x14ac:dyDescent="0.2">
      <c r="A2611" s="14"/>
      <c r="B2611" s="15"/>
      <c r="C2611" s="16"/>
      <c r="D2611" s="16"/>
      <c r="E2611" s="16"/>
      <c r="F2611" s="16"/>
      <c r="G2611" s="16"/>
      <c r="H2611" s="16"/>
      <c r="I2611" s="16"/>
      <c r="J2611" s="16"/>
      <c r="K2611" s="6"/>
      <c r="L2611" s="16"/>
    </row>
    <row r="2612" spans="1:12" ht="14" customHeight="1" x14ac:dyDescent="0.2">
      <c r="A2612" s="17"/>
      <c r="B2612" s="18"/>
      <c r="C2612" s="19"/>
      <c r="D2612" s="19"/>
      <c r="E2612" s="19"/>
      <c r="F2612" s="19"/>
      <c r="G2612" s="19"/>
      <c r="H2612" s="19"/>
      <c r="I2612" s="19"/>
      <c r="J2612" s="19"/>
      <c r="K2612" s="6"/>
      <c r="L2612" s="19"/>
    </row>
    <row r="2613" spans="1:12" ht="14" customHeight="1" x14ac:dyDescent="0.2">
      <c r="A2613" s="14"/>
      <c r="B2613" s="15"/>
      <c r="C2613" s="16"/>
      <c r="D2613" s="16"/>
      <c r="E2613" s="16"/>
      <c r="F2613" s="16"/>
      <c r="G2613" s="16"/>
      <c r="H2613" s="16"/>
      <c r="I2613" s="16"/>
      <c r="J2613" s="16"/>
      <c r="K2613" s="6"/>
      <c r="L2613" s="16"/>
    </row>
    <row r="2614" spans="1:12" ht="14" customHeight="1" x14ac:dyDescent="0.2">
      <c r="A2614" s="17"/>
      <c r="B2614" s="18"/>
      <c r="C2614" s="19"/>
      <c r="D2614" s="19"/>
      <c r="E2614" s="19"/>
      <c r="F2614" s="19"/>
      <c r="G2614" s="19"/>
      <c r="H2614" s="19"/>
      <c r="I2614" s="19"/>
      <c r="J2614" s="19"/>
      <c r="K2614" s="6"/>
      <c r="L2614" s="19"/>
    </row>
    <row r="2615" spans="1:12" ht="14" customHeight="1" x14ac:dyDescent="0.2">
      <c r="A2615" s="14"/>
      <c r="B2615" s="15"/>
      <c r="C2615" s="16"/>
      <c r="D2615" s="16"/>
      <c r="E2615" s="16"/>
      <c r="F2615" s="16"/>
      <c r="G2615" s="16"/>
      <c r="H2615" s="16"/>
      <c r="I2615" s="16"/>
      <c r="J2615" s="16"/>
      <c r="K2615" s="6"/>
      <c r="L2615" s="16"/>
    </row>
    <row r="2616" spans="1:12" ht="14" customHeight="1" x14ac:dyDescent="0.2">
      <c r="A2616" s="17"/>
      <c r="B2616" s="18"/>
      <c r="C2616" s="19"/>
      <c r="D2616" s="19"/>
      <c r="E2616" s="19"/>
      <c r="F2616" s="19"/>
      <c r="G2616" s="19"/>
      <c r="H2616" s="19"/>
      <c r="I2616" s="19"/>
      <c r="J2616" s="19"/>
      <c r="K2616" s="6"/>
      <c r="L2616" s="19"/>
    </row>
    <row r="2617" spans="1:12" ht="14" customHeight="1" x14ac:dyDescent="0.2">
      <c r="A2617" s="14"/>
      <c r="B2617" s="15"/>
      <c r="C2617" s="16"/>
      <c r="D2617" s="16"/>
      <c r="E2617" s="16"/>
      <c r="F2617" s="16"/>
      <c r="G2617" s="16"/>
      <c r="H2617" s="16"/>
      <c r="I2617" s="16"/>
      <c r="J2617" s="16"/>
      <c r="K2617" s="6"/>
      <c r="L2617" s="16"/>
    </row>
    <row r="2618" spans="1:12" ht="14" customHeight="1" x14ac:dyDescent="0.2">
      <c r="A2618" s="17"/>
      <c r="B2618" s="18"/>
      <c r="C2618" s="19"/>
      <c r="D2618" s="19"/>
      <c r="E2618" s="19"/>
      <c r="F2618" s="19"/>
      <c r="G2618" s="19"/>
      <c r="H2618" s="19"/>
      <c r="I2618" s="19"/>
      <c r="J2618" s="19"/>
      <c r="K2618" s="6"/>
      <c r="L2618" s="19"/>
    </row>
    <row r="2619" spans="1:12" ht="14" customHeight="1" x14ac:dyDescent="0.2">
      <c r="A2619" s="14"/>
      <c r="B2619" s="15"/>
      <c r="C2619" s="16"/>
      <c r="D2619" s="16"/>
      <c r="E2619" s="16"/>
      <c r="F2619" s="16"/>
      <c r="G2619" s="16"/>
      <c r="H2619" s="16"/>
      <c r="I2619" s="16"/>
      <c r="J2619" s="16"/>
      <c r="K2619" s="6"/>
      <c r="L2619" s="16"/>
    </row>
    <row r="2620" spans="1:12" ht="14" customHeight="1" x14ac:dyDescent="0.2">
      <c r="A2620" s="17"/>
      <c r="B2620" s="18"/>
      <c r="C2620" s="19"/>
      <c r="D2620" s="19"/>
      <c r="E2620" s="19"/>
      <c r="F2620" s="19"/>
      <c r="G2620" s="19"/>
      <c r="H2620" s="19"/>
      <c r="I2620" s="19"/>
      <c r="J2620" s="19"/>
      <c r="K2620" s="6"/>
      <c r="L2620" s="19"/>
    </row>
    <row r="2621" spans="1:12" ht="14" customHeight="1" x14ac:dyDescent="0.2">
      <c r="A2621" s="14"/>
      <c r="B2621" s="15"/>
      <c r="C2621" s="16"/>
      <c r="D2621" s="16"/>
      <c r="E2621" s="16"/>
      <c r="F2621" s="16"/>
      <c r="G2621" s="16"/>
      <c r="H2621" s="16"/>
      <c r="I2621" s="16"/>
      <c r="J2621" s="16"/>
      <c r="K2621" s="6"/>
      <c r="L2621" s="16"/>
    </row>
    <row r="2622" spans="1:12" ht="14" customHeight="1" x14ac:dyDescent="0.2">
      <c r="A2622" s="17"/>
      <c r="B2622" s="18"/>
      <c r="C2622" s="19"/>
      <c r="D2622" s="19"/>
      <c r="E2622" s="19"/>
      <c r="F2622" s="19"/>
      <c r="G2622" s="19"/>
      <c r="H2622" s="19"/>
      <c r="I2622" s="19"/>
      <c r="J2622" s="19"/>
      <c r="K2622" s="6"/>
      <c r="L2622" s="19"/>
    </row>
    <row r="2623" spans="1:12" ht="14" customHeight="1" x14ac:dyDescent="0.2">
      <c r="A2623" s="14"/>
      <c r="B2623" s="15"/>
      <c r="C2623" s="16"/>
      <c r="D2623" s="16"/>
      <c r="E2623" s="16"/>
      <c r="F2623" s="16"/>
      <c r="G2623" s="16"/>
      <c r="H2623" s="16"/>
      <c r="I2623" s="16"/>
      <c r="J2623" s="16"/>
      <c r="K2623" s="6"/>
      <c r="L2623" s="16"/>
    </row>
    <row r="2624" spans="1:12" ht="14" customHeight="1" x14ac:dyDescent="0.2">
      <c r="A2624" s="17"/>
      <c r="B2624" s="18"/>
      <c r="C2624" s="19"/>
      <c r="D2624" s="19"/>
      <c r="E2624" s="19"/>
      <c r="F2624" s="19"/>
      <c r="G2624" s="19"/>
      <c r="H2624" s="19"/>
      <c r="I2624" s="19"/>
      <c r="J2624" s="19"/>
      <c r="K2624" s="6"/>
      <c r="L2624" s="19"/>
    </row>
    <row r="2625" spans="1:12" ht="14" customHeight="1" x14ac:dyDescent="0.2">
      <c r="A2625" s="14"/>
      <c r="B2625" s="15"/>
      <c r="C2625" s="16"/>
      <c r="D2625" s="16"/>
      <c r="E2625" s="16"/>
      <c r="F2625" s="16"/>
      <c r="G2625" s="16"/>
      <c r="H2625" s="16"/>
      <c r="I2625" s="16"/>
      <c r="J2625" s="16"/>
      <c r="K2625" s="6"/>
      <c r="L2625" s="16"/>
    </row>
    <row r="2626" spans="1:12" ht="14" customHeight="1" x14ac:dyDescent="0.2">
      <c r="A2626" s="17"/>
      <c r="B2626" s="18"/>
      <c r="C2626" s="19"/>
      <c r="D2626" s="19"/>
      <c r="E2626" s="19"/>
      <c r="F2626" s="19"/>
      <c r="G2626" s="19"/>
      <c r="H2626" s="19"/>
      <c r="I2626" s="19"/>
      <c r="J2626" s="19"/>
      <c r="K2626" s="6"/>
      <c r="L2626" s="19"/>
    </row>
    <row r="2627" spans="1:12" ht="14" customHeight="1" x14ac:dyDescent="0.2">
      <c r="A2627" s="14"/>
      <c r="B2627" s="15"/>
      <c r="C2627" s="16"/>
      <c r="D2627" s="16"/>
      <c r="E2627" s="16"/>
      <c r="F2627" s="16"/>
      <c r="G2627" s="16"/>
      <c r="H2627" s="16"/>
      <c r="I2627" s="16"/>
      <c r="J2627" s="16"/>
      <c r="K2627" s="6"/>
      <c r="L2627" s="16"/>
    </row>
    <row r="2628" spans="1:12" ht="14" customHeight="1" x14ac:dyDescent="0.2">
      <c r="A2628" s="17"/>
      <c r="B2628" s="18"/>
      <c r="C2628" s="19"/>
      <c r="D2628" s="19"/>
      <c r="E2628" s="19"/>
      <c r="F2628" s="19"/>
      <c r="G2628" s="19"/>
      <c r="H2628" s="19"/>
      <c r="I2628" s="19"/>
      <c r="J2628" s="19"/>
      <c r="K2628" s="6"/>
      <c r="L2628" s="19"/>
    </row>
    <row r="2629" spans="1:12" ht="14" customHeight="1" x14ac:dyDescent="0.2">
      <c r="A2629" s="14"/>
      <c r="B2629" s="15"/>
      <c r="C2629" s="16"/>
      <c r="D2629" s="16"/>
      <c r="E2629" s="16"/>
      <c r="F2629" s="16"/>
      <c r="G2629" s="16"/>
      <c r="H2629" s="16"/>
      <c r="I2629" s="16"/>
      <c r="J2629" s="16"/>
      <c r="K2629" s="6"/>
      <c r="L2629" s="16"/>
    </row>
    <row r="2630" spans="1:12" ht="14" customHeight="1" x14ac:dyDescent="0.2">
      <c r="A2630" s="17"/>
      <c r="B2630" s="18"/>
      <c r="C2630" s="19"/>
      <c r="D2630" s="19"/>
      <c r="E2630" s="19"/>
      <c r="F2630" s="19"/>
      <c r="G2630" s="19"/>
      <c r="H2630" s="19"/>
      <c r="I2630" s="19"/>
      <c r="J2630" s="19"/>
      <c r="K2630" s="6"/>
      <c r="L2630" s="19"/>
    </row>
    <row r="2631" spans="1:12" ht="14" customHeight="1" x14ac:dyDescent="0.2">
      <c r="A2631" s="14"/>
      <c r="B2631" s="15"/>
      <c r="C2631" s="16"/>
      <c r="D2631" s="16"/>
      <c r="E2631" s="16"/>
      <c r="F2631" s="16"/>
      <c r="G2631" s="16"/>
      <c r="H2631" s="16"/>
      <c r="I2631" s="16"/>
      <c r="J2631" s="16"/>
      <c r="K2631" s="6"/>
      <c r="L2631" s="16"/>
    </row>
    <row r="2632" spans="1:12" ht="14" customHeight="1" x14ac:dyDescent="0.2">
      <c r="A2632" s="17"/>
      <c r="B2632" s="18"/>
      <c r="C2632" s="19"/>
      <c r="D2632" s="19"/>
      <c r="E2632" s="19"/>
      <c r="F2632" s="19"/>
      <c r="G2632" s="19"/>
      <c r="H2632" s="19"/>
      <c r="I2632" s="19"/>
      <c r="J2632" s="19"/>
      <c r="K2632" s="6"/>
      <c r="L2632" s="19"/>
    </row>
    <row r="2633" spans="1:12" ht="14" customHeight="1" x14ac:dyDescent="0.2">
      <c r="A2633" s="14"/>
      <c r="B2633" s="15"/>
      <c r="C2633" s="16"/>
      <c r="D2633" s="16"/>
      <c r="E2633" s="16"/>
      <c r="F2633" s="16"/>
      <c r="G2633" s="16"/>
      <c r="H2633" s="16"/>
      <c r="I2633" s="16"/>
      <c r="J2633" s="16"/>
      <c r="K2633" s="6"/>
      <c r="L2633" s="16"/>
    </row>
    <row r="2634" spans="1:12" ht="14" customHeight="1" x14ac:dyDescent="0.2">
      <c r="A2634" s="17"/>
      <c r="B2634" s="18"/>
      <c r="C2634" s="19"/>
      <c r="D2634" s="19"/>
      <c r="E2634" s="19"/>
      <c r="F2634" s="19"/>
      <c r="G2634" s="19"/>
      <c r="H2634" s="19"/>
      <c r="I2634" s="19"/>
      <c r="J2634" s="19"/>
      <c r="K2634" s="6"/>
      <c r="L2634" s="19"/>
    </row>
    <row r="2635" spans="1:12" ht="14" customHeight="1" x14ac:dyDescent="0.2">
      <c r="A2635" s="14"/>
      <c r="B2635" s="15"/>
      <c r="C2635" s="16"/>
      <c r="D2635" s="16"/>
      <c r="E2635" s="16"/>
      <c r="F2635" s="16"/>
      <c r="G2635" s="16"/>
      <c r="H2635" s="16"/>
      <c r="I2635" s="16"/>
      <c r="J2635" s="16"/>
      <c r="K2635" s="6"/>
      <c r="L2635" s="16"/>
    </row>
    <row r="2636" spans="1:12" ht="14" customHeight="1" x14ac:dyDescent="0.2">
      <c r="A2636" s="17"/>
      <c r="B2636" s="18"/>
      <c r="C2636" s="19"/>
      <c r="D2636" s="19"/>
      <c r="E2636" s="19"/>
      <c r="F2636" s="19"/>
      <c r="G2636" s="19"/>
      <c r="H2636" s="19"/>
      <c r="I2636" s="19"/>
      <c r="J2636" s="19"/>
      <c r="K2636" s="6"/>
      <c r="L2636" s="19"/>
    </row>
    <row r="2637" spans="1:12" ht="14" customHeight="1" x14ac:dyDescent="0.2">
      <c r="A2637" s="14"/>
      <c r="B2637" s="15"/>
      <c r="C2637" s="16"/>
      <c r="D2637" s="16"/>
      <c r="E2637" s="16"/>
      <c r="F2637" s="16"/>
      <c r="G2637" s="16"/>
      <c r="H2637" s="16"/>
      <c r="I2637" s="16"/>
      <c r="J2637" s="16"/>
      <c r="K2637" s="6"/>
      <c r="L2637" s="16"/>
    </row>
    <row r="2638" spans="1:12" ht="14" customHeight="1" x14ac:dyDescent="0.2">
      <c r="A2638" s="17"/>
      <c r="B2638" s="18"/>
      <c r="C2638" s="19"/>
      <c r="D2638" s="19"/>
      <c r="E2638" s="19"/>
      <c r="F2638" s="19"/>
      <c r="G2638" s="19"/>
      <c r="H2638" s="19"/>
      <c r="I2638" s="19"/>
      <c r="J2638" s="19"/>
      <c r="K2638" s="6"/>
      <c r="L2638" s="19"/>
    </row>
    <row r="2639" spans="1:12" ht="14" customHeight="1" x14ac:dyDescent="0.2">
      <c r="A2639" s="14"/>
      <c r="B2639" s="15"/>
      <c r="C2639" s="16"/>
      <c r="D2639" s="16"/>
      <c r="E2639" s="16"/>
      <c r="F2639" s="16"/>
      <c r="G2639" s="16"/>
      <c r="H2639" s="16"/>
      <c r="I2639" s="16"/>
      <c r="J2639" s="16"/>
      <c r="K2639" s="6"/>
      <c r="L2639" s="16"/>
    </row>
    <row r="2640" spans="1:12" ht="14" customHeight="1" x14ac:dyDescent="0.2">
      <c r="A2640" s="17"/>
      <c r="B2640" s="18"/>
      <c r="C2640" s="19"/>
      <c r="D2640" s="19"/>
      <c r="E2640" s="19"/>
      <c r="F2640" s="19"/>
      <c r="G2640" s="19"/>
      <c r="H2640" s="19"/>
      <c r="I2640" s="19"/>
      <c r="J2640" s="19"/>
      <c r="K2640" s="6"/>
      <c r="L2640" s="19"/>
    </row>
    <row r="2641" spans="1:12" ht="14" customHeight="1" x14ac:dyDescent="0.2">
      <c r="A2641" s="14"/>
      <c r="B2641" s="15"/>
      <c r="C2641" s="16"/>
      <c r="D2641" s="16"/>
      <c r="E2641" s="16"/>
      <c r="F2641" s="16"/>
      <c r="G2641" s="16"/>
      <c r="H2641" s="16"/>
      <c r="I2641" s="16"/>
      <c r="J2641" s="16"/>
      <c r="K2641" s="6"/>
      <c r="L2641" s="16"/>
    </row>
    <row r="2642" spans="1:12" ht="14" customHeight="1" x14ac:dyDescent="0.2">
      <c r="A2642" s="17"/>
      <c r="B2642" s="18"/>
      <c r="C2642" s="19"/>
      <c r="D2642" s="19"/>
      <c r="E2642" s="19"/>
      <c r="F2642" s="19"/>
      <c r="G2642" s="19"/>
      <c r="H2642" s="19"/>
      <c r="I2642" s="19"/>
      <c r="J2642" s="19"/>
      <c r="K2642" s="6"/>
      <c r="L2642" s="19"/>
    </row>
    <row r="2643" spans="1:12" ht="14" customHeight="1" x14ac:dyDescent="0.2">
      <c r="A2643" s="14"/>
      <c r="B2643" s="15"/>
      <c r="C2643" s="16"/>
      <c r="D2643" s="16"/>
      <c r="E2643" s="16"/>
      <c r="F2643" s="16"/>
      <c r="G2643" s="16"/>
      <c r="H2643" s="16"/>
      <c r="I2643" s="16"/>
      <c r="J2643" s="16"/>
      <c r="K2643" s="6"/>
      <c r="L2643" s="16"/>
    </row>
    <row r="2644" spans="1:12" ht="14" customHeight="1" x14ac:dyDescent="0.2">
      <c r="A2644" s="17"/>
      <c r="B2644" s="18"/>
      <c r="C2644" s="19"/>
      <c r="D2644" s="19"/>
      <c r="E2644" s="19"/>
      <c r="F2644" s="19"/>
      <c r="G2644" s="19"/>
      <c r="H2644" s="19"/>
      <c r="I2644" s="19"/>
      <c r="J2644" s="19"/>
      <c r="K2644" s="6"/>
      <c r="L2644" s="19"/>
    </row>
    <row r="2645" spans="1:12" ht="14" customHeight="1" x14ac:dyDescent="0.2">
      <c r="A2645" s="14"/>
      <c r="B2645" s="15"/>
      <c r="C2645" s="16"/>
      <c r="D2645" s="16"/>
      <c r="E2645" s="16"/>
      <c r="F2645" s="16"/>
      <c r="G2645" s="16"/>
      <c r="H2645" s="16"/>
      <c r="I2645" s="16"/>
      <c r="J2645" s="16"/>
      <c r="K2645" s="6"/>
      <c r="L2645" s="16"/>
    </row>
    <row r="2646" spans="1:12" ht="14" customHeight="1" x14ac:dyDescent="0.2">
      <c r="A2646" s="17"/>
      <c r="B2646" s="18"/>
      <c r="C2646" s="19"/>
      <c r="D2646" s="19"/>
      <c r="E2646" s="19"/>
      <c r="F2646" s="19"/>
      <c r="G2646" s="19"/>
      <c r="H2646" s="19"/>
      <c r="I2646" s="19"/>
      <c r="J2646" s="19"/>
      <c r="K2646" s="6"/>
      <c r="L2646" s="19"/>
    </row>
    <row r="2647" spans="1:12" ht="14" customHeight="1" x14ac:dyDescent="0.2">
      <c r="A2647" s="14"/>
      <c r="B2647" s="15"/>
      <c r="C2647" s="16"/>
      <c r="D2647" s="16"/>
      <c r="E2647" s="16"/>
      <c r="F2647" s="16"/>
      <c r="G2647" s="16"/>
      <c r="H2647" s="16"/>
      <c r="I2647" s="16"/>
      <c r="J2647" s="16"/>
      <c r="K2647" s="6"/>
      <c r="L2647" s="16"/>
    </row>
    <row r="2648" spans="1:12" ht="14" customHeight="1" x14ac:dyDescent="0.2">
      <c r="A2648" s="17"/>
      <c r="B2648" s="18"/>
      <c r="C2648" s="19"/>
      <c r="D2648" s="19"/>
      <c r="E2648" s="19"/>
      <c r="F2648" s="19"/>
      <c r="G2648" s="19"/>
      <c r="H2648" s="19"/>
      <c r="I2648" s="19"/>
      <c r="J2648" s="19"/>
      <c r="K2648" s="6"/>
      <c r="L2648" s="19"/>
    </row>
    <row r="2649" spans="1:12" ht="14" customHeight="1" x14ac:dyDescent="0.2">
      <c r="A2649" s="14"/>
      <c r="B2649" s="15"/>
      <c r="C2649" s="16"/>
      <c r="D2649" s="16"/>
      <c r="E2649" s="16"/>
      <c r="F2649" s="16"/>
      <c r="G2649" s="16"/>
      <c r="H2649" s="16"/>
      <c r="I2649" s="16"/>
      <c r="J2649" s="16"/>
      <c r="K2649" s="6"/>
      <c r="L2649" s="16"/>
    </row>
    <row r="2650" spans="1:12" ht="14" customHeight="1" x14ac:dyDescent="0.2">
      <c r="A2650" s="17"/>
      <c r="B2650" s="18"/>
      <c r="C2650" s="19"/>
      <c r="D2650" s="19"/>
      <c r="E2650" s="19"/>
      <c r="F2650" s="19"/>
      <c r="G2650" s="19"/>
      <c r="H2650" s="19"/>
      <c r="I2650" s="19"/>
      <c r="J2650" s="19"/>
      <c r="K2650" s="6"/>
      <c r="L2650" s="19"/>
    </row>
    <row r="2651" spans="1:12" ht="14" customHeight="1" x14ac:dyDescent="0.2">
      <c r="A2651" s="14"/>
      <c r="B2651" s="15"/>
      <c r="C2651" s="16"/>
      <c r="D2651" s="16"/>
      <c r="E2651" s="16"/>
      <c r="F2651" s="16"/>
      <c r="G2651" s="16"/>
      <c r="H2651" s="16"/>
      <c r="I2651" s="16"/>
      <c r="J2651" s="16"/>
      <c r="K2651" s="6"/>
      <c r="L2651" s="16"/>
    </row>
    <row r="2652" spans="1:12" ht="14" customHeight="1" x14ac:dyDescent="0.2">
      <c r="A2652" s="17"/>
      <c r="B2652" s="18"/>
      <c r="C2652" s="19"/>
      <c r="D2652" s="19"/>
      <c r="E2652" s="19"/>
      <c r="F2652" s="19"/>
      <c r="G2652" s="19"/>
      <c r="H2652" s="19"/>
      <c r="I2652" s="19"/>
      <c r="J2652" s="19"/>
      <c r="K2652" s="6"/>
      <c r="L2652" s="19"/>
    </row>
    <row r="2653" spans="1:12" ht="14" customHeight="1" x14ac:dyDescent="0.2">
      <c r="A2653" s="14"/>
      <c r="B2653" s="15"/>
      <c r="C2653" s="16"/>
      <c r="D2653" s="16"/>
      <c r="E2653" s="16"/>
      <c r="F2653" s="16"/>
      <c r="G2653" s="16"/>
      <c r="H2653" s="16"/>
      <c r="I2653" s="16"/>
      <c r="J2653" s="16"/>
      <c r="K2653" s="6"/>
      <c r="L2653" s="16"/>
    </row>
    <row r="2654" spans="1:12" ht="14" customHeight="1" x14ac:dyDescent="0.2">
      <c r="A2654" s="17"/>
      <c r="B2654" s="18"/>
      <c r="C2654" s="19"/>
      <c r="D2654" s="19"/>
      <c r="E2654" s="19"/>
      <c r="F2654" s="19"/>
      <c r="G2654" s="19"/>
      <c r="H2654" s="19"/>
      <c r="I2654" s="19"/>
      <c r="J2654" s="19"/>
      <c r="K2654" s="6"/>
      <c r="L2654" s="19"/>
    </row>
    <row r="2655" spans="1:12" ht="14" customHeight="1" x14ac:dyDescent="0.2">
      <c r="A2655" s="14"/>
      <c r="B2655" s="15"/>
      <c r="C2655" s="16"/>
      <c r="D2655" s="16"/>
      <c r="E2655" s="16"/>
      <c r="F2655" s="16"/>
      <c r="G2655" s="16"/>
      <c r="H2655" s="16"/>
      <c r="I2655" s="16"/>
      <c r="J2655" s="16"/>
      <c r="K2655" s="6"/>
      <c r="L2655" s="16"/>
    </row>
    <row r="2656" spans="1:12" ht="14" customHeight="1" x14ac:dyDescent="0.2">
      <c r="A2656" s="17"/>
      <c r="B2656" s="18"/>
      <c r="C2656" s="19"/>
      <c r="D2656" s="19"/>
      <c r="E2656" s="19"/>
      <c r="F2656" s="19"/>
      <c r="G2656" s="19"/>
      <c r="H2656" s="19"/>
      <c r="I2656" s="19"/>
      <c r="J2656" s="19"/>
      <c r="K2656" s="6"/>
      <c r="L2656" s="19"/>
    </row>
    <row r="2657" spans="1:12" ht="14" customHeight="1" x14ac:dyDescent="0.2">
      <c r="A2657" s="14"/>
      <c r="B2657" s="15"/>
      <c r="C2657" s="16"/>
      <c r="D2657" s="16"/>
      <c r="E2657" s="16"/>
      <c r="F2657" s="16"/>
      <c r="G2657" s="16"/>
      <c r="H2657" s="16"/>
      <c r="I2657" s="16"/>
      <c r="J2657" s="16"/>
      <c r="K2657" s="6"/>
      <c r="L2657" s="16"/>
    </row>
    <row r="2658" spans="1:12" ht="14" customHeight="1" x14ac:dyDescent="0.2">
      <c r="A2658" s="17"/>
      <c r="B2658" s="18"/>
      <c r="C2658" s="19"/>
      <c r="D2658" s="19"/>
      <c r="E2658" s="19"/>
      <c r="F2658" s="19"/>
      <c r="G2658" s="19"/>
      <c r="H2658" s="19"/>
      <c r="I2658" s="19"/>
      <c r="J2658" s="19"/>
      <c r="K2658" s="6"/>
      <c r="L2658" s="19"/>
    </row>
    <row r="2659" spans="1:12" ht="14" customHeight="1" x14ac:dyDescent="0.2">
      <c r="A2659" s="14"/>
      <c r="B2659" s="15"/>
      <c r="C2659" s="16"/>
      <c r="D2659" s="16"/>
      <c r="E2659" s="16"/>
      <c r="F2659" s="16"/>
      <c r="G2659" s="16"/>
      <c r="H2659" s="16"/>
      <c r="I2659" s="16"/>
      <c r="J2659" s="16"/>
      <c r="K2659" s="6"/>
      <c r="L2659" s="16"/>
    </row>
    <row r="2660" spans="1:12" ht="14" customHeight="1" x14ac:dyDescent="0.2">
      <c r="A2660" s="17"/>
      <c r="B2660" s="18"/>
      <c r="C2660" s="19"/>
      <c r="D2660" s="19"/>
      <c r="E2660" s="19"/>
      <c r="F2660" s="19"/>
      <c r="G2660" s="19"/>
      <c r="H2660" s="19"/>
      <c r="I2660" s="19"/>
      <c r="J2660" s="19"/>
      <c r="K2660" s="6"/>
      <c r="L2660" s="19"/>
    </row>
    <row r="2661" spans="1:12" ht="14" customHeight="1" x14ac:dyDescent="0.2">
      <c r="A2661" s="14"/>
      <c r="B2661" s="15"/>
      <c r="C2661" s="16"/>
      <c r="D2661" s="16"/>
      <c r="E2661" s="16"/>
      <c r="F2661" s="16"/>
      <c r="G2661" s="16"/>
      <c r="H2661" s="16"/>
      <c r="I2661" s="16"/>
      <c r="J2661" s="16"/>
      <c r="K2661" s="6"/>
      <c r="L2661" s="16"/>
    </row>
    <row r="2662" spans="1:12" ht="14" customHeight="1" x14ac:dyDescent="0.2">
      <c r="A2662" s="17"/>
      <c r="B2662" s="18"/>
      <c r="C2662" s="19"/>
      <c r="D2662" s="19"/>
      <c r="E2662" s="19"/>
      <c r="F2662" s="19"/>
      <c r="G2662" s="19"/>
      <c r="H2662" s="19"/>
      <c r="I2662" s="19"/>
      <c r="J2662" s="19"/>
      <c r="K2662" s="6"/>
      <c r="L2662" s="19"/>
    </row>
    <row r="2663" spans="1:12" ht="14" customHeight="1" x14ac:dyDescent="0.2">
      <c r="A2663" s="14"/>
      <c r="B2663" s="15"/>
      <c r="C2663" s="16"/>
      <c r="D2663" s="16"/>
      <c r="E2663" s="16"/>
      <c r="F2663" s="16"/>
      <c r="G2663" s="16"/>
      <c r="H2663" s="16"/>
      <c r="I2663" s="16"/>
      <c r="J2663" s="16"/>
      <c r="K2663" s="6"/>
      <c r="L2663" s="16"/>
    </row>
    <row r="2664" spans="1:12" ht="14" customHeight="1" x14ac:dyDescent="0.2">
      <c r="A2664" s="17"/>
      <c r="B2664" s="18"/>
      <c r="C2664" s="19"/>
      <c r="D2664" s="19"/>
      <c r="E2664" s="19"/>
      <c r="F2664" s="19"/>
      <c r="G2664" s="19"/>
      <c r="H2664" s="19"/>
      <c r="I2664" s="19"/>
      <c r="J2664" s="19"/>
      <c r="K2664" s="6"/>
      <c r="L2664" s="19"/>
    </row>
    <row r="2665" spans="1:12" ht="14" customHeight="1" x14ac:dyDescent="0.2">
      <c r="A2665" s="14"/>
      <c r="B2665" s="15"/>
      <c r="C2665" s="16"/>
      <c r="D2665" s="16"/>
      <c r="E2665" s="16"/>
      <c r="F2665" s="16"/>
      <c r="G2665" s="16"/>
      <c r="H2665" s="16"/>
      <c r="I2665" s="16"/>
      <c r="J2665" s="16"/>
      <c r="K2665" s="6"/>
      <c r="L2665" s="16"/>
    </row>
    <row r="2666" spans="1:12" ht="14" customHeight="1" x14ac:dyDescent="0.2">
      <c r="A2666" s="17"/>
      <c r="B2666" s="18"/>
      <c r="C2666" s="19"/>
      <c r="D2666" s="19"/>
      <c r="E2666" s="19"/>
      <c r="F2666" s="19"/>
      <c r="G2666" s="19"/>
      <c r="H2666" s="19"/>
      <c r="I2666" s="19"/>
      <c r="J2666" s="19"/>
      <c r="K2666" s="6"/>
      <c r="L2666" s="19"/>
    </row>
    <row r="2667" spans="1:12" ht="14" customHeight="1" x14ac:dyDescent="0.2">
      <c r="A2667" s="14"/>
      <c r="B2667" s="15"/>
      <c r="C2667" s="16"/>
      <c r="D2667" s="16"/>
      <c r="E2667" s="16"/>
      <c r="F2667" s="16"/>
      <c r="G2667" s="16"/>
      <c r="H2667" s="16"/>
      <c r="I2667" s="16"/>
      <c r="J2667" s="16"/>
      <c r="K2667" s="6"/>
      <c r="L2667" s="16"/>
    </row>
    <row r="2668" spans="1:12" ht="14" customHeight="1" x14ac:dyDescent="0.2">
      <c r="A2668" s="17"/>
      <c r="B2668" s="18"/>
      <c r="C2668" s="19"/>
      <c r="D2668" s="19"/>
      <c r="E2668" s="19"/>
      <c r="F2668" s="19"/>
      <c r="G2668" s="19"/>
      <c r="H2668" s="19"/>
      <c r="I2668" s="19"/>
      <c r="J2668" s="19"/>
      <c r="K2668" s="6"/>
      <c r="L2668" s="19"/>
    </row>
    <row r="2669" spans="1:12" ht="14" customHeight="1" x14ac:dyDescent="0.2">
      <c r="A2669" s="14"/>
      <c r="B2669" s="15"/>
      <c r="C2669" s="16"/>
      <c r="D2669" s="16"/>
      <c r="E2669" s="16"/>
      <c r="F2669" s="16"/>
      <c r="G2669" s="16"/>
      <c r="H2669" s="16"/>
      <c r="I2669" s="16"/>
      <c r="J2669" s="16"/>
      <c r="K2669" s="6"/>
      <c r="L2669" s="16"/>
    </row>
    <row r="2670" spans="1:12" ht="14" customHeight="1" x14ac:dyDescent="0.2">
      <c r="A2670" s="17"/>
      <c r="B2670" s="18"/>
      <c r="C2670" s="19"/>
      <c r="D2670" s="19"/>
      <c r="E2670" s="19"/>
      <c r="F2670" s="19"/>
      <c r="G2670" s="19"/>
      <c r="H2670" s="19"/>
      <c r="I2670" s="19"/>
      <c r="J2670" s="19"/>
      <c r="K2670" s="6"/>
      <c r="L2670" s="19"/>
    </row>
    <row r="2671" spans="1:12" ht="14" customHeight="1" x14ac:dyDescent="0.2">
      <c r="A2671" s="14"/>
      <c r="B2671" s="15"/>
      <c r="C2671" s="16"/>
      <c r="D2671" s="16"/>
      <c r="E2671" s="16"/>
      <c r="F2671" s="16"/>
      <c r="G2671" s="16"/>
      <c r="H2671" s="16"/>
      <c r="I2671" s="16"/>
      <c r="J2671" s="16"/>
      <c r="K2671" s="6"/>
      <c r="L2671" s="16"/>
    </row>
    <row r="2672" spans="1:12" ht="14" customHeight="1" x14ac:dyDescent="0.2">
      <c r="A2672" s="17"/>
      <c r="B2672" s="18"/>
      <c r="C2672" s="19"/>
      <c r="D2672" s="19"/>
      <c r="E2672" s="19"/>
      <c r="F2672" s="19"/>
      <c r="G2672" s="19"/>
      <c r="H2672" s="19"/>
      <c r="I2672" s="19"/>
      <c r="J2672" s="19"/>
      <c r="K2672" s="6"/>
      <c r="L2672" s="19"/>
    </row>
    <row r="2673" spans="1:12" ht="14" customHeight="1" x14ac:dyDescent="0.2">
      <c r="A2673" s="14"/>
      <c r="B2673" s="15"/>
      <c r="C2673" s="16"/>
      <c r="D2673" s="16"/>
      <c r="E2673" s="16"/>
      <c r="F2673" s="16"/>
      <c r="G2673" s="16"/>
      <c r="H2673" s="16"/>
      <c r="I2673" s="16"/>
      <c r="J2673" s="16"/>
      <c r="K2673" s="6"/>
      <c r="L2673" s="16"/>
    </row>
    <row r="2674" spans="1:12" ht="14" customHeight="1" x14ac:dyDescent="0.2">
      <c r="A2674" s="17"/>
      <c r="B2674" s="18"/>
      <c r="C2674" s="19"/>
      <c r="D2674" s="19"/>
      <c r="E2674" s="19"/>
      <c r="F2674" s="19"/>
      <c r="G2674" s="19"/>
      <c r="H2674" s="19"/>
      <c r="I2674" s="19"/>
      <c r="J2674" s="19"/>
      <c r="K2674" s="6"/>
      <c r="L2674" s="19"/>
    </row>
    <row r="2675" spans="1:12" ht="14" customHeight="1" x14ac:dyDescent="0.2">
      <c r="A2675" s="14"/>
      <c r="B2675" s="15"/>
      <c r="C2675" s="16"/>
      <c r="D2675" s="16"/>
      <c r="E2675" s="16"/>
      <c r="F2675" s="16"/>
      <c r="G2675" s="16"/>
      <c r="H2675" s="16"/>
      <c r="I2675" s="16"/>
      <c r="J2675" s="16"/>
      <c r="K2675" s="6"/>
      <c r="L2675" s="16"/>
    </row>
    <row r="2676" spans="1:12" ht="14" customHeight="1" x14ac:dyDescent="0.2">
      <c r="A2676" s="17"/>
      <c r="B2676" s="18"/>
      <c r="C2676" s="19"/>
      <c r="D2676" s="19"/>
      <c r="E2676" s="19"/>
      <c r="F2676" s="19"/>
      <c r="G2676" s="19"/>
      <c r="H2676" s="19"/>
      <c r="I2676" s="19"/>
      <c r="J2676" s="19"/>
      <c r="K2676" s="6"/>
      <c r="L2676" s="19"/>
    </row>
    <row r="2677" spans="1:12" ht="14" customHeight="1" x14ac:dyDescent="0.2">
      <c r="A2677" s="14"/>
      <c r="B2677" s="15"/>
      <c r="C2677" s="16"/>
      <c r="D2677" s="16"/>
      <c r="E2677" s="16"/>
      <c r="F2677" s="16"/>
      <c r="G2677" s="16"/>
      <c r="H2677" s="16"/>
      <c r="I2677" s="16"/>
      <c r="J2677" s="16"/>
      <c r="K2677" s="6"/>
      <c r="L2677" s="16"/>
    </row>
    <row r="2678" spans="1:12" ht="14" customHeight="1" x14ac:dyDescent="0.2">
      <c r="A2678" s="17"/>
      <c r="B2678" s="18"/>
      <c r="C2678" s="19"/>
      <c r="D2678" s="19"/>
      <c r="E2678" s="19"/>
      <c r="F2678" s="19"/>
      <c r="G2678" s="19"/>
      <c r="H2678" s="19"/>
      <c r="I2678" s="19"/>
      <c r="J2678" s="19"/>
      <c r="K2678" s="6"/>
      <c r="L2678" s="19"/>
    </row>
    <row r="2679" spans="1:12" ht="14" customHeight="1" x14ac:dyDescent="0.2">
      <c r="A2679" s="14"/>
      <c r="B2679" s="15"/>
      <c r="C2679" s="16"/>
      <c r="D2679" s="16"/>
      <c r="E2679" s="16"/>
      <c r="F2679" s="16"/>
      <c r="G2679" s="16"/>
      <c r="H2679" s="16"/>
      <c r="I2679" s="16"/>
      <c r="J2679" s="16"/>
      <c r="K2679" s="6"/>
      <c r="L2679" s="16"/>
    </row>
    <row r="2680" spans="1:12" ht="14" customHeight="1" x14ac:dyDescent="0.2">
      <c r="A2680" s="17"/>
      <c r="B2680" s="18"/>
      <c r="C2680" s="19"/>
      <c r="D2680" s="19"/>
      <c r="E2680" s="19"/>
      <c r="F2680" s="19"/>
      <c r="G2680" s="19"/>
      <c r="H2680" s="19"/>
      <c r="I2680" s="19"/>
      <c r="J2680" s="19"/>
      <c r="K2680" s="6"/>
      <c r="L2680" s="19"/>
    </row>
    <row r="2681" spans="1:12" ht="14" customHeight="1" x14ac:dyDescent="0.2">
      <c r="A2681" s="14"/>
      <c r="B2681" s="15"/>
      <c r="C2681" s="16"/>
      <c r="D2681" s="16"/>
      <c r="E2681" s="16"/>
      <c r="F2681" s="16"/>
      <c r="G2681" s="16"/>
      <c r="H2681" s="16"/>
      <c r="I2681" s="16"/>
      <c r="J2681" s="16"/>
      <c r="K2681" s="6"/>
      <c r="L2681" s="16"/>
    </row>
    <row r="2682" spans="1:12" ht="14" customHeight="1" x14ac:dyDescent="0.2">
      <c r="A2682" s="17"/>
      <c r="B2682" s="18"/>
      <c r="C2682" s="19"/>
      <c r="D2682" s="19"/>
      <c r="E2682" s="19"/>
      <c r="F2682" s="19"/>
      <c r="G2682" s="19"/>
      <c r="H2682" s="19"/>
      <c r="I2682" s="19"/>
      <c r="J2682" s="19"/>
      <c r="K2682" s="6"/>
      <c r="L2682" s="19"/>
    </row>
    <row r="2683" spans="1:12" ht="14" customHeight="1" x14ac:dyDescent="0.2">
      <c r="A2683" s="14"/>
      <c r="B2683" s="15"/>
      <c r="C2683" s="16"/>
      <c r="D2683" s="16"/>
      <c r="E2683" s="16"/>
      <c r="F2683" s="16"/>
      <c r="G2683" s="16"/>
      <c r="H2683" s="16"/>
      <c r="I2683" s="16"/>
      <c r="J2683" s="16"/>
      <c r="K2683" s="6"/>
      <c r="L2683" s="16"/>
    </row>
    <row r="2684" spans="1:12" ht="14" customHeight="1" x14ac:dyDescent="0.2">
      <c r="A2684" s="17"/>
      <c r="B2684" s="18"/>
      <c r="C2684" s="19"/>
      <c r="D2684" s="19"/>
      <c r="E2684" s="19"/>
      <c r="F2684" s="19"/>
      <c r="G2684" s="19"/>
      <c r="H2684" s="19"/>
      <c r="I2684" s="19"/>
      <c r="J2684" s="19"/>
      <c r="K2684" s="6"/>
      <c r="L2684" s="19"/>
    </row>
    <row r="2685" spans="1:12" ht="14" customHeight="1" x14ac:dyDescent="0.2">
      <c r="A2685" s="14"/>
      <c r="B2685" s="15"/>
      <c r="C2685" s="16"/>
      <c r="D2685" s="16"/>
      <c r="E2685" s="16"/>
      <c r="F2685" s="16"/>
      <c r="G2685" s="16"/>
      <c r="H2685" s="16"/>
      <c r="I2685" s="16"/>
      <c r="J2685" s="16"/>
      <c r="K2685" s="6"/>
      <c r="L2685" s="16"/>
    </row>
    <row r="2686" spans="1:12" ht="14" customHeight="1" x14ac:dyDescent="0.2">
      <c r="A2686" s="17"/>
      <c r="B2686" s="18"/>
      <c r="C2686" s="19"/>
      <c r="D2686" s="19"/>
      <c r="E2686" s="19"/>
      <c r="F2686" s="19"/>
      <c r="G2686" s="19"/>
      <c r="H2686" s="19"/>
      <c r="I2686" s="19"/>
      <c r="J2686" s="19"/>
      <c r="K2686" s="6"/>
      <c r="L2686" s="19"/>
    </row>
    <row r="2687" spans="1:12" ht="14" customHeight="1" x14ac:dyDescent="0.2">
      <c r="A2687" s="14"/>
      <c r="B2687" s="15"/>
      <c r="C2687" s="16"/>
      <c r="D2687" s="16"/>
      <c r="E2687" s="16"/>
      <c r="F2687" s="16"/>
      <c r="G2687" s="16"/>
      <c r="H2687" s="16"/>
      <c r="I2687" s="16"/>
      <c r="J2687" s="16"/>
      <c r="K2687" s="6"/>
      <c r="L2687" s="16"/>
    </row>
    <row r="2688" spans="1:12" ht="14" customHeight="1" x14ac:dyDescent="0.2">
      <c r="A2688" s="17"/>
      <c r="B2688" s="18"/>
      <c r="C2688" s="19"/>
      <c r="D2688" s="19"/>
      <c r="E2688" s="19"/>
      <c r="F2688" s="19"/>
      <c r="G2688" s="19"/>
      <c r="H2688" s="19"/>
      <c r="I2688" s="19"/>
      <c r="J2688" s="19"/>
      <c r="K2688" s="6"/>
      <c r="L2688" s="19"/>
    </row>
    <row r="2689" spans="1:12" ht="14" customHeight="1" x14ac:dyDescent="0.2">
      <c r="A2689" s="14"/>
      <c r="B2689" s="15"/>
      <c r="C2689" s="16"/>
      <c r="D2689" s="16"/>
      <c r="E2689" s="16"/>
      <c r="F2689" s="16"/>
      <c r="G2689" s="16"/>
      <c r="H2689" s="16"/>
      <c r="I2689" s="16"/>
      <c r="J2689" s="16"/>
      <c r="K2689" s="6"/>
      <c r="L2689" s="16"/>
    </row>
    <row r="2690" spans="1:12" ht="14" customHeight="1" x14ac:dyDescent="0.2">
      <c r="A2690" s="17"/>
      <c r="B2690" s="18"/>
      <c r="C2690" s="19"/>
      <c r="D2690" s="19"/>
      <c r="E2690" s="19"/>
      <c r="F2690" s="19"/>
      <c r="G2690" s="19"/>
      <c r="H2690" s="19"/>
      <c r="I2690" s="19"/>
      <c r="J2690" s="19"/>
      <c r="K2690" s="6"/>
      <c r="L2690" s="19"/>
    </row>
    <row r="2691" spans="1:12" ht="14" customHeight="1" x14ac:dyDescent="0.2">
      <c r="A2691" s="14"/>
      <c r="B2691" s="15"/>
      <c r="C2691" s="16"/>
      <c r="D2691" s="16"/>
      <c r="E2691" s="16"/>
      <c r="F2691" s="16"/>
      <c r="G2691" s="16"/>
      <c r="H2691" s="16"/>
      <c r="I2691" s="16"/>
      <c r="J2691" s="16"/>
      <c r="K2691" s="6"/>
      <c r="L2691" s="16"/>
    </row>
    <row r="2692" spans="1:12" ht="14" customHeight="1" x14ac:dyDescent="0.2">
      <c r="A2692" s="17"/>
      <c r="B2692" s="18"/>
      <c r="C2692" s="19"/>
      <c r="D2692" s="19"/>
      <c r="E2692" s="19"/>
      <c r="F2692" s="19"/>
      <c r="G2692" s="19"/>
      <c r="H2692" s="19"/>
      <c r="I2692" s="19"/>
      <c r="J2692" s="19"/>
      <c r="K2692" s="6"/>
      <c r="L2692" s="19"/>
    </row>
    <row r="2693" spans="1:12" ht="14" customHeight="1" x14ac:dyDescent="0.2">
      <c r="A2693" s="14"/>
      <c r="B2693" s="15"/>
      <c r="C2693" s="16"/>
      <c r="D2693" s="16"/>
      <c r="E2693" s="16"/>
      <c r="F2693" s="16"/>
      <c r="G2693" s="16"/>
      <c r="H2693" s="16"/>
      <c r="I2693" s="16"/>
      <c r="J2693" s="16"/>
      <c r="K2693" s="6"/>
      <c r="L2693" s="16"/>
    </row>
    <row r="2694" spans="1:12" ht="14" customHeight="1" x14ac:dyDescent="0.2">
      <c r="A2694" s="17"/>
      <c r="B2694" s="18"/>
      <c r="C2694" s="19"/>
      <c r="D2694" s="19"/>
      <c r="E2694" s="19"/>
      <c r="F2694" s="19"/>
      <c r="G2694" s="19"/>
      <c r="H2694" s="19"/>
      <c r="I2694" s="19"/>
      <c r="J2694" s="19"/>
      <c r="K2694" s="6"/>
      <c r="L2694" s="19"/>
    </row>
    <row r="2695" spans="1:12" ht="14" customHeight="1" x14ac:dyDescent="0.2">
      <c r="A2695" s="14"/>
      <c r="B2695" s="15"/>
      <c r="C2695" s="16"/>
      <c r="D2695" s="16"/>
      <c r="E2695" s="16"/>
      <c r="F2695" s="16"/>
      <c r="G2695" s="16"/>
      <c r="H2695" s="16"/>
      <c r="I2695" s="16"/>
      <c r="J2695" s="16"/>
      <c r="K2695" s="6"/>
      <c r="L2695" s="16"/>
    </row>
    <row r="2696" spans="1:12" ht="14" customHeight="1" x14ac:dyDescent="0.2">
      <c r="A2696" s="17"/>
      <c r="B2696" s="18"/>
      <c r="C2696" s="19"/>
      <c r="D2696" s="19"/>
      <c r="E2696" s="19"/>
      <c r="F2696" s="19"/>
      <c r="G2696" s="19"/>
      <c r="H2696" s="19"/>
      <c r="I2696" s="19"/>
      <c r="J2696" s="19"/>
      <c r="K2696" s="6"/>
      <c r="L2696" s="19"/>
    </row>
    <row r="2697" spans="1:12" ht="14" customHeight="1" x14ac:dyDescent="0.2">
      <c r="A2697" s="14"/>
      <c r="B2697" s="15"/>
      <c r="C2697" s="16"/>
      <c r="D2697" s="16"/>
      <c r="E2697" s="16"/>
      <c r="F2697" s="16"/>
      <c r="G2697" s="16"/>
      <c r="H2697" s="16"/>
      <c r="I2697" s="16"/>
      <c r="J2697" s="16"/>
      <c r="K2697" s="6"/>
      <c r="L2697" s="16"/>
    </row>
    <row r="2698" spans="1:12" ht="14" customHeight="1" x14ac:dyDescent="0.2">
      <c r="A2698" s="17"/>
      <c r="B2698" s="18"/>
      <c r="C2698" s="19"/>
      <c r="D2698" s="19"/>
      <c r="E2698" s="19"/>
      <c r="F2698" s="19"/>
      <c r="G2698" s="19"/>
      <c r="H2698" s="19"/>
      <c r="I2698" s="19"/>
      <c r="J2698" s="19"/>
      <c r="K2698" s="6"/>
      <c r="L2698" s="19"/>
    </row>
    <row r="2699" spans="1:12" ht="14" customHeight="1" x14ac:dyDescent="0.2">
      <c r="A2699" s="14"/>
      <c r="B2699" s="15"/>
      <c r="C2699" s="16"/>
      <c r="D2699" s="16"/>
      <c r="E2699" s="16"/>
      <c r="F2699" s="16"/>
      <c r="G2699" s="16"/>
      <c r="H2699" s="16"/>
      <c r="I2699" s="16"/>
      <c r="J2699" s="16"/>
      <c r="K2699" s="6"/>
      <c r="L2699" s="16"/>
    </row>
    <row r="2700" spans="1:12" ht="14" customHeight="1" x14ac:dyDescent="0.2">
      <c r="A2700" s="17"/>
      <c r="B2700" s="18"/>
      <c r="C2700" s="19"/>
      <c r="D2700" s="19"/>
      <c r="E2700" s="19"/>
      <c r="F2700" s="19"/>
      <c r="G2700" s="19"/>
      <c r="H2700" s="19"/>
      <c r="I2700" s="19"/>
      <c r="J2700" s="19"/>
      <c r="K2700" s="6"/>
      <c r="L2700" s="19"/>
    </row>
    <row r="2701" spans="1:12" ht="14" customHeight="1" x14ac:dyDescent="0.2">
      <c r="A2701" s="14"/>
      <c r="B2701" s="15"/>
      <c r="C2701" s="16"/>
      <c r="D2701" s="16"/>
      <c r="E2701" s="16"/>
      <c r="F2701" s="16"/>
      <c r="G2701" s="16"/>
      <c r="H2701" s="16"/>
      <c r="I2701" s="16"/>
      <c r="J2701" s="16"/>
      <c r="K2701" s="6"/>
      <c r="L2701" s="16"/>
    </row>
    <row r="2702" spans="1:12" ht="14" customHeight="1" x14ac:dyDescent="0.2">
      <c r="A2702" s="17"/>
      <c r="B2702" s="18"/>
      <c r="C2702" s="19"/>
      <c r="D2702" s="19"/>
      <c r="E2702" s="19"/>
      <c r="F2702" s="19"/>
      <c r="G2702" s="19"/>
      <c r="H2702" s="19"/>
      <c r="I2702" s="19"/>
      <c r="J2702" s="19"/>
      <c r="K2702" s="6"/>
      <c r="L2702" s="19"/>
    </row>
    <row r="2703" spans="1:12" ht="14" customHeight="1" x14ac:dyDescent="0.2">
      <c r="A2703" s="14"/>
      <c r="B2703" s="15"/>
      <c r="C2703" s="16"/>
      <c r="D2703" s="16"/>
      <c r="E2703" s="16"/>
      <c r="F2703" s="16"/>
      <c r="G2703" s="16"/>
      <c r="H2703" s="16"/>
      <c r="I2703" s="16"/>
      <c r="J2703" s="16"/>
      <c r="K2703" s="6"/>
      <c r="L2703" s="16"/>
    </row>
    <row r="2704" spans="1:12" ht="14" customHeight="1" x14ac:dyDescent="0.2">
      <c r="A2704" s="17"/>
      <c r="B2704" s="18"/>
      <c r="C2704" s="19"/>
      <c r="D2704" s="19"/>
      <c r="E2704" s="19"/>
      <c r="F2704" s="19"/>
      <c r="G2704" s="19"/>
      <c r="H2704" s="19"/>
      <c r="I2704" s="19"/>
      <c r="J2704" s="19"/>
      <c r="K2704" s="6"/>
      <c r="L2704" s="19"/>
    </row>
    <row r="2705" spans="1:12" ht="14" customHeight="1" x14ac:dyDescent="0.2">
      <c r="A2705" s="14"/>
      <c r="B2705" s="15"/>
      <c r="C2705" s="16"/>
      <c r="D2705" s="16"/>
      <c r="E2705" s="16"/>
      <c r="F2705" s="16"/>
      <c r="G2705" s="16"/>
      <c r="H2705" s="16"/>
      <c r="I2705" s="16"/>
      <c r="J2705" s="16"/>
      <c r="K2705" s="6"/>
      <c r="L2705" s="16"/>
    </row>
    <row r="2706" spans="1:12" ht="14" customHeight="1" x14ac:dyDescent="0.2">
      <c r="A2706" s="17"/>
      <c r="B2706" s="18"/>
      <c r="C2706" s="19"/>
      <c r="D2706" s="19"/>
      <c r="E2706" s="19"/>
      <c r="F2706" s="19"/>
      <c r="G2706" s="19"/>
      <c r="H2706" s="19"/>
      <c r="I2706" s="19"/>
      <c r="J2706" s="19"/>
      <c r="K2706" s="6"/>
      <c r="L2706" s="19"/>
    </row>
    <row r="2707" spans="1:12" ht="14" customHeight="1" x14ac:dyDescent="0.2">
      <c r="A2707" s="14"/>
      <c r="B2707" s="15"/>
      <c r="C2707" s="16"/>
      <c r="D2707" s="16"/>
      <c r="E2707" s="16"/>
      <c r="F2707" s="16"/>
      <c r="G2707" s="16"/>
      <c r="H2707" s="16"/>
      <c r="I2707" s="16"/>
      <c r="J2707" s="16"/>
      <c r="K2707" s="6"/>
      <c r="L2707" s="16"/>
    </row>
    <row r="2708" spans="1:12" ht="14" customHeight="1" x14ac:dyDescent="0.2">
      <c r="A2708" s="17"/>
      <c r="B2708" s="18"/>
      <c r="C2708" s="19"/>
      <c r="D2708" s="19"/>
      <c r="E2708" s="19"/>
      <c r="F2708" s="19"/>
      <c r="G2708" s="19"/>
      <c r="H2708" s="19"/>
      <c r="I2708" s="19"/>
      <c r="J2708" s="19"/>
      <c r="K2708" s="6"/>
      <c r="L2708" s="19"/>
    </row>
    <row r="2709" spans="1:12" ht="14" customHeight="1" x14ac:dyDescent="0.2">
      <c r="A2709" s="14"/>
      <c r="B2709" s="15"/>
      <c r="C2709" s="16"/>
      <c r="D2709" s="16"/>
      <c r="E2709" s="16"/>
      <c r="F2709" s="16"/>
      <c r="G2709" s="16"/>
      <c r="H2709" s="16"/>
      <c r="I2709" s="16"/>
      <c r="J2709" s="16"/>
      <c r="K2709" s="6"/>
      <c r="L2709" s="16"/>
    </row>
    <row r="2710" spans="1:12" ht="14" customHeight="1" x14ac:dyDescent="0.2">
      <c r="A2710" s="17"/>
      <c r="B2710" s="18"/>
      <c r="C2710" s="19"/>
      <c r="D2710" s="19"/>
      <c r="E2710" s="19"/>
      <c r="F2710" s="19"/>
      <c r="G2710" s="19"/>
      <c r="H2710" s="19"/>
      <c r="I2710" s="19"/>
      <c r="J2710" s="19"/>
      <c r="K2710" s="6"/>
      <c r="L2710" s="19"/>
    </row>
    <row r="2711" spans="1:12" ht="14" customHeight="1" x14ac:dyDescent="0.2">
      <c r="A2711" s="14"/>
      <c r="B2711" s="15"/>
      <c r="C2711" s="16"/>
      <c r="D2711" s="16"/>
      <c r="E2711" s="16"/>
      <c r="F2711" s="16"/>
      <c r="G2711" s="16"/>
      <c r="H2711" s="16"/>
      <c r="I2711" s="16"/>
      <c r="J2711" s="16"/>
      <c r="K2711" s="6"/>
      <c r="L2711" s="16"/>
    </row>
    <row r="2712" spans="1:12" ht="14" customHeight="1" x14ac:dyDescent="0.2">
      <c r="A2712" s="17"/>
      <c r="B2712" s="18"/>
      <c r="C2712" s="19"/>
      <c r="D2712" s="19"/>
      <c r="E2712" s="19"/>
      <c r="F2712" s="19"/>
      <c r="G2712" s="19"/>
      <c r="H2712" s="19"/>
      <c r="I2712" s="19"/>
      <c r="J2712" s="19"/>
      <c r="K2712" s="6"/>
      <c r="L2712" s="19"/>
    </row>
    <row r="2713" spans="1:12" ht="14" customHeight="1" x14ac:dyDescent="0.2">
      <c r="A2713" s="14"/>
      <c r="B2713" s="15"/>
      <c r="C2713" s="16"/>
      <c r="D2713" s="16"/>
      <c r="E2713" s="16"/>
      <c r="F2713" s="16"/>
      <c r="G2713" s="16"/>
      <c r="H2713" s="16"/>
      <c r="I2713" s="16"/>
      <c r="J2713" s="16"/>
      <c r="K2713" s="6"/>
      <c r="L2713" s="16"/>
    </row>
    <row r="2714" spans="1:12" ht="14" customHeight="1" x14ac:dyDescent="0.2">
      <c r="A2714" s="17"/>
      <c r="B2714" s="18"/>
      <c r="C2714" s="19"/>
      <c r="D2714" s="19"/>
      <c r="E2714" s="19"/>
      <c r="F2714" s="19"/>
      <c r="G2714" s="19"/>
      <c r="H2714" s="19"/>
      <c r="I2714" s="19"/>
      <c r="J2714" s="19"/>
      <c r="K2714" s="6"/>
      <c r="L2714" s="19"/>
    </row>
    <row r="2715" spans="1:12" ht="14" customHeight="1" x14ac:dyDescent="0.2">
      <c r="A2715" s="14"/>
      <c r="B2715" s="15"/>
      <c r="C2715" s="16"/>
      <c r="D2715" s="16"/>
      <c r="E2715" s="16"/>
      <c r="F2715" s="16"/>
      <c r="G2715" s="16"/>
      <c r="H2715" s="16"/>
      <c r="I2715" s="16"/>
      <c r="J2715" s="16"/>
      <c r="K2715" s="6"/>
      <c r="L2715" s="16"/>
    </row>
    <row r="2716" spans="1:12" ht="14" customHeight="1" x14ac:dyDescent="0.2">
      <c r="A2716" s="17"/>
      <c r="B2716" s="18"/>
      <c r="C2716" s="19"/>
      <c r="D2716" s="19"/>
      <c r="E2716" s="19"/>
      <c r="F2716" s="19"/>
      <c r="G2716" s="19"/>
      <c r="H2716" s="19"/>
      <c r="I2716" s="19"/>
      <c r="J2716" s="19"/>
      <c r="K2716" s="6"/>
      <c r="L2716" s="19"/>
    </row>
    <row r="2717" spans="1:12" ht="14" customHeight="1" x14ac:dyDescent="0.2">
      <c r="A2717" s="14"/>
      <c r="B2717" s="15"/>
      <c r="C2717" s="16"/>
      <c r="D2717" s="16"/>
      <c r="E2717" s="16"/>
      <c r="F2717" s="16"/>
      <c r="G2717" s="16"/>
      <c r="H2717" s="16"/>
      <c r="I2717" s="16"/>
      <c r="J2717" s="16"/>
      <c r="K2717" s="6"/>
      <c r="L2717" s="16"/>
    </row>
    <row r="2718" spans="1:12" ht="14" customHeight="1" x14ac:dyDescent="0.2">
      <c r="A2718" s="17"/>
      <c r="B2718" s="18"/>
      <c r="C2718" s="19"/>
      <c r="D2718" s="19"/>
      <c r="E2718" s="19"/>
      <c r="F2718" s="19"/>
      <c r="G2718" s="19"/>
      <c r="H2718" s="19"/>
      <c r="I2718" s="19"/>
      <c r="J2718" s="19"/>
      <c r="K2718" s="6"/>
      <c r="L2718" s="19"/>
    </row>
    <row r="2719" spans="1:12" ht="14" customHeight="1" x14ac:dyDescent="0.2">
      <c r="A2719" s="14"/>
      <c r="B2719" s="15"/>
      <c r="C2719" s="16"/>
      <c r="D2719" s="16"/>
      <c r="E2719" s="16"/>
      <c r="F2719" s="16"/>
      <c r="G2719" s="16"/>
      <c r="H2719" s="16"/>
      <c r="I2719" s="16"/>
      <c r="J2719" s="16"/>
      <c r="K2719" s="6"/>
      <c r="L2719" s="16"/>
    </row>
    <row r="2720" spans="1:12" ht="14" customHeight="1" x14ac:dyDescent="0.2">
      <c r="A2720" s="17"/>
      <c r="B2720" s="18"/>
      <c r="C2720" s="19"/>
      <c r="D2720" s="19"/>
      <c r="E2720" s="19"/>
      <c r="F2720" s="19"/>
      <c r="G2720" s="19"/>
      <c r="H2720" s="19"/>
      <c r="I2720" s="19"/>
      <c r="J2720" s="19"/>
      <c r="K2720" s="6"/>
      <c r="L2720" s="19"/>
    </row>
    <row r="2721" spans="1:12" ht="14" customHeight="1" x14ac:dyDescent="0.2">
      <c r="A2721" s="14"/>
      <c r="B2721" s="15"/>
      <c r="C2721" s="16"/>
      <c r="D2721" s="16"/>
      <c r="E2721" s="16"/>
      <c r="F2721" s="16"/>
      <c r="G2721" s="16"/>
      <c r="H2721" s="16"/>
      <c r="I2721" s="16"/>
      <c r="J2721" s="16"/>
      <c r="K2721" s="6"/>
      <c r="L2721" s="16"/>
    </row>
    <row r="2722" spans="1:12" ht="14" customHeight="1" x14ac:dyDescent="0.2">
      <c r="A2722" s="17"/>
      <c r="B2722" s="18"/>
      <c r="C2722" s="19"/>
      <c r="D2722" s="19"/>
      <c r="E2722" s="19"/>
      <c r="F2722" s="19"/>
      <c r="G2722" s="19"/>
      <c r="H2722" s="19"/>
      <c r="I2722" s="19"/>
      <c r="J2722" s="19"/>
      <c r="K2722" s="6"/>
      <c r="L2722" s="19"/>
    </row>
    <row r="2723" spans="1:12" ht="14" customHeight="1" x14ac:dyDescent="0.2">
      <c r="A2723" s="14"/>
      <c r="B2723" s="15"/>
      <c r="C2723" s="16"/>
      <c r="D2723" s="16"/>
      <c r="E2723" s="16"/>
      <c r="F2723" s="16"/>
      <c r="G2723" s="16"/>
      <c r="H2723" s="16"/>
      <c r="I2723" s="16"/>
      <c r="J2723" s="16"/>
      <c r="K2723" s="6"/>
      <c r="L2723" s="16"/>
    </row>
    <row r="2724" spans="1:12" ht="14" customHeight="1" x14ac:dyDescent="0.2">
      <c r="A2724" s="17"/>
      <c r="B2724" s="18"/>
      <c r="C2724" s="19"/>
      <c r="D2724" s="19"/>
      <c r="E2724" s="19"/>
      <c r="F2724" s="19"/>
      <c r="G2724" s="19"/>
      <c r="H2724" s="19"/>
      <c r="I2724" s="19"/>
      <c r="J2724" s="19"/>
      <c r="K2724" s="6"/>
      <c r="L2724" s="19"/>
    </row>
    <row r="2725" spans="1:12" ht="14" customHeight="1" x14ac:dyDescent="0.2">
      <c r="A2725" s="14"/>
      <c r="B2725" s="15"/>
      <c r="C2725" s="16"/>
      <c r="D2725" s="16"/>
      <c r="E2725" s="16"/>
      <c r="F2725" s="16"/>
      <c r="G2725" s="16"/>
      <c r="H2725" s="16"/>
      <c r="I2725" s="16"/>
      <c r="J2725" s="16"/>
      <c r="K2725" s="6"/>
      <c r="L2725" s="16"/>
    </row>
    <row r="2726" spans="1:12" ht="14" customHeight="1" x14ac:dyDescent="0.2">
      <c r="A2726" s="17"/>
      <c r="B2726" s="18"/>
      <c r="C2726" s="19"/>
      <c r="D2726" s="19"/>
      <c r="E2726" s="19"/>
      <c r="F2726" s="19"/>
      <c r="G2726" s="19"/>
      <c r="H2726" s="19"/>
      <c r="I2726" s="19"/>
      <c r="J2726" s="19"/>
      <c r="K2726" s="6"/>
      <c r="L2726" s="19"/>
    </row>
    <row r="2727" spans="1:12" ht="14" customHeight="1" x14ac:dyDescent="0.2">
      <c r="A2727" s="14"/>
      <c r="B2727" s="15"/>
      <c r="C2727" s="16"/>
      <c r="D2727" s="16"/>
      <c r="E2727" s="16"/>
      <c r="F2727" s="16"/>
      <c r="G2727" s="16"/>
      <c r="H2727" s="16"/>
      <c r="I2727" s="16"/>
      <c r="J2727" s="16"/>
      <c r="K2727" s="6"/>
      <c r="L2727" s="16"/>
    </row>
    <row r="2728" spans="1:12" ht="14" customHeight="1" x14ac:dyDescent="0.2">
      <c r="A2728" s="17"/>
      <c r="B2728" s="18"/>
      <c r="C2728" s="19"/>
      <c r="D2728" s="19"/>
      <c r="E2728" s="19"/>
      <c r="F2728" s="19"/>
      <c r="G2728" s="19"/>
      <c r="H2728" s="19"/>
      <c r="I2728" s="19"/>
      <c r="J2728" s="19"/>
      <c r="K2728" s="6"/>
      <c r="L2728" s="19"/>
    </row>
    <row r="2729" spans="1:12" ht="14" customHeight="1" x14ac:dyDescent="0.2">
      <c r="A2729" s="14"/>
      <c r="B2729" s="15"/>
      <c r="C2729" s="16"/>
      <c r="D2729" s="16"/>
      <c r="E2729" s="16"/>
      <c r="F2729" s="16"/>
      <c r="G2729" s="16"/>
      <c r="H2729" s="16"/>
      <c r="I2729" s="16"/>
      <c r="J2729" s="16"/>
      <c r="K2729" s="6"/>
      <c r="L2729" s="16"/>
    </row>
    <row r="2730" spans="1:12" ht="14" customHeight="1" x14ac:dyDescent="0.2">
      <c r="A2730" s="17"/>
      <c r="B2730" s="18"/>
      <c r="C2730" s="19"/>
      <c r="D2730" s="19"/>
      <c r="E2730" s="19"/>
      <c r="F2730" s="19"/>
      <c r="G2730" s="19"/>
      <c r="H2730" s="19"/>
      <c r="I2730" s="19"/>
      <c r="J2730" s="19"/>
      <c r="K2730" s="6"/>
      <c r="L2730" s="19"/>
    </row>
    <row r="2731" spans="1:12" ht="14" customHeight="1" x14ac:dyDescent="0.2">
      <c r="A2731" s="14"/>
      <c r="B2731" s="15"/>
      <c r="C2731" s="16"/>
      <c r="D2731" s="16"/>
      <c r="E2731" s="16"/>
      <c r="F2731" s="16"/>
      <c r="G2731" s="16"/>
      <c r="H2731" s="16"/>
      <c r="I2731" s="16"/>
      <c r="J2731" s="16"/>
      <c r="K2731" s="6"/>
      <c r="L2731" s="16"/>
    </row>
    <row r="2732" spans="1:12" ht="14" customHeight="1" x14ac:dyDescent="0.2">
      <c r="A2732" s="17"/>
      <c r="B2732" s="18"/>
      <c r="C2732" s="19"/>
      <c r="D2732" s="19"/>
      <c r="E2732" s="19"/>
      <c r="F2732" s="19"/>
      <c r="G2732" s="19"/>
      <c r="H2732" s="19"/>
      <c r="I2732" s="19"/>
      <c r="J2732" s="19"/>
      <c r="K2732" s="6"/>
      <c r="L2732" s="19"/>
    </row>
    <row r="2733" spans="1:12" ht="14" customHeight="1" x14ac:dyDescent="0.2">
      <c r="A2733" s="14"/>
      <c r="B2733" s="15"/>
      <c r="C2733" s="16"/>
      <c r="D2733" s="16"/>
      <c r="E2733" s="16"/>
      <c r="F2733" s="16"/>
      <c r="G2733" s="16"/>
      <c r="H2733" s="16"/>
      <c r="I2733" s="16"/>
      <c r="J2733" s="16"/>
      <c r="K2733" s="6"/>
      <c r="L2733" s="16"/>
    </row>
    <row r="2734" spans="1:12" ht="14" customHeight="1" x14ac:dyDescent="0.2">
      <c r="A2734" s="17"/>
      <c r="B2734" s="18"/>
      <c r="C2734" s="19"/>
      <c r="D2734" s="19"/>
      <c r="E2734" s="19"/>
      <c r="F2734" s="19"/>
      <c r="G2734" s="19"/>
      <c r="H2734" s="19"/>
      <c r="I2734" s="19"/>
      <c r="J2734" s="19"/>
      <c r="K2734" s="6"/>
      <c r="L2734" s="19"/>
    </row>
    <row r="2735" spans="1:12" ht="14" customHeight="1" x14ac:dyDescent="0.2">
      <c r="A2735" s="14"/>
      <c r="B2735" s="15"/>
      <c r="C2735" s="16"/>
      <c r="D2735" s="16"/>
      <c r="E2735" s="16"/>
      <c r="F2735" s="16"/>
      <c r="G2735" s="16"/>
      <c r="H2735" s="16"/>
      <c r="I2735" s="16"/>
      <c r="J2735" s="16"/>
      <c r="K2735" s="6"/>
      <c r="L2735" s="16"/>
    </row>
    <row r="2736" spans="1:12" ht="14" customHeight="1" x14ac:dyDescent="0.2">
      <c r="A2736" s="17"/>
      <c r="B2736" s="18"/>
      <c r="C2736" s="19"/>
      <c r="D2736" s="19"/>
      <c r="E2736" s="19"/>
      <c r="F2736" s="19"/>
      <c r="G2736" s="19"/>
      <c r="H2736" s="19"/>
      <c r="I2736" s="19"/>
      <c r="J2736" s="19"/>
      <c r="K2736" s="6"/>
      <c r="L2736" s="19"/>
    </row>
    <row r="2737" spans="1:12" ht="14" customHeight="1" x14ac:dyDescent="0.2">
      <c r="A2737" s="14"/>
      <c r="B2737" s="15"/>
      <c r="C2737" s="16"/>
      <c r="D2737" s="16"/>
      <c r="E2737" s="16"/>
      <c r="F2737" s="16"/>
      <c r="G2737" s="16"/>
      <c r="H2737" s="16"/>
      <c r="I2737" s="16"/>
      <c r="J2737" s="16"/>
      <c r="K2737" s="6"/>
      <c r="L2737" s="16"/>
    </row>
    <row r="2738" spans="1:12" ht="14" customHeight="1" x14ac:dyDescent="0.2">
      <c r="A2738" s="17"/>
      <c r="B2738" s="18"/>
      <c r="C2738" s="19"/>
      <c r="D2738" s="19"/>
      <c r="E2738" s="19"/>
      <c r="F2738" s="19"/>
      <c r="G2738" s="19"/>
      <c r="H2738" s="19"/>
      <c r="I2738" s="19"/>
      <c r="J2738" s="19"/>
      <c r="K2738" s="6"/>
      <c r="L2738" s="19"/>
    </row>
    <row r="2739" spans="1:12" ht="14" customHeight="1" x14ac:dyDescent="0.2">
      <c r="A2739" s="14"/>
      <c r="B2739" s="15"/>
      <c r="C2739" s="16"/>
      <c r="D2739" s="16"/>
      <c r="E2739" s="16"/>
      <c r="F2739" s="16"/>
      <c r="G2739" s="16"/>
      <c r="H2739" s="16"/>
      <c r="I2739" s="16"/>
      <c r="J2739" s="16"/>
      <c r="K2739" s="6"/>
      <c r="L2739" s="16"/>
    </row>
    <row r="2740" spans="1:12" ht="14" customHeight="1" x14ac:dyDescent="0.2">
      <c r="A2740" s="17"/>
      <c r="B2740" s="18"/>
      <c r="C2740" s="19"/>
      <c r="D2740" s="19"/>
      <c r="E2740" s="19"/>
      <c r="F2740" s="19"/>
      <c r="G2740" s="19"/>
      <c r="H2740" s="19"/>
      <c r="I2740" s="19"/>
      <c r="J2740" s="19"/>
      <c r="K2740" s="6"/>
      <c r="L2740" s="19"/>
    </row>
    <row r="2741" spans="1:12" ht="14" customHeight="1" x14ac:dyDescent="0.2">
      <c r="A2741" s="14"/>
      <c r="B2741" s="15"/>
      <c r="C2741" s="16"/>
      <c r="D2741" s="16"/>
      <c r="E2741" s="16"/>
      <c r="F2741" s="16"/>
      <c r="G2741" s="16"/>
      <c r="H2741" s="16"/>
      <c r="I2741" s="16"/>
      <c r="J2741" s="16"/>
      <c r="K2741" s="6"/>
      <c r="L2741" s="16"/>
    </row>
    <row r="2742" spans="1:12" ht="14" customHeight="1" x14ac:dyDescent="0.2">
      <c r="A2742" s="17"/>
      <c r="B2742" s="18"/>
      <c r="C2742" s="19"/>
      <c r="D2742" s="19"/>
      <c r="E2742" s="19"/>
      <c r="F2742" s="19"/>
      <c r="G2742" s="19"/>
      <c r="H2742" s="19"/>
      <c r="I2742" s="19"/>
      <c r="J2742" s="19"/>
      <c r="K2742" s="6"/>
      <c r="L2742" s="19"/>
    </row>
    <row r="2743" spans="1:12" ht="14" customHeight="1" x14ac:dyDescent="0.2">
      <c r="A2743" s="14"/>
      <c r="B2743" s="15"/>
      <c r="C2743" s="16"/>
      <c r="D2743" s="16"/>
      <c r="E2743" s="16"/>
      <c r="F2743" s="16"/>
      <c r="G2743" s="16"/>
      <c r="H2743" s="16"/>
      <c r="I2743" s="16"/>
      <c r="J2743" s="16"/>
      <c r="K2743" s="6"/>
      <c r="L2743" s="16"/>
    </row>
    <row r="2744" spans="1:12" ht="14" customHeight="1" x14ac:dyDescent="0.2">
      <c r="A2744" s="17"/>
      <c r="B2744" s="18"/>
      <c r="C2744" s="19"/>
      <c r="D2744" s="19"/>
      <c r="E2744" s="19"/>
      <c r="F2744" s="19"/>
      <c r="G2744" s="19"/>
      <c r="H2744" s="19"/>
      <c r="I2744" s="19"/>
      <c r="J2744" s="19"/>
      <c r="K2744" s="6"/>
      <c r="L2744" s="19"/>
    </row>
    <row r="2745" spans="1:12" ht="14" customHeight="1" x14ac:dyDescent="0.2">
      <c r="A2745" s="14"/>
      <c r="B2745" s="15"/>
      <c r="C2745" s="16"/>
      <c r="D2745" s="16"/>
      <c r="E2745" s="16"/>
      <c r="F2745" s="16"/>
      <c r="G2745" s="16"/>
      <c r="H2745" s="16"/>
      <c r="I2745" s="16"/>
      <c r="J2745" s="16"/>
      <c r="K2745" s="6"/>
      <c r="L2745" s="16"/>
    </row>
    <row r="2746" spans="1:12" ht="14" customHeight="1" x14ac:dyDescent="0.2">
      <c r="A2746" s="17"/>
      <c r="B2746" s="18"/>
      <c r="C2746" s="19"/>
      <c r="D2746" s="19"/>
      <c r="E2746" s="19"/>
      <c r="F2746" s="19"/>
      <c r="G2746" s="19"/>
      <c r="H2746" s="19"/>
      <c r="I2746" s="19"/>
      <c r="J2746" s="19"/>
      <c r="K2746" s="6"/>
      <c r="L2746" s="19"/>
    </row>
    <row r="2747" spans="1:12" ht="14" customHeight="1" x14ac:dyDescent="0.2">
      <c r="A2747" s="14"/>
      <c r="B2747" s="15"/>
      <c r="C2747" s="16"/>
      <c r="D2747" s="16"/>
      <c r="E2747" s="16"/>
      <c r="F2747" s="16"/>
      <c r="G2747" s="16"/>
      <c r="H2747" s="16"/>
      <c r="I2747" s="16"/>
      <c r="J2747" s="16"/>
      <c r="K2747" s="6"/>
      <c r="L2747" s="16"/>
    </row>
    <row r="2748" spans="1:12" ht="14" customHeight="1" x14ac:dyDescent="0.2">
      <c r="A2748" s="17"/>
      <c r="B2748" s="18"/>
      <c r="C2748" s="19"/>
      <c r="D2748" s="19"/>
      <c r="E2748" s="19"/>
      <c r="F2748" s="19"/>
      <c r="G2748" s="19"/>
      <c r="H2748" s="19"/>
      <c r="I2748" s="19"/>
      <c r="J2748" s="19"/>
      <c r="K2748" s="6"/>
      <c r="L2748" s="19"/>
    </row>
    <row r="2749" spans="1:12" ht="14" customHeight="1" x14ac:dyDescent="0.2">
      <c r="A2749" s="14"/>
      <c r="B2749" s="15"/>
      <c r="C2749" s="16"/>
      <c r="D2749" s="16"/>
      <c r="E2749" s="16"/>
      <c r="F2749" s="16"/>
      <c r="G2749" s="16"/>
      <c r="H2749" s="16"/>
      <c r="I2749" s="16"/>
      <c r="J2749" s="16"/>
      <c r="K2749" s="6"/>
      <c r="L2749" s="16"/>
    </row>
    <row r="2750" spans="1:12" ht="14" customHeight="1" x14ac:dyDescent="0.2">
      <c r="A2750" s="17"/>
      <c r="B2750" s="18"/>
      <c r="C2750" s="19"/>
      <c r="D2750" s="19"/>
      <c r="E2750" s="19"/>
      <c r="F2750" s="19"/>
      <c r="G2750" s="19"/>
      <c r="H2750" s="19"/>
      <c r="I2750" s="19"/>
      <c r="J2750" s="19"/>
      <c r="K2750" s="6"/>
      <c r="L2750" s="19"/>
    </row>
    <row r="2751" spans="1:12" ht="14" customHeight="1" x14ac:dyDescent="0.2">
      <c r="A2751" s="14"/>
      <c r="B2751" s="15"/>
      <c r="C2751" s="16"/>
      <c r="D2751" s="16"/>
      <c r="E2751" s="16"/>
      <c r="F2751" s="16"/>
      <c r="G2751" s="16"/>
      <c r="H2751" s="16"/>
      <c r="I2751" s="16"/>
      <c r="J2751" s="16"/>
      <c r="K2751" s="6"/>
      <c r="L2751" s="16"/>
    </row>
    <row r="2752" spans="1:12" ht="14" customHeight="1" x14ac:dyDescent="0.2">
      <c r="A2752" s="17"/>
      <c r="B2752" s="18"/>
      <c r="C2752" s="19"/>
      <c r="D2752" s="19"/>
      <c r="E2752" s="19"/>
      <c r="F2752" s="19"/>
      <c r="G2752" s="19"/>
      <c r="H2752" s="19"/>
      <c r="I2752" s="19"/>
      <c r="J2752" s="19"/>
      <c r="K2752" s="6"/>
      <c r="L2752" s="19"/>
    </row>
    <row r="2753" spans="1:12" ht="14" customHeight="1" x14ac:dyDescent="0.2">
      <c r="A2753" s="14"/>
      <c r="B2753" s="15"/>
      <c r="C2753" s="16"/>
      <c r="D2753" s="16"/>
      <c r="E2753" s="16"/>
      <c r="F2753" s="16"/>
      <c r="G2753" s="16"/>
      <c r="H2753" s="16"/>
      <c r="I2753" s="16"/>
      <c r="J2753" s="16"/>
      <c r="K2753" s="6"/>
      <c r="L2753" s="16"/>
    </row>
    <row r="2754" spans="1:12" ht="14" customHeight="1" x14ac:dyDescent="0.2">
      <c r="A2754" s="17"/>
      <c r="B2754" s="18"/>
      <c r="C2754" s="19"/>
      <c r="D2754" s="19"/>
      <c r="E2754" s="19"/>
      <c r="F2754" s="19"/>
      <c r="G2754" s="19"/>
      <c r="H2754" s="19"/>
      <c r="I2754" s="19"/>
      <c r="J2754" s="19"/>
      <c r="K2754" s="6"/>
      <c r="L2754" s="19"/>
    </row>
    <row r="2755" spans="1:12" ht="14" customHeight="1" x14ac:dyDescent="0.2">
      <c r="A2755" s="14"/>
      <c r="B2755" s="15"/>
      <c r="C2755" s="16"/>
      <c r="D2755" s="16"/>
      <c r="E2755" s="16"/>
      <c r="F2755" s="16"/>
      <c r="G2755" s="16"/>
      <c r="H2755" s="16"/>
      <c r="I2755" s="16"/>
      <c r="J2755" s="16"/>
      <c r="K2755" s="6"/>
      <c r="L2755" s="16"/>
    </row>
    <row r="2756" spans="1:12" ht="14" customHeight="1" x14ac:dyDescent="0.2">
      <c r="A2756" s="17"/>
      <c r="B2756" s="18"/>
      <c r="C2756" s="19"/>
      <c r="D2756" s="19"/>
      <c r="E2756" s="19"/>
      <c r="F2756" s="19"/>
      <c r="G2756" s="19"/>
      <c r="H2756" s="19"/>
      <c r="I2756" s="19"/>
      <c r="J2756" s="19"/>
      <c r="K2756" s="6"/>
      <c r="L2756" s="19"/>
    </row>
    <row r="2757" spans="1:12" ht="14" customHeight="1" x14ac:dyDescent="0.2">
      <c r="A2757" s="14"/>
      <c r="B2757" s="15"/>
      <c r="C2757" s="16"/>
      <c r="D2757" s="16"/>
      <c r="E2757" s="16"/>
      <c r="F2757" s="16"/>
      <c r="G2757" s="16"/>
      <c r="H2757" s="16"/>
      <c r="I2757" s="16"/>
      <c r="J2757" s="16"/>
      <c r="K2757" s="6"/>
      <c r="L2757" s="16"/>
    </row>
    <row r="2758" spans="1:12" ht="14" customHeight="1" x14ac:dyDescent="0.2">
      <c r="A2758" s="17"/>
      <c r="B2758" s="18"/>
      <c r="C2758" s="19"/>
      <c r="D2758" s="19"/>
      <c r="E2758" s="19"/>
      <c r="F2758" s="19"/>
      <c r="G2758" s="19"/>
      <c r="H2758" s="19"/>
      <c r="I2758" s="19"/>
      <c r="J2758" s="19"/>
      <c r="K2758" s="6"/>
      <c r="L2758" s="19"/>
    </row>
    <row r="2759" spans="1:12" ht="14" customHeight="1" x14ac:dyDescent="0.2">
      <c r="A2759" s="14"/>
      <c r="B2759" s="15"/>
      <c r="C2759" s="16"/>
      <c r="D2759" s="16"/>
      <c r="E2759" s="16"/>
      <c r="F2759" s="16"/>
      <c r="G2759" s="16"/>
      <c r="H2759" s="16"/>
      <c r="I2759" s="16"/>
      <c r="J2759" s="16"/>
      <c r="K2759" s="6"/>
      <c r="L2759" s="16"/>
    </row>
    <row r="2760" spans="1:12" ht="14" customHeight="1" x14ac:dyDescent="0.2">
      <c r="A2760" s="17"/>
      <c r="B2760" s="18"/>
      <c r="C2760" s="19"/>
      <c r="D2760" s="19"/>
      <c r="E2760" s="19"/>
      <c r="F2760" s="19"/>
      <c r="G2760" s="19"/>
      <c r="H2760" s="19"/>
      <c r="I2760" s="19"/>
      <c r="J2760" s="19"/>
      <c r="K2760" s="6"/>
      <c r="L2760" s="19"/>
    </row>
    <row r="2761" spans="1:12" ht="14" customHeight="1" x14ac:dyDescent="0.2">
      <c r="A2761" s="14"/>
      <c r="B2761" s="15"/>
      <c r="C2761" s="16"/>
      <c r="D2761" s="16"/>
      <c r="E2761" s="16"/>
      <c r="F2761" s="16"/>
      <c r="G2761" s="16"/>
      <c r="H2761" s="16"/>
      <c r="I2761" s="16"/>
      <c r="J2761" s="16"/>
      <c r="K2761" s="6"/>
      <c r="L2761" s="16"/>
    </row>
    <row r="2762" spans="1:12" ht="14" customHeight="1" x14ac:dyDescent="0.2">
      <c r="A2762" s="17"/>
      <c r="B2762" s="18"/>
      <c r="C2762" s="19"/>
      <c r="D2762" s="19"/>
      <c r="E2762" s="19"/>
      <c r="F2762" s="19"/>
      <c r="G2762" s="19"/>
      <c r="H2762" s="19"/>
      <c r="I2762" s="19"/>
      <c r="J2762" s="19"/>
      <c r="K2762" s="6"/>
      <c r="L2762" s="19"/>
    </row>
    <row r="2763" spans="1:12" ht="14" customHeight="1" x14ac:dyDescent="0.2">
      <c r="A2763" s="14"/>
      <c r="B2763" s="15"/>
      <c r="C2763" s="16"/>
      <c r="D2763" s="16"/>
      <c r="E2763" s="16"/>
      <c r="F2763" s="16"/>
      <c r="G2763" s="16"/>
      <c r="H2763" s="16"/>
      <c r="I2763" s="16"/>
      <c r="J2763" s="16"/>
      <c r="K2763" s="6"/>
      <c r="L2763" s="16"/>
    </row>
    <row r="2764" spans="1:12" ht="14" customHeight="1" x14ac:dyDescent="0.2">
      <c r="A2764" s="17"/>
      <c r="B2764" s="18"/>
      <c r="C2764" s="19"/>
      <c r="D2764" s="19"/>
      <c r="E2764" s="19"/>
      <c r="F2764" s="19"/>
      <c r="G2764" s="19"/>
      <c r="H2764" s="19"/>
      <c r="I2764" s="19"/>
      <c r="J2764" s="19"/>
      <c r="K2764" s="6"/>
      <c r="L2764" s="19"/>
    </row>
    <row r="2765" spans="1:12" ht="14" customHeight="1" x14ac:dyDescent="0.2">
      <c r="A2765" s="14"/>
      <c r="B2765" s="15"/>
      <c r="C2765" s="16"/>
      <c r="D2765" s="16"/>
      <c r="E2765" s="16"/>
      <c r="F2765" s="16"/>
      <c r="G2765" s="16"/>
      <c r="H2765" s="16"/>
      <c r="I2765" s="16"/>
      <c r="J2765" s="16"/>
      <c r="K2765" s="6"/>
      <c r="L2765" s="16"/>
    </row>
    <row r="2766" spans="1:12" ht="14" customHeight="1" x14ac:dyDescent="0.2">
      <c r="A2766" s="17"/>
      <c r="B2766" s="18"/>
      <c r="C2766" s="19"/>
      <c r="D2766" s="19"/>
      <c r="E2766" s="19"/>
      <c r="F2766" s="19"/>
      <c r="G2766" s="19"/>
      <c r="H2766" s="19"/>
      <c r="I2766" s="19"/>
      <c r="J2766" s="19"/>
      <c r="K2766" s="6"/>
      <c r="L2766" s="19"/>
    </row>
    <row r="2767" spans="1:12" ht="14" customHeight="1" x14ac:dyDescent="0.2">
      <c r="A2767" s="14"/>
      <c r="B2767" s="15"/>
      <c r="C2767" s="16"/>
      <c r="D2767" s="16"/>
      <c r="E2767" s="16"/>
      <c r="F2767" s="16"/>
      <c r="G2767" s="16"/>
      <c r="H2767" s="16"/>
      <c r="I2767" s="16"/>
      <c r="J2767" s="16"/>
      <c r="K2767" s="6"/>
      <c r="L2767" s="16"/>
    </row>
    <row r="2768" spans="1:12" ht="14" customHeight="1" x14ac:dyDescent="0.2">
      <c r="A2768" s="17"/>
      <c r="B2768" s="18"/>
      <c r="C2768" s="19"/>
      <c r="D2768" s="19"/>
      <c r="E2768" s="19"/>
      <c r="F2768" s="19"/>
      <c r="G2768" s="19"/>
      <c r="H2768" s="19"/>
      <c r="I2768" s="19"/>
      <c r="J2768" s="19"/>
      <c r="K2768" s="6"/>
      <c r="L2768" s="19"/>
    </row>
    <row r="2769" spans="1:12" ht="14" customHeight="1" x14ac:dyDescent="0.2">
      <c r="A2769" s="14"/>
      <c r="B2769" s="15"/>
      <c r="C2769" s="16"/>
      <c r="D2769" s="16"/>
      <c r="E2769" s="16"/>
      <c r="F2769" s="16"/>
      <c r="G2769" s="16"/>
      <c r="H2769" s="16"/>
      <c r="I2769" s="16"/>
      <c r="J2769" s="16"/>
      <c r="K2769" s="6"/>
      <c r="L2769" s="16"/>
    </row>
    <row r="2770" spans="1:12" ht="14" customHeight="1" x14ac:dyDescent="0.2">
      <c r="A2770" s="17"/>
      <c r="B2770" s="18"/>
      <c r="C2770" s="19"/>
      <c r="D2770" s="19"/>
      <c r="E2770" s="19"/>
      <c r="F2770" s="19"/>
      <c r="G2770" s="19"/>
      <c r="H2770" s="19"/>
      <c r="I2770" s="19"/>
      <c r="J2770" s="19"/>
      <c r="K2770" s="6"/>
      <c r="L2770" s="19"/>
    </row>
    <row r="2771" spans="1:12" ht="14" customHeight="1" x14ac:dyDescent="0.2">
      <c r="A2771" s="14"/>
      <c r="B2771" s="15"/>
      <c r="C2771" s="16"/>
      <c r="D2771" s="16"/>
      <c r="E2771" s="16"/>
      <c r="F2771" s="16"/>
      <c r="G2771" s="16"/>
      <c r="H2771" s="16"/>
      <c r="I2771" s="16"/>
      <c r="J2771" s="16"/>
      <c r="K2771" s="6"/>
      <c r="L2771" s="16"/>
    </row>
    <row r="2772" spans="1:12" ht="14" customHeight="1" x14ac:dyDescent="0.2">
      <c r="A2772" s="17"/>
      <c r="B2772" s="18"/>
      <c r="C2772" s="19"/>
      <c r="D2772" s="19"/>
      <c r="E2772" s="19"/>
      <c r="F2772" s="19"/>
      <c r="G2772" s="19"/>
      <c r="H2772" s="19"/>
      <c r="I2772" s="19"/>
      <c r="J2772" s="19"/>
      <c r="K2772" s="6"/>
      <c r="L2772" s="19"/>
    </row>
    <row r="2773" spans="1:12" ht="14" customHeight="1" x14ac:dyDescent="0.2">
      <c r="A2773" s="14"/>
      <c r="B2773" s="15"/>
      <c r="C2773" s="16"/>
      <c r="D2773" s="16"/>
      <c r="E2773" s="16"/>
      <c r="F2773" s="16"/>
      <c r="G2773" s="16"/>
      <c r="H2773" s="16"/>
      <c r="I2773" s="16"/>
      <c r="J2773" s="16"/>
      <c r="K2773" s="6"/>
      <c r="L2773" s="16"/>
    </row>
    <row r="2774" spans="1:12" ht="14" customHeight="1" x14ac:dyDescent="0.2">
      <c r="A2774" s="17"/>
      <c r="B2774" s="18"/>
      <c r="C2774" s="19"/>
      <c r="D2774" s="19"/>
      <c r="E2774" s="19"/>
      <c r="F2774" s="19"/>
      <c r="G2774" s="19"/>
      <c r="H2774" s="19"/>
      <c r="I2774" s="19"/>
      <c r="J2774" s="19"/>
      <c r="K2774" s="6"/>
      <c r="L2774" s="19"/>
    </row>
    <row r="2775" spans="1:12" ht="14" customHeight="1" x14ac:dyDescent="0.2">
      <c r="A2775" s="14"/>
      <c r="B2775" s="15"/>
      <c r="C2775" s="16"/>
      <c r="D2775" s="16"/>
      <c r="E2775" s="16"/>
      <c r="F2775" s="16"/>
      <c r="G2775" s="16"/>
      <c r="H2775" s="16"/>
      <c r="I2775" s="16"/>
      <c r="J2775" s="16"/>
      <c r="K2775" s="6"/>
      <c r="L2775" s="16"/>
    </row>
    <row r="2776" spans="1:12" ht="14" customHeight="1" x14ac:dyDescent="0.2">
      <c r="A2776" s="17"/>
      <c r="B2776" s="18"/>
      <c r="C2776" s="19"/>
      <c r="D2776" s="19"/>
      <c r="E2776" s="19"/>
      <c r="F2776" s="19"/>
      <c r="G2776" s="19"/>
      <c r="H2776" s="19"/>
      <c r="I2776" s="19"/>
      <c r="J2776" s="19"/>
      <c r="K2776" s="6"/>
      <c r="L2776" s="19"/>
    </row>
    <row r="2777" spans="1:12" ht="14" customHeight="1" x14ac:dyDescent="0.2">
      <c r="A2777" s="14"/>
      <c r="B2777" s="15"/>
      <c r="C2777" s="16"/>
      <c r="D2777" s="16"/>
      <c r="E2777" s="16"/>
      <c r="F2777" s="16"/>
      <c r="G2777" s="16"/>
      <c r="H2777" s="16"/>
      <c r="I2777" s="16"/>
      <c r="J2777" s="16"/>
      <c r="K2777" s="6"/>
      <c r="L2777" s="16"/>
    </row>
    <row r="2778" spans="1:12" ht="14" customHeight="1" x14ac:dyDescent="0.2">
      <c r="A2778" s="17"/>
      <c r="B2778" s="18"/>
      <c r="C2778" s="19"/>
      <c r="D2778" s="19"/>
      <c r="E2778" s="19"/>
      <c r="F2778" s="19"/>
      <c r="G2778" s="19"/>
      <c r="H2778" s="19"/>
      <c r="I2778" s="19"/>
      <c r="J2778" s="19"/>
      <c r="K2778" s="6"/>
      <c r="L2778" s="19"/>
    </row>
    <row r="2779" spans="1:12" ht="14" customHeight="1" x14ac:dyDescent="0.2">
      <c r="A2779" s="14"/>
      <c r="B2779" s="15"/>
      <c r="C2779" s="16"/>
      <c r="D2779" s="16"/>
      <c r="E2779" s="16"/>
      <c r="F2779" s="16"/>
      <c r="G2779" s="16"/>
      <c r="H2779" s="16"/>
      <c r="I2779" s="16"/>
      <c r="J2779" s="16"/>
      <c r="K2779" s="6"/>
      <c r="L2779" s="16"/>
    </row>
    <row r="2780" spans="1:12" ht="14" customHeight="1" x14ac:dyDescent="0.2">
      <c r="A2780" s="17"/>
      <c r="B2780" s="18"/>
      <c r="C2780" s="19"/>
      <c r="D2780" s="19"/>
      <c r="E2780" s="19"/>
      <c r="F2780" s="19"/>
      <c r="G2780" s="19"/>
      <c r="H2780" s="19"/>
      <c r="I2780" s="19"/>
      <c r="J2780" s="19"/>
      <c r="K2780" s="6"/>
      <c r="L2780" s="19"/>
    </row>
    <row r="2781" spans="1:12" ht="14" customHeight="1" x14ac:dyDescent="0.2">
      <c r="A2781" s="14"/>
      <c r="B2781" s="15"/>
      <c r="C2781" s="16"/>
      <c r="D2781" s="16"/>
      <c r="E2781" s="16"/>
      <c r="F2781" s="16"/>
      <c r="G2781" s="16"/>
      <c r="H2781" s="16"/>
      <c r="I2781" s="16"/>
      <c r="J2781" s="16"/>
      <c r="K2781" s="6"/>
      <c r="L2781" s="16"/>
    </row>
    <row r="2782" spans="1:12" ht="14" customHeight="1" x14ac:dyDescent="0.2">
      <c r="A2782" s="17"/>
      <c r="B2782" s="18"/>
      <c r="C2782" s="19"/>
      <c r="D2782" s="19"/>
      <c r="E2782" s="19"/>
      <c r="F2782" s="19"/>
      <c r="G2782" s="19"/>
      <c r="H2782" s="19"/>
      <c r="I2782" s="19"/>
      <c r="J2782" s="19"/>
      <c r="K2782" s="6"/>
      <c r="L2782" s="19"/>
    </row>
    <row r="2783" spans="1:12" ht="14" customHeight="1" x14ac:dyDescent="0.2">
      <c r="A2783" s="14"/>
      <c r="B2783" s="15"/>
      <c r="C2783" s="16"/>
      <c r="D2783" s="16"/>
      <c r="E2783" s="16"/>
      <c r="F2783" s="16"/>
      <c r="G2783" s="16"/>
      <c r="H2783" s="16"/>
      <c r="I2783" s="16"/>
      <c r="J2783" s="16"/>
      <c r="K2783" s="6"/>
      <c r="L2783" s="16"/>
    </row>
    <row r="2784" spans="1:12" ht="14" customHeight="1" x14ac:dyDescent="0.2">
      <c r="A2784" s="17"/>
      <c r="B2784" s="18"/>
      <c r="C2784" s="19"/>
      <c r="D2784" s="19"/>
      <c r="E2784" s="19"/>
      <c r="F2784" s="19"/>
      <c r="G2784" s="19"/>
      <c r="H2784" s="19"/>
      <c r="I2784" s="19"/>
      <c r="J2784" s="19"/>
      <c r="K2784" s="6"/>
      <c r="L2784" s="19"/>
    </row>
    <row r="2785" spans="1:12" ht="14" customHeight="1" x14ac:dyDescent="0.2">
      <c r="A2785" s="14"/>
      <c r="B2785" s="15"/>
      <c r="C2785" s="16"/>
      <c r="D2785" s="16"/>
      <c r="E2785" s="16"/>
      <c r="F2785" s="16"/>
      <c r="G2785" s="16"/>
      <c r="H2785" s="16"/>
      <c r="I2785" s="16"/>
      <c r="J2785" s="16"/>
      <c r="K2785" s="6"/>
      <c r="L2785" s="16"/>
    </row>
    <row r="2786" spans="1:12" ht="14" customHeight="1" x14ac:dyDescent="0.2">
      <c r="A2786" s="17"/>
      <c r="B2786" s="18"/>
      <c r="C2786" s="19"/>
      <c r="D2786" s="19"/>
      <c r="E2786" s="19"/>
      <c r="F2786" s="19"/>
      <c r="G2786" s="19"/>
      <c r="H2786" s="19"/>
      <c r="I2786" s="19"/>
      <c r="J2786" s="19"/>
      <c r="K2786" s="6"/>
      <c r="L2786" s="19"/>
    </row>
    <row r="2787" spans="1:12" ht="14" customHeight="1" x14ac:dyDescent="0.2">
      <c r="A2787" s="14"/>
      <c r="B2787" s="15"/>
      <c r="C2787" s="16"/>
      <c r="D2787" s="16"/>
      <c r="E2787" s="16"/>
      <c r="F2787" s="16"/>
      <c r="G2787" s="16"/>
      <c r="H2787" s="16"/>
      <c r="I2787" s="16"/>
      <c r="J2787" s="16"/>
      <c r="K2787" s="6"/>
      <c r="L2787" s="16"/>
    </row>
    <row r="2788" spans="1:12" ht="14" customHeight="1" x14ac:dyDescent="0.2">
      <c r="A2788" s="17"/>
      <c r="B2788" s="18"/>
      <c r="C2788" s="19"/>
      <c r="D2788" s="19"/>
      <c r="E2788" s="19"/>
      <c r="F2788" s="19"/>
      <c r="G2788" s="19"/>
      <c r="H2788" s="19"/>
      <c r="I2788" s="19"/>
      <c r="J2788" s="19"/>
      <c r="K2788" s="6"/>
      <c r="L2788" s="19"/>
    </row>
    <row r="2789" spans="1:12" ht="14" customHeight="1" x14ac:dyDescent="0.2">
      <c r="A2789" s="14"/>
      <c r="B2789" s="15"/>
      <c r="C2789" s="16"/>
      <c r="D2789" s="16"/>
      <c r="E2789" s="16"/>
      <c r="F2789" s="16"/>
      <c r="G2789" s="16"/>
      <c r="H2789" s="16"/>
      <c r="I2789" s="16"/>
      <c r="J2789" s="16"/>
      <c r="K2789" s="6"/>
      <c r="L2789" s="16"/>
    </row>
    <row r="2790" spans="1:12" ht="14" customHeight="1" x14ac:dyDescent="0.2">
      <c r="A2790" s="17"/>
      <c r="B2790" s="18"/>
      <c r="C2790" s="19"/>
      <c r="D2790" s="19"/>
      <c r="E2790" s="19"/>
      <c r="F2790" s="19"/>
      <c r="G2790" s="19"/>
      <c r="H2790" s="19"/>
      <c r="I2790" s="19"/>
      <c r="J2790" s="19"/>
      <c r="K2790" s="6"/>
      <c r="L2790" s="19"/>
    </row>
    <row r="2791" spans="1:12" ht="14" customHeight="1" x14ac:dyDescent="0.2">
      <c r="A2791" s="14"/>
      <c r="B2791" s="15"/>
      <c r="C2791" s="16"/>
      <c r="D2791" s="16"/>
      <c r="E2791" s="16"/>
      <c r="F2791" s="16"/>
      <c r="G2791" s="16"/>
      <c r="H2791" s="16"/>
      <c r="I2791" s="16"/>
      <c r="J2791" s="16"/>
      <c r="K2791" s="6"/>
      <c r="L2791" s="16"/>
    </row>
    <row r="2792" spans="1:12" ht="14" customHeight="1" x14ac:dyDescent="0.2">
      <c r="A2792" s="17"/>
      <c r="B2792" s="18"/>
      <c r="C2792" s="19"/>
      <c r="D2792" s="19"/>
      <c r="E2792" s="19"/>
      <c r="F2792" s="19"/>
      <c r="G2792" s="19"/>
      <c r="H2792" s="19"/>
      <c r="I2792" s="19"/>
      <c r="J2792" s="19"/>
      <c r="K2792" s="6"/>
      <c r="L2792" s="19"/>
    </row>
    <row r="2793" spans="1:12" ht="14" customHeight="1" x14ac:dyDescent="0.2">
      <c r="A2793" s="14"/>
      <c r="B2793" s="15"/>
      <c r="C2793" s="16"/>
      <c r="D2793" s="16"/>
      <c r="E2793" s="16"/>
      <c r="F2793" s="16"/>
      <c r="G2793" s="16"/>
      <c r="H2793" s="16"/>
      <c r="I2793" s="16"/>
      <c r="J2793" s="16"/>
      <c r="K2793" s="6"/>
      <c r="L2793" s="16"/>
    </row>
    <row r="2794" spans="1:12" ht="14" customHeight="1" x14ac:dyDescent="0.2">
      <c r="A2794" s="17"/>
      <c r="B2794" s="18"/>
      <c r="C2794" s="19"/>
      <c r="D2794" s="19"/>
      <c r="E2794" s="19"/>
      <c r="F2794" s="19"/>
      <c r="G2794" s="19"/>
      <c r="H2794" s="19"/>
      <c r="I2794" s="19"/>
      <c r="J2794" s="19"/>
      <c r="K2794" s="6"/>
      <c r="L2794" s="19"/>
    </row>
    <row r="2795" spans="1:12" ht="14" customHeight="1" x14ac:dyDescent="0.2">
      <c r="A2795" s="14"/>
      <c r="B2795" s="15"/>
      <c r="C2795" s="16"/>
      <c r="D2795" s="16"/>
      <c r="E2795" s="16"/>
      <c r="F2795" s="16"/>
      <c r="G2795" s="16"/>
      <c r="H2795" s="16"/>
      <c r="I2795" s="16"/>
      <c r="J2795" s="16"/>
      <c r="K2795" s="6"/>
      <c r="L2795" s="16"/>
    </row>
    <row r="2796" spans="1:12" ht="14" customHeight="1" x14ac:dyDescent="0.2">
      <c r="A2796" s="17"/>
      <c r="B2796" s="18"/>
      <c r="C2796" s="19"/>
      <c r="D2796" s="19"/>
      <c r="E2796" s="19"/>
      <c r="F2796" s="19"/>
      <c r="G2796" s="19"/>
      <c r="H2796" s="19"/>
      <c r="I2796" s="19"/>
      <c r="J2796" s="19"/>
      <c r="K2796" s="6"/>
      <c r="L2796" s="19"/>
    </row>
    <row r="2797" spans="1:12" ht="14" customHeight="1" x14ac:dyDescent="0.2">
      <c r="A2797" s="14"/>
      <c r="B2797" s="15"/>
      <c r="C2797" s="16"/>
      <c r="D2797" s="16"/>
      <c r="E2797" s="16"/>
      <c r="F2797" s="16"/>
      <c r="G2797" s="16"/>
      <c r="H2797" s="16"/>
      <c r="I2797" s="16"/>
      <c r="J2797" s="16"/>
      <c r="K2797" s="6"/>
      <c r="L2797" s="16"/>
    </row>
    <row r="2798" spans="1:12" ht="14" customHeight="1" x14ac:dyDescent="0.2">
      <c r="A2798" s="17"/>
      <c r="B2798" s="18"/>
      <c r="C2798" s="19"/>
      <c r="D2798" s="19"/>
      <c r="E2798" s="19"/>
      <c r="F2798" s="19"/>
      <c r="G2798" s="19"/>
      <c r="H2798" s="19"/>
      <c r="I2798" s="19"/>
      <c r="J2798" s="19"/>
      <c r="K2798" s="6"/>
      <c r="L2798" s="19"/>
    </row>
    <row r="2799" spans="1:12" ht="14" customHeight="1" x14ac:dyDescent="0.2">
      <c r="A2799" s="14"/>
      <c r="B2799" s="15"/>
      <c r="C2799" s="16"/>
      <c r="D2799" s="16"/>
      <c r="E2799" s="16"/>
      <c r="F2799" s="16"/>
      <c r="G2799" s="16"/>
      <c r="H2799" s="16"/>
      <c r="I2799" s="16"/>
      <c r="J2799" s="16"/>
      <c r="K2799" s="6"/>
      <c r="L2799" s="16"/>
    </row>
    <row r="2800" spans="1:12" ht="14" customHeight="1" x14ac:dyDescent="0.2">
      <c r="A2800" s="17"/>
      <c r="B2800" s="18"/>
      <c r="C2800" s="19"/>
      <c r="D2800" s="19"/>
      <c r="E2800" s="19"/>
      <c r="F2800" s="19"/>
      <c r="G2800" s="19"/>
      <c r="H2800" s="19"/>
      <c r="I2800" s="19"/>
      <c r="J2800" s="19"/>
      <c r="K2800" s="6"/>
      <c r="L2800" s="19"/>
    </row>
    <row r="2801" spans="1:12" ht="14" customHeight="1" x14ac:dyDescent="0.2">
      <c r="A2801" s="14"/>
      <c r="B2801" s="15"/>
      <c r="C2801" s="16"/>
      <c r="D2801" s="16"/>
      <c r="E2801" s="16"/>
      <c r="F2801" s="16"/>
      <c r="G2801" s="16"/>
      <c r="H2801" s="16"/>
      <c r="I2801" s="16"/>
      <c r="J2801" s="16"/>
      <c r="K2801" s="6"/>
      <c r="L2801" s="16"/>
    </row>
    <row r="2802" spans="1:12" ht="14" customHeight="1" x14ac:dyDescent="0.2">
      <c r="A2802" s="17"/>
      <c r="B2802" s="18"/>
      <c r="C2802" s="19"/>
      <c r="D2802" s="19"/>
      <c r="E2802" s="19"/>
      <c r="F2802" s="19"/>
      <c r="G2802" s="19"/>
      <c r="H2802" s="19"/>
      <c r="I2802" s="19"/>
      <c r="J2802" s="19"/>
      <c r="K2802" s="6"/>
      <c r="L2802" s="19"/>
    </row>
    <row r="2803" spans="1:12" ht="14" customHeight="1" x14ac:dyDescent="0.2">
      <c r="A2803" s="14"/>
      <c r="B2803" s="15"/>
      <c r="C2803" s="16"/>
      <c r="D2803" s="16"/>
      <c r="E2803" s="16"/>
      <c r="F2803" s="16"/>
      <c r="G2803" s="16"/>
      <c r="H2803" s="16"/>
      <c r="I2803" s="16"/>
      <c r="J2803" s="16"/>
      <c r="K2803" s="6"/>
      <c r="L2803" s="16"/>
    </row>
    <row r="2804" spans="1:12" ht="14" customHeight="1" x14ac:dyDescent="0.2">
      <c r="A2804" s="17"/>
      <c r="B2804" s="18"/>
      <c r="C2804" s="19"/>
      <c r="D2804" s="19"/>
      <c r="E2804" s="19"/>
      <c r="F2804" s="19"/>
      <c r="G2804" s="19"/>
      <c r="H2804" s="19"/>
      <c r="I2804" s="19"/>
      <c r="J2804" s="19"/>
      <c r="K2804" s="6"/>
      <c r="L2804" s="19"/>
    </row>
    <row r="2805" spans="1:12" ht="14" customHeight="1" x14ac:dyDescent="0.2">
      <c r="A2805" s="14"/>
      <c r="B2805" s="15"/>
      <c r="C2805" s="16"/>
      <c r="D2805" s="16"/>
      <c r="E2805" s="16"/>
      <c r="F2805" s="16"/>
      <c r="G2805" s="16"/>
      <c r="H2805" s="16"/>
      <c r="I2805" s="16"/>
      <c r="J2805" s="16"/>
      <c r="K2805" s="6"/>
      <c r="L2805" s="16"/>
    </row>
    <row r="2806" spans="1:12" ht="14" customHeight="1" x14ac:dyDescent="0.2">
      <c r="A2806" s="17"/>
      <c r="B2806" s="18"/>
      <c r="C2806" s="19"/>
      <c r="D2806" s="19"/>
      <c r="E2806" s="19"/>
      <c r="F2806" s="19"/>
      <c r="G2806" s="19"/>
      <c r="H2806" s="19"/>
      <c r="I2806" s="19"/>
      <c r="J2806" s="19"/>
      <c r="K2806" s="6"/>
      <c r="L2806" s="19"/>
    </row>
    <row r="2807" spans="1:12" ht="14" customHeight="1" x14ac:dyDescent="0.2">
      <c r="A2807" s="14"/>
      <c r="B2807" s="15"/>
      <c r="C2807" s="16"/>
      <c r="D2807" s="16"/>
      <c r="E2807" s="16"/>
      <c r="F2807" s="16"/>
      <c r="G2807" s="16"/>
      <c r="H2807" s="16"/>
      <c r="I2807" s="16"/>
      <c r="J2807" s="16"/>
      <c r="K2807" s="6"/>
      <c r="L2807" s="16"/>
    </row>
    <row r="2808" spans="1:12" ht="14" customHeight="1" x14ac:dyDescent="0.2">
      <c r="A2808" s="17"/>
      <c r="B2808" s="18"/>
      <c r="C2808" s="19"/>
      <c r="D2808" s="19"/>
      <c r="E2808" s="19"/>
      <c r="F2808" s="19"/>
      <c r="G2808" s="19"/>
      <c r="H2808" s="19"/>
      <c r="I2808" s="19"/>
      <c r="J2808" s="19"/>
      <c r="K2808" s="6"/>
      <c r="L2808" s="19"/>
    </row>
    <row r="2809" spans="1:12" ht="14" customHeight="1" x14ac:dyDescent="0.2">
      <c r="A2809" s="14"/>
      <c r="B2809" s="15"/>
      <c r="C2809" s="16"/>
      <c r="D2809" s="16"/>
      <c r="E2809" s="16"/>
      <c r="F2809" s="16"/>
      <c r="G2809" s="16"/>
      <c r="H2809" s="16"/>
      <c r="I2809" s="16"/>
      <c r="J2809" s="16"/>
      <c r="K2809" s="6"/>
      <c r="L2809" s="16"/>
    </row>
    <row r="2810" spans="1:12" ht="14" customHeight="1" x14ac:dyDescent="0.2">
      <c r="A2810" s="17"/>
      <c r="B2810" s="18"/>
      <c r="C2810" s="19"/>
      <c r="D2810" s="19"/>
      <c r="E2810" s="19"/>
      <c r="F2810" s="19"/>
      <c r="G2810" s="19"/>
      <c r="H2810" s="19"/>
      <c r="I2810" s="19"/>
      <c r="J2810" s="19"/>
      <c r="K2810" s="6"/>
      <c r="L2810" s="19"/>
    </row>
    <row r="2811" spans="1:12" ht="14" customHeight="1" x14ac:dyDescent="0.2">
      <c r="A2811" s="14"/>
      <c r="B2811" s="15"/>
      <c r="C2811" s="16"/>
      <c r="D2811" s="16"/>
      <c r="E2811" s="16"/>
      <c r="F2811" s="16"/>
      <c r="G2811" s="16"/>
      <c r="H2811" s="16"/>
      <c r="I2811" s="16"/>
      <c r="J2811" s="16"/>
      <c r="K2811" s="6"/>
      <c r="L2811" s="16"/>
    </row>
    <row r="2812" spans="1:12" ht="14" customHeight="1" x14ac:dyDescent="0.2">
      <c r="A2812" s="17"/>
      <c r="B2812" s="18"/>
      <c r="C2812" s="19"/>
      <c r="D2812" s="19"/>
      <c r="E2812" s="19"/>
      <c r="F2812" s="19"/>
      <c r="G2812" s="19"/>
      <c r="H2812" s="19"/>
      <c r="I2812" s="19"/>
      <c r="J2812" s="19"/>
      <c r="K2812" s="6"/>
      <c r="L2812" s="19"/>
    </row>
    <row r="2813" spans="1:12" ht="14" customHeight="1" x14ac:dyDescent="0.2">
      <c r="A2813" s="14"/>
      <c r="B2813" s="15"/>
      <c r="C2813" s="16"/>
      <c r="D2813" s="16"/>
      <c r="E2813" s="16"/>
      <c r="F2813" s="16"/>
      <c r="G2813" s="16"/>
      <c r="H2813" s="16"/>
      <c r="I2813" s="16"/>
      <c r="J2813" s="16"/>
      <c r="K2813" s="6"/>
      <c r="L2813" s="16"/>
    </row>
    <row r="2814" spans="1:12" ht="14" customHeight="1" x14ac:dyDescent="0.2">
      <c r="A2814" s="17"/>
      <c r="B2814" s="18"/>
      <c r="C2814" s="19"/>
      <c r="D2814" s="19"/>
      <c r="E2814" s="19"/>
      <c r="F2814" s="19"/>
      <c r="G2814" s="19"/>
      <c r="H2814" s="19"/>
      <c r="I2814" s="19"/>
      <c r="J2814" s="19"/>
      <c r="K2814" s="6"/>
      <c r="L2814" s="19"/>
    </row>
    <row r="2815" spans="1:12" ht="14" customHeight="1" x14ac:dyDescent="0.2">
      <c r="A2815" s="14"/>
      <c r="B2815" s="15"/>
      <c r="C2815" s="16"/>
      <c r="D2815" s="16"/>
      <c r="E2815" s="16"/>
      <c r="F2815" s="16"/>
      <c r="G2815" s="16"/>
      <c r="H2815" s="16"/>
      <c r="I2815" s="16"/>
      <c r="J2815" s="16"/>
      <c r="K2815" s="6"/>
      <c r="L2815" s="16"/>
    </row>
    <row r="2816" spans="1:12" ht="14" customHeight="1" x14ac:dyDescent="0.2">
      <c r="A2816" s="17"/>
      <c r="B2816" s="18"/>
      <c r="C2816" s="19"/>
      <c r="D2816" s="19"/>
      <c r="E2816" s="19"/>
      <c r="F2816" s="19"/>
      <c r="G2816" s="19"/>
      <c r="H2816" s="19"/>
      <c r="I2816" s="19"/>
      <c r="J2816" s="19"/>
      <c r="K2816" s="6"/>
      <c r="L2816" s="19"/>
    </row>
    <row r="2817" spans="1:12" ht="14" customHeight="1" x14ac:dyDescent="0.2">
      <c r="A2817" s="14"/>
      <c r="B2817" s="15"/>
      <c r="C2817" s="16"/>
      <c r="D2817" s="16"/>
      <c r="E2817" s="16"/>
      <c r="F2817" s="16"/>
      <c r="G2817" s="16"/>
      <c r="H2817" s="16"/>
      <c r="I2817" s="16"/>
      <c r="J2817" s="16"/>
      <c r="K2817" s="6"/>
      <c r="L2817" s="16"/>
    </row>
    <row r="2818" spans="1:12" ht="14" customHeight="1" x14ac:dyDescent="0.2">
      <c r="A2818" s="17"/>
      <c r="B2818" s="18"/>
      <c r="C2818" s="19"/>
      <c r="D2818" s="19"/>
      <c r="E2818" s="19"/>
      <c r="F2818" s="19"/>
      <c r="G2818" s="19"/>
      <c r="H2818" s="19"/>
      <c r="I2818" s="19"/>
      <c r="J2818" s="19"/>
      <c r="K2818" s="6"/>
      <c r="L2818" s="19"/>
    </row>
    <row r="2819" spans="1:12" ht="14" customHeight="1" x14ac:dyDescent="0.2">
      <c r="A2819" s="14"/>
      <c r="B2819" s="15"/>
      <c r="C2819" s="16"/>
      <c r="D2819" s="16"/>
      <c r="E2819" s="16"/>
      <c r="F2819" s="16"/>
      <c r="G2819" s="16"/>
      <c r="H2819" s="16"/>
      <c r="I2819" s="16"/>
      <c r="J2819" s="16"/>
      <c r="K2819" s="6"/>
      <c r="L2819" s="16"/>
    </row>
    <row r="2820" spans="1:12" ht="14" customHeight="1" x14ac:dyDescent="0.2">
      <c r="A2820" s="17"/>
      <c r="B2820" s="18"/>
      <c r="C2820" s="19"/>
      <c r="D2820" s="19"/>
      <c r="E2820" s="19"/>
      <c r="F2820" s="19"/>
      <c r="G2820" s="19"/>
      <c r="H2820" s="19"/>
      <c r="I2820" s="19"/>
      <c r="J2820" s="19"/>
      <c r="K2820" s="6"/>
      <c r="L2820" s="19"/>
    </row>
    <row r="2821" spans="1:12" ht="14" customHeight="1" x14ac:dyDescent="0.2">
      <c r="A2821" s="14"/>
      <c r="B2821" s="15"/>
      <c r="C2821" s="16"/>
      <c r="D2821" s="16"/>
      <c r="E2821" s="16"/>
      <c r="F2821" s="16"/>
      <c r="G2821" s="16"/>
      <c r="H2821" s="16"/>
      <c r="I2821" s="16"/>
      <c r="J2821" s="16"/>
      <c r="K2821" s="6"/>
      <c r="L2821" s="16"/>
    </row>
    <row r="2822" spans="1:12" ht="14" customHeight="1" x14ac:dyDescent="0.2">
      <c r="A2822" s="17"/>
      <c r="B2822" s="18"/>
      <c r="C2822" s="19"/>
      <c r="D2822" s="19"/>
      <c r="E2822" s="19"/>
      <c r="F2822" s="19"/>
      <c r="G2822" s="19"/>
      <c r="H2822" s="19"/>
      <c r="I2822" s="19"/>
      <c r="J2822" s="19"/>
      <c r="K2822" s="6"/>
      <c r="L2822" s="19"/>
    </row>
    <row r="2823" spans="1:12" ht="14" customHeight="1" x14ac:dyDescent="0.2">
      <c r="A2823" s="14"/>
      <c r="B2823" s="15"/>
      <c r="C2823" s="16"/>
      <c r="D2823" s="16"/>
      <c r="E2823" s="16"/>
      <c r="F2823" s="16"/>
      <c r="G2823" s="16"/>
      <c r="H2823" s="16"/>
      <c r="I2823" s="16"/>
      <c r="J2823" s="16"/>
      <c r="K2823" s="6"/>
      <c r="L2823" s="16"/>
    </row>
    <row r="2824" spans="1:12" ht="14" customHeight="1" x14ac:dyDescent="0.2">
      <c r="A2824" s="17"/>
      <c r="B2824" s="18"/>
      <c r="C2824" s="19"/>
      <c r="D2824" s="19"/>
      <c r="E2824" s="19"/>
      <c r="F2824" s="19"/>
      <c r="G2824" s="19"/>
      <c r="H2824" s="19"/>
      <c r="I2824" s="19"/>
      <c r="J2824" s="19"/>
      <c r="K2824" s="6"/>
      <c r="L2824" s="19"/>
    </row>
    <row r="2825" spans="1:12" ht="14" customHeight="1" x14ac:dyDescent="0.2">
      <c r="A2825" s="14"/>
      <c r="B2825" s="15"/>
      <c r="C2825" s="16"/>
      <c r="D2825" s="16"/>
      <c r="E2825" s="16"/>
      <c r="F2825" s="16"/>
      <c r="G2825" s="16"/>
      <c r="H2825" s="16"/>
      <c r="I2825" s="16"/>
      <c r="J2825" s="16"/>
      <c r="K2825" s="6"/>
      <c r="L2825" s="16"/>
    </row>
    <row r="2826" spans="1:12" ht="14" customHeight="1" x14ac:dyDescent="0.2">
      <c r="A2826" s="17"/>
      <c r="B2826" s="18"/>
      <c r="C2826" s="19"/>
      <c r="D2826" s="19"/>
      <c r="E2826" s="19"/>
      <c r="F2826" s="19"/>
      <c r="G2826" s="19"/>
      <c r="H2826" s="19"/>
      <c r="I2826" s="19"/>
      <c r="J2826" s="19"/>
      <c r="K2826" s="6"/>
      <c r="L2826" s="19"/>
    </row>
    <row r="2827" spans="1:12" ht="14" customHeight="1" x14ac:dyDescent="0.2">
      <c r="A2827" s="14"/>
      <c r="B2827" s="15"/>
      <c r="C2827" s="16"/>
      <c r="D2827" s="16"/>
      <c r="E2827" s="16"/>
      <c r="F2827" s="16"/>
      <c r="G2827" s="16"/>
      <c r="H2827" s="16"/>
      <c r="I2827" s="16"/>
      <c r="J2827" s="16"/>
      <c r="K2827" s="6"/>
      <c r="L2827" s="16"/>
    </row>
    <row r="2828" spans="1:12" ht="14" customHeight="1" x14ac:dyDescent="0.2">
      <c r="A2828" s="17"/>
      <c r="B2828" s="18"/>
      <c r="C2828" s="19"/>
      <c r="D2828" s="19"/>
      <c r="E2828" s="19"/>
      <c r="F2828" s="19"/>
      <c r="G2828" s="19"/>
      <c r="H2828" s="19"/>
      <c r="I2828" s="19"/>
      <c r="J2828" s="19"/>
      <c r="K2828" s="6"/>
      <c r="L2828" s="19"/>
    </row>
    <row r="2829" spans="1:12" ht="14" customHeight="1" x14ac:dyDescent="0.2">
      <c r="A2829" s="14"/>
      <c r="B2829" s="15"/>
      <c r="C2829" s="16"/>
      <c r="D2829" s="16"/>
      <c r="E2829" s="16"/>
      <c r="F2829" s="16"/>
      <c r="G2829" s="16"/>
      <c r="H2829" s="16"/>
      <c r="I2829" s="16"/>
      <c r="J2829" s="16"/>
      <c r="K2829" s="6"/>
      <c r="L2829" s="16"/>
    </row>
    <row r="2830" spans="1:12" ht="14" customHeight="1" x14ac:dyDescent="0.2">
      <c r="A2830" s="17"/>
      <c r="B2830" s="18"/>
      <c r="C2830" s="19"/>
      <c r="D2830" s="19"/>
      <c r="E2830" s="19"/>
      <c r="F2830" s="19"/>
      <c r="G2830" s="19"/>
      <c r="H2830" s="19"/>
      <c r="I2830" s="19"/>
      <c r="J2830" s="19"/>
      <c r="K2830" s="6"/>
      <c r="L2830" s="19"/>
    </row>
    <row r="2831" spans="1:12" ht="14" customHeight="1" x14ac:dyDescent="0.2">
      <c r="A2831" s="14"/>
      <c r="B2831" s="15"/>
      <c r="C2831" s="16"/>
      <c r="D2831" s="16"/>
      <c r="E2831" s="16"/>
      <c r="F2831" s="16"/>
      <c r="G2831" s="16"/>
      <c r="H2831" s="16"/>
      <c r="I2831" s="16"/>
      <c r="J2831" s="16"/>
      <c r="K2831" s="6"/>
      <c r="L2831" s="16"/>
    </row>
    <row r="2832" spans="1:12" ht="14" customHeight="1" x14ac:dyDescent="0.2">
      <c r="A2832" s="17"/>
      <c r="B2832" s="18"/>
      <c r="C2832" s="19"/>
      <c r="D2832" s="19"/>
      <c r="E2832" s="19"/>
      <c r="F2832" s="19"/>
      <c r="G2832" s="19"/>
      <c r="H2832" s="19"/>
      <c r="I2832" s="19"/>
      <c r="J2832" s="19"/>
      <c r="K2832" s="6"/>
      <c r="L2832" s="19"/>
    </row>
    <row r="2833" spans="1:12" ht="14" customHeight="1" x14ac:dyDescent="0.2">
      <c r="A2833" s="14"/>
      <c r="B2833" s="15"/>
      <c r="C2833" s="16"/>
      <c r="D2833" s="16"/>
      <c r="E2833" s="16"/>
      <c r="F2833" s="16"/>
      <c r="G2833" s="16"/>
      <c r="H2833" s="16"/>
      <c r="I2833" s="16"/>
      <c r="J2833" s="16"/>
      <c r="K2833" s="6"/>
      <c r="L2833" s="16"/>
    </row>
    <row r="2834" spans="1:12" ht="14" customHeight="1" x14ac:dyDescent="0.2">
      <c r="A2834" s="17"/>
      <c r="B2834" s="18"/>
      <c r="C2834" s="19"/>
      <c r="D2834" s="19"/>
      <c r="E2834" s="19"/>
      <c r="F2834" s="19"/>
      <c r="G2834" s="19"/>
      <c r="H2834" s="19"/>
      <c r="I2834" s="19"/>
      <c r="J2834" s="19"/>
      <c r="K2834" s="6"/>
      <c r="L2834" s="19"/>
    </row>
    <row r="2835" spans="1:12" ht="14" customHeight="1" x14ac:dyDescent="0.2">
      <c r="A2835" s="14"/>
      <c r="B2835" s="15"/>
      <c r="C2835" s="16"/>
      <c r="D2835" s="16"/>
      <c r="E2835" s="16"/>
      <c r="F2835" s="16"/>
      <c r="G2835" s="16"/>
      <c r="H2835" s="16"/>
      <c r="I2835" s="16"/>
      <c r="J2835" s="16"/>
      <c r="K2835" s="6"/>
      <c r="L2835" s="16"/>
    </row>
    <row r="2836" spans="1:12" ht="14" customHeight="1" x14ac:dyDescent="0.2">
      <c r="A2836" s="17"/>
      <c r="B2836" s="18"/>
      <c r="C2836" s="19"/>
      <c r="D2836" s="19"/>
      <c r="E2836" s="19"/>
      <c r="F2836" s="19"/>
      <c r="G2836" s="19"/>
      <c r="H2836" s="19"/>
      <c r="I2836" s="19"/>
      <c r="J2836" s="19"/>
      <c r="K2836" s="6"/>
      <c r="L2836" s="19"/>
    </row>
    <row r="2837" spans="1:12" ht="14" customHeight="1" x14ac:dyDescent="0.2">
      <c r="A2837" s="14"/>
      <c r="B2837" s="15"/>
      <c r="C2837" s="16"/>
      <c r="D2837" s="16"/>
      <c r="E2837" s="16"/>
      <c r="F2837" s="16"/>
      <c r="G2837" s="16"/>
      <c r="H2837" s="16"/>
      <c r="I2837" s="16"/>
      <c r="J2837" s="16"/>
      <c r="K2837" s="6"/>
      <c r="L2837" s="16"/>
    </row>
    <row r="2838" spans="1:12" ht="14" customHeight="1" x14ac:dyDescent="0.2">
      <c r="A2838" s="17"/>
      <c r="B2838" s="18"/>
      <c r="C2838" s="19"/>
      <c r="D2838" s="19"/>
      <c r="E2838" s="19"/>
      <c r="F2838" s="19"/>
      <c r="G2838" s="19"/>
      <c r="H2838" s="19"/>
      <c r="I2838" s="19"/>
      <c r="J2838" s="19"/>
      <c r="K2838" s="6"/>
      <c r="L2838" s="19"/>
    </row>
    <row r="2839" spans="1:12" ht="14" customHeight="1" x14ac:dyDescent="0.2">
      <c r="A2839" s="14"/>
      <c r="B2839" s="15"/>
      <c r="C2839" s="16"/>
      <c r="D2839" s="16"/>
      <c r="E2839" s="16"/>
      <c r="F2839" s="16"/>
      <c r="G2839" s="16"/>
      <c r="H2839" s="16"/>
      <c r="I2839" s="16"/>
      <c r="J2839" s="16"/>
      <c r="K2839" s="6"/>
      <c r="L2839" s="16"/>
    </row>
    <row r="2840" spans="1:12" ht="14" customHeight="1" x14ac:dyDescent="0.2">
      <c r="A2840" s="17"/>
      <c r="B2840" s="18"/>
      <c r="C2840" s="19"/>
      <c r="D2840" s="19"/>
      <c r="E2840" s="19"/>
      <c r="F2840" s="19"/>
      <c r="G2840" s="19"/>
      <c r="H2840" s="19"/>
      <c r="I2840" s="19"/>
      <c r="J2840" s="19"/>
      <c r="K2840" s="6"/>
      <c r="L2840" s="19"/>
    </row>
    <row r="2841" spans="1:12" ht="14" customHeight="1" x14ac:dyDescent="0.2">
      <c r="A2841" s="14"/>
      <c r="B2841" s="15"/>
      <c r="C2841" s="16"/>
      <c r="D2841" s="16"/>
      <c r="E2841" s="16"/>
      <c r="F2841" s="16"/>
      <c r="G2841" s="16"/>
      <c r="H2841" s="16"/>
      <c r="I2841" s="16"/>
      <c r="J2841" s="16"/>
      <c r="K2841" s="6"/>
      <c r="L2841" s="16"/>
    </row>
    <row r="2842" spans="1:12" ht="14" customHeight="1" x14ac:dyDescent="0.2">
      <c r="A2842" s="17"/>
      <c r="B2842" s="18"/>
      <c r="C2842" s="19"/>
      <c r="D2842" s="19"/>
      <c r="E2842" s="19"/>
      <c r="F2842" s="19"/>
      <c r="G2842" s="19"/>
      <c r="H2842" s="19"/>
      <c r="I2842" s="19"/>
      <c r="J2842" s="19"/>
      <c r="K2842" s="6"/>
      <c r="L2842" s="19"/>
    </row>
    <row r="2843" spans="1:12" ht="14" customHeight="1" x14ac:dyDescent="0.2">
      <c r="A2843" s="14"/>
      <c r="B2843" s="15"/>
      <c r="C2843" s="16"/>
      <c r="D2843" s="16"/>
      <c r="E2843" s="16"/>
      <c r="F2843" s="16"/>
      <c r="G2843" s="16"/>
      <c r="H2843" s="16"/>
      <c r="I2843" s="16"/>
      <c r="J2843" s="16"/>
      <c r="K2843" s="6"/>
      <c r="L2843" s="16"/>
    </row>
    <row r="2844" spans="1:12" ht="14" customHeight="1" x14ac:dyDescent="0.2">
      <c r="A2844" s="17"/>
      <c r="B2844" s="18"/>
      <c r="C2844" s="19"/>
      <c r="D2844" s="19"/>
      <c r="E2844" s="19"/>
      <c r="F2844" s="19"/>
      <c r="G2844" s="19"/>
      <c r="H2844" s="19"/>
      <c r="I2844" s="19"/>
      <c r="J2844" s="19"/>
      <c r="K2844" s="6"/>
      <c r="L2844" s="19"/>
    </row>
    <row r="2845" spans="1:12" ht="14" customHeight="1" x14ac:dyDescent="0.2">
      <c r="A2845" s="14"/>
      <c r="B2845" s="15"/>
      <c r="C2845" s="16"/>
      <c r="D2845" s="16"/>
      <c r="E2845" s="16"/>
      <c r="F2845" s="16"/>
      <c r="G2845" s="16"/>
      <c r="H2845" s="16"/>
      <c r="I2845" s="16"/>
      <c r="J2845" s="16"/>
      <c r="K2845" s="6"/>
      <c r="L2845" s="16"/>
    </row>
    <row r="2846" spans="1:12" ht="14" customHeight="1" x14ac:dyDescent="0.2">
      <c r="A2846" s="17"/>
      <c r="B2846" s="18"/>
      <c r="C2846" s="19"/>
      <c r="D2846" s="19"/>
      <c r="E2846" s="19"/>
      <c r="F2846" s="19"/>
      <c r="G2846" s="19"/>
      <c r="H2846" s="19"/>
      <c r="I2846" s="19"/>
      <c r="J2846" s="19"/>
      <c r="K2846" s="6"/>
      <c r="L2846" s="19"/>
    </row>
    <row r="2847" spans="1:12" ht="14" customHeight="1" x14ac:dyDescent="0.2">
      <c r="A2847" s="14"/>
      <c r="B2847" s="15"/>
      <c r="C2847" s="16"/>
      <c r="D2847" s="16"/>
      <c r="E2847" s="16"/>
      <c r="F2847" s="16"/>
      <c r="G2847" s="16"/>
      <c r="H2847" s="16"/>
      <c r="I2847" s="16"/>
      <c r="J2847" s="16"/>
      <c r="K2847" s="6"/>
      <c r="L2847" s="16"/>
    </row>
    <row r="2848" spans="1:12" ht="14" customHeight="1" x14ac:dyDescent="0.2">
      <c r="A2848" s="17"/>
      <c r="B2848" s="18"/>
      <c r="C2848" s="19"/>
      <c r="D2848" s="19"/>
      <c r="E2848" s="19"/>
      <c r="F2848" s="19"/>
      <c r="G2848" s="19"/>
      <c r="H2848" s="19"/>
      <c r="I2848" s="19"/>
      <c r="J2848" s="19"/>
      <c r="K2848" s="6"/>
      <c r="L2848" s="19"/>
    </row>
    <row r="2849" spans="1:12" ht="14" customHeight="1" x14ac:dyDescent="0.2">
      <c r="A2849" s="14"/>
      <c r="B2849" s="15"/>
      <c r="C2849" s="16"/>
      <c r="D2849" s="16"/>
      <c r="E2849" s="16"/>
      <c r="F2849" s="16"/>
      <c r="G2849" s="16"/>
      <c r="H2849" s="16"/>
      <c r="I2849" s="16"/>
      <c r="J2849" s="16"/>
      <c r="K2849" s="6"/>
      <c r="L2849" s="16"/>
    </row>
    <row r="2850" spans="1:12" ht="14" customHeight="1" x14ac:dyDescent="0.2">
      <c r="A2850" s="17"/>
      <c r="B2850" s="18"/>
      <c r="C2850" s="19"/>
      <c r="D2850" s="19"/>
      <c r="E2850" s="19"/>
      <c r="F2850" s="19"/>
      <c r="G2850" s="19"/>
      <c r="H2850" s="19"/>
      <c r="I2850" s="19"/>
      <c r="J2850" s="19"/>
      <c r="K2850" s="6"/>
      <c r="L2850" s="19"/>
    </row>
    <row r="2851" spans="1:12" ht="14" customHeight="1" x14ac:dyDescent="0.2">
      <c r="A2851" s="14"/>
      <c r="B2851" s="15"/>
      <c r="C2851" s="16"/>
      <c r="D2851" s="16"/>
      <c r="E2851" s="16"/>
      <c r="F2851" s="16"/>
      <c r="G2851" s="16"/>
      <c r="H2851" s="16"/>
      <c r="I2851" s="16"/>
      <c r="J2851" s="16"/>
      <c r="K2851" s="6"/>
      <c r="L2851" s="16"/>
    </row>
    <row r="2852" spans="1:12" ht="14" customHeight="1" x14ac:dyDescent="0.2">
      <c r="A2852" s="17"/>
      <c r="B2852" s="18"/>
      <c r="C2852" s="19"/>
      <c r="D2852" s="19"/>
      <c r="E2852" s="19"/>
      <c r="F2852" s="19"/>
      <c r="G2852" s="19"/>
      <c r="H2852" s="19"/>
      <c r="I2852" s="19"/>
      <c r="J2852" s="19"/>
      <c r="K2852" s="6"/>
      <c r="L2852" s="19"/>
    </row>
    <row r="2853" spans="1:12" ht="14" customHeight="1" x14ac:dyDescent="0.2">
      <c r="A2853" s="14"/>
      <c r="B2853" s="15"/>
      <c r="C2853" s="16"/>
      <c r="D2853" s="16"/>
      <c r="E2853" s="16"/>
      <c r="F2853" s="16"/>
      <c r="G2853" s="16"/>
      <c r="H2853" s="16"/>
      <c r="I2853" s="16"/>
      <c r="J2853" s="16"/>
      <c r="K2853" s="6"/>
      <c r="L2853" s="16"/>
    </row>
    <row r="2854" spans="1:12" ht="14" customHeight="1" x14ac:dyDescent="0.2">
      <c r="A2854" s="17"/>
      <c r="B2854" s="18"/>
      <c r="C2854" s="19"/>
      <c r="D2854" s="19"/>
      <c r="E2854" s="19"/>
      <c r="F2854" s="19"/>
      <c r="G2854" s="19"/>
      <c r="H2854" s="19"/>
      <c r="I2854" s="19"/>
      <c r="J2854" s="19"/>
      <c r="K2854" s="6"/>
      <c r="L2854" s="19"/>
    </row>
    <row r="2855" spans="1:12" ht="14" customHeight="1" x14ac:dyDescent="0.2">
      <c r="A2855" s="14"/>
      <c r="B2855" s="15"/>
      <c r="C2855" s="16"/>
      <c r="D2855" s="16"/>
      <c r="E2855" s="16"/>
      <c r="F2855" s="16"/>
      <c r="G2855" s="16"/>
      <c r="H2855" s="16"/>
      <c r="I2855" s="16"/>
      <c r="J2855" s="16"/>
      <c r="K2855" s="6"/>
      <c r="L2855" s="16"/>
    </row>
    <row r="2856" spans="1:12" ht="14" customHeight="1" x14ac:dyDescent="0.2">
      <c r="A2856" s="17"/>
      <c r="B2856" s="18"/>
      <c r="C2856" s="19"/>
      <c r="D2856" s="19"/>
      <c r="E2856" s="19"/>
      <c r="F2856" s="19"/>
      <c r="G2856" s="19"/>
      <c r="H2856" s="19"/>
      <c r="I2856" s="19"/>
      <c r="J2856" s="19"/>
      <c r="K2856" s="6"/>
      <c r="L2856" s="19"/>
    </row>
    <row r="2857" spans="1:12" ht="14" customHeight="1" x14ac:dyDescent="0.2">
      <c r="A2857" s="14"/>
      <c r="B2857" s="15"/>
      <c r="C2857" s="16"/>
      <c r="D2857" s="16"/>
      <c r="E2857" s="16"/>
      <c r="F2857" s="16"/>
      <c r="G2857" s="16"/>
      <c r="H2857" s="16"/>
      <c r="I2857" s="16"/>
      <c r="J2857" s="16"/>
      <c r="K2857" s="6"/>
      <c r="L2857" s="16"/>
    </row>
    <row r="2858" spans="1:12" ht="14" customHeight="1" x14ac:dyDescent="0.2">
      <c r="A2858" s="17"/>
      <c r="B2858" s="18"/>
      <c r="C2858" s="19"/>
      <c r="D2858" s="19"/>
      <c r="E2858" s="19"/>
      <c r="F2858" s="19"/>
      <c r="G2858" s="19"/>
      <c r="H2858" s="19"/>
      <c r="I2858" s="19"/>
      <c r="J2858" s="19"/>
      <c r="K2858" s="6"/>
      <c r="L2858" s="19"/>
    </row>
    <row r="2859" spans="1:12" ht="14" customHeight="1" x14ac:dyDescent="0.2">
      <c r="A2859" s="14"/>
      <c r="B2859" s="15"/>
      <c r="C2859" s="16"/>
      <c r="D2859" s="16"/>
      <c r="E2859" s="16"/>
      <c r="F2859" s="16"/>
      <c r="G2859" s="16"/>
      <c r="H2859" s="16"/>
      <c r="I2859" s="16"/>
      <c r="J2859" s="16"/>
      <c r="K2859" s="6"/>
      <c r="L2859" s="16"/>
    </row>
    <row r="2860" spans="1:12" ht="14" customHeight="1" x14ac:dyDescent="0.2">
      <c r="A2860" s="17"/>
      <c r="B2860" s="18"/>
      <c r="C2860" s="19"/>
      <c r="D2860" s="19"/>
      <c r="E2860" s="19"/>
      <c r="F2860" s="19"/>
      <c r="G2860" s="19"/>
      <c r="H2860" s="19"/>
      <c r="I2860" s="19"/>
      <c r="J2860" s="19"/>
      <c r="K2860" s="6"/>
      <c r="L2860" s="19"/>
    </row>
    <row r="2861" spans="1:12" ht="14" customHeight="1" x14ac:dyDescent="0.2">
      <c r="A2861" s="14"/>
      <c r="B2861" s="15"/>
      <c r="C2861" s="16"/>
      <c r="D2861" s="16"/>
      <c r="E2861" s="16"/>
      <c r="F2861" s="16"/>
      <c r="G2861" s="16"/>
      <c r="H2861" s="16"/>
      <c r="I2861" s="16"/>
      <c r="J2861" s="16"/>
      <c r="K2861" s="6"/>
      <c r="L2861" s="16"/>
    </row>
    <row r="2862" spans="1:12" ht="14" customHeight="1" x14ac:dyDescent="0.2">
      <c r="A2862" s="17"/>
      <c r="B2862" s="18"/>
      <c r="C2862" s="19"/>
      <c r="D2862" s="19"/>
      <c r="E2862" s="19"/>
      <c r="F2862" s="19"/>
      <c r="G2862" s="19"/>
      <c r="H2862" s="19"/>
      <c r="I2862" s="19"/>
      <c r="J2862" s="19"/>
      <c r="K2862" s="6"/>
      <c r="L2862" s="19"/>
    </row>
    <row r="2863" spans="1:12" ht="14" customHeight="1" x14ac:dyDescent="0.2">
      <c r="A2863" s="14"/>
      <c r="B2863" s="15"/>
      <c r="C2863" s="16"/>
      <c r="D2863" s="16"/>
      <c r="E2863" s="16"/>
      <c r="F2863" s="16"/>
      <c r="G2863" s="16"/>
      <c r="H2863" s="16"/>
      <c r="I2863" s="16"/>
      <c r="J2863" s="16"/>
      <c r="K2863" s="6"/>
      <c r="L2863" s="16"/>
    </row>
    <row r="2864" spans="1:12" ht="14" customHeight="1" x14ac:dyDescent="0.2">
      <c r="A2864" s="17"/>
      <c r="B2864" s="18"/>
      <c r="C2864" s="19"/>
      <c r="D2864" s="19"/>
      <c r="E2864" s="19"/>
      <c r="F2864" s="19"/>
      <c r="G2864" s="19"/>
      <c r="H2864" s="19"/>
      <c r="I2864" s="19"/>
      <c r="J2864" s="19"/>
      <c r="K2864" s="6"/>
      <c r="L2864" s="19"/>
    </row>
    <row r="2865" spans="1:12" ht="14" customHeight="1" x14ac:dyDescent="0.2">
      <c r="A2865" s="14"/>
      <c r="B2865" s="15"/>
      <c r="C2865" s="16"/>
      <c r="D2865" s="16"/>
      <c r="E2865" s="16"/>
      <c r="F2865" s="16"/>
      <c r="G2865" s="16"/>
      <c r="H2865" s="16"/>
      <c r="I2865" s="16"/>
      <c r="J2865" s="16"/>
      <c r="K2865" s="6"/>
      <c r="L2865" s="16"/>
    </row>
    <row r="2866" spans="1:12" ht="14" customHeight="1" x14ac:dyDescent="0.2">
      <c r="A2866" s="17"/>
      <c r="B2866" s="18"/>
      <c r="C2866" s="19"/>
      <c r="D2866" s="19"/>
      <c r="E2866" s="19"/>
      <c r="F2866" s="19"/>
      <c r="G2866" s="19"/>
      <c r="H2866" s="19"/>
      <c r="I2866" s="19"/>
      <c r="J2866" s="19"/>
      <c r="K2866" s="6"/>
      <c r="L2866" s="19"/>
    </row>
    <row r="2867" spans="1:12" ht="14" customHeight="1" x14ac:dyDescent="0.2">
      <c r="A2867" s="14"/>
      <c r="B2867" s="15"/>
      <c r="C2867" s="16"/>
      <c r="D2867" s="16"/>
      <c r="E2867" s="16"/>
      <c r="F2867" s="16"/>
      <c r="G2867" s="16"/>
      <c r="H2867" s="16"/>
      <c r="I2867" s="16"/>
      <c r="J2867" s="16"/>
      <c r="K2867" s="6"/>
      <c r="L2867" s="16"/>
    </row>
    <row r="2868" spans="1:12" ht="14" customHeight="1" x14ac:dyDescent="0.2">
      <c r="A2868" s="17"/>
      <c r="B2868" s="18"/>
      <c r="C2868" s="19"/>
      <c r="D2868" s="19"/>
      <c r="E2868" s="19"/>
      <c r="F2868" s="19"/>
      <c r="G2868" s="19"/>
      <c r="H2868" s="19"/>
      <c r="I2868" s="19"/>
      <c r="J2868" s="19"/>
      <c r="K2868" s="6"/>
      <c r="L2868" s="19"/>
    </row>
    <row r="2869" spans="1:12" ht="14" customHeight="1" x14ac:dyDescent="0.2">
      <c r="A2869" s="14"/>
      <c r="B2869" s="15"/>
      <c r="C2869" s="16"/>
      <c r="D2869" s="16"/>
      <c r="E2869" s="16"/>
      <c r="F2869" s="16"/>
      <c r="G2869" s="16"/>
      <c r="H2869" s="16"/>
      <c r="I2869" s="16"/>
      <c r="J2869" s="16"/>
      <c r="K2869" s="6"/>
      <c r="L2869" s="16"/>
    </row>
    <row r="2870" spans="1:12" ht="14" customHeight="1" x14ac:dyDescent="0.2">
      <c r="A2870" s="17"/>
      <c r="B2870" s="18"/>
      <c r="C2870" s="19"/>
      <c r="D2870" s="19"/>
      <c r="E2870" s="19"/>
      <c r="F2870" s="19"/>
      <c r="G2870" s="19"/>
      <c r="H2870" s="19"/>
      <c r="I2870" s="19"/>
      <c r="J2870" s="19"/>
      <c r="K2870" s="6"/>
      <c r="L2870" s="19"/>
    </row>
    <row r="2871" spans="1:12" ht="14" customHeight="1" x14ac:dyDescent="0.2">
      <c r="A2871" s="14"/>
      <c r="B2871" s="15"/>
      <c r="C2871" s="16"/>
      <c r="D2871" s="16"/>
      <c r="E2871" s="16"/>
      <c r="F2871" s="16"/>
      <c r="G2871" s="16"/>
      <c r="H2871" s="16"/>
      <c r="I2871" s="16"/>
      <c r="J2871" s="16"/>
      <c r="K2871" s="6"/>
      <c r="L2871" s="16"/>
    </row>
    <row r="2872" spans="1:12" ht="14" customHeight="1" x14ac:dyDescent="0.2">
      <c r="A2872" s="17"/>
      <c r="B2872" s="18"/>
      <c r="C2872" s="19"/>
      <c r="D2872" s="19"/>
      <c r="E2872" s="19"/>
      <c r="F2872" s="19"/>
      <c r="G2872" s="19"/>
      <c r="H2872" s="19"/>
      <c r="I2872" s="19"/>
      <c r="J2872" s="19"/>
      <c r="K2872" s="6"/>
      <c r="L2872" s="19"/>
    </row>
    <row r="2873" spans="1:12" ht="14" customHeight="1" x14ac:dyDescent="0.2">
      <c r="A2873" s="14"/>
      <c r="B2873" s="15"/>
      <c r="C2873" s="16"/>
      <c r="D2873" s="16"/>
      <c r="E2873" s="16"/>
      <c r="F2873" s="16"/>
      <c r="G2873" s="16"/>
      <c r="H2873" s="16"/>
      <c r="I2873" s="16"/>
      <c r="J2873" s="16"/>
      <c r="K2873" s="6"/>
      <c r="L2873" s="16"/>
    </row>
    <row r="2874" spans="1:12" ht="14" customHeight="1" x14ac:dyDescent="0.2">
      <c r="A2874" s="17"/>
      <c r="B2874" s="18"/>
      <c r="C2874" s="19"/>
      <c r="D2874" s="19"/>
      <c r="E2874" s="19"/>
      <c r="F2874" s="19"/>
      <c r="G2874" s="19"/>
      <c r="H2874" s="19"/>
      <c r="I2874" s="19"/>
      <c r="J2874" s="19"/>
      <c r="K2874" s="6"/>
      <c r="L2874" s="19"/>
    </row>
    <row r="2875" spans="1:12" ht="14" customHeight="1" x14ac:dyDescent="0.2">
      <c r="A2875" s="14"/>
      <c r="B2875" s="15"/>
      <c r="C2875" s="16"/>
      <c r="D2875" s="16"/>
      <c r="E2875" s="16"/>
      <c r="F2875" s="16"/>
      <c r="G2875" s="16"/>
      <c r="H2875" s="16"/>
      <c r="I2875" s="16"/>
      <c r="J2875" s="16"/>
      <c r="K2875" s="6"/>
      <c r="L2875" s="16"/>
    </row>
    <row r="2876" spans="1:12" ht="14" customHeight="1" x14ac:dyDescent="0.2">
      <c r="A2876" s="17"/>
      <c r="B2876" s="18"/>
      <c r="C2876" s="19"/>
      <c r="D2876" s="19"/>
      <c r="E2876" s="19"/>
      <c r="F2876" s="19"/>
      <c r="G2876" s="19"/>
      <c r="H2876" s="19"/>
      <c r="I2876" s="19"/>
      <c r="J2876" s="19"/>
      <c r="K2876" s="6"/>
      <c r="L2876" s="19"/>
    </row>
    <row r="2877" spans="1:12" ht="14" customHeight="1" x14ac:dyDescent="0.2">
      <c r="A2877" s="14"/>
      <c r="B2877" s="15"/>
      <c r="C2877" s="16"/>
      <c r="D2877" s="16"/>
      <c r="E2877" s="16"/>
      <c r="F2877" s="16"/>
      <c r="G2877" s="16"/>
      <c r="H2877" s="16"/>
      <c r="I2877" s="16"/>
      <c r="J2877" s="16"/>
      <c r="K2877" s="6"/>
      <c r="L2877" s="16"/>
    </row>
    <row r="2878" spans="1:12" ht="14" customHeight="1" x14ac:dyDescent="0.2">
      <c r="A2878" s="17"/>
      <c r="B2878" s="18"/>
      <c r="C2878" s="19"/>
      <c r="D2878" s="19"/>
      <c r="E2878" s="19"/>
      <c r="F2878" s="19"/>
      <c r="G2878" s="19"/>
      <c r="H2878" s="19"/>
      <c r="I2878" s="19"/>
      <c r="J2878" s="19"/>
      <c r="K2878" s="6"/>
      <c r="L2878" s="19"/>
    </row>
    <row r="2879" spans="1:12" ht="14" customHeight="1" x14ac:dyDescent="0.2">
      <c r="A2879" s="14"/>
      <c r="B2879" s="15"/>
      <c r="C2879" s="16"/>
      <c r="D2879" s="16"/>
      <c r="E2879" s="16"/>
      <c r="F2879" s="16"/>
      <c r="G2879" s="16"/>
      <c r="H2879" s="16"/>
      <c r="I2879" s="16"/>
      <c r="J2879" s="16"/>
      <c r="K2879" s="6"/>
      <c r="L2879" s="16"/>
    </row>
    <row r="2880" spans="1:12" ht="14" customHeight="1" x14ac:dyDescent="0.2">
      <c r="A2880" s="17"/>
      <c r="B2880" s="18"/>
      <c r="C2880" s="19"/>
      <c r="D2880" s="19"/>
      <c r="E2880" s="19"/>
      <c r="F2880" s="19"/>
      <c r="G2880" s="19"/>
      <c r="H2880" s="19"/>
      <c r="I2880" s="19"/>
      <c r="J2880" s="19"/>
      <c r="K2880" s="6"/>
      <c r="L2880" s="19"/>
    </row>
    <row r="2881" spans="1:12" ht="14" customHeight="1" x14ac:dyDescent="0.2">
      <c r="A2881" s="14"/>
      <c r="B2881" s="15"/>
      <c r="C2881" s="16"/>
      <c r="D2881" s="16"/>
      <c r="E2881" s="16"/>
      <c r="F2881" s="16"/>
      <c r="G2881" s="16"/>
      <c r="H2881" s="16"/>
      <c r="I2881" s="16"/>
      <c r="J2881" s="16"/>
      <c r="K2881" s="6"/>
      <c r="L2881" s="16"/>
    </row>
    <row r="2882" spans="1:12" ht="14" customHeight="1" x14ac:dyDescent="0.2">
      <c r="A2882" s="17"/>
      <c r="B2882" s="18"/>
      <c r="C2882" s="19"/>
      <c r="D2882" s="19"/>
      <c r="E2882" s="19"/>
      <c r="F2882" s="19"/>
      <c r="G2882" s="19"/>
      <c r="H2882" s="19"/>
      <c r="I2882" s="19"/>
      <c r="J2882" s="19"/>
      <c r="K2882" s="6"/>
      <c r="L2882" s="19"/>
    </row>
    <row r="2883" spans="1:12" ht="14" customHeight="1" x14ac:dyDescent="0.2">
      <c r="A2883" s="14"/>
      <c r="B2883" s="15"/>
      <c r="C2883" s="16"/>
      <c r="D2883" s="16"/>
      <c r="E2883" s="16"/>
      <c r="F2883" s="16"/>
      <c r="G2883" s="16"/>
      <c r="H2883" s="16"/>
      <c r="I2883" s="16"/>
      <c r="J2883" s="16"/>
      <c r="K2883" s="6"/>
      <c r="L2883" s="16"/>
    </row>
    <row r="2884" spans="1:12" ht="14" customHeight="1" x14ac:dyDescent="0.2">
      <c r="A2884" s="17"/>
      <c r="B2884" s="18"/>
      <c r="C2884" s="19"/>
      <c r="D2884" s="19"/>
      <c r="E2884" s="19"/>
      <c r="F2884" s="19"/>
      <c r="G2884" s="19"/>
      <c r="H2884" s="19"/>
      <c r="I2884" s="19"/>
      <c r="J2884" s="19"/>
      <c r="K2884" s="6"/>
      <c r="L2884" s="19"/>
    </row>
    <row r="2885" spans="1:12" ht="14" customHeight="1" x14ac:dyDescent="0.2">
      <c r="A2885" s="14"/>
      <c r="B2885" s="15"/>
      <c r="C2885" s="16"/>
      <c r="D2885" s="16"/>
      <c r="E2885" s="16"/>
      <c r="F2885" s="16"/>
      <c r="G2885" s="16"/>
      <c r="H2885" s="16"/>
      <c r="I2885" s="16"/>
      <c r="J2885" s="16"/>
      <c r="K2885" s="6"/>
      <c r="L2885" s="16"/>
    </row>
    <row r="2886" spans="1:12" ht="14" customHeight="1" x14ac:dyDescent="0.2">
      <c r="A2886" s="17"/>
      <c r="B2886" s="18"/>
      <c r="C2886" s="19"/>
      <c r="D2886" s="19"/>
      <c r="E2886" s="19"/>
      <c r="F2886" s="19"/>
      <c r="G2886" s="19"/>
      <c r="H2886" s="19"/>
      <c r="I2886" s="19"/>
      <c r="J2886" s="19"/>
      <c r="K2886" s="6"/>
      <c r="L2886" s="19"/>
    </row>
    <row r="2887" spans="1:12" ht="14" customHeight="1" x14ac:dyDescent="0.2">
      <c r="A2887" s="14"/>
      <c r="B2887" s="15"/>
      <c r="C2887" s="16"/>
      <c r="D2887" s="16"/>
      <c r="E2887" s="16"/>
      <c r="F2887" s="16"/>
      <c r="G2887" s="16"/>
      <c r="H2887" s="16"/>
      <c r="I2887" s="16"/>
      <c r="J2887" s="16"/>
      <c r="K2887" s="6"/>
      <c r="L2887" s="16"/>
    </row>
    <row r="2888" spans="1:12" ht="14" customHeight="1" x14ac:dyDescent="0.2">
      <c r="A2888" s="17"/>
      <c r="B2888" s="18"/>
      <c r="C2888" s="19"/>
      <c r="D2888" s="19"/>
      <c r="E2888" s="19"/>
      <c r="F2888" s="19"/>
      <c r="G2888" s="19"/>
      <c r="H2888" s="19"/>
      <c r="I2888" s="19"/>
      <c r="J2888" s="19"/>
      <c r="K2888" s="6"/>
      <c r="L2888" s="19"/>
    </row>
    <row r="2889" spans="1:12" ht="14" customHeight="1" x14ac:dyDescent="0.2">
      <c r="A2889" s="14"/>
      <c r="B2889" s="15"/>
      <c r="C2889" s="16"/>
      <c r="D2889" s="16"/>
      <c r="E2889" s="16"/>
      <c r="F2889" s="16"/>
      <c r="G2889" s="16"/>
      <c r="H2889" s="16"/>
      <c r="I2889" s="16"/>
      <c r="J2889" s="16"/>
      <c r="K2889" s="6"/>
      <c r="L2889" s="16"/>
    </row>
    <row r="2890" spans="1:12" ht="14" customHeight="1" x14ac:dyDescent="0.2">
      <c r="A2890" s="17"/>
      <c r="B2890" s="18"/>
      <c r="C2890" s="19"/>
      <c r="D2890" s="19"/>
      <c r="E2890" s="19"/>
      <c r="F2890" s="19"/>
      <c r="G2890" s="19"/>
      <c r="H2890" s="19"/>
      <c r="I2890" s="19"/>
      <c r="J2890" s="19"/>
      <c r="K2890" s="6"/>
      <c r="L2890" s="19"/>
    </row>
    <row r="2891" spans="1:12" ht="14" customHeight="1" x14ac:dyDescent="0.2">
      <c r="A2891" s="14"/>
      <c r="B2891" s="15"/>
      <c r="C2891" s="16"/>
      <c r="D2891" s="16"/>
      <c r="E2891" s="16"/>
      <c r="F2891" s="16"/>
      <c r="G2891" s="16"/>
      <c r="H2891" s="16"/>
      <c r="I2891" s="16"/>
      <c r="J2891" s="16"/>
      <c r="K2891" s="6"/>
      <c r="L2891" s="16"/>
    </row>
    <row r="2892" spans="1:12" ht="14" customHeight="1" x14ac:dyDescent="0.2">
      <c r="A2892" s="17"/>
      <c r="B2892" s="18"/>
      <c r="C2892" s="19"/>
      <c r="D2892" s="19"/>
      <c r="E2892" s="19"/>
      <c r="F2892" s="19"/>
      <c r="G2892" s="19"/>
      <c r="H2892" s="19"/>
      <c r="I2892" s="19"/>
      <c r="J2892" s="19"/>
      <c r="K2892" s="6"/>
      <c r="L2892" s="19"/>
    </row>
    <row r="2893" spans="1:12" ht="14" customHeight="1" x14ac:dyDescent="0.2">
      <c r="A2893" s="14"/>
      <c r="B2893" s="15"/>
      <c r="C2893" s="16"/>
      <c r="D2893" s="16"/>
      <c r="E2893" s="16"/>
      <c r="F2893" s="16"/>
      <c r="G2893" s="16"/>
      <c r="H2893" s="16"/>
      <c r="I2893" s="16"/>
      <c r="J2893" s="16"/>
      <c r="K2893" s="6"/>
      <c r="L2893" s="16"/>
    </row>
    <row r="2894" spans="1:12" ht="14" customHeight="1" x14ac:dyDescent="0.2">
      <c r="A2894" s="17"/>
      <c r="B2894" s="18"/>
      <c r="C2894" s="19"/>
      <c r="D2894" s="19"/>
      <c r="E2894" s="19"/>
      <c r="F2894" s="19"/>
      <c r="G2894" s="19"/>
      <c r="H2894" s="19"/>
      <c r="I2894" s="19"/>
      <c r="J2894" s="19"/>
      <c r="K2894" s="6"/>
      <c r="L2894" s="19"/>
    </row>
    <row r="2895" spans="1:12" ht="14" customHeight="1" x14ac:dyDescent="0.2">
      <c r="A2895" s="14"/>
      <c r="B2895" s="15"/>
      <c r="C2895" s="16"/>
      <c r="D2895" s="16"/>
      <c r="E2895" s="16"/>
      <c r="F2895" s="16"/>
      <c r="G2895" s="16"/>
      <c r="H2895" s="16"/>
      <c r="I2895" s="16"/>
      <c r="J2895" s="16"/>
      <c r="K2895" s="6"/>
      <c r="L2895" s="16"/>
    </row>
    <row r="2896" spans="1:12" ht="14" customHeight="1" x14ac:dyDescent="0.2">
      <c r="A2896" s="17"/>
      <c r="B2896" s="18"/>
      <c r="C2896" s="19"/>
      <c r="D2896" s="19"/>
      <c r="E2896" s="19"/>
      <c r="F2896" s="19"/>
      <c r="G2896" s="19"/>
      <c r="H2896" s="19"/>
      <c r="I2896" s="19"/>
      <c r="J2896" s="19"/>
      <c r="K2896" s="6"/>
      <c r="L2896" s="19"/>
    </row>
    <row r="2897" spans="1:12" ht="14" customHeight="1" x14ac:dyDescent="0.2">
      <c r="A2897" s="14"/>
      <c r="B2897" s="15"/>
      <c r="C2897" s="16"/>
      <c r="D2897" s="16"/>
      <c r="E2897" s="16"/>
      <c r="F2897" s="16"/>
      <c r="G2897" s="16"/>
      <c r="H2897" s="16"/>
      <c r="I2897" s="16"/>
      <c r="J2897" s="16"/>
      <c r="K2897" s="6"/>
      <c r="L2897" s="16"/>
    </row>
    <row r="2898" spans="1:12" ht="14" customHeight="1" x14ac:dyDescent="0.2">
      <c r="A2898" s="17"/>
      <c r="B2898" s="18"/>
      <c r="C2898" s="19"/>
      <c r="D2898" s="19"/>
      <c r="E2898" s="19"/>
      <c r="F2898" s="19"/>
      <c r="G2898" s="19"/>
      <c r="H2898" s="19"/>
      <c r="I2898" s="19"/>
      <c r="J2898" s="19"/>
      <c r="K2898" s="6"/>
      <c r="L2898" s="19"/>
    </row>
    <row r="2899" spans="1:12" ht="14" customHeight="1" x14ac:dyDescent="0.2">
      <c r="A2899" s="14"/>
      <c r="B2899" s="15"/>
      <c r="C2899" s="16"/>
      <c r="D2899" s="16"/>
      <c r="E2899" s="16"/>
      <c r="F2899" s="16"/>
      <c r="G2899" s="16"/>
      <c r="H2899" s="16"/>
      <c r="I2899" s="16"/>
      <c r="J2899" s="16"/>
      <c r="K2899" s="6"/>
      <c r="L2899" s="16"/>
    </row>
    <row r="2900" spans="1:12" ht="14" customHeight="1" x14ac:dyDescent="0.2">
      <c r="A2900" s="17"/>
      <c r="B2900" s="18"/>
      <c r="C2900" s="19"/>
      <c r="D2900" s="19"/>
      <c r="E2900" s="19"/>
      <c r="F2900" s="19"/>
      <c r="G2900" s="19"/>
      <c r="H2900" s="19"/>
      <c r="I2900" s="19"/>
      <c r="J2900" s="19"/>
      <c r="K2900" s="6"/>
      <c r="L2900" s="19"/>
    </row>
    <row r="2901" spans="1:12" ht="14" customHeight="1" x14ac:dyDescent="0.2">
      <c r="A2901" s="14"/>
      <c r="B2901" s="15"/>
      <c r="C2901" s="16"/>
      <c r="D2901" s="16"/>
      <c r="E2901" s="16"/>
      <c r="F2901" s="16"/>
      <c r="G2901" s="16"/>
      <c r="H2901" s="16"/>
      <c r="I2901" s="16"/>
      <c r="J2901" s="16"/>
      <c r="K2901" s="6"/>
      <c r="L2901" s="16"/>
    </row>
    <row r="2902" spans="1:12" ht="14" customHeight="1" x14ac:dyDescent="0.2">
      <c r="A2902" s="17"/>
      <c r="B2902" s="18"/>
      <c r="C2902" s="19"/>
      <c r="D2902" s="19"/>
      <c r="E2902" s="19"/>
      <c r="F2902" s="19"/>
      <c r="G2902" s="19"/>
      <c r="H2902" s="19"/>
      <c r="I2902" s="19"/>
      <c r="J2902" s="19"/>
      <c r="K2902" s="6"/>
      <c r="L2902" s="19"/>
    </row>
    <row r="2903" spans="1:12" ht="14" customHeight="1" x14ac:dyDescent="0.2">
      <c r="A2903" s="14"/>
      <c r="B2903" s="15"/>
      <c r="C2903" s="16"/>
      <c r="D2903" s="16"/>
      <c r="E2903" s="16"/>
      <c r="F2903" s="16"/>
      <c r="G2903" s="16"/>
      <c r="H2903" s="16"/>
      <c r="I2903" s="16"/>
      <c r="J2903" s="16"/>
      <c r="K2903" s="6"/>
      <c r="L2903" s="16"/>
    </row>
    <row r="2904" spans="1:12" ht="14" customHeight="1" x14ac:dyDescent="0.2">
      <c r="A2904" s="17"/>
      <c r="B2904" s="18"/>
      <c r="C2904" s="19"/>
      <c r="D2904" s="19"/>
      <c r="E2904" s="19"/>
      <c r="F2904" s="19"/>
      <c r="G2904" s="19"/>
      <c r="H2904" s="19"/>
      <c r="I2904" s="19"/>
      <c r="J2904" s="19"/>
      <c r="K2904" s="6"/>
      <c r="L2904" s="19"/>
    </row>
    <row r="2905" spans="1:12" ht="14" customHeight="1" x14ac:dyDescent="0.2">
      <c r="A2905" s="14"/>
      <c r="B2905" s="15"/>
      <c r="C2905" s="16"/>
      <c r="D2905" s="16"/>
      <c r="E2905" s="16"/>
      <c r="F2905" s="16"/>
      <c r="G2905" s="16"/>
      <c r="H2905" s="16"/>
      <c r="I2905" s="16"/>
      <c r="J2905" s="16"/>
      <c r="K2905" s="6"/>
      <c r="L2905" s="16"/>
    </row>
    <row r="2906" spans="1:12" ht="14" customHeight="1" x14ac:dyDescent="0.2">
      <c r="A2906" s="17"/>
      <c r="B2906" s="18"/>
      <c r="C2906" s="19"/>
      <c r="D2906" s="19"/>
      <c r="E2906" s="19"/>
      <c r="F2906" s="19"/>
      <c r="G2906" s="19"/>
      <c r="H2906" s="19"/>
      <c r="I2906" s="19"/>
      <c r="J2906" s="19"/>
      <c r="K2906" s="6"/>
      <c r="L2906" s="19"/>
    </row>
    <row r="2907" spans="1:12" ht="14" customHeight="1" x14ac:dyDescent="0.2">
      <c r="A2907" s="14"/>
      <c r="B2907" s="15"/>
      <c r="C2907" s="16"/>
      <c r="D2907" s="16"/>
      <c r="E2907" s="16"/>
      <c r="F2907" s="16"/>
      <c r="G2907" s="16"/>
      <c r="H2907" s="16"/>
      <c r="I2907" s="16"/>
      <c r="J2907" s="16"/>
      <c r="K2907" s="6"/>
      <c r="L2907" s="16"/>
    </row>
    <row r="2908" spans="1:12" ht="14" customHeight="1" x14ac:dyDescent="0.2">
      <c r="A2908" s="17"/>
      <c r="B2908" s="18"/>
      <c r="C2908" s="19"/>
      <c r="D2908" s="19"/>
      <c r="E2908" s="19"/>
      <c r="F2908" s="19"/>
      <c r="G2908" s="19"/>
      <c r="H2908" s="19"/>
      <c r="I2908" s="19"/>
      <c r="J2908" s="19"/>
      <c r="K2908" s="6"/>
      <c r="L2908" s="19"/>
    </row>
    <row r="2909" spans="1:12" ht="14" customHeight="1" x14ac:dyDescent="0.2">
      <c r="A2909" s="14"/>
      <c r="B2909" s="15"/>
      <c r="C2909" s="16"/>
      <c r="D2909" s="16"/>
      <c r="E2909" s="16"/>
      <c r="F2909" s="16"/>
      <c r="G2909" s="16"/>
      <c r="H2909" s="16"/>
      <c r="I2909" s="16"/>
      <c r="J2909" s="16"/>
      <c r="K2909" s="6"/>
      <c r="L2909" s="16"/>
    </row>
    <row r="2910" spans="1:12" ht="14" customHeight="1" x14ac:dyDescent="0.2">
      <c r="A2910" s="17"/>
      <c r="B2910" s="18"/>
      <c r="C2910" s="19"/>
      <c r="D2910" s="19"/>
      <c r="E2910" s="19"/>
      <c r="F2910" s="19"/>
      <c r="G2910" s="19"/>
      <c r="H2910" s="19"/>
      <c r="I2910" s="19"/>
      <c r="J2910" s="19"/>
      <c r="K2910" s="6"/>
      <c r="L2910" s="19"/>
    </row>
    <row r="2911" spans="1:12" ht="14" customHeight="1" x14ac:dyDescent="0.2">
      <c r="A2911" s="14"/>
      <c r="B2911" s="15"/>
      <c r="C2911" s="16"/>
      <c r="D2911" s="16"/>
      <c r="E2911" s="16"/>
      <c r="F2911" s="16"/>
      <c r="G2911" s="16"/>
      <c r="H2911" s="16"/>
      <c r="I2911" s="16"/>
      <c r="J2911" s="16"/>
      <c r="K2911" s="6"/>
      <c r="L2911" s="16"/>
    </row>
    <row r="2912" spans="1:12" ht="14" customHeight="1" x14ac:dyDescent="0.2">
      <c r="A2912" s="17"/>
      <c r="B2912" s="18"/>
      <c r="C2912" s="19"/>
      <c r="D2912" s="19"/>
      <c r="E2912" s="19"/>
      <c r="F2912" s="19"/>
      <c r="G2912" s="19"/>
      <c r="H2912" s="19"/>
      <c r="I2912" s="19"/>
      <c r="J2912" s="19"/>
      <c r="K2912" s="6"/>
      <c r="L2912" s="19"/>
    </row>
    <row r="2913" spans="1:12" ht="14" customHeight="1" x14ac:dyDescent="0.2">
      <c r="A2913" s="14"/>
      <c r="B2913" s="15"/>
      <c r="C2913" s="16"/>
      <c r="D2913" s="16"/>
      <c r="E2913" s="16"/>
      <c r="F2913" s="16"/>
      <c r="G2913" s="16"/>
      <c r="H2913" s="16"/>
      <c r="I2913" s="16"/>
      <c r="J2913" s="16"/>
      <c r="K2913" s="6"/>
      <c r="L2913" s="16"/>
    </row>
    <row r="2914" spans="1:12" ht="14" customHeight="1" x14ac:dyDescent="0.2">
      <c r="A2914" s="17"/>
      <c r="B2914" s="18"/>
      <c r="C2914" s="19"/>
      <c r="D2914" s="19"/>
      <c r="E2914" s="19"/>
      <c r="F2914" s="19"/>
      <c r="G2914" s="19"/>
      <c r="H2914" s="19"/>
      <c r="I2914" s="19"/>
      <c r="J2914" s="19"/>
      <c r="K2914" s="6"/>
      <c r="L2914" s="19"/>
    </row>
    <row r="2915" spans="1:12" ht="14" customHeight="1" x14ac:dyDescent="0.2">
      <c r="A2915" s="14"/>
      <c r="B2915" s="15"/>
      <c r="C2915" s="16"/>
      <c r="D2915" s="16"/>
      <c r="E2915" s="16"/>
      <c r="F2915" s="16"/>
      <c r="G2915" s="16"/>
      <c r="H2915" s="16"/>
      <c r="I2915" s="16"/>
      <c r="J2915" s="16"/>
      <c r="K2915" s="6"/>
      <c r="L2915" s="16"/>
    </row>
    <row r="2916" spans="1:12" ht="14" customHeight="1" x14ac:dyDescent="0.2">
      <c r="A2916" s="17"/>
      <c r="B2916" s="18"/>
      <c r="C2916" s="19"/>
      <c r="D2916" s="19"/>
      <c r="E2916" s="19"/>
      <c r="F2916" s="19"/>
      <c r="G2916" s="19"/>
      <c r="H2916" s="19"/>
      <c r="I2916" s="19"/>
      <c r="J2916" s="19"/>
      <c r="K2916" s="6"/>
      <c r="L2916" s="19"/>
    </row>
    <row r="2917" spans="1:12" ht="14" customHeight="1" x14ac:dyDescent="0.2">
      <c r="A2917" s="14"/>
      <c r="B2917" s="15"/>
      <c r="C2917" s="16"/>
      <c r="D2917" s="16"/>
      <c r="E2917" s="16"/>
      <c r="F2917" s="16"/>
      <c r="G2917" s="16"/>
      <c r="H2917" s="16"/>
      <c r="I2917" s="16"/>
      <c r="J2917" s="16"/>
      <c r="K2917" s="6"/>
      <c r="L2917" s="16"/>
    </row>
    <row r="2918" spans="1:12" ht="14" customHeight="1" x14ac:dyDescent="0.2">
      <c r="A2918" s="17"/>
      <c r="B2918" s="18"/>
      <c r="C2918" s="19"/>
      <c r="D2918" s="19"/>
      <c r="E2918" s="19"/>
      <c r="F2918" s="19"/>
      <c r="G2918" s="19"/>
      <c r="H2918" s="19"/>
      <c r="I2918" s="19"/>
      <c r="J2918" s="19"/>
      <c r="K2918" s="6"/>
      <c r="L2918" s="19"/>
    </row>
    <row r="2919" spans="1:12" ht="14" customHeight="1" x14ac:dyDescent="0.2">
      <c r="A2919" s="14"/>
      <c r="B2919" s="15"/>
      <c r="C2919" s="16"/>
      <c r="D2919" s="16"/>
      <c r="E2919" s="16"/>
      <c r="F2919" s="16"/>
      <c r="G2919" s="16"/>
      <c r="H2919" s="16"/>
      <c r="I2919" s="16"/>
      <c r="J2919" s="16"/>
      <c r="K2919" s="6"/>
      <c r="L2919" s="16"/>
    </row>
    <row r="2920" spans="1:12" ht="14" customHeight="1" x14ac:dyDescent="0.2">
      <c r="A2920" s="17"/>
      <c r="B2920" s="18"/>
      <c r="C2920" s="19"/>
      <c r="D2920" s="19"/>
      <c r="E2920" s="19"/>
      <c r="F2920" s="19"/>
      <c r="G2920" s="19"/>
      <c r="H2920" s="19"/>
      <c r="I2920" s="19"/>
      <c r="J2920" s="19"/>
      <c r="K2920" s="6"/>
      <c r="L2920" s="19"/>
    </row>
    <row r="2921" spans="1:12" ht="14" customHeight="1" x14ac:dyDescent="0.2">
      <c r="A2921" s="14"/>
      <c r="B2921" s="15"/>
      <c r="C2921" s="16"/>
      <c r="D2921" s="16"/>
      <c r="E2921" s="16"/>
      <c r="F2921" s="16"/>
      <c r="G2921" s="16"/>
      <c r="H2921" s="16"/>
      <c r="I2921" s="16"/>
      <c r="J2921" s="16"/>
      <c r="K2921" s="6"/>
      <c r="L2921" s="16"/>
    </row>
    <row r="2922" spans="1:12" ht="14" customHeight="1" x14ac:dyDescent="0.2">
      <c r="A2922" s="17"/>
      <c r="B2922" s="18"/>
      <c r="C2922" s="19"/>
      <c r="D2922" s="19"/>
      <c r="E2922" s="19"/>
      <c r="F2922" s="19"/>
      <c r="G2922" s="19"/>
      <c r="H2922" s="19"/>
      <c r="I2922" s="19"/>
      <c r="J2922" s="19"/>
      <c r="K2922" s="6"/>
      <c r="L2922" s="19"/>
    </row>
    <row r="2923" spans="1:12" ht="14" customHeight="1" x14ac:dyDescent="0.2">
      <c r="A2923" s="14"/>
      <c r="B2923" s="15"/>
      <c r="C2923" s="16"/>
      <c r="D2923" s="16"/>
      <c r="E2923" s="16"/>
      <c r="F2923" s="16"/>
      <c r="G2923" s="16"/>
      <c r="H2923" s="16"/>
      <c r="I2923" s="16"/>
      <c r="J2923" s="16"/>
      <c r="K2923" s="6"/>
      <c r="L2923" s="16"/>
    </row>
    <row r="2924" spans="1:12" ht="14" customHeight="1" x14ac:dyDescent="0.2">
      <c r="A2924" s="17"/>
      <c r="B2924" s="18"/>
      <c r="C2924" s="19"/>
      <c r="D2924" s="19"/>
      <c r="E2924" s="19"/>
      <c r="F2924" s="19"/>
      <c r="G2924" s="19"/>
      <c r="H2924" s="19"/>
      <c r="I2924" s="19"/>
      <c r="J2924" s="19"/>
      <c r="K2924" s="6"/>
      <c r="L2924" s="19"/>
    </row>
    <row r="2925" spans="1:12" ht="14" customHeight="1" x14ac:dyDescent="0.2">
      <c r="A2925" s="14"/>
      <c r="B2925" s="15"/>
      <c r="C2925" s="16"/>
      <c r="D2925" s="16"/>
      <c r="E2925" s="16"/>
      <c r="F2925" s="16"/>
      <c r="G2925" s="16"/>
      <c r="H2925" s="16"/>
      <c r="I2925" s="16"/>
      <c r="J2925" s="16"/>
      <c r="K2925" s="6"/>
      <c r="L2925" s="16"/>
    </row>
    <row r="2926" spans="1:12" ht="14" customHeight="1" x14ac:dyDescent="0.2">
      <c r="A2926" s="17"/>
      <c r="B2926" s="18"/>
      <c r="C2926" s="19"/>
      <c r="D2926" s="19"/>
      <c r="E2926" s="19"/>
      <c r="F2926" s="19"/>
      <c r="G2926" s="19"/>
      <c r="H2926" s="19"/>
      <c r="I2926" s="19"/>
      <c r="J2926" s="19"/>
      <c r="K2926" s="6"/>
      <c r="L2926" s="19"/>
    </row>
    <row r="2927" spans="1:12" ht="14" customHeight="1" x14ac:dyDescent="0.2">
      <c r="A2927" s="14"/>
      <c r="B2927" s="15"/>
      <c r="C2927" s="16"/>
      <c r="D2927" s="16"/>
      <c r="E2927" s="16"/>
      <c r="F2927" s="16"/>
      <c r="G2927" s="16"/>
      <c r="H2927" s="16"/>
      <c r="I2927" s="16"/>
      <c r="J2927" s="16"/>
      <c r="K2927" s="6"/>
      <c r="L2927" s="16"/>
    </row>
    <row r="2928" spans="1:12" ht="14" customHeight="1" x14ac:dyDescent="0.2">
      <c r="A2928" s="17"/>
      <c r="B2928" s="18"/>
      <c r="C2928" s="19"/>
      <c r="D2928" s="19"/>
      <c r="E2928" s="19"/>
      <c r="F2928" s="19"/>
      <c r="G2928" s="19"/>
      <c r="H2928" s="19"/>
      <c r="I2928" s="19"/>
      <c r="J2928" s="19"/>
      <c r="K2928" s="6"/>
      <c r="L2928" s="19"/>
    </row>
    <row r="2929" spans="1:12" ht="14" customHeight="1" x14ac:dyDescent="0.2">
      <c r="A2929" s="14"/>
      <c r="B2929" s="15"/>
      <c r="C2929" s="16"/>
      <c r="D2929" s="16"/>
      <c r="E2929" s="16"/>
      <c r="F2929" s="16"/>
      <c r="G2929" s="16"/>
      <c r="H2929" s="16"/>
      <c r="I2929" s="16"/>
      <c r="J2929" s="16"/>
      <c r="K2929" s="6"/>
      <c r="L2929" s="16"/>
    </row>
    <row r="2930" spans="1:12" ht="14" customHeight="1" x14ac:dyDescent="0.2">
      <c r="A2930" s="17"/>
      <c r="B2930" s="18"/>
      <c r="C2930" s="19"/>
      <c r="D2930" s="19"/>
      <c r="E2930" s="19"/>
      <c r="F2930" s="19"/>
      <c r="G2930" s="19"/>
      <c r="H2930" s="19"/>
      <c r="I2930" s="19"/>
      <c r="J2930" s="19"/>
      <c r="K2930" s="6"/>
      <c r="L2930" s="19"/>
    </row>
    <row r="2931" spans="1:12" ht="14" customHeight="1" x14ac:dyDescent="0.2">
      <c r="A2931" s="14"/>
      <c r="B2931" s="15"/>
      <c r="C2931" s="16"/>
      <c r="D2931" s="16"/>
      <c r="E2931" s="16"/>
      <c r="F2931" s="16"/>
      <c r="G2931" s="16"/>
      <c r="H2931" s="16"/>
      <c r="I2931" s="16"/>
      <c r="J2931" s="16"/>
      <c r="K2931" s="6"/>
      <c r="L2931" s="16"/>
    </row>
    <row r="2932" spans="1:12" ht="14" customHeight="1" x14ac:dyDescent="0.2">
      <c r="A2932" s="17"/>
      <c r="B2932" s="18"/>
      <c r="C2932" s="19"/>
      <c r="D2932" s="19"/>
      <c r="E2932" s="19"/>
      <c r="F2932" s="19"/>
      <c r="G2932" s="19"/>
      <c r="H2932" s="19"/>
      <c r="I2932" s="19"/>
      <c r="J2932" s="19"/>
      <c r="K2932" s="6"/>
      <c r="L2932" s="19"/>
    </row>
    <row r="2933" spans="1:12" ht="14" customHeight="1" x14ac:dyDescent="0.2">
      <c r="A2933" s="14"/>
      <c r="B2933" s="15"/>
      <c r="C2933" s="16"/>
      <c r="D2933" s="16"/>
      <c r="E2933" s="16"/>
      <c r="F2933" s="16"/>
      <c r="G2933" s="16"/>
      <c r="H2933" s="16"/>
      <c r="I2933" s="16"/>
      <c r="J2933" s="16"/>
      <c r="K2933" s="6"/>
      <c r="L2933" s="16"/>
    </row>
    <row r="2934" spans="1:12" ht="14" customHeight="1" x14ac:dyDescent="0.2">
      <c r="A2934" s="17"/>
      <c r="B2934" s="18"/>
      <c r="C2934" s="19"/>
      <c r="D2934" s="19"/>
      <c r="E2934" s="19"/>
      <c r="F2934" s="19"/>
      <c r="G2934" s="19"/>
      <c r="H2934" s="19"/>
      <c r="I2934" s="19"/>
      <c r="J2934" s="19"/>
      <c r="K2934" s="6"/>
      <c r="L2934" s="19"/>
    </row>
    <row r="2935" spans="1:12" ht="14" customHeight="1" x14ac:dyDescent="0.2">
      <c r="A2935" s="14"/>
      <c r="B2935" s="15"/>
      <c r="C2935" s="16"/>
      <c r="D2935" s="16"/>
      <c r="E2935" s="16"/>
      <c r="F2935" s="16"/>
      <c r="G2935" s="16"/>
      <c r="H2935" s="16"/>
      <c r="I2935" s="16"/>
      <c r="J2935" s="16"/>
      <c r="K2935" s="6"/>
      <c r="L2935" s="16"/>
    </row>
    <row r="2936" spans="1:12" ht="14" customHeight="1" x14ac:dyDescent="0.2">
      <c r="A2936" s="17"/>
      <c r="B2936" s="18"/>
      <c r="C2936" s="19"/>
      <c r="D2936" s="19"/>
      <c r="E2936" s="19"/>
      <c r="F2936" s="19"/>
      <c r="G2936" s="19"/>
      <c r="H2936" s="19"/>
      <c r="I2936" s="19"/>
      <c r="J2936" s="19"/>
      <c r="K2936" s="6"/>
      <c r="L2936" s="19"/>
    </row>
    <row r="2937" spans="1:12" ht="14" customHeight="1" x14ac:dyDescent="0.2">
      <c r="A2937" s="14"/>
      <c r="B2937" s="15"/>
      <c r="C2937" s="16"/>
      <c r="D2937" s="16"/>
      <c r="E2937" s="16"/>
      <c r="F2937" s="16"/>
      <c r="G2937" s="16"/>
      <c r="H2937" s="16"/>
      <c r="I2937" s="16"/>
      <c r="J2937" s="16"/>
      <c r="K2937" s="6"/>
      <c r="L2937" s="16"/>
    </row>
    <row r="2938" spans="1:12" ht="14" customHeight="1" x14ac:dyDescent="0.2">
      <c r="A2938" s="17"/>
      <c r="B2938" s="18"/>
      <c r="C2938" s="19"/>
      <c r="D2938" s="19"/>
      <c r="E2938" s="19"/>
      <c r="F2938" s="19"/>
      <c r="G2938" s="19"/>
      <c r="H2938" s="19"/>
      <c r="I2938" s="19"/>
      <c r="J2938" s="19"/>
      <c r="K2938" s="6"/>
      <c r="L2938" s="19"/>
    </row>
    <row r="2939" spans="1:12" ht="14" customHeight="1" x14ac:dyDescent="0.2">
      <c r="A2939" s="14"/>
      <c r="B2939" s="15"/>
      <c r="C2939" s="16"/>
      <c r="D2939" s="16"/>
      <c r="E2939" s="16"/>
      <c r="F2939" s="16"/>
      <c r="G2939" s="16"/>
      <c r="H2939" s="16"/>
      <c r="I2939" s="16"/>
      <c r="J2939" s="16"/>
      <c r="K2939" s="6"/>
      <c r="L2939" s="16"/>
    </row>
    <row r="2940" spans="1:12" ht="14" customHeight="1" x14ac:dyDescent="0.2">
      <c r="A2940" s="17"/>
      <c r="B2940" s="18"/>
      <c r="C2940" s="19"/>
      <c r="D2940" s="19"/>
      <c r="E2940" s="19"/>
      <c r="F2940" s="19"/>
      <c r="G2940" s="19"/>
      <c r="H2940" s="19"/>
      <c r="I2940" s="19"/>
      <c r="J2940" s="19"/>
      <c r="K2940" s="6"/>
      <c r="L2940" s="19"/>
    </row>
    <row r="2941" spans="1:12" ht="14" customHeight="1" x14ac:dyDescent="0.2">
      <c r="A2941" s="14"/>
      <c r="B2941" s="15"/>
      <c r="C2941" s="16"/>
      <c r="D2941" s="16"/>
      <c r="E2941" s="16"/>
      <c r="F2941" s="16"/>
      <c r="G2941" s="16"/>
      <c r="H2941" s="16"/>
      <c r="I2941" s="16"/>
      <c r="J2941" s="16"/>
      <c r="K2941" s="6"/>
      <c r="L2941" s="16"/>
    </row>
    <row r="2942" spans="1:12" ht="14" customHeight="1" x14ac:dyDescent="0.2">
      <c r="A2942" s="17"/>
      <c r="B2942" s="18"/>
      <c r="C2942" s="19"/>
      <c r="D2942" s="19"/>
      <c r="E2942" s="19"/>
      <c r="F2942" s="19"/>
      <c r="G2942" s="19"/>
      <c r="H2942" s="19"/>
      <c r="I2942" s="19"/>
      <c r="J2942" s="19"/>
      <c r="K2942" s="6"/>
      <c r="L2942" s="19"/>
    </row>
    <row r="2943" spans="1:12" ht="14" customHeight="1" x14ac:dyDescent="0.2">
      <c r="A2943" s="14"/>
      <c r="B2943" s="15"/>
      <c r="C2943" s="16"/>
      <c r="D2943" s="16"/>
      <c r="E2943" s="16"/>
      <c r="F2943" s="16"/>
      <c r="G2943" s="16"/>
      <c r="H2943" s="16"/>
      <c r="I2943" s="16"/>
      <c r="J2943" s="16"/>
      <c r="K2943" s="6"/>
      <c r="L2943" s="16"/>
    </row>
    <row r="2944" spans="1:12" ht="14" customHeight="1" x14ac:dyDescent="0.2">
      <c r="A2944" s="17"/>
      <c r="B2944" s="18"/>
      <c r="C2944" s="19"/>
      <c r="D2944" s="19"/>
      <c r="E2944" s="19"/>
      <c r="F2944" s="19"/>
      <c r="G2944" s="19"/>
      <c r="H2944" s="19"/>
      <c r="I2944" s="19"/>
      <c r="J2944" s="19"/>
      <c r="K2944" s="6"/>
      <c r="L2944" s="19"/>
    </row>
    <row r="2945" spans="1:12" ht="14" customHeight="1" x14ac:dyDescent="0.2">
      <c r="A2945" s="14"/>
      <c r="B2945" s="15"/>
      <c r="C2945" s="16"/>
      <c r="D2945" s="16"/>
      <c r="E2945" s="16"/>
      <c r="F2945" s="16"/>
      <c r="G2945" s="16"/>
      <c r="H2945" s="16"/>
      <c r="I2945" s="16"/>
      <c r="J2945" s="16"/>
      <c r="K2945" s="6"/>
      <c r="L2945" s="16"/>
    </row>
    <row r="2946" spans="1:12" ht="14" customHeight="1" x14ac:dyDescent="0.2">
      <c r="A2946" s="17"/>
      <c r="B2946" s="18"/>
      <c r="C2946" s="19"/>
      <c r="D2946" s="19"/>
      <c r="E2946" s="19"/>
      <c r="F2946" s="19"/>
      <c r="G2946" s="19"/>
      <c r="H2946" s="19"/>
      <c r="I2946" s="19"/>
      <c r="J2946" s="19"/>
      <c r="K2946" s="6"/>
      <c r="L2946" s="19"/>
    </row>
    <row r="2947" spans="1:12" ht="14" customHeight="1" x14ac:dyDescent="0.2">
      <c r="A2947" s="14"/>
      <c r="B2947" s="15"/>
      <c r="C2947" s="16"/>
      <c r="D2947" s="16"/>
      <c r="E2947" s="16"/>
      <c r="F2947" s="16"/>
      <c r="G2947" s="16"/>
      <c r="H2947" s="16"/>
      <c r="I2947" s="16"/>
      <c r="J2947" s="16"/>
      <c r="K2947" s="6"/>
      <c r="L2947" s="16"/>
    </row>
    <row r="2948" spans="1:12" ht="14" customHeight="1" x14ac:dyDescent="0.2">
      <c r="A2948" s="17"/>
      <c r="B2948" s="18"/>
      <c r="C2948" s="19"/>
      <c r="D2948" s="19"/>
      <c r="E2948" s="19"/>
      <c r="F2948" s="19"/>
      <c r="G2948" s="19"/>
      <c r="H2948" s="19"/>
      <c r="I2948" s="19"/>
      <c r="J2948" s="19"/>
      <c r="K2948" s="6"/>
      <c r="L2948" s="19"/>
    </row>
    <row r="2949" spans="1:12" ht="14" customHeight="1" x14ac:dyDescent="0.2">
      <c r="A2949" s="14"/>
      <c r="B2949" s="15"/>
      <c r="C2949" s="16"/>
      <c r="D2949" s="16"/>
      <c r="E2949" s="16"/>
      <c r="F2949" s="16"/>
      <c r="G2949" s="16"/>
      <c r="H2949" s="16"/>
      <c r="I2949" s="16"/>
      <c r="J2949" s="16"/>
      <c r="K2949" s="6"/>
      <c r="L2949" s="16"/>
    </row>
    <row r="2950" spans="1:12" ht="14" customHeight="1" x14ac:dyDescent="0.2">
      <c r="A2950" s="17"/>
      <c r="B2950" s="18"/>
      <c r="C2950" s="19"/>
      <c r="D2950" s="19"/>
      <c r="E2950" s="19"/>
      <c r="F2950" s="19"/>
      <c r="G2950" s="19"/>
      <c r="H2950" s="19"/>
      <c r="I2950" s="19"/>
      <c r="J2950" s="19"/>
      <c r="K2950" s="6"/>
      <c r="L2950" s="19"/>
    </row>
    <row r="2951" spans="1:12" ht="14" customHeight="1" x14ac:dyDescent="0.2">
      <c r="A2951" s="14"/>
      <c r="B2951" s="15"/>
      <c r="C2951" s="16"/>
      <c r="D2951" s="16"/>
      <c r="E2951" s="16"/>
      <c r="F2951" s="16"/>
      <c r="G2951" s="16"/>
      <c r="H2951" s="16"/>
      <c r="I2951" s="16"/>
      <c r="J2951" s="16"/>
      <c r="K2951" s="6"/>
      <c r="L2951" s="16"/>
    </row>
    <row r="2952" spans="1:12" ht="14" customHeight="1" x14ac:dyDescent="0.2">
      <c r="A2952" s="17"/>
      <c r="B2952" s="18"/>
      <c r="C2952" s="19"/>
      <c r="D2952" s="19"/>
      <c r="E2952" s="19"/>
      <c r="F2952" s="19"/>
      <c r="G2952" s="19"/>
      <c r="H2952" s="19"/>
      <c r="I2952" s="19"/>
      <c r="J2952" s="19"/>
      <c r="K2952" s="6"/>
      <c r="L2952" s="19"/>
    </row>
    <row r="2953" spans="1:12" ht="14" customHeight="1" x14ac:dyDescent="0.2">
      <c r="A2953" s="14"/>
      <c r="B2953" s="15"/>
      <c r="C2953" s="16"/>
      <c r="D2953" s="16"/>
      <c r="E2953" s="16"/>
      <c r="F2953" s="16"/>
      <c r="G2953" s="16"/>
      <c r="H2953" s="16"/>
      <c r="I2953" s="16"/>
      <c r="J2953" s="16"/>
      <c r="K2953" s="6"/>
      <c r="L2953" s="16"/>
    </row>
    <row r="2954" spans="1:12" ht="14" customHeight="1" x14ac:dyDescent="0.2">
      <c r="A2954" s="17"/>
      <c r="B2954" s="18"/>
      <c r="C2954" s="19"/>
      <c r="D2954" s="19"/>
      <c r="E2954" s="19"/>
      <c r="F2954" s="19"/>
      <c r="G2954" s="19"/>
      <c r="H2954" s="19"/>
      <c r="I2954" s="19"/>
      <c r="J2954" s="19"/>
      <c r="K2954" s="6"/>
      <c r="L2954" s="19"/>
    </row>
    <row r="2955" spans="1:12" ht="14" customHeight="1" x14ac:dyDescent="0.2">
      <c r="A2955" s="14"/>
      <c r="B2955" s="15"/>
      <c r="C2955" s="16"/>
      <c r="D2955" s="16"/>
      <c r="E2955" s="16"/>
      <c r="F2955" s="16"/>
      <c r="G2955" s="16"/>
      <c r="H2955" s="16"/>
      <c r="I2955" s="16"/>
      <c r="J2955" s="16"/>
      <c r="K2955" s="6"/>
      <c r="L2955" s="16"/>
    </row>
    <row r="2956" spans="1:12" ht="14" customHeight="1" x14ac:dyDescent="0.2">
      <c r="A2956" s="17"/>
      <c r="B2956" s="18"/>
      <c r="C2956" s="19"/>
      <c r="D2956" s="19"/>
      <c r="E2956" s="19"/>
      <c r="F2956" s="19"/>
      <c r="G2956" s="19"/>
      <c r="H2956" s="19"/>
      <c r="I2956" s="19"/>
      <c r="J2956" s="19"/>
      <c r="K2956" s="6"/>
      <c r="L2956" s="19"/>
    </row>
    <row r="2957" spans="1:12" ht="14" customHeight="1" x14ac:dyDescent="0.2">
      <c r="A2957" s="14"/>
      <c r="B2957" s="15"/>
      <c r="C2957" s="16"/>
      <c r="D2957" s="16"/>
      <c r="E2957" s="16"/>
      <c r="F2957" s="16"/>
      <c r="G2957" s="16"/>
      <c r="H2957" s="16"/>
      <c r="I2957" s="16"/>
      <c r="J2957" s="16"/>
      <c r="K2957" s="6"/>
      <c r="L2957" s="16"/>
    </row>
    <row r="2958" spans="1:12" ht="14" customHeight="1" x14ac:dyDescent="0.2">
      <c r="A2958" s="17"/>
      <c r="B2958" s="18"/>
      <c r="C2958" s="19"/>
      <c r="D2958" s="19"/>
      <c r="E2958" s="19"/>
      <c r="F2958" s="19"/>
      <c r="G2958" s="19"/>
      <c r="H2958" s="19"/>
      <c r="I2958" s="19"/>
      <c r="J2958" s="19"/>
      <c r="K2958" s="6"/>
      <c r="L2958" s="19"/>
    </row>
    <row r="2959" spans="1:12" ht="14" customHeight="1" x14ac:dyDescent="0.2">
      <c r="A2959" s="14"/>
      <c r="B2959" s="15"/>
      <c r="C2959" s="16"/>
      <c r="D2959" s="16"/>
      <c r="E2959" s="16"/>
      <c r="F2959" s="16"/>
      <c r="G2959" s="16"/>
      <c r="H2959" s="16"/>
      <c r="I2959" s="16"/>
      <c r="J2959" s="16"/>
      <c r="K2959" s="6"/>
      <c r="L2959" s="16"/>
    </row>
    <row r="2960" spans="1:12" ht="14" customHeight="1" x14ac:dyDescent="0.2">
      <c r="A2960" s="17"/>
      <c r="B2960" s="18"/>
      <c r="C2960" s="19"/>
      <c r="D2960" s="19"/>
      <c r="E2960" s="19"/>
      <c r="F2960" s="19"/>
      <c r="G2960" s="19"/>
      <c r="H2960" s="19"/>
      <c r="I2960" s="19"/>
      <c r="J2960" s="19"/>
      <c r="K2960" s="6"/>
      <c r="L2960" s="19"/>
    </row>
    <row r="2961" spans="1:12" ht="14" customHeight="1" x14ac:dyDescent="0.2">
      <c r="A2961" s="14"/>
      <c r="B2961" s="15"/>
      <c r="C2961" s="16"/>
      <c r="D2961" s="16"/>
      <c r="E2961" s="16"/>
      <c r="F2961" s="16"/>
      <c r="G2961" s="16"/>
      <c r="H2961" s="16"/>
      <c r="I2961" s="16"/>
      <c r="J2961" s="16"/>
      <c r="K2961" s="6"/>
      <c r="L2961" s="16"/>
    </row>
    <row r="2962" spans="1:12" ht="14" customHeight="1" x14ac:dyDescent="0.2">
      <c r="A2962" s="17"/>
      <c r="B2962" s="18"/>
      <c r="C2962" s="19"/>
      <c r="D2962" s="19"/>
      <c r="E2962" s="19"/>
      <c r="F2962" s="19"/>
      <c r="G2962" s="19"/>
      <c r="H2962" s="19"/>
      <c r="I2962" s="19"/>
      <c r="J2962" s="19"/>
      <c r="K2962" s="6"/>
      <c r="L2962" s="19"/>
    </row>
    <row r="2963" spans="1:12" ht="14" customHeight="1" x14ac:dyDescent="0.2">
      <c r="A2963" s="14"/>
      <c r="B2963" s="15"/>
      <c r="C2963" s="16"/>
      <c r="D2963" s="16"/>
      <c r="E2963" s="16"/>
      <c r="F2963" s="16"/>
      <c r="G2963" s="16"/>
      <c r="H2963" s="16"/>
      <c r="I2963" s="16"/>
      <c r="J2963" s="16"/>
      <c r="K2963" s="6"/>
      <c r="L2963" s="16"/>
    </row>
    <row r="2964" spans="1:12" ht="14" customHeight="1" x14ac:dyDescent="0.2">
      <c r="A2964" s="17"/>
      <c r="B2964" s="18"/>
      <c r="C2964" s="19"/>
      <c r="D2964" s="19"/>
      <c r="E2964" s="19"/>
      <c r="F2964" s="19"/>
      <c r="G2964" s="19"/>
      <c r="H2964" s="19"/>
      <c r="I2964" s="19"/>
      <c r="J2964" s="19"/>
      <c r="K2964" s="6"/>
      <c r="L2964" s="19"/>
    </row>
    <row r="2965" spans="1:12" ht="14" customHeight="1" x14ac:dyDescent="0.2">
      <c r="A2965" s="14"/>
      <c r="B2965" s="15"/>
      <c r="C2965" s="16"/>
      <c r="D2965" s="16"/>
      <c r="E2965" s="16"/>
      <c r="F2965" s="16"/>
      <c r="G2965" s="16"/>
      <c r="H2965" s="16"/>
      <c r="I2965" s="16"/>
      <c r="J2965" s="16"/>
      <c r="K2965" s="6"/>
      <c r="L2965" s="16"/>
    </row>
    <row r="2966" spans="1:12" ht="14" customHeight="1" x14ac:dyDescent="0.2">
      <c r="A2966" s="17"/>
      <c r="B2966" s="18"/>
      <c r="C2966" s="19"/>
      <c r="D2966" s="19"/>
      <c r="E2966" s="19"/>
      <c r="F2966" s="19"/>
      <c r="G2966" s="19"/>
      <c r="H2966" s="19"/>
      <c r="I2966" s="19"/>
      <c r="J2966" s="19"/>
      <c r="K2966" s="6"/>
      <c r="L2966" s="19"/>
    </row>
    <row r="2967" spans="1:12" ht="14" customHeight="1" x14ac:dyDescent="0.2">
      <c r="A2967" s="14"/>
      <c r="B2967" s="15"/>
      <c r="C2967" s="16"/>
      <c r="D2967" s="16"/>
      <c r="E2967" s="16"/>
      <c r="F2967" s="16"/>
      <c r="G2967" s="16"/>
      <c r="H2967" s="16"/>
      <c r="I2967" s="16"/>
      <c r="J2967" s="16"/>
      <c r="K2967" s="6"/>
      <c r="L2967" s="16"/>
    </row>
    <row r="2968" spans="1:12" ht="14" customHeight="1" x14ac:dyDescent="0.2">
      <c r="A2968" s="17"/>
      <c r="B2968" s="18"/>
      <c r="C2968" s="19"/>
      <c r="D2968" s="19"/>
      <c r="E2968" s="19"/>
      <c r="F2968" s="19"/>
      <c r="G2968" s="19"/>
      <c r="H2968" s="19"/>
      <c r="I2968" s="19"/>
      <c r="J2968" s="19"/>
      <c r="K2968" s="6"/>
      <c r="L2968" s="19"/>
    </row>
    <row r="2969" spans="1:12" ht="14" customHeight="1" x14ac:dyDescent="0.2">
      <c r="A2969" s="14"/>
      <c r="B2969" s="15"/>
      <c r="C2969" s="16"/>
      <c r="D2969" s="16"/>
      <c r="E2969" s="16"/>
      <c r="F2969" s="16"/>
      <c r="G2969" s="16"/>
      <c r="H2969" s="16"/>
      <c r="I2969" s="16"/>
      <c r="J2969" s="16"/>
      <c r="K2969" s="6"/>
      <c r="L2969" s="16"/>
    </row>
    <row r="2970" spans="1:12" ht="14" customHeight="1" x14ac:dyDescent="0.2">
      <c r="A2970" s="17"/>
      <c r="B2970" s="18"/>
      <c r="C2970" s="19"/>
      <c r="D2970" s="19"/>
      <c r="E2970" s="19"/>
      <c r="F2970" s="19"/>
      <c r="G2970" s="19"/>
      <c r="H2970" s="19"/>
      <c r="I2970" s="19"/>
      <c r="J2970" s="19"/>
      <c r="K2970" s="6"/>
      <c r="L2970" s="19"/>
    </row>
    <row r="2971" spans="1:12" ht="14" customHeight="1" x14ac:dyDescent="0.2">
      <c r="A2971" s="14"/>
      <c r="B2971" s="15"/>
      <c r="C2971" s="16"/>
      <c r="D2971" s="16"/>
      <c r="E2971" s="16"/>
      <c r="F2971" s="16"/>
      <c r="G2971" s="16"/>
      <c r="H2971" s="16"/>
      <c r="I2971" s="16"/>
      <c r="J2971" s="16"/>
      <c r="K2971" s="6"/>
      <c r="L2971" s="16"/>
    </row>
    <row r="2972" spans="1:12" ht="14" customHeight="1" x14ac:dyDescent="0.2">
      <c r="A2972" s="17"/>
      <c r="B2972" s="18"/>
      <c r="C2972" s="19"/>
      <c r="D2972" s="19"/>
      <c r="E2972" s="19"/>
      <c r="F2972" s="19"/>
      <c r="G2972" s="19"/>
      <c r="H2972" s="19"/>
      <c r="I2972" s="19"/>
      <c r="J2972" s="19"/>
      <c r="K2972" s="6"/>
      <c r="L2972" s="19"/>
    </row>
    <row r="2973" spans="1:12" ht="14" customHeight="1" x14ac:dyDescent="0.2">
      <c r="A2973" s="14"/>
      <c r="B2973" s="15"/>
      <c r="C2973" s="16"/>
      <c r="D2973" s="16"/>
      <c r="E2973" s="16"/>
      <c r="F2973" s="16"/>
      <c r="G2973" s="16"/>
      <c r="H2973" s="16"/>
      <c r="I2973" s="16"/>
      <c r="J2973" s="16"/>
      <c r="K2973" s="6"/>
      <c r="L2973" s="16"/>
    </row>
    <row r="2974" spans="1:12" ht="14" customHeight="1" x14ac:dyDescent="0.2">
      <c r="A2974" s="17"/>
      <c r="B2974" s="18"/>
      <c r="C2974" s="19"/>
      <c r="D2974" s="19"/>
      <c r="E2974" s="19"/>
      <c r="F2974" s="19"/>
      <c r="G2974" s="19"/>
      <c r="H2974" s="19"/>
      <c r="I2974" s="19"/>
      <c r="J2974" s="19"/>
      <c r="K2974" s="6"/>
      <c r="L2974" s="19"/>
    </row>
    <row r="2975" spans="1:12" ht="14" customHeight="1" x14ac:dyDescent="0.2">
      <c r="A2975" s="14"/>
      <c r="B2975" s="15"/>
      <c r="C2975" s="16"/>
      <c r="D2975" s="16"/>
      <c r="E2975" s="16"/>
      <c r="F2975" s="16"/>
      <c r="G2975" s="16"/>
      <c r="H2975" s="16"/>
      <c r="I2975" s="16"/>
      <c r="J2975" s="16"/>
      <c r="K2975" s="6"/>
      <c r="L2975" s="16"/>
    </row>
    <row r="2976" spans="1:12" ht="14" customHeight="1" x14ac:dyDescent="0.2">
      <c r="A2976" s="17"/>
      <c r="B2976" s="18"/>
      <c r="C2976" s="19"/>
      <c r="D2976" s="19"/>
      <c r="E2976" s="19"/>
      <c r="F2976" s="19"/>
      <c r="G2976" s="19"/>
      <c r="H2976" s="19"/>
      <c r="I2976" s="19"/>
      <c r="J2976" s="19"/>
      <c r="K2976" s="6"/>
      <c r="L2976" s="19"/>
    </row>
    <row r="2977" spans="1:12" ht="14" customHeight="1" x14ac:dyDescent="0.2">
      <c r="A2977" s="14"/>
      <c r="B2977" s="15"/>
      <c r="C2977" s="16"/>
      <c r="D2977" s="16"/>
      <c r="E2977" s="16"/>
      <c r="F2977" s="16"/>
      <c r="G2977" s="16"/>
      <c r="H2977" s="16"/>
      <c r="I2977" s="16"/>
      <c r="J2977" s="16"/>
      <c r="K2977" s="6"/>
      <c r="L2977" s="16"/>
    </row>
    <row r="2978" spans="1:12" ht="14" customHeight="1" x14ac:dyDescent="0.2">
      <c r="A2978" s="17"/>
      <c r="B2978" s="18"/>
      <c r="C2978" s="19"/>
      <c r="D2978" s="19"/>
      <c r="E2978" s="19"/>
      <c r="F2978" s="19"/>
      <c r="G2978" s="19"/>
      <c r="H2978" s="19"/>
      <c r="I2978" s="19"/>
      <c r="J2978" s="19"/>
      <c r="K2978" s="6"/>
      <c r="L2978" s="19"/>
    </row>
    <row r="2979" spans="1:12" ht="14" customHeight="1" x14ac:dyDescent="0.2">
      <c r="A2979" s="14"/>
      <c r="B2979" s="15"/>
      <c r="C2979" s="16"/>
      <c r="D2979" s="16"/>
      <c r="E2979" s="16"/>
      <c r="F2979" s="16"/>
      <c r="G2979" s="16"/>
      <c r="H2979" s="16"/>
      <c r="I2979" s="16"/>
      <c r="J2979" s="16"/>
      <c r="K2979" s="6"/>
      <c r="L2979" s="16"/>
    </row>
    <row r="2980" spans="1:12" ht="14" customHeight="1" x14ac:dyDescent="0.2">
      <c r="A2980" s="17"/>
      <c r="B2980" s="18"/>
      <c r="C2980" s="19"/>
      <c r="D2980" s="19"/>
      <c r="E2980" s="19"/>
      <c r="F2980" s="19"/>
      <c r="G2980" s="19"/>
      <c r="H2980" s="19"/>
      <c r="I2980" s="19"/>
      <c r="J2980" s="19"/>
      <c r="K2980" s="6"/>
      <c r="L2980" s="19"/>
    </row>
    <row r="2981" spans="1:12" ht="14" customHeight="1" x14ac:dyDescent="0.2">
      <c r="A2981" s="14"/>
      <c r="B2981" s="15"/>
      <c r="C2981" s="16"/>
      <c r="D2981" s="16"/>
      <c r="E2981" s="16"/>
      <c r="F2981" s="16"/>
      <c r="G2981" s="16"/>
      <c r="H2981" s="16"/>
      <c r="I2981" s="16"/>
      <c r="J2981" s="16"/>
      <c r="K2981" s="6"/>
      <c r="L2981" s="16"/>
    </row>
    <row r="2982" spans="1:12" ht="14" customHeight="1" x14ac:dyDescent="0.2">
      <c r="A2982" s="17"/>
      <c r="B2982" s="18"/>
      <c r="C2982" s="19"/>
      <c r="D2982" s="19"/>
      <c r="E2982" s="19"/>
      <c r="F2982" s="19"/>
      <c r="G2982" s="19"/>
      <c r="H2982" s="19"/>
      <c r="I2982" s="19"/>
      <c r="J2982" s="19"/>
      <c r="K2982" s="6"/>
      <c r="L2982" s="19"/>
    </row>
    <row r="2983" spans="1:12" ht="14" customHeight="1" x14ac:dyDescent="0.2">
      <c r="A2983" s="14"/>
      <c r="B2983" s="15"/>
      <c r="C2983" s="16"/>
      <c r="D2983" s="16"/>
      <c r="E2983" s="16"/>
      <c r="F2983" s="16"/>
      <c r="G2983" s="16"/>
      <c r="H2983" s="16"/>
      <c r="I2983" s="16"/>
      <c r="J2983" s="16"/>
      <c r="K2983" s="6"/>
      <c r="L2983" s="16"/>
    </row>
    <row r="2984" spans="1:12" ht="14" customHeight="1" x14ac:dyDescent="0.2">
      <c r="A2984" s="17"/>
      <c r="B2984" s="18"/>
      <c r="C2984" s="19"/>
      <c r="D2984" s="19"/>
      <c r="E2984" s="19"/>
      <c r="F2984" s="19"/>
      <c r="G2984" s="19"/>
      <c r="H2984" s="19"/>
      <c r="I2984" s="19"/>
      <c r="J2984" s="19"/>
      <c r="K2984" s="6"/>
      <c r="L2984" s="19"/>
    </row>
    <row r="2985" spans="1:12" ht="14" customHeight="1" x14ac:dyDescent="0.2">
      <c r="A2985" s="14"/>
      <c r="B2985" s="15"/>
      <c r="C2985" s="16"/>
      <c r="D2985" s="16"/>
      <c r="E2985" s="16"/>
      <c r="F2985" s="16"/>
      <c r="G2985" s="16"/>
      <c r="H2985" s="16"/>
      <c r="I2985" s="16"/>
      <c r="J2985" s="16"/>
      <c r="K2985" s="6"/>
      <c r="L2985" s="16"/>
    </row>
    <row r="2986" spans="1:12" ht="14" customHeight="1" x14ac:dyDescent="0.2">
      <c r="A2986" s="17"/>
      <c r="B2986" s="18"/>
      <c r="C2986" s="19"/>
      <c r="D2986" s="19"/>
      <c r="E2986" s="19"/>
      <c r="F2986" s="19"/>
      <c r="G2986" s="19"/>
      <c r="H2986" s="19"/>
      <c r="I2986" s="19"/>
      <c r="J2986" s="19"/>
      <c r="K2986" s="6"/>
      <c r="L2986" s="19"/>
    </row>
    <row r="2987" spans="1:12" ht="14" customHeight="1" x14ac:dyDescent="0.2">
      <c r="A2987" s="14"/>
      <c r="B2987" s="15"/>
      <c r="C2987" s="16"/>
      <c r="D2987" s="16"/>
      <c r="E2987" s="16"/>
      <c r="F2987" s="16"/>
      <c r="G2987" s="16"/>
      <c r="H2987" s="16"/>
      <c r="I2987" s="16"/>
      <c r="J2987" s="16"/>
      <c r="K2987" s="6"/>
      <c r="L2987" s="16"/>
    </row>
    <row r="2988" spans="1:12" ht="14" customHeight="1" x14ac:dyDescent="0.2">
      <c r="A2988" s="17"/>
      <c r="B2988" s="18"/>
      <c r="C2988" s="19"/>
      <c r="D2988" s="19"/>
      <c r="E2988" s="19"/>
      <c r="F2988" s="19"/>
      <c r="G2988" s="19"/>
      <c r="H2988" s="19"/>
      <c r="I2988" s="19"/>
      <c r="J2988" s="19"/>
      <c r="K2988" s="6"/>
      <c r="L2988" s="19"/>
    </row>
    <row r="2989" spans="1:12" ht="14" customHeight="1" x14ac:dyDescent="0.2">
      <c r="A2989" s="14"/>
      <c r="B2989" s="15"/>
      <c r="C2989" s="16"/>
      <c r="D2989" s="16"/>
      <c r="E2989" s="16"/>
      <c r="F2989" s="16"/>
      <c r="G2989" s="16"/>
      <c r="H2989" s="16"/>
      <c r="I2989" s="16"/>
      <c r="J2989" s="16"/>
      <c r="K2989" s="6"/>
      <c r="L2989" s="16"/>
    </row>
    <row r="2990" spans="1:12" ht="14" customHeight="1" x14ac:dyDescent="0.2">
      <c r="A2990" s="17"/>
      <c r="B2990" s="18"/>
      <c r="C2990" s="19"/>
      <c r="D2990" s="19"/>
      <c r="E2990" s="19"/>
      <c r="F2990" s="19"/>
      <c r="G2990" s="19"/>
      <c r="H2990" s="19"/>
      <c r="I2990" s="19"/>
      <c r="J2990" s="19"/>
      <c r="K2990" s="6"/>
      <c r="L2990" s="19"/>
    </row>
    <row r="2991" spans="1:12" ht="14" customHeight="1" x14ac:dyDescent="0.2">
      <c r="A2991" s="14"/>
      <c r="B2991" s="15"/>
      <c r="C2991" s="16"/>
      <c r="D2991" s="16"/>
      <c r="E2991" s="16"/>
      <c r="F2991" s="16"/>
      <c r="G2991" s="16"/>
      <c r="H2991" s="16"/>
      <c r="I2991" s="16"/>
      <c r="J2991" s="16"/>
      <c r="K2991" s="6"/>
      <c r="L2991" s="16"/>
    </row>
    <row r="2992" spans="1:12" ht="14" customHeight="1" x14ac:dyDescent="0.2">
      <c r="A2992" s="17"/>
      <c r="B2992" s="18"/>
      <c r="C2992" s="19"/>
      <c r="D2992" s="19"/>
      <c r="E2992" s="19"/>
      <c r="F2992" s="19"/>
      <c r="G2992" s="19"/>
      <c r="H2992" s="19"/>
      <c r="I2992" s="19"/>
      <c r="J2992" s="19"/>
      <c r="K2992" s="6"/>
      <c r="L2992" s="19"/>
    </row>
    <row r="2993" spans="1:12" ht="14" customHeight="1" x14ac:dyDescent="0.2">
      <c r="A2993" s="14"/>
      <c r="B2993" s="15"/>
      <c r="C2993" s="16"/>
      <c r="D2993" s="16"/>
      <c r="E2993" s="16"/>
      <c r="F2993" s="16"/>
      <c r="G2993" s="16"/>
      <c r="H2993" s="16"/>
      <c r="I2993" s="16"/>
      <c r="J2993" s="16"/>
      <c r="K2993" s="6"/>
      <c r="L2993" s="16"/>
    </row>
    <row r="2994" spans="1:12" ht="14" customHeight="1" x14ac:dyDescent="0.2">
      <c r="A2994" s="17"/>
      <c r="B2994" s="18"/>
      <c r="C2994" s="19"/>
      <c r="D2994" s="19"/>
      <c r="E2994" s="19"/>
      <c r="F2994" s="19"/>
      <c r="G2994" s="19"/>
      <c r="H2994" s="19"/>
      <c r="I2994" s="19"/>
      <c r="J2994" s="19"/>
      <c r="K2994" s="6"/>
      <c r="L2994" s="19"/>
    </row>
    <row r="2995" spans="1:12" ht="14" customHeight="1" x14ac:dyDescent="0.2">
      <c r="A2995" s="14"/>
      <c r="B2995" s="15"/>
      <c r="C2995" s="16"/>
      <c r="D2995" s="16"/>
      <c r="E2995" s="16"/>
      <c r="F2995" s="16"/>
      <c r="G2995" s="16"/>
      <c r="H2995" s="16"/>
      <c r="I2995" s="16"/>
      <c r="J2995" s="16"/>
      <c r="K2995" s="6"/>
      <c r="L2995" s="16"/>
    </row>
    <row r="2996" spans="1:12" ht="14" customHeight="1" x14ac:dyDescent="0.2">
      <c r="A2996" s="17"/>
      <c r="B2996" s="18"/>
      <c r="C2996" s="19"/>
      <c r="D2996" s="19"/>
      <c r="E2996" s="19"/>
      <c r="F2996" s="19"/>
      <c r="G2996" s="19"/>
      <c r="H2996" s="19"/>
      <c r="I2996" s="19"/>
      <c r="J2996" s="19"/>
      <c r="K2996" s="6"/>
      <c r="L2996" s="19"/>
    </row>
    <row r="2997" spans="1:12" ht="14" customHeight="1" x14ac:dyDescent="0.2">
      <c r="A2997" s="14"/>
      <c r="B2997" s="15"/>
      <c r="C2997" s="16"/>
      <c r="D2997" s="16"/>
      <c r="E2997" s="16"/>
      <c r="F2997" s="16"/>
      <c r="G2997" s="16"/>
      <c r="H2997" s="16"/>
      <c r="I2997" s="16"/>
      <c r="J2997" s="16"/>
      <c r="K2997" s="6"/>
      <c r="L2997" s="16"/>
    </row>
    <row r="2998" spans="1:12" ht="14" customHeight="1" x14ac:dyDescent="0.2">
      <c r="A2998" s="17"/>
      <c r="B2998" s="18"/>
      <c r="C2998" s="19"/>
      <c r="D2998" s="19"/>
      <c r="E2998" s="19"/>
      <c r="F2998" s="19"/>
      <c r="G2998" s="19"/>
      <c r="H2998" s="19"/>
      <c r="I2998" s="19"/>
      <c r="J2998" s="19"/>
      <c r="K2998" s="6"/>
      <c r="L2998" s="19"/>
    </row>
    <row r="2999" spans="1:12" ht="14" customHeight="1" x14ac:dyDescent="0.2">
      <c r="A2999" s="14"/>
      <c r="B2999" s="15"/>
      <c r="C2999" s="16"/>
      <c r="D2999" s="16"/>
      <c r="E2999" s="16"/>
      <c r="F2999" s="16"/>
      <c r="G2999" s="16"/>
      <c r="H2999" s="16"/>
      <c r="I2999" s="16"/>
      <c r="J2999" s="16"/>
      <c r="K2999" s="6"/>
      <c r="L2999" s="16"/>
    </row>
    <row r="3000" spans="1:12" ht="14" customHeight="1" x14ac:dyDescent="0.2">
      <c r="A3000" s="17"/>
      <c r="B3000" s="18"/>
      <c r="C3000" s="19"/>
      <c r="D3000" s="19"/>
      <c r="E3000" s="19"/>
      <c r="F3000" s="19"/>
      <c r="G3000" s="19"/>
      <c r="H3000" s="19"/>
      <c r="I3000" s="19"/>
      <c r="J3000" s="19"/>
      <c r="K3000" s="6"/>
      <c r="L3000" s="19"/>
    </row>
    <row r="3001" spans="1:12" ht="14" customHeight="1" x14ac:dyDescent="0.2">
      <c r="A3001" s="14"/>
      <c r="B3001" s="15"/>
      <c r="C3001" s="16"/>
      <c r="D3001" s="16"/>
      <c r="E3001" s="16"/>
      <c r="F3001" s="16"/>
      <c r="G3001" s="16"/>
      <c r="H3001" s="16"/>
      <c r="I3001" s="16"/>
      <c r="J3001" s="16"/>
      <c r="K3001" s="6"/>
      <c r="L3001" s="16"/>
    </row>
    <row r="3002" spans="1:12" ht="14" customHeight="1" x14ac:dyDescent="0.2">
      <c r="A3002" s="17"/>
      <c r="B3002" s="18"/>
      <c r="C3002" s="19"/>
      <c r="D3002" s="19"/>
      <c r="E3002" s="19"/>
      <c r="F3002" s="19"/>
      <c r="G3002" s="19"/>
      <c r="H3002" s="19"/>
      <c r="I3002" s="19"/>
      <c r="J3002" s="19"/>
      <c r="K3002" s="6"/>
      <c r="L3002" s="19"/>
    </row>
    <row r="3003" spans="1:12" ht="14" customHeight="1" x14ac:dyDescent="0.2">
      <c r="A3003" s="14"/>
      <c r="B3003" s="15"/>
      <c r="C3003" s="16"/>
      <c r="D3003" s="16"/>
      <c r="E3003" s="16"/>
      <c r="F3003" s="16"/>
      <c r="G3003" s="16"/>
      <c r="H3003" s="16"/>
      <c r="I3003" s="16"/>
      <c r="J3003" s="16"/>
      <c r="K3003" s="6"/>
      <c r="L3003" s="16"/>
    </row>
    <row r="3004" spans="1:12" ht="14" customHeight="1" x14ac:dyDescent="0.2">
      <c r="A3004" s="17"/>
      <c r="B3004" s="18"/>
      <c r="C3004" s="19"/>
      <c r="D3004" s="19"/>
      <c r="E3004" s="19"/>
      <c r="F3004" s="19"/>
      <c r="G3004" s="19"/>
      <c r="H3004" s="19"/>
      <c r="I3004" s="19"/>
      <c r="J3004" s="19"/>
      <c r="K3004" s="6"/>
      <c r="L3004" s="19"/>
    </row>
    <row r="3005" spans="1:12" ht="14" customHeight="1" x14ac:dyDescent="0.2">
      <c r="A3005" s="14"/>
      <c r="B3005" s="15"/>
      <c r="C3005" s="16"/>
      <c r="D3005" s="16"/>
      <c r="E3005" s="16"/>
      <c r="F3005" s="16"/>
      <c r="G3005" s="16"/>
      <c r="H3005" s="16"/>
      <c r="I3005" s="16"/>
      <c r="J3005" s="16"/>
      <c r="K3005" s="6"/>
      <c r="L3005" s="16"/>
    </row>
    <row r="3006" spans="1:12" ht="14" customHeight="1" x14ac:dyDescent="0.2">
      <c r="A3006" s="17"/>
      <c r="B3006" s="18"/>
      <c r="C3006" s="19"/>
      <c r="D3006" s="19"/>
      <c r="E3006" s="19"/>
      <c r="F3006" s="19"/>
      <c r="G3006" s="19"/>
      <c r="H3006" s="19"/>
      <c r="I3006" s="19"/>
      <c r="J3006" s="19"/>
      <c r="K3006" s="6"/>
      <c r="L3006" s="19"/>
    </row>
    <row r="3007" spans="1:12" ht="14" customHeight="1" x14ac:dyDescent="0.2">
      <c r="A3007" s="14"/>
      <c r="B3007" s="15"/>
      <c r="C3007" s="16"/>
      <c r="D3007" s="16"/>
      <c r="E3007" s="16"/>
      <c r="F3007" s="16"/>
      <c r="G3007" s="16"/>
      <c r="H3007" s="16"/>
      <c r="I3007" s="16"/>
      <c r="J3007" s="16"/>
      <c r="K3007" s="6"/>
      <c r="L3007" s="16"/>
    </row>
    <row r="3008" spans="1:12" ht="14" customHeight="1" x14ac:dyDescent="0.2">
      <c r="A3008" s="17"/>
      <c r="B3008" s="18"/>
      <c r="C3008" s="19"/>
      <c r="D3008" s="19"/>
      <c r="E3008" s="19"/>
      <c r="F3008" s="19"/>
      <c r="G3008" s="19"/>
      <c r="H3008" s="19"/>
      <c r="I3008" s="19"/>
      <c r="J3008" s="19"/>
      <c r="K3008" s="6"/>
      <c r="L3008" s="19"/>
    </row>
    <row r="3009" spans="1:12" ht="14" customHeight="1" x14ac:dyDescent="0.2">
      <c r="A3009" s="14"/>
      <c r="B3009" s="15"/>
      <c r="C3009" s="16"/>
      <c r="D3009" s="16"/>
      <c r="E3009" s="16"/>
      <c r="F3009" s="16"/>
      <c r="G3009" s="16"/>
      <c r="H3009" s="16"/>
      <c r="I3009" s="16"/>
      <c r="J3009" s="16"/>
      <c r="K3009" s="6"/>
      <c r="L3009" s="16"/>
    </row>
    <row r="3010" spans="1:12" ht="14" customHeight="1" x14ac:dyDescent="0.2">
      <c r="A3010" s="17"/>
      <c r="B3010" s="18"/>
      <c r="C3010" s="19"/>
      <c r="D3010" s="19"/>
      <c r="E3010" s="19"/>
      <c r="F3010" s="19"/>
      <c r="G3010" s="19"/>
      <c r="H3010" s="19"/>
      <c r="I3010" s="19"/>
      <c r="J3010" s="19"/>
      <c r="K3010" s="6"/>
      <c r="L3010" s="19"/>
    </row>
    <row r="3011" spans="1:12" ht="14" customHeight="1" x14ac:dyDescent="0.2">
      <c r="A3011" s="14"/>
      <c r="B3011" s="15"/>
      <c r="C3011" s="16"/>
      <c r="D3011" s="16"/>
      <c r="E3011" s="16"/>
      <c r="F3011" s="16"/>
      <c r="G3011" s="16"/>
      <c r="H3011" s="16"/>
      <c r="I3011" s="16"/>
      <c r="J3011" s="16"/>
      <c r="K3011" s="6"/>
      <c r="L3011" s="16"/>
    </row>
    <row r="3012" spans="1:12" ht="14" customHeight="1" x14ac:dyDescent="0.2">
      <c r="A3012" s="17"/>
      <c r="B3012" s="18"/>
      <c r="C3012" s="19"/>
      <c r="D3012" s="19"/>
      <c r="E3012" s="19"/>
      <c r="F3012" s="19"/>
      <c r="G3012" s="19"/>
      <c r="H3012" s="19"/>
      <c r="I3012" s="19"/>
      <c r="J3012" s="19"/>
      <c r="K3012" s="6"/>
      <c r="L3012" s="19"/>
    </row>
    <row r="3013" spans="1:12" ht="14" customHeight="1" x14ac:dyDescent="0.2">
      <c r="A3013" s="14"/>
      <c r="B3013" s="15"/>
      <c r="C3013" s="16"/>
      <c r="D3013" s="16"/>
      <c r="E3013" s="16"/>
      <c r="F3013" s="16"/>
      <c r="G3013" s="16"/>
      <c r="H3013" s="16"/>
      <c r="I3013" s="16"/>
      <c r="J3013" s="16"/>
      <c r="K3013" s="6"/>
      <c r="L3013" s="16"/>
    </row>
    <row r="3014" spans="1:12" ht="14" customHeight="1" x14ac:dyDescent="0.2">
      <c r="A3014" s="17"/>
      <c r="B3014" s="18"/>
      <c r="C3014" s="19"/>
      <c r="D3014" s="19"/>
      <c r="E3014" s="19"/>
      <c r="F3014" s="19"/>
      <c r="G3014" s="19"/>
      <c r="H3014" s="19"/>
      <c r="I3014" s="19"/>
      <c r="J3014" s="19"/>
      <c r="K3014" s="6"/>
      <c r="L3014" s="19"/>
    </row>
    <row r="3015" spans="1:12" ht="14" customHeight="1" x14ac:dyDescent="0.2">
      <c r="A3015" s="14"/>
      <c r="B3015" s="15"/>
      <c r="C3015" s="16"/>
      <c r="D3015" s="16"/>
      <c r="E3015" s="16"/>
      <c r="F3015" s="16"/>
      <c r="G3015" s="16"/>
      <c r="H3015" s="16"/>
      <c r="I3015" s="16"/>
      <c r="J3015" s="16"/>
      <c r="K3015" s="6"/>
      <c r="L3015" s="16"/>
    </row>
    <row r="3016" spans="1:12" ht="14" customHeight="1" x14ac:dyDescent="0.2">
      <c r="A3016" s="17"/>
      <c r="B3016" s="18"/>
      <c r="C3016" s="19"/>
      <c r="D3016" s="19"/>
      <c r="E3016" s="19"/>
      <c r="F3016" s="19"/>
      <c r="G3016" s="19"/>
      <c r="H3016" s="19"/>
      <c r="I3016" s="19"/>
      <c r="J3016" s="19"/>
      <c r="K3016" s="6"/>
      <c r="L3016" s="19"/>
    </row>
    <row r="3017" spans="1:12" ht="14" customHeight="1" x14ac:dyDescent="0.2">
      <c r="A3017" s="14"/>
      <c r="B3017" s="15"/>
      <c r="C3017" s="16"/>
      <c r="D3017" s="16"/>
      <c r="E3017" s="16"/>
      <c r="F3017" s="16"/>
      <c r="G3017" s="16"/>
      <c r="H3017" s="16"/>
      <c r="I3017" s="16"/>
      <c r="J3017" s="16"/>
      <c r="K3017" s="6"/>
      <c r="L3017" s="16"/>
    </row>
    <row r="3018" spans="1:12" ht="14" customHeight="1" x14ac:dyDescent="0.2">
      <c r="A3018" s="17"/>
      <c r="B3018" s="18"/>
      <c r="C3018" s="19"/>
      <c r="D3018" s="19"/>
      <c r="E3018" s="19"/>
      <c r="F3018" s="19"/>
      <c r="G3018" s="19"/>
      <c r="H3018" s="19"/>
      <c r="I3018" s="19"/>
      <c r="J3018" s="19"/>
      <c r="K3018" s="6"/>
      <c r="L3018" s="19"/>
    </row>
    <row r="3019" spans="1:12" ht="14" customHeight="1" x14ac:dyDescent="0.2">
      <c r="A3019" s="14"/>
      <c r="B3019" s="15"/>
      <c r="C3019" s="16"/>
      <c r="D3019" s="16"/>
      <c r="E3019" s="16"/>
      <c r="F3019" s="16"/>
      <c r="G3019" s="16"/>
      <c r="H3019" s="16"/>
      <c r="I3019" s="16"/>
      <c r="J3019" s="16"/>
      <c r="K3019" s="6"/>
      <c r="L3019" s="16"/>
    </row>
    <row r="3020" spans="1:12" ht="14" customHeight="1" x14ac:dyDescent="0.2">
      <c r="A3020" s="17"/>
      <c r="B3020" s="18"/>
      <c r="C3020" s="19"/>
      <c r="D3020" s="19"/>
      <c r="E3020" s="19"/>
      <c r="F3020" s="19"/>
      <c r="G3020" s="19"/>
      <c r="H3020" s="19"/>
      <c r="I3020" s="19"/>
      <c r="J3020" s="19"/>
      <c r="K3020" s="6"/>
      <c r="L3020" s="19"/>
    </row>
    <row r="3021" spans="1:12" ht="14" customHeight="1" x14ac:dyDescent="0.2">
      <c r="A3021" s="14"/>
      <c r="B3021" s="15"/>
      <c r="C3021" s="16"/>
      <c r="D3021" s="16"/>
      <c r="E3021" s="16"/>
      <c r="F3021" s="16"/>
      <c r="G3021" s="16"/>
      <c r="H3021" s="16"/>
      <c r="I3021" s="16"/>
      <c r="J3021" s="16"/>
      <c r="K3021" s="6"/>
      <c r="L3021" s="16"/>
    </row>
    <row r="3022" spans="1:12" ht="14" customHeight="1" x14ac:dyDescent="0.2">
      <c r="A3022" s="17"/>
      <c r="B3022" s="18"/>
      <c r="C3022" s="19"/>
      <c r="D3022" s="19"/>
      <c r="E3022" s="19"/>
      <c r="F3022" s="19"/>
      <c r="G3022" s="19"/>
      <c r="H3022" s="19"/>
      <c r="I3022" s="19"/>
      <c r="J3022" s="19"/>
      <c r="K3022" s="6"/>
      <c r="L3022" s="19"/>
    </row>
    <row r="3023" spans="1:12" ht="14" customHeight="1" x14ac:dyDescent="0.2">
      <c r="A3023" s="14"/>
      <c r="B3023" s="15"/>
      <c r="C3023" s="16"/>
      <c r="D3023" s="16"/>
      <c r="E3023" s="16"/>
      <c r="F3023" s="16"/>
      <c r="G3023" s="16"/>
      <c r="H3023" s="16"/>
      <c r="I3023" s="16"/>
      <c r="J3023" s="16"/>
      <c r="K3023" s="6"/>
      <c r="L3023" s="16"/>
    </row>
    <row r="3024" spans="1:12" ht="14" customHeight="1" x14ac:dyDescent="0.2">
      <c r="A3024" s="17"/>
      <c r="B3024" s="18"/>
      <c r="C3024" s="19"/>
      <c r="D3024" s="19"/>
      <c r="E3024" s="19"/>
      <c r="F3024" s="19"/>
      <c r="G3024" s="19"/>
      <c r="H3024" s="19"/>
      <c r="I3024" s="19"/>
      <c r="J3024" s="19"/>
      <c r="K3024" s="6"/>
      <c r="L3024" s="19"/>
    </row>
    <row r="3025" spans="1:12" ht="14" customHeight="1" x14ac:dyDescent="0.2">
      <c r="A3025" s="14"/>
      <c r="B3025" s="15"/>
      <c r="C3025" s="16"/>
      <c r="D3025" s="16"/>
      <c r="E3025" s="16"/>
      <c r="F3025" s="16"/>
      <c r="G3025" s="16"/>
      <c r="H3025" s="16"/>
      <c r="I3025" s="16"/>
      <c r="J3025" s="16"/>
      <c r="K3025" s="6"/>
      <c r="L3025" s="16"/>
    </row>
    <row r="3026" spans="1:12" ht="14" customHeight="1" x14ac:dyDescent="0.2">
      <c r="A3026" s="17"/>
      <c r="B3026" s="18"/>
      <c r="C3026" s="19"/>
      <c r="D3026" s="19"/>
      <c r="E3026" s="19"/>
      <c r="F3026" s="19"/>
      <c r="G3026" s="19"/>
      <c r="H3026" s="19"/>
      <c r="I3026" s="19"/>
      <c r="J3026" s="19"/>
      <c r="K3026" s="6"/>
      <c r="L3026" s="19"/>
    </row>
    <row r="3027" spans="1:12" ht="14" customHeight="1" x14ac:dyDescent="0.2">
      <c r="A3027" s="14"/>
      <c r="B3027" s="15"/>
      <c r="C3027" s="16"/>
      <c r="D3027" s="16"/>
      <c r="E3027" s="16"/>
      <c r="F3027" s="16"/>
      <c r="G3027" s="16"/>
      <c r="H3027" s="16"/>
      <c r="I3027" s="16"/>
      <c r="J3027" s="16"/>
      <c r="K3027" s="6"/>
      <c r="L3027" s="16"/>
    </row>
    <row r="3028" spans="1:12" ht="14" customHeight="1" x14ac:dyDescent="0.2">
      <c r="A3028" s="17"/>
      <c r="B3028" s="18"/>
      <c r="C3028" s="19"/>
      <c r="D3028" s="19"/>
      <c r="E3028" s="19"/>
      <c r="F3028" s="19"/>
      <c r="G3028" s="19"/>
      <c r="H3028" s="19"/>
      <c r="I3028" s="19"/>
      <c r="J3028" s="19"/>
      <c r="K3028" s="6"/>
      <c r="L3028" s="19"/>
    </row>
    <row r="3029" spans="1:12" ht="14" customHeight="1" x14ac:dyDescent="0.2">
      <c r="A3029" s="14"/>
      <c r="B3029" s="15"/>
      <c r="C3029" s="16"/>
      <c r="D3029" s="16"/>
      <c r="E3029" s="16"/>
      <c r="F3029" s="16"/>
      <c r="G3029" s="16"/>
      <c r="H3029" s="16"/>
      <c r="I3029" s="16"/>
      <c r="J3029" s="16"/>
      <c r="K3029" s="6"/>
      <c r="L3029" s="16"/>
    </row>
    <row r="3030" spans="1:12" ht="14" customHeight="1" x14ac:dyDescent="0.2">
      <c r="A3030" s="17"/>
      <c r="B3030" s="18"/>
      <c r="C3030" s="19"/>
      <c r="D3030" s="19"/>
      <c r="E3030" s="19"/>
      <c r="F3030" s="19"/>
      <c r="G3030" s="19"/>
      <c r="H3030" s="19"/>
      <c r="I3030" s="19"/>
      <c r="J3030" s="19"/>
      <c r="K3030" s="6"/>
      <c r="L3030" s="19"/>
    </row>
    <row r="3031" spans="1:12" ht="14" customHeight="1" x14ac:dyDescent="0.2">
      <c r="A3031" s="14"/>
      <c r="B3031" s="15"/>
      <c r="C3031" s="16"/>
      <c r="D3031" s="16"/>
      <c r="E3031" s="16"/>
      <c r="F3031" s="16"/>
      <c r="G3031" s="16"/>
      <c r="H3031" s="16"/>
      <c r="I3031" s="16"/>
      <c r="J3031" s="16"/>
      <c r="K3031" s="6"/>
      <c r="L3031" s="16"/>
    </row>
    <row r="3032" spans="1:12" ht="14" customHeight="1" x14ac:dyDescent="0.2">
      <c r="A3032" s="17"/>
      <c r="B3032" s="18"/>
      <c r="C3032" s="19"/>
      <c r="D3032" s="19"/>
      <c r="E3032" s="19"/>
      <c r="F3032" s="19"/>
      <c r="G3032" s="19"/>
      <c r="H3032" s="19"/>
      <c r="I3032" s="19"/>
      <c r="J3032" s="19"/>
      <c r="K3032" s="6"/>
      <c r="L3032" s="19"/>
    </row>
    <row r="3033" spans="1:12" ht="14" customHeight="1" x14ac:dyDescent="0.2">
      <c r="A3033" s="14"/>
      <c r="B3033" s="15"/>
      <c r="C3033" s="16"/>
      <c r="D3033" s="16"/>
      <c r="E3033" s="16"/>
      <c r="F3033" s="16"/>
      <c r="G3033" s="16"/>
      <c r="H3033" s="16"/>
      <c r="I3033" s="16"/>
      <c r="J3033" s="16"/>
      <c r="K3033" s="6"/>
      <c r="L3033" s="16"/>
    </row>
    <row r="3034" spans="1:12" ht="14" customHeight="1" x14ac:dyDescent="0.2">
      <c r="A3034" s="17"/>
      <c r="B3034" s="18"/>
      <c r="C3034" s="19"/>
      <c r="D3034" s="19"/>
      <c r="E3034" s="19"/>
      <c r="F3034" s="19"/>
      <c r="G3034" s="19"/>
      <c r="H3034" s="19"/>
      <c r="I3034" s="19"/>
      <c r="J3034" s="19"/>
      <c r="K3034" s="6"/>
      <c r="L3034" s="19"/>
    </row>
    <row r="3035" spans="1:12" ht="14" customHeight="1" x14ac:dyDescent="0.2">
      <c r="A3035" s="14"/>
      <c r="B3035" s="15"/>
      <c r="C3035" s="16"/>
      <c r="D3035" s="16"/>
      <c r="E3035" s="16"/>
      <c r="F3035" s="16"/>
      <c r="G3035" s="16"/>
      <c r="H3035" s="16"/>
      <c r="I3035" s="16"/>
      <c r="J3035" s="16"/>
      <c r="K3035" s="6"/>
      <c r="L3035" s="16"/>
    </row>
    <row r="3036" spans="1:12" ht="14" customHeight="1" x14ac:dyDescent="0.2">
      <c r="A3036" s="17"/>
      <c r="B3036" s="18"/>
      <c r="C3036" s="19"/>
      <c r="D3036" s="19"/>
      <c r="E3036" s="19"/>
      <c r="F3036" s="19"/>
      <c r="G3036" s="19"/>
      <c r="H3036" s="19"/>
      <c r="I3036" s="19"/>
      <c r="J3036" s="19"/>
      <c r="K3036" s="6"/>
      <c r="L3036" s="19"/>
    </row>
    <row r="3037" spans="1:12" ht="14" customHeight="1" x14ac:dyDescent="0.2">
      <c r="A3037" s="14"/>
      <c r="B3037" s="15"/>
      <c r="C3037" s="16"/>
      <c r="D3037" s="16"/>
      <c r="E3037" s="16"/>
      <c r="F3037" s="16"/>
      <c r="G3037" s="16"/>
      <c r="H3037" s="16"/>
      <c r="I3037" s="16"/>
      <c r="J3037" s="16"/>
      <c r="K3037" s="6"/>
      <c r="L3037" s="16"/>
    </row>
    <row r="3038" spans="1:12" ht="14" customHeight="1" x14ac:dyDescent="0.2">
      <c r="A3038" s="17"/>
      <c r="B3038" s="18"/>
      <c r="C3038" s="19"/>
      <c r="D3038" s="19"/>
      <c r="E3038" s="19"/>
      <c r="F3038" s="19"/>
      <c r="G3038" s="19"/>
      <c r="H3038" s="19"/>
      <c r="I3038" s="19"/>
      <c r="J3038" s="19"/>
      <c r="K3038" s="6"/>
      <c r="L3038" s="19"/>
    </row>
    <row r="3039" spans="1:12" ht="14" customHeight="1" x14ac:dyDescent="0.2">
      <c r="A3039" s="14"/>
      <c r="B3039" s="15"/>
      <c r="C3039" s="16"/>
      <c r="D3039" s="16"/>
      <c r="E3039" s="16"/>
      <c r="F3039" s="16"/>
      <c r="G3039" s="16"/>
      <c r="H3039" s="16"/>
      <c r="I3039" s="16"/>
      <c r="J3039" s="16"/>
      <c r="K3039" s="6"/>
      <c r="L3039" s="16"/>
    </row>
    <row r="3040" spans="1:12" ht="14" customHeight="1" x14ac:dyDescent="0.2">
      <c r="A3040" s="17"/>
      <c r="B3040" s="18"/>
      <c r="C3040" s="19"/>
      <c r="D3040" s="19"/>
      <c r="E3040" s="19"/>
      <c r="F3040" s="19"/>
      <c r="G3040" s="19"/>
      <c r="H3040" s="19"/>
      <c r="I3040" s="19"/>
      <c r="J3040" s="19"/>
      <c r="K3040" s="6"/>
      <c r="L3040" s="19"/>
    </row>
    <row r="3041" spans="1:12" ht="14" customHeight="1" x14ac:dyDescent="0.2">
      <c r="A3041" s="14"/>
      <c r="B3041" s="15"/>
      <c r="C3041" s="16"/>
      <c r="D3041" s="16"/>
      <c r="E3041" s="16"/>
      <c r="F3041" s="16"/>
      <c r="G3041" s="16"/>
      <c r="H3041" s="16"/>
      <c r="I3041" s="16"/>
      <c r="J3041" s="16"/>
      <c r="K3041" s="6"/>
      <c r="L3041" s="16"/>
    </row>
    <row r="3042" spans="1:12" ht="14" customHeight="1" x14ac:dyDescent="0.2">
      <c r="A3042" s="17"/>
      <c r="B3042" s="18"/>
      <c r="C3042" s="19"/>
      <c r="D3042" s="19"/>
      <c r="E3042" s="19"/>
      <c r="F3042" s="19"/>
      <c r="G3042" s="19"/>
      <c r="H3042" s="19"/>
      <c r="I3042" s="19"/>
      <c r="J3042" s="19"/>
      <c r="K3042" s="6"/>
      <c r="L3042" s="19"/>
    </row>
    <row r="3043" spans="1:12" ht="14" customHeight="1" x14ac:dyDescent="0.2">
      <c r="A3043" s="14"/>
      <c r="B3043" s="15"/>
      <c r="C3043" s="16"/>
      <c r="D3043" s="16"/>
      <c r="E3043" s="16"/>
      <c r="F3043" s="16"/>
      <c r="G3043" s="16"/>
      <c r="H3043" s="16"/>
      <c r="I3043" s="16"/>
      <c r="J3043" s="16"/>
      <c r="K3043" s="6"/>
      <c r="L3043" s="16"/>
    </row>
    <row r="3044" spans="1:12" ht="14" customHeight="1" x14ac:dyDescent="0.2">
      <c r="A3044" s="17"/>
      <c r="B3044" s="18"/>
      <c r="C3044" s="19"/>
      <c r="D3044" s="19"/>
      <c r="E3044" s="19"/>
      <c r="F3044" s="19"/>
      <c r="G3044" s="19"/>
      <c r="H3044" s="19"/>
      <c r="I3044" s="19"/>
      <c r="J3044" s="19"/>
      <c r="K3044" s="6"/>
      <c r="L3044" s="19"/>
    </row>
    <row r="3045" spans="1:12" ht="14" customHeight="1" x14ac:dyDescent="0.2">
      <c r="A3045" s="14"/>
      <c r="B3045" s="15"/>
      <c r="C3045" s="16"/>
      <c r="D3045" s="16"/>
      <c r="E3045" s="16"/>
      <c r="F3045" s="16"/>
      <c r="G3045" s="16"/>
      <c r="H3045" s="16"/>
      <c r="I3045" s="16"/>
      <c r="J3045" s="16"/>
      <c r="K3045" s="6"/>
      <c r="L3045" s="16"/>
    </row>
    <row r="3046" spans="1:12" ht="14" customHeight="1" x14ac:dyDescent="0.2">
      <c r="A3046" s="17"/>
      <c r="B3046" s="18"/>
      <c r="C3046" s="19"/>
      <c r="D3046" s="19"/>
      <c r="E3046" s="19"/>
      <c r="F3046" s="19"/>
      <c r="G3046" s="19"/>
      <c r="H3046" s="19"/>
      <c r="I3046" s="19"/>
      <c r="J3046" s="19"/>
      <c r="K3046" s="6"/>
      <c r="L3046" s="19"/>
    </row>
    <row r="3047" spans="1:12" ht="14" customHeight="1" x14ac:dyDescent="0.2">
      <c r="A3047" s="14"/>
      <c r="B3047" s="15"/>
      <c r="C3047" s="16"/>
      <c r="D3047" s="16"/>
      <c r="E3047" s="16"/>
      <c r="F3047" s="16"/>
      <c r="G3047" s="16"/>
      <c r="H3047" s="16"/>
      <c r="I3047" s="16"/>
      <c r="J3047" s="16"/>
      <c r="K3047" s="6"/>
      <c r="L3047" s="16"/>
    </row>
    <row r="3048" spans="1:12" ht="14" customHeight="1" x14ac:dyDescent="0.2">
      <c r="A3048" s="17"/>
      <c r="B3048" s="18"/>
      <c r="C3048" s="19"/>
      <c r="D3048" s="19"/>
      <c r="E3048" s="19"/>
      <c r="F3048" s="19"/>
      <c r="G3048" s="19"/>
      <c r="H3048" s="19"/>
      <c r="I3048" s="19"/>
      <c r="J3048" s="19"/>
      <c r="K3048" s="6"/>
      <c r="L3048" s="19"/>
    </row>
    <row r="3049" spans="1:12" ht="14" customHeight="1" x14ac:dyDescent="0.2">
      <c r="A3049" s="14"/>
      <c r="B3049" s="15"/>
      <c r="C3049" s="16"/>
      <c r="D3049" s="16"/>
      <c r="E3049" s="16"/>
      <c r="F3049" s="16"/>
      <c r="G3049" s="16"/>
      <c r="H3049" s="16"/>
      <c r="I3049" s="16"/>
      <c r="J3049" s="16"/>
      <c r="K3049" s="6"/>
      <c r="L3049" s="16"/>
    </row>
    <row r="3050" spans="1:12" ht="14" customHeight="1" x14ac:dyDescent="0.2">
      <c r="A3050" s="17"/>
      <c r="B3050" s="18"/>
      <c r="C3050" s="19"/>
      <c r="D3050" s="19"/>
      <c r="E3050" s="19"/>
      <c r="F3050" s="19"/>
      <c r="G3050" s="19"/>
      <c r="H3050" s="19"/>
      <c r="I3050" s="19"/>
      <c r="J3050" s="19"/>
      <c r="K3050" s="6"/>
      <c r="L3050" s="19"/>
    </row>
    <row r="3051" spans="1:12" ht="14" customHeight="1" x14ac:dyDescent="0.2">
      <c r="A3051" s="14"/>
      <c r="B3051" s="15"/>
      <c r="C3051" s="16"/>
      <c r="D3051" s="16"/>
      <c r="E3051" s="16"/>
      <c r="F3051" s="16"/>
      <c r="G3051" s="16"/>
      <c r="H3051" s="16"/>
      <c r="I3051" s="16"/>
      <c r="J3051" s="16"/>
      <c r="K3051" s="6"/>
      <c r="L3051" s="16"/>
    </row>
    <row r="3052" spans="1:12" ht="14" customHeight="1" x14ac:dyDescent="0.2">
      <c r="A3052" s="17"/>
      <c r="B3052" s="18"/>
      <c r="C3052" s="19"/>
      <c r="D3052" s="19"/>
      <c r="E3052" s="19"/>
      <c r="F3052" s="19"/>
      <c r="G3052" s="19"/>
      <c r="H3052" s="19"/>
      <c r="I3052" s="19"/>
      <c r="J3052" s="19"/>
      <c r="K3052" s="6"/>
      <c r="L3052" s="19"/>
    </row>
    <row r="3053" spans="1:12" ht="14" customHeight="1" x14ac:dyDescent="0.2">
      <c r="A3053" s="14"/>
      <c r="B3053" s="15"/>
      <c r="C3053" s="16"/>
      <c r="D3053" s="16"/>
      <c r="E3053" s="16"/>
      <c r="F3053" s="16"/>
      <c r="G3053" s="16"/>
      <c r="H3053" s="16"/>
      <c r="I3053" s="16"/>
      <c r="J3053" s="16"/>
      <c r="K3053" s="6"/>
      <c r="L3053" s="16"/>
    </row>
    <row r="3054" spans="1:12" ht="14" customHeight="1" x14ac:dyDescent="0.2">
      <c r="A3054" s="17"/>
      <c r="B3054" s="18"/>
      <c r="C3054" s="19"/>
      <c r="D3054" s="19"/>
      <c r="E3054" s="19"/>
      <c r="F3054" s="19"/>
      <c r="G3054" s="19"/>
      <c r="H3054" s="19"/>
      <c r="I3054" s="19"/>
      <c r="J3054" s="19"/>
      <c r="K3054" s="6"/>
      <c r="L3054" s="19"/>
    </row>
    <row r="3055" spans="1:12" ht="14" customHeight="1" x14ac:dyDescent="0.2">
      <c r="A3055" s="14"/>
      <c r="B3055" s="15"/>
      <c r="C3055" s="16"/>
      <c r="D3055" s="16"/>
      <c r="E3055" s="16"/>
      <c r="F3055" s="16"/>
      <c r="G3055" s="16"/>
      <c r="H3055" s="16"/>
      <c r="I3055" s="16"/>
      <c r="J3055" s="16"/>
      <c r="K3055" s="6"/>
      <c r="L3055" s="16"/>
    </row>
    <row r="3056" spans="1:12" ht="14" customHeight="1" x14ac:dyDescent="0.2">
      <c r="A3056" s="17"/>
      <c r="B3056" s="18"/>
      <c r="C3056" s="19"/>
      <c r="D3056" s="19"/>
      <c r="E3056" s="19"/>
      <c r="F3056" s="19"/>
      <c r="G3056" s="19"/>
      <c r="H3056" s="19"/>
      <c r="I3056" s="19"/>
      <c r="J3056" s="19"/>
      <c r="K3056" s="6"/>
      <c r="L3056" s="19"/>
    </row>
    <row r="3057" spans="1:12" ht="14" customHeight="1" x14ac:dyDescent="0.2">
      <c r="A3057" s="14"/>
      <c r="B3057" s="15"/>
      <c r="C3057" s="16"/>
      <c r="D3057" s="16"/>
      <c r="E3057" s="16"/>
      <c r="F3057" s="16"/>
      <c r="G3057" s="16"/>
      <c r="H3057" s="16"/>
      <c r="I3057" s="16"/>
      <c r="J3057" s="16"/>
      <c r="K3057" s="6"/>
      <c r="L3057" s="16"/>
    </row>
    <row r="3058" spans="1:12" ht="14" customHeight="1" x14ac:dyDescent="0.2">
      <c r="A3058" s="17"/>
      <c r="B3058" s="18"/>
      <c r="C3058" s="19"/>
      <c r="D3058" s="19"/>
      <c r="E3058" s="19"/>
      <c r="F3058" s="19"/>
      <c r="G3058" s="19"/>
      <c r="H3058" s="19"/>
      <c r="I3058" s="19"/>
      <c r="J3058" s="19"/>
      <c r="K3058" s="6"/>
      <c r="L3058" s="19"/>
    </row>
    <row r="3059" spans="1:12" ht="14" customHeight="1" x14ac:dyDescent="0.2">
      <c r="A3059" s="14"/>
      <c r="B3059" s="15"/>
      <c r="C3059" s="16"/>
      <c r="D3059" s="16"/>
      <c r="E3059" s="16"/>
      <c r="F3059" s="16"/>
      <c r="G3059" s="16"/>
      <c r="H3059" s="16"/>
      <c r="I3059" s="16"/>
      <c r="J3059" s="16"/>
      <c r="K3059" s="6"/>
      <c r="L3059" s="16"/>
    </row>
    <row r="3060" spans="1:12" ht="14" customHeight="1" x14ac:dyDescent="0.2">
      <c r="A3060" s="17"/>
      <c r="B3060" s="18"/>
      <c r="C3060" s="19"/>
      <c r="D3060" s="19"/>
      <c r="E3060" s="19"/>
      <c r="F3060" s="19"/>
      <c r="G3060" s="19"/>
      <c r="H3060" s="19"/>
      <c r="I3060" s="19"/>
      <c r="J3060" s="19"/>
      <c r="K3060" s="6"/>
      <c r="L3060" s="19"/>
    </row>
    <row r="3061" spans="1:12" ht="14" customHeight="1" x14ac:dyDescent="0.2">
      <c r="A3061" s="14"/>
      <c r="B3061" s="15"/>
      <c r="C3061" s="16"/>
      <c r="D3061" s="16"/>
      <c r="E3061" s="16"/>
      <c r="F3061" s="16"/>
      <c r="G3061" s="16"/>
      <c r="H3061" s="16"/>
      <c r="I3061" s="16"/>
      <c r="J3061" s="16"/>
      <c r="K3061" s="6"/>
      <c r="L3061" s="16"/>
    </row>
    <row r="3062" spans="1:12" ht="14" customHeight="1" x14ac:dyDescent="0.2">
      <c r="A3062" s="17"/>
      <c r="B3062" s="18"/>
      <c r="C3062" s="19"/>
      <c r="D3062" s="19"/>
      <c r="E3062" s="19"/>
      <c r="F3062" s="19"/>
      <c r="G3062" s="19"/>
      <c r="H3062" s="19"/>
      <c r="I3062" s="19"/>
      <c r="J3062" s="19"/>
      <c r="K3062" s="6"/>
      <c r="L3062" s="19"/>
    </row>
    <row r="3063" spans="1:12" ht="14" customHeight="1" x14ac:dyDescent="0.2">
      <c r="A3063" s="14"/>
      <c r="B3063" s="15"/>
      <c r="C3063" s="16"/>
      <c r="D3063" s="16"/>
      <c r="E3063" s="16"/>
      <c r="F3063" s="16"/>
      <c r="G3063" s="16"/>
      <c r="H3063" s="16"/>
      <c r="I3063" s="16"/>
      <c r="J3063" s="16"/>
      <c r="K3063" s="6"/>
      <c r="L3063" s="16"/>
    </row>
    <row r="3064" spans="1:12" ht="14" customHeight="1" x14ac:dyDescent="0.2">
      <c r="A3064" s="17"/>
      <c r="B3064" s="18"/>
      <c r="C3064" s="19"/>
      <c r="D3064" s="19"/>
      <c r="E3064" s="19"/>
      <c r="F3064" s="19"/>
      <c r="G3064" s="19"/>
      <c r="H3064" s="19"/>
      <c r="I3064" s="19"/>
      <c r="J3064" s="19"/>
      <c r="K3064" s="6"/>
      <c r="L3064" s="19"/>
    </row>
    <row r="3065" spans="1:12" ht="14" customHeight="1" x14ac:dyDescent="0.2">
      <c r="A3065" s="14"/>
      <c r="B3065" s="15"/>
      <c r="C3065" s="16"/>
      <c r="D3065" s="16"/>
      <c r="E3065" s="16"/>
      <c r="F3065" s="16"/>
      <c r="G3065" s="16"/>
      <c r="H3065" s="16"/>
      <c r="I3065" s="16"/>
      <c r="J3065" s="16"/>
      <c r="K3065" s="6"/>
      <c r="L3065" s="16"/>
    </row>
    <row r="3066" spans="1:12" ht="14" customHeight="1" x14ac:dyDescent="0.2">
      <c r="A3066" s="17"/>
      <c r="B3066" s="18"/>
      <c r="C3066" s="19"/>
      <c r="D3066" s="19"/>
      <c r="E3066" s="19"/>
      <c r="F3066" s="19"/>
      <c r="G3066" s="19"/>
      <c r="H3066" s="19"/>
      <c r="I3066" s="19"/>
      <c r="J3066" s="19"/>
      <c r="K3066" s="6"/>
      <c r="L3066" s="19"/>
    </row>
    <row r="3067" spans="1:12" ht="14" customHeight="1" x14ac:dyDescent="0.2">
      <c r="A3067" s="14"/>
      <c r="B3067" s="15"/>
      <c r="C3067" s="16"/>
      <c r="D3067" s="16"/>
      <c r="E3067" s="16"/>
      <c r="F3067" s="16"/>
      <c r="G3067" s="16"/>
      <c r="H3067" s="16"/>
      <c r="I3067" s="16"/>
      <c r="J3067" s="16"/>
      <c r="K3067" s="6"/>
      <c r="L3067" s="16"/>
    </row>
    <row r="3068" spans="1:12" ht="14" customHeight="1" x14ac:dyDescent="0.2">
      <c r="A3068" s="17"/>
      <c r="B3068" s="18"/>
      <c r="C3068" s="19"/>
      <c r="D3068" s="19"/>
      <c r="E3068" s="19"/>
      <c r="F3068" s="19"/>
      <c r="G3068" s="19"/>
      <c r="H3068" s="19"/>
      <c r="I3068" s="19"/>
      <c r="J3068" s="19"/>
      <c r="K3068" s="6"/>
      <c r="L3068" s="19"/>
    </row>
    <row r="3069" spans="1:12" ht="14" customHeight="1" x14ac:dyDescent="0.2">
      <c r="A3069" s="14"/>
      <c r="B3069" s="15"/>
      <c r="C3069" s="16"/>
      <c r="D3069" s="16"/>
      <c r="E3069" s="16"/>
      <c r="F3069" s="16"/>
      <c r="G3069" s="16"/>
      <c r="H3069" s="16"/>
      <c r="I3069" s="16"/>
      <c r="J3069" s="16"/>
      <c r="K3069" s="6"/>
      <c r="L3069" s="16"/>
    </row>
    <row r="3070" spans="1:12" ht="14" customHeight="1" x14ac:dyDescent="0.2">
      <c r="A3070" s="17"/>
      <c r="B3070" s="18"/>
      <c r="C3070" s="19"/>
      <c r="D3070" s="19"/>
      <c r="E3070" s="19"/>
      <c r="F3070" s="19"/>
      <c r="G3070" s="19"/>
      <c r="H3070" s="19"/>
      <c r="I3070" s="19"/>
      <c r="J3070" s="19"/>
      <c r="K3070" s="6"/>
      <c r="L3070" s="19"/>
    </row>
    <row r="3071" spans="1:12" ht="14" customHeight="1" x14ac:dyDescent="0.2">
      <c r="A3071" s="14"/>
      <c r="B3071" s="15"/>
      <c r="C3071" s="16"/>
      <c r="D3071" s="16"/>
      <c r="E3071" s="16"/>
      <c r="F3071" s="16"/>
      <c r="G3071" s="16"/>
      <c r="H3071" s="16"/>
      <c r="I3071" s="16"/>
      <c r="J3071" s="16"/>
      <c r="K3071" s="6"/>
      <c r="L3071" s="16"/>
    </row>
    <row r="3072" spans="1:12" ht="14" customHeight="1" x14ac:dyDescent="0.2">
      <c r="A3072" s="17"/>
      <c r="B3072" s="18"/>
      <c r="C3072" s="19"/>
      <c r="D3072" s="19"/>
      <c r="E3072" s="19"/>
      <c r="F3072" s="19"/>
      <c r="G3072" s="19"/>
      <c r="H3072" s="19"/>
      <c r="I3072" s="19"/>
      <c r="J3072" s="19"/>
      <c r="K3072" s="6"/>
      <c r="L3072" s="19"/>
    </row>
    <row r="3073" spans="1:12" ht="14" customHeight="1" x14ac:dyDescent="0.2">
      <c r="A3073" s="14"/>
      <c r="B3073" s="15"/>
      <c r="C3073" s="16"/>
      <c r="D3073" s="16"/>
      <c r="E3073" s="16"/>
      <c r="F3073" s="16"/>
      <c r="G3073" s="16"/>
      <c r="H3073" s="16"/>
      <c r="I3073" s="16"/>
      <c r="J3073" s="16"/>
      <c r="K3073" s="6"/>
      <c r="L3073" s="16"/>
    </row>
    <row r="3074" spans="1:12" ht="14" customHeight="1" x14ac:dyDescent="0.2">
      <c r="A3074" s="17"/>
      <c r="B3074" s="18"/>
      <c r="C3074" s="19"/>
      <c r="D3074" s="19"/>
      <c r="E3074" s="19"/>
      <c r="F3074" s="19"/>
      <c r="G3074" s="19"/>
      <c r="H3074" s="19"/>
      <c r="I3074" s="19"/>
      <c r="J3074" s="19"/>
      <c r="K3074" s="6"/>
      <c r="L3074" s="19"/>
    </row>
    <row r="3075" spans="1:12" ht="14" customHeight="1" x14ac:dyDescent="0.2">
      <c r="A3075" s="14"/>
      <c r="B3075" s="15"/>
      <c r="C3075" s="16"/>
      <c r="D3075" s="16"/>
      <c r="E3075" s="16"/>
      <c r="F3075" s="16"/>
      <c r="G3075" s="16"/>
      <c r="H3075" s="16"/>
      <c r="I3075" s="16"/>
      <c r="J3075" s="16"/>
      <c r="K3075" s="6"/>
      <c r="L3075" s="16"/>
    </row>
    <row r="3076" spans="1:12" ht="14" customHeight="1" x14ac:dyDescent="0.2">
      <c r="A3076" s="17"/>
      <c r="B3076" s="18"/>
      <c r="C3076" s="19"/>
      <c r="D3076" s="19"/>
      <c r="E3076" s="19"/>
      <c r="F3076" s="19"/>
      <c r="G3076" s="19"/>
      <c r="H3076" s="19"/>
      <c r="I3076" s="19"/>
      <c r="J3076" s="19"/>
      <c r="K3076" s="6"/>
      <c r="L3076" s="19"/>
    </row>
    <row r="3077" spans="1:12" ht="14" customHeight="1" x14ac:dyDescent="0.2">
      <c r="A3077" s="14"/>
      <c r="B3077" s="15"/>
      <c r="C3077" s="16"/>
      <c r="D3077" s="16"/>
      <c r="E3077" s="16"/>
      <c r="F3077" s="16"/>
      <c r="G3077" s="16"/>
      <c r="H3077" s="16"/>
      <c r="I3077" s="16"/>
      <c r="J3077" s="16"/>
      <c r="K3077" s="6"/>
      <c r="L3077" s="16"/>
    </row>
    <row r="3078" spans="1:12" ht="14" customHeight="1" x14ac:dyDescent="0.2">
      <c r="A3078" s="17"/>
      <c r="B3078" s="18"/>
      <c r="C3078" s="19"/>
      <c r="D3078" s="19"/>
      <c r="E3078" s="19"/>
      <c r="F3078" s="19"/>
      <c r="G3078" s="19"/>
      <c r="H3078" s="19"/>
      <c r="I3078" s="19"/>
      <c r="J3078" s="19"/>
      <c r="K3078" s="6"/>
      <c r="L3078" s="19"/>
    </row>
    <row r="3079" spans="1:12" ht="14" customHeight="1" x14ac:dyDescent="0.2">
      <c r="A3079" s="14"/>
      <c r="B3079" s="15"/>
      <c r="C3079" s="16"/>
      <c r="D3079" s="16"/>
      <c r="E3079" s="16"/>
      <c r="F3079" s="16"/>
      <c r="G3079" s="16"/>
      <c r="H3079" s="16"/>
      <c r="I3079" s="16"/>
      <c r="J3079" s="16"/>
      <c r="K3079" s="6"/>
      <c r="L3079" s="16"/>
    </row>
    <row r="3080" spans="1:12" ht="14" customHeight="1" x14ac:dyDescent="0.2">
      <c r="A3080" s="17"/>
      <c r="B3080" s="18"/>
      <c r="C3080" s="19"/>
      <c r="D3080" s="19"/>
      <c r="E3080" s="19"/>
      <c r="F3080" s="19"/>
      <c r="G3080" s="19"/>
      <c r="H3080" s="19"/>
      <c r="I3080" s="19"/>
      <c r="J3080" s="19"/>
      <c r="K3080" s="6"/>
      <c r="L3080" s="19"/>
    </row>
    <row r="3081" spans="1:12" ht="14" customHeight="1" x14ac:dyDescent="0.2">
      <c r="A3081" s="14"/>
      <c r="B3081" s="15"/>
      <c r="C3081" s="16"/>
      <c r="D3081" s="16"/>
      <c r="E3081" s="16"/>
      <c r="F3081" s="16"/>
      <c r="G3081" s="16"/>
      <c r="H3081" s="16"/>
      <c r="I3081" s="16"/>
      <c r="J3081" s="16"/>
      <c r="K3081" s="6"/>
      <c r="L3081" s="16"/>
    </row>
    <row r="3082" spans="1:12" ht="14" customHeight="1" x14ac:dyDescent="0.2">
      <c r="A3082" s="17"/>
      <c r="B3082" s="18"/>
      <c r="C3082" s="19"/>
      <c r="D3082" s="19"/>
      <c r="E3082" s="19"/>
      <c r="F3082" s="19"/>
      <c r="G3082" s="19"/>
      <c r="H3082" s="19"/>
      <c r="I3082" s="19"/>
      <c r="J3082" s="19"/>
      <c r="K3082" s="6"/>
      <c r="L3082" s="19"/>
    </row>
    <row r="3083" spans="1:12" ht="14" customHeight="1" x14ac:dyDescent="0.2">
      <c r="A3083" s="14"/>
      <c r="B3083" s="15"/>
      <c r="C3083" s="16"/>
      <c r="D3083" s="16"/>
      <c r="E3083" s="16"/>
      <c r="F3083" s="16"/>
      <c r="G3083" s="16"/>
      <c r="H3083" s="16"/>
      <c r="I3083" s="16"/>
      <c r="J3083" s="16"/>
      <c r="K3083" s="6"/>
      <c r="L3083" s="16"/>
    </row>
    <row r="3084" spans="1:12" ht="14" customHeight="1" x14ac:dyDescent="0.2">
      <c r="A3084" s="17"/>
      <c r="B3084" s="18"/>
      <c r="C3084" s="19"/>
      <c r="D3084" s="19"/>
      <c r="E3084" s="19"/>
      <c r="F3084" s="19"/>
      <c r="G3084" s="19"/>
      <c r="H3084" s="19"/>
      <c r="I3084" s="19"/>
      <c r="J3084" s="19"/>
      <c r="K3084" s="6"/>
      <c r="L3084" s="19"/>
    </row>
    <row r="3085" spans="1:12" ht="14" customHeight="1" x14ac:dyDescent="0.2">
      <c r="A3085" s="14"/>
      <c r="B3085" s="15"/>
      <c r="C3085" s="16"/>
      <c r="D3085" s="16"/>
      <c r="E3085" s="16"/>
      <c r="F3085" s="16"/>
      <c r="G3085" s="16"/>
      <c r="H3085" s="16"/>
      <c r="I3085" s="16"/>
      <c r="J3085" s="16"/>
      <c r="K3085" s="6"/>
      <c r="L3085" s="16"/>
    </row>
    <row r="3086" spans="1:12" ht="14" customHeight="1" x14ac:dyDescent="0.2">
      <c r="A3086" s="17"/>
      <c r="B3086" s="18"/>
      <c r="C3086" s="19"/>
      <c r="D3086" s="19"/>
      <c r="E3086" s="19"/>
      <c r="F3086" s="19"/>
      <c r="G3086" s="19"/>
      <c r="H3086" s="19"/>
      <c r="I3086" s="19"/>
      <c r="J3086" s="19"/>
      <c r="K3086" s="6"/>
      <c r="L3086" s="19"/>
    </row>
    <row r="3087" spans="1:12" ht="14" customHeight="1" x14ac:dyDescent="0.2">
      <c r="A3087" s="14"/>
      <c r="B3087" s="15"/>
      <c r="C3087" s="16"/>
      <c r="D3087" s="16"/>
      <c r="E3087" s="16"/>
      <c r="F3087" s="16"/>
      <c r="G3087" s="16"/>
      <c r="H3087" s="16"/>
      <c r="I3087" s="16"/>
      <c r="J3087" s="16"/>
      <c r="K3087" s="6"/>
      <c r="L3087" s="16"/>
    </row>
    <row r="3088" spans="1:12" ht="14" customHeight="1" x14ac:dyDescent="0.2">
      <c r="A3088" s="17"/>
      <c r="B3088" s="18"/>
      <c r="C3088" s="19"/>
      <c r="D3088" s="19"/>
      <c r="E3088" s="19"/>
      <c r="F3088" s="19"/>
      <c r="G3088" s="19"/>
      <c r="H3088" s="19"/>
      <c r="I3088" s="19"/>
      <c r="J3088" s="19"/>
      <c r="K3088" s="6"/>
      <c r="L3088" s="19"/>
    </row>
    <row r="3089" spans="1:12" ht="14" customHeight="1" x14ac:dyDescent="0.2">
      <c r="A3089" s="14"/>
      <c r="B3089" s="15"/>
      <c r="C3089" s="16"/>
      <c r="D3089" s="16"/>
      <c r="E3089" s="16"/>
      <c r="F3089" s="16"/>
      <c r="G3089" s="16"/>
      <c r="H3089" s="16"/>
      <c r="I3089" s="16"/>
      <c r="J3089" s="16"/>
      <c r="K3089" s="6"/>
      <c r="L3089" s="16"/>
    </row>
    <row r="3090" spans="1:12" ht="14" customHeight="1" x14ac:dyDescent="0.2">
      <c r="A3090" s="17"/>
      <c r="B3090" s="18"/>
      <c r="C3090" s="19"/>
      <c r="D3090" s="19"/>
      <c r="E3090" s="19"/>
      <c r="F3090" s="19"/>
      <c r="G3090" s="19"/>
      <c r="H3090" s="19"/>
      <c r="I3090" s="19"/>
      <c r="J3090" s="19"/>
      <c r="K3090" s="6"/>
      <c r="L3090" s="19"/>
    </row>
    <row r="3091" spans="1:12" ht="14" customHeight="1" x14ac:dyDescent="0.2">
      <c r="A3091" s="14"/>
      <c r="B3091" s="15"/>
      <c r="C3091" s="16"/>
      <c r="D3091" s="16"/>
      <c r="E3091" s="16"/>
      <c r="F3091" s="16"/>
      <c r="G3091" s="16"/>
      <c r="H3091" s="16"/>
      <c r="I3091" s="16"/>
      <c r="J3091" s="16"/>
      <c r="K3091" s="6"/>
      <c r="L3091" s="16"/>
    </row>
    <row r="3092" spans="1:12" ht="14" customHeight="1" x14ac:dyDescent="0.2">
      <c r="A3092" s="17"/>
      <c r="B3092" s="18"/>
      <c r="C3092" s="19"/>
      <c r="D3092" s="19"/>
      <c r="E3092" s="19"/>
      <c r="F3092" s="19"/>
      <c r="G3092" s="19"/>
      <c r="H3092" s="19"/>
      <c r="I3092" s="19"/>
      <c r="J3092" s="19"/>
      <c r="K3092" s="6"/>
      <c r="L3092" s="19"/>
    </row>
    <row r="3093" spans="1:12" ht="14" customHeight="1" x14ac:dyDescent="0.2">
      <c r="A3093" s="14"/>
      <c r="B3093" s="15"/>
      <c r="C3093" s="16"/>
      <c r="D3093" s="16"/>
      <c r="E3093" s="16"/>
      <c r="F3093" s="16"/>
      <c r="G3093" s="16"/>
      <c r="H3093" s="16"/>
      <c r="I3093" s="16"/>
      <c r="J3093" s="16"/>
      <c r="K3093" s="6"/>
      <c r="L3093" s="16"/>
    </row>
    <row r="3094" spans="1:12" ht="14" customHeight="1" x14ac:dyDescent="0.2">
      <c r="A3094" s="17"/>
      <c r="B3094" s="18"/>
      <c r="C3094" s="19"/>
      <c r="D3094" s="19"/>
      <c r="E3094" s="19"/>
      <c r="F3094" s="19"/>
      <c r="G3094" s="19"/>
      <c r="H3094" s="19"/>
      <c r="I3094" s="19"/>
      <c r="J3094" s="19"/>
      <c r="K3094" s="6"/>
      <c r="L3094" s="19"/>
    </row>
    <row r="3095" spans="1:12" ht="14" customHeight="1" x14ac:dyDescent="0.2">
      <c r="A3095" s="14"/>
      <c r="B3095" s="15"/>
      <c r="C3095" s="16"/>
      <c r="D3095" s="16"/>
      <c r="E3095" s="16"/>
      <c r="F3095" s="16"/>
      <c r="G3095" s="16"/>
      <c r="H3095" s="16"/>
      <c r="I3095" s="16"/>
      <c r="J3095" s="16"/>
      <c r="K3095" s="6"/>
      <c r="L3095" s="16"/>
    </row>
    <row r="3096" spans="1:12" ht="14" customHeight="1" x14ac:dyDescent="0.2">
      <c r="A3096" s="17"/>
      <c r="B3096" s="18"/>
      <c r="C3096" s="19"/>
      <c r="D3096" s="19"/>
      <c r="E3096" s="19"/>
      <c r="F3096" s="19"/>
      <c r="G3096" s="19"/>
      <c r="H3096" s="19"/>
      <c r="I3096" s="19"/>
      <c r="J3096" s="19"/>
      <c r="K3096" s="6"/>
      <c r="L3096" s="19"/>
    </row>
    <row r="3097" spans="1:12" ht="14" customHeight="1" x14ac:dyDescent="0.2">
      <c r="A3097" s="14"/>
      <c r="B3097" s="15"/>
      <c r="C3097" s="16"/>
      <c r="D3097" s="16"/>
      <c r="E3097" s="16"/>
      <c r="F3097" s="16"/>
      <c r="G3097" s="16"/>
      <c r="H3097" s="16"/>
      <c r="I3097" s="16"/>
      <c r="J3097" s="16"/>
      <c r="K3097" s="6"/>
      <c r="L3097" s="16"/>
    </row>
    <row r="3098" spans="1:12" ht="14" customHeight="1" x14ac:dyDescent="0.2">
      <c r="A3098" s="17"/>
      <c r="B3098" s="18"/>
      <c r="C3098" s="19"/>
      <c r="D3098" s="19"/>
      <c r="E3098" s="19"/>
      <c r="F3098" s="19"/>
      <c r="G3098" s="19"/>
      <c r="H3098" s="19"/>
      <c r="I3098" s="19"/>
      <c r="J3098" s="19"/>
      <c r="K3098" s="6"/>
      <c r="L3098" s="19"/>
    </row>
    <row r="3099" spans="1:12" ht="14" customHeight="1" x14ac:dyDescent="0.2">
      <c r="A3099" s="14"/>
      <c r="B3099" s="15"/>
      <c r="C3099" s="16"/>
      <c r="D3099" s="16"/>
      <c r="E3099" s="16"/>
      <c r="F3099" s="16"/>
      <c r="G3099" s="16"/>
      <c r="H3099" s="16"/>
      <c r="I3099" s="16"/>
      <c r="J3099" s="16"/>
      <c r="K3099" s="6"/>
      <c r="L3099" s="16"/>
    </row>
    <row r="3100" spans="1:12" ht="14" customHeight="1" x14ac:dyDescent="0.2">
      <c r="A3100" s="17"/>
      <c r="B3100" s="18"/>
      <c r="C3100" s="19"/>
      <c r="D3100" s="19"/>
      <c r="E3100" s="19"/>
      <c r="F3100" s="19"/>
      <c r="G3100" s="19"/>
      <c r="H3100" s="19"/>
      <c r="I3100" s="19"/>
      <c r="J3100" s="19"/>
      <c r="K3100" s="6"/>
      <c r="L3100" s="19"/>
    </row>
    <row r="3101" spans="1:12" ht="14" customHeight="1" x14ac:dyDescent="0.2">
      <c r="A3101" s="14"/>
      <c r="B3101" s="15"/>
      <c r="C3101" s="16"/>
      <c r="D3101" s="16"/>
      <c r="E3101" s="16"/>
      <c r="F3101" s="16"/>
      <c r="G3101" s="16"/>
      <c r="H3101" s="16"/>
      <c r="I3101" s="16"/>
      <c r="J3101" s="16"/>
      <c r="K3101" s="6"/>
      <c r="L3101" s="16"/>
    </row>
    <row r="3102" spans="1:12" ht="14" customHeight="1" x14ac:dyDescent="0.2">
      <c r="A3102" s="17"/>
      <c r="B3102" s="18"/>
      <c r="C3102" s="19"/>
      <c r="D3102" s="19"/>
      <c r="E3102" s="19"/>
      <c r="F3102" s="19"/>
      <c r="G3102" s="19"/>
      <c r="H3102" s="19"/>
      <c r="I3102" s="19"/>
      <c r="J3102" s="19"/>
      <c r="K3102" s="6"/>
      <c r="L3102" s="19"/>
    </row>
    <row r="3103" spans="1:12" ht="14" customHeight="1" x14ac:dyDescent="0.2">
      <c r="A3103" s="14"/>
      <c r="B3103" s="15"/>
      <c r="C3103" s="16"/>
      <c r="D3103" s="16"/>
      <c r="E3103" s="16"/>
      <c r="F3103" s="16"/>
      <c r="G3103" s="16"/>
      <c r="H3103" s="16"/>
      <c r="I3103" s="16"/>
      <c r="J3103" s="16"/>
      <c r="K3103" s="6"/>
      <c r="L3103" s="16"/>
    </row>
    <row r="3104" spans="1:12" ht="14" customHeight="1" x14ac:dyDescent="0.2">
      <c r="A3104" s="17"/>
      <c r="B3104" s="18"/>
      <c r="C3104" s="19"/>
      <c r="D3104" s="19"/>
      <c r="E3104" s="19"/>
      <c r="F3104" s="19"/>
      <c r="G3104" s="19"/>
      <c r="H3104" s="19"/>
      <c r="I3104" s="19"/>
      <c r="J3104" s="19"/>
      <c r="K3104" s="6"/>
      <c r="L3104" s="19"/>
    </row>
    <row r="3105" spans="1:12" ht="14" customHeight="1" x14ac:dyDescent="0.2">
      <c r="A3105" s="14"/>
      <c r="B3105" s="15"/>
      <c r="C3105" s="16"/>
      <c r="D3105" s="16"/>
      <c r="E3105" s="16"/>
      <c r="F3105" s="16"/>
      <c r="G3105" s="16"/>
      <c r="H3105" s="16"/>
      <c r="I3105" s="16"/>
      <c r="J3105" s="16"/>
      <c r="K3105" s="6"/>
      <c r="L3105" s="16"/>
    </row>
    <row r="3106" spans="1:12" ht="14" customHeight="1" x14ac:dyDescent="0.2">
      <c r="A3106" s="17"/>
      <c r="B3106" s="18"/>
      <c r="C3106" s="19"/>
      <c r="D3106" s="19"/>
      <c r="E3106" s="19"/>
      <c r="F3106" s="19"/>
      <c r="G3106" s="19"/>
      <c r="H3106" s="19"/>
      <c r="I3106" s="19"/>
      <c r="J3106" s="19"/>
      <c r="K3106" s="6"/>
      <c r="L3106" s="19"/>
    </row>
    <row r="3107" spans="1:12" ht="14" customHeight="1" x14ac:dyDescent="0.2">
      <c r="A3107" s="14"/>
      <c r="B3107" s="15"/>
      <c r="C3107" s="16"/>
      <c r="D3107" s="16"/>
      <c r="E3107" s="16"/>
      <c r="F3107" s="16"/>
      <c r="G3107" s="16"/>
      <c r="H3107" s="16"/>
      <c r="I3107" s="16"/>
      <c r="J3107" s="16"/>
      <c r="K3107" s="6"/>
      <c r="L3107" s="16"/>
    </row>
    <row r="3108" spans="1:12" ht="14" customHeight="1" x14ac:dyDescent="0.2">
      <c r="A3108" s="17"/>
      <c r="B3108" s="18"/>
      <c r="C3108" s="19"/>
      <c r="D3108" s="19"/>
      <c r="E3108" s="19"/>
      <c r="F3108" s="19"/>
      <c r="G3108" s="19"/>
      <c r="H3108" s="19"/>
      <c r="I3108" s="19"/>
      <c r="J3108" s="19"/>
      <c r="K3108" s="6"/>
      <c r="L3108" s="19"/>
    </row>
    <row r="3109" spans="1:12" ht="14" customHeight="1" x14ac:dyDescent="0.2">
      <c r="A3109" s="14"/>
      <c r="B3109" s="15"/>
      <c r="C3109" s="16"/>
      <c r="D3109" s="16"/>
      <c r="E3109" s="16"/>
      <c r="F3109" s="16"/>
      <c r="G3109" s="16"/>
      <c r="H3109" s="16"/>
      <c r="I3109" s="16"/>
      <c r="J3109" s="16"/>
      <c r="K3109" s="6"/>
      <c r="L3109" s="16"/>
    </row>
    <row r="3110" spans="1:12" ht="14" customHeight="1" x14ac:dyDescent="0.2">
      <c r="A3110" s="17"/>
      <c r="B3110" s="18"/>
      <c r="C3110" s="19"/>
      <c r="D3110" s="19"/>
      <c r="E3110" s="19"/>
      <c r="F3110" s="19"/>
      <c r="G3110" s="19"/>
      <c r="H3110" s="19"/>
      <c r="I3110" s="19"/>
      <c r="J3110" s="19"/>
      <c r="K3110" s="6"/>
      <c r="L3110" s="19"/>
    </row>
    <row r="3111" spans="1:12" ht="14" customHeight="1" x14ac:dyDescent="0.2">
      <c r="A3111" s="14"/>
      <c r="B3111" s="15"/>
      <c r="C3111" s="16"/>
      <c r="D3111" s="16"/>
      <c r="E3111" s="16"/>
      <c r="F3111" s="16"/>
      <c r="G3111" s="16"/>
      <c r="H3111" s="16"/>
      <c r="I3111" s="16"/>
      <c r="J3111" s="16"/>
      <c r="K3111" s="6"/>
      <c r="L3111" s="16"/>
    </row>
    <row r="3112" spans="1:12" ht="14" customHeight="1" x14ac:dyDescent="0.2">
      <c r="A3112" s="17"/>
      <c r="B3112" s="18"/>
      <c r="C3112" s="19"/>
      <c r="D3112" s="19"/>
      <c r="E3112" s="19"/>
      <c r="F3112" s="19"/>
      <c r="G3112" s="19"/>
      <c r="H3112" s="19"/>
      <c r="I3112" s="19"/>
      <c r="J3112" s="19"/>
      <c r="K3112" s="6"/>
      <c r="L3112" s="19"/>
    </row>
    <row r="3113" spans="1:12" ht="14" customHeight="1" x14ac:dyDescent="0.2">
      <c r="A3113" s="14"/>
      <c r="B3113" s="15"/>
      <c r="C3113" s="16"/>
      <c r="D3113" s="16"/>
      <c r="E3113" s="16"/>
      <c r="F3113" s="16"/>
      <c r="G3113" s="16"/>
      <c r="H3113" s="16"/>
      <c r="I3113" s="16"/>
      <c r="J3113" s="16"/>
      <c r="K3113" s="6"/>
      <c r="L3113" s="16"/>
    </row>
    <row r="3114" spans="1:12" ht="14" customHeight="1" x14ac:dyDescent="0.2">
      <c r="A3114" s="17"/>
      <c r="B3114" s="18"/>
      <c r="C3114" s="19"/>
      <c r="D3114" s="19"/>
      <c r="E3114" s="19"/>
      <c r="F3114" s="19"/>
      <c r="G3114" s="19"/>
      <c r="H3114" s="19"/>
      <c r="I3114" s="19"/>
      <c r="J3114" s="19"/>
      <c r="K3114" s="6"/>
      <c r="L3114" s="19"/>
    </row>
    <row r="3115" spans="1:12" ht="14" customHeight="1" x14ac:dyDescent="0.2">
      <c r="A3115" s="14"/>
      <c r="B3115" s="15"/>
      <c r="C3115" s="16"/>
      <c r="D3115" s="16"/>
      <c r="E3115" s="16"/>
      <c r="F3115" s="16"/>
      <c r="G3115" s="16"/>
      <c r="H3115" s="16"/>
      <c r="I3115" s="16"/>
      <c r="J3115" s="16"/>
      <c r="K3115" s="6"/>
      <c r="L3115" s="16"/>
    </row>
    <row r="3116" spans="1:12" ht="14" customHeight="1" x14ac:dyDescent="0.2">
      <c r="A3116" s="17"/>
      <c r="B3116" s="18"/>
      <c r="C3116" s="19"/>
      <c r="D3116" s="19"/>
      <c r="E3116" s="19"/>
      <c r="F3116" s="19"/>
      <c r="G3116" s="19"/>
      <c r="H3116" s="19"/>
      <c r="I3116" s="19"/>
      <c r="J3116" s="19"/>
      <c r="K3116" s="6"/>
      <c r="L3116" s="19"/>
    </row>
    <row r="3117" spans="1:12" ht="14" customHeight="1" x14ac:dyDescent="0.2">
      <c r="A3117" s="14"/>
      <c r="B3117" s="15"/>
      <c r="C3117" s="16"/>
      <c r="D3117" s="16"/>
      <c r="E3117" s="16"/>
      <c r="F3117" s="16"/>
      <c r="G3117" s="16"/>
      <c r="H3117" s="16"/>
      <c r="I3117" s="16"/>
      <c r="J3117" s="16"/>
      <c r="K3117" s="6"/>
      <c r="L3117" s="16"/>
    </row>
    <row r="3118" spans="1:12" ht="14" customHeight="1" x14ac:dyDescent="0.2">
      <c r="A3118" s="17"/>
      <c r="B3118" s="18"/>
      <c r="C3118" s="19"/>
      <c r="D3118" s="19"/>
      <c r="E3118" s="19"/>
      <c r="F3118" s="19"/>
      <c r="G3118" s="19"/>
      <c r="H3118" s="19"/>
      <c r="I3118" s="19"/>
      <c r="J3118" s="19"/>
      <c r="K3118" s="6"/>
      <c r="L3118" s="19"/>
    </row>
    <row r="3119" spans="1:12" ht="14" customHeight="1" x14ac:dyDescent="0.2">
      <c r="A3119" s="14"/>
      <c r="B3119" s="15"/>
      <c r="C3119" s="16"/>
      <c r="D3119" s="16"/>
      <c r="E3119" s="16"/>
      <c r="F3119" s="16"/>
      <c r="G3119" s="16"/>
      <c r="H3119" s="16"/>
      <c r="I3119" s="16"/>
      <c r="J3119" s="16"/>
      <c r="K3119" s="6"/>
      <c r="L3119" s="16"/>
    </row>
    <row r="3120" spans="1:12" ht="14" customHeight="1" x14ac:dyDescent="0.2">
      <c r="A3120" s="17"/>
      <c r="B3120" s="18"/>
      <c r="C3120" s="19"/>
      <c r="D3120" s="19"/>
      <c r="E3120" s="19"/>
      <c r="F3120" s="19"/>
      <c r="G3120" s="19"/>
      <c r="H3120" s="19"/>
      <c r="I3120" s="19"/>
      <c r="J3120" s="19"/>
      <c r="K3120" s="6"/>
      <c r="L3120" s="19"/>
    </row>
    <row r="3121" spans="1:12" ht="14" customHeight="1" x14ac:dyDescent="0.2">
      <c r="A3121" s="14"/>
      <c r="B3121" s="15"/>
      <c r="C3121" s="16"/>
      <c r="D3121" s="16"/>
      <c r="E3121" s="16"/>
      <c r="F3121" s="16"/>
      <c r="G3121" s="16"/>
      <c r="H3121" s="16"/>
      <c r="I3121" s="16"/>
      <c r="J3121" s="16"/>
      <c r="K3121" s="6"/>
      <c r="L3121" s="16"/>
    </row>
    <row r="3122" spans="1:12" ht="14" customHeight="1" x14ac:dyDescent="0.2">
      <c r="A3122" s="17"/>
      <c r="B3122" s="18"/>
      <c r="C3122" s="19"/>
      <c r="D3122" s="19"/>
      <c r="E3122" s="19"/>
      <c r="F3122" s="19"/>
      <c r="G3122" s="19"/>
      <c r="H3122" s="19"/>
      <c r="I3122" s="19"/>
      <c r="J3122" s="19"/>
      <c r="K3122" s="6"/>
      <c r="L3122" s="19"/>
    </row>
    <row r="3123" spans="1:12" ht="14" customHeight="1" x14ac:dyDescent="0.2">
      <c r="A3123" s="14"/>
      <c r="B3123" s="15"/>
      <c r="C3123" s="16"/>
      <c r="D3123" s="16"/>
      <c r="E3123" s="16"/>
      <c r="F3123" s="16"/>
      <c r="G3123" s="16"/>
      <c r="H3123" s="16"/>
      <c r="I3123" s="16"/>
      <c r="J3123" s="16"/>
      <c r="K3123" s="6"/>
      <c r="L3123" s="16"/>
    </row>
    <row r="3124" spans="1:12" ht="14" customHeight="1" x14ac:dyDescent="0.2">
      <c r="A3124" s="17"/>
      <c r="B3124" s="18"/>
      <c r="C3124" s="19"/>
      <c r="D3124" s="19"/>
      <c r="E3124" s="19"/>
      <c r="F3124" s="19"/>
      <c r="G3124" s="19"/>
      <c r="H3124" s="19"/>
      <c r="I3124" s="19"/>
      <c r="J3124" s="19"/>
      <c r="K3124" s="6"/>
      <c r="L3124" s="19"/>
    </row>
    <row r="3125" spans="1:12" ht="14" customHeight="1" x14ac:dyDescent="0.2">
      <c r="A3125" s="14"/>
      <c r="B3125" s="15"/>
      <c r="C3125" s="16"/>
      <c r="D3125" s="16"/>
      <c r="E3125" s="16"/>
      <c r="F3125" s="16"/>
      <c r="G3125" s="16"/>
      <c r="H3125" s="16"/>
      <c r="I3125" s="16"/>
      <c r="J3125" s="16"/>
      <c r="K3125" s="6"/>
      <c r="L3125" s="16"/>
    </row>
    <row r="3126" spans="1:12" ht="14" customHeight="1" x14ac:dyDescent="0.2">
      <c r="A3126" s="17"/>
      <c r="B3126" s="18"/>
      <c r="C3126" s="19"/>
      <c r="D3126" s="19"/>
      <c r="E3126" s="19"/>
      <c r="F3126" s="19"/>
      <c r="G3126" s="19"/>
      <c r="H3126" s="19"/>
      <c r="I3126" s="19"/>
      <c r="J3126" s="19"/>
      <c r="K3126" s="6"/>
      <c r="L3126" s="19"/>
    </row>
    <row r="3127" spans="1:12" ht="14" customHeight="1" x14ac:dyDescent="0.2">
      <c r="A3127" s="14"/>
      <c r="B3127" s="15"/>
      <c r="C3127" s="16"/>
      <c r="D3127" s="16"/>
      <c r="E3127" s="16"/>
      <c r="F3127" s="16"/>
      <c r="G3127" s="16"/>
      <c r="H3127" s="16"/>
      <c r="I3127" s="16"/>
      <c r="J3127" s="16"/>
      <c r="K3127" s="6"/>
      <c r="L3127" s="16"/>
    </row>
    <row r="3128" spans="1:12" ht="14" customHeight="1" x14ac:dyDescent="0.2">
      <c r="A3128" s="17"/>
      <c r="B3128" s="18"/>
      <c r="C3128" s="19"/>
      <c r="D3128" s="19"/>
      <c r="E3128" s="19"/>
      <c r="F3128" s="19"/>
      <c r="G3128" s="19"/>
      <c r="H3128" s="19"/>
      <c r="I3128" s="19"/>
      <c r="J3128" s="19"/>
      <c r="K3128" s="6"/>
      <c r="L3128" s="19"/>
    </row>
    <row r="3129" spans="1:12" ht="14" customHeight="1" x14ac:dyDescent="0.2">
      <c r="A3129" s="14"/>
      <c r="B3129" s="15"/>
      <c r="C3129" s="16"/>
      <c r="D3129" s="16"/>
      <c r="E3129" s="16"/>
      <c r="F3129" s="16"/>
      <c r="G3129" s="16"/>
      <c r="H3129" s="16"/>
      <c r="I3129" s="16"/>
      <c r="J3129" s="16"/>
      <c r="K3129" s="6"/>
      <c r="L3129" s="16"/>
    </row>
    <row r="3130" spans="1:12" ht="14" customHeight="1" x14ac:dyDescent="0.2">
      <c r="A3130" s="17"/>
      <c r="B3130" s="18"/>
      <c r="C3130" s="19"/>
      <c r="D3130" s="19"/>
      <c r="E3130" s="19"/>
      <c r="F3130" s="19"/>
      <c r="G3130" s="19"/>
      <c r="H3130" s="19"/>
      <c r="I3130" s="19"/>
      <c r="J3130" s="19"/>
      <c r="K3130" s="6"/>
      <c r="L3130" s="19"/>
    </row>
    <row r="3131" spans="1:12" ht="14" customHeight="1" x14ac:dyDescent="0.2">
      <c r="A3131" s="14"/>
      <c r="B3131" s="15"/>
      <c r="C3131" s="16"/>
      <c r="D3131" s="16"/>
      <c r="E3131" s="16"/>
      <c r="F3131" s="16"/>
      <c r="G3131" s="16"/>
      <c r="H3131" s="16"/>
      <c r="I3131" s="16"/>
      <c r="J3131" s="16"/>
      <c r="K3131" s="6"/>
      <c r="L3131" s="16"/>
    </row>
    <row r="3132" spans="1:12" ht="14" customHeight="1" x14ac:dyDescent="0.2">
      <c r="A3132" s="17"/>
      <c r="B3132" s="18"/>
      <c r="C3132" s="19"/>
      <c r="D3132" s="19"/>
      <c r="E3132" s="19"/>
      <c r="F3132" s="19"/>
      <c r="G3132" s="19"/>
      <c r="H3132" s="19"/>
      <c r="I3132" s="19"/>
      <c r="J3132" s="19"/>
      <c r="K3132" s="6"/>
      <c r="L3132" s="19"/>
    </row>
    <row r="3133" spans="1:12" ht="14" customHeight="1" x14ac:dyDescent="0.2">
      <c r="A3133" s="14"/>
      <c r="B3133" s="15"/>
      <c r="C3133" s="16"/>
      <c r="D3133" s="16"/>
      <c r="E3133" s="16"/>
      <c r="F3133" s="16"/>
      <c r="G3133" s="16"/>
      <c r="H3133" s="16"/>
      <c r="I3133" s="16"/>
      <c r="J3133" s="16"/>
      <c r="K3133" s="6"/>
      <c r="L3133" s="16"/>
    </row>
    <row r="3134" spans="1:12" ht="14" customHeight="1" x14ac:dyDescent="0.2">
      <c r="A3134" s="17"/>
      <c r="B3134" s="18"/>
      <c r="C3134" s="19"/>
      <c r="D3134" s="19"/>
      <c r="E3134" s="19"/>
      <c r="F3134" s="19"/>
      <c r="G3134" s="19"/>
      <c r="H3134" s="19"/>
      <c r="I3134" s="19"/>
      <c r="J3134" s="19"/>
      <c r="K3134" s="6"/>
      <c r="L3134" s="19"/>
    </row>
    <row r="3135" spans="1:12" ht="14" customHeight="1" x14ac:dyDescent="0.2">
      <c r="A3135" s="14"/>
      <c r="B3135" s="15"/>
      <c r="C3135" s="16"/>
      <c r="D3135" s="16"/>
      <c r="E3135" s="16"/>
      <c r="F3135" s="16"/>
      <c r="G3135" s="16"/>
      <c r="H3135" s="16"/>
      <c r="I3135" s="16"/>
      <c r="J3135" s="16"/>
      <c r="K3135" s="6"/>
      <c r="L3135" s="16"/>
    </row>
    <row r="3136" spans="1:12" ht="14" customHeight="1" x14ac:dyDescent="0.2">
      <c r="A3136" s="17"/>
      <c r="B3136" s="18"/>
      <c r="C3136" s="19"/>
      <c r="D3136" s="19"/>
      <c r="E3136" s="19"/>
      <c r="F3136" s="19"/>
      <c r="G3136" s="19"/>
      <c r="H3136" s="19"/>
      <c r="I3136" s="19"/>
      <c r="J3136" s="19"/>
      <c r="K3136" s="6"/>
      <c r="L3136" s="19"/>
    </row>
    <row r="3137" spans="1:12" ht="14" customHeight="1" x14ac:dyDescent="0.2">
      <c r="A3137" s="14"/>
      <c r="B3137" s="15"/>
      <c r="C3137" s="16"/>
      <c r="D3137" s="16"/>
      <c r="E3137" s="16"/>
      <c r="F3137" s="16"/>
      <c r="G3137" s="16"/>
      <c r="H3137" s="16"/>
      <c r="I3137" s="16"/>
      <c r="J3137" s="16"/>
      <c r="K3137" s="6"/>
      <c r="L3137" s="16"/>
    </row>
    <row r="3138" spans="1:12" ht="14" customHeight="1" x14ac:dyDescent="0.2">
      <c r="A3138" s="17"/>
      <c r="B3138" s="18"/>
      <c r="C3138" s="19"/>
      <c r="D3138" s="19"/>
      <c r="E3138" s="19"/>
      <c r="F3138" s="19"/>
      <c r="G3138" s="19"/>
      <c r="H3138" s="19"/>
      <c r="I3138" s="19"/>
      <c r="J3138" s="19"/>
      <c r="K3138" s="6"/>
      <c r="L3138" s="19"/>
    </row>
    <row r="3139" spans="1:12" ht="14" customHeight="1" x14ac:dyDescent="0.2">
      <c r="A3139" s="14"/>
      <c r="B3139" s="15"/>
      <c r="C3139" s="16"/>
      <c r="D3139" s="16"/>
      <c r="E3139" s="16"/>
      <c r="F3139" s="16"/>
      <c r="G3139" s="16"/>
      <c r="H3139" s="16"/>
      <c r="I3139" s="16"/>
      <c r="J3139" s="16"/>
      <c r="K3139" s="6"/>
      <c r="L3139" s="16"/>
    </row>
    <row r="3140" spans="1:12" ht="14" customHeight="1" x14ac:dyDescent="0.2">
      <c r="A3140" s="17"/>
      <c r="B3140" s="18"/>
      <c r="C3140" s="19"/>
      <c r="D3140" s="19"/>
      <c r="E3140" s="19"/>
      <c r="F3140" s="19"/>
      <c r="G3140" s="19"/>
      <c r="H3140" s="19"/>
      <c r="I3140" s="19"/>
      <c r="J3140" s="19"/>
      <c r="K3140" s="6"/>
      <c r="L3140" s="19"/>
    </row>
    <row r="3141" spans="1:12" ht="14" customHeight="1" x14ac:dyDescent="0.2">
      <c r="A3141" s="14"/>
      <c r="B3141" s="15"/>
      <c r="C3141" s="16"/>
      <c r="D3141" s="16"/>
      <c r="E3141" s="16"/>
      <c r="F3141" s="16"/>
      <c r="G3141" s="16"/>
      <c r="H3141" s="16"/>
      <c r="I3141" s="16"/>
      <c r="J3141" s="16"/>
      <c r="K3141" s="6"/>
      <c r="L3141" s="16"/>
    </row>
    <row r="3142" spans="1:12" ht="14" customHeight="1" x14ac:dyDescent="0.2">
      <c r="A3142" s="17"/>
      <c r="B3142" s="18"/>
      <c r="C3142" s="19"/>
      <c r="D3142" s="19"/>
      <c r="E3142" s="19"/>
      <c r="F3142" s="19"/>
      <c r="G3142" s="19"/>
      <c r="H3142" s="19"/>
      <c r="I3142" s="19"/>
      <c r="J3142" s="19"/>
      <c r="K3142" s="6"/>
      <c r="L3142" s="19"/>
    </row>
    <row r="3143" spans="1:12" ht="14" customHeight="1" x14ac:dyDescent="0.2">
      <c r="A3143" s="14"/>
      <c r="B3143" s="15"/>
      <c r="C3143" s="16"/>
      <c r="D3143" s="16"/>
      <c r="E3143" s="16"/>
      <c r="F3143" s="16"/>
      <c r="G3143" s="16"/>
      <c r="H3143" s="16"/>
      <c r="I3143" s="16"/>
      <c r="J3143" s="16"/>
      <c r="K3143" s="6"/>
      <c r="L3143" s="16"/>
    </row>
    <row r="3144" spans="1:12" ht="14" customHeight="1" x14ac:dyDescent="0.2">
      <c r="A3144" s="17"/>
      <c r="B3144" s="18"/>
      <c r="C3144" s="19"/>
      <c r="D3144" s="19"/>
      <c r="E3144" s="19"/>
      <c r="F3144" s="19"/>
      <c r="G3144" s="19"/>
      <c r="H3144" s="19"/>
      <c r="I3144" s="19"/>
      <c r="J3144" s="19"/>
      <c r="K3144" s="6"/>
      <c r="L3144" s="19"/>
    </row>
    <row r="3145" spans="1:12" ht="14" customHeight="1" x14ac:dyDescent="0.2">
      <c r="A3145" s="14"/>
      <c r="B3145" s="15"/>
      <c r="C3145" s="16"/>
      <c r="D3145" s="16"/>
      <c r="E3145" s="16"/>
      <c r="F3145" s="16"/>
      <c r="G3145" s="16"/>
      <c r="H3145" s="16"/>
      <c r="I3145" s="16"/>
      <c r="J3145" s="16"/>
      <c r="K3145" s="6"/>
      <c r="L3145" s="16"/>
    </row>
    <row r="3146" spans="1:12" ht="14" customHeight="1" x14ac:dyDescent="0.2">
      <c r="A3146" s="17"/>
      <c r="B3146" s="18"/>
      <c r="C3146" s="19"/>
      <c r="D3146" s="19"/>
      <c r="E3146" s="19"/>
      <c r="F3146" s="19"/>
      <c r="G3146" s="19"/>
      <c r="H3146" s="19"/>
      <c r="I3146" s="19"/>
      <c r="J3146" s="19"/>
      <c r="K3146" s="6"/>
      <c r="L3146" s="19"/>
    </row>
    <row r="3147" spans="1:12" ht="14" customHeight="1" x14ac:dyDescent="0.2">
      <c r="A3147" s="14"/>
      <c r="B3147" s="15"/>
      <c r="C3147" s="16"/>
      <c r="D3147" s="16"/>
      <c r="E3147" s="16"/>
      <c r="F3147" s="16"/>
      <c r="G3147" s="16"/>
      <c r="H3147" s="16"/>
      <c r="I3147" s="16"/>
      <c r="J3147" s="16"/>
      <c r="K3147" s="6"/>
      <c r="L3147" s="16"/>
    </row>
    <row r="3148" spans="1:12" ht="14" customHeight="1" x14ac:dyDescent="0.2">
      <c r="A3148" s="17"/>
      <c r="B3148" s="18"/>
      <c r="C3148" s="19"/>
      <c r="D3148" s="19"/>
      <c r="E3148" s="19"/>
      <c r="F3148" s="19"/>
      <c r="G3148" s="19"/>
      <c r="H3148" s="19"/>
      <c r="I3148" s="19"/>
      <c r="J3148" s="19"/>
      <c r="K3148" s="6"/>
      <c r="L3148" s="19"/>
    </row>
    <row r="3149" spans="1:12" ht="14" customHeight="1" x14ac:dyDescent="0.2">
      <c r="A3149" s="14"/>
      <c r="B3149" s="15"/>
      <c r="C3149" s="16"/>
      <c r="D3149" s="16"/>
      <c r="E3149" s="16"/>
      <c r="F3149" s="16"/>
      <c r="G3149" s="16"/>
      <c r="H3149" s="16"/>
      <c r="I3149" s="16"/>
      <c r="J3149" s="16"/>
      <c r="K3149" s="6"/>
      <c r="L3149" s="16"/>
    </row>
    <row r="3150" spans="1:12" ht="14" customHeight="1" x14ac:dyDescent="0.2">
      <c r="A3150" s="17"/>
      <c r="B3150" s="18"/>
      <c r="C3150" s="19"/>
      <c r="D3150" s="19"/>
      <c r="E3150" s="19"/>
      <c r="F3150" s="19"/>
      <c r="G3150" s="19"/>
      <c r="H3150" s="19"/>
      <c r="I3150" s="19"/>
      <c r="J3150" s="19"/>
      <c r="K3150" s="6"/>
      <c r="L3150" s="19"/>
    </row>
    <row r="3151" spans="1:12" ht="14" customHeight="1" x14ac:dyDescent="0.2">
      <c r="A3151" s="14"/>
      <c r="B3151" s="15"/>
      <c r="C3151" s="16"/>
      <c r="D3151" s="16"/>
      <c r="E3151" s="16"/>
      <c r="F3151" s="16"/>
      <c r="G3151" s="16"/>
      <c r="H3151" s="16"/>
      <c r="I3151" s="16"/>
      <c r="J3151" s="16"/>
      <c r="K3151" s="6"/>
      <c r="L3151" s="16"/>
    </row>
    <row r="3152" spans="1:12" ht="14" customHeight="1" x14ac:dyDescent="0.2">
      <c r="A3152" s="17"/>
      <c r="B3152" s="18"/>
      <c r="C3152" s="19"/>
      <c r="D3152" s="19"/>
      <c r="E3152" s="19"/>
      <c r="F3152" s="19"/>
      <c r="G3152" s="19"/>
      <c r="H3152" s="19"/>
      <c r="I3152" s="19"/>
      <c r="J3152" s="19"/>
      <c r="K3152" s="6"/>
      <c r="L3152" s="19"/>
    </row>
    <row r="3153" spans="1:12" ht="14" customHeight="1" x14ac:dyDescent="0.2">
      <c r="A3153" s="14"/>
      <c r="B3153" s="15"/>
      <c r="C3153" s="16"/>
      <c r="D3153" s="16"/>
      <c r="E3153" s="16"/>
      <c r="F3153" s="16"/>
      <c r="G3153" s="16"/>
      <c r="H3153" s="16"/>
      <c r="I3153" s="16"/>
      <c r="J3153" s="16"/>
      <c r="K3153" s="6"/>
      <c r="L3153" s="16"/>
    </row>
    <row r="3154" spans="1:12" ht="14" customHeight="1" x14ac:dyDescent="0.2">
      <c r="A3154" s="17"/>
      <c r="B3154" s="18"/>
      <c r="C3154" s="19"/>
      <c r="D3154" s="19"/>
      <c r="E3154" s="19"/>
      <c r="F3154" s="19"/>
      <c r="G3154" s="19"/>
      <c r="H3154" s="19"/>
      <c r="I3154" s="19"/>
      <c r="J3154" s="19"/>
      <c r="K3154" s="6"/>
      <c r="L3154" s="19"/>
    </row>
    <row r="3155" spans="1:12" ht="14" customHeight="1" x14ac:dyDescent="0.2">
      <c r="A3155" s="14"/>
      <c r="B3155" s="15"/>
      <c r="C3155" s="16"/>
      <c r="D3155" s="16"/>
      <c r="E3155" s="16"/>
      <c r="F3155" s="16"/>
      <c r="G3155" s="16"/>
      <c r="H3155" s="16"/>
      <c r="I3155" s="16"/>
      <c r="J3155" s="16"/>
      <c r="K3155" s="6"/>
      <c r="L3155" s="16"/>
    </row>
    <row r="3156" spans="1:12" ht="14" customHeight="1" x14ac:dyDescent="0.2">
      <c r="A3156" s="17"/>
      <c r="B3156" s="18"/>
      <c r="C3156" s="19"/>
      <c r="D3156" s="19"/>
      <c r="E3156" s="19"/>
      <c r="F3156" s="19"/>
      <c r="G3156" s="19"/>
      <c r="H3156" s="19"/>
      <c r="I3156" s="19"/>
      <c r="J3156" s="19"/>
      <c r="K3156" s="6"/>
      <c r="L3156" s="19"/>
    </row>
    <row r="3157" spans="1:12" ht="14" customHeight="1" x14ac:dyDescent="0.2">
      <c r="A3157" s="14"/>
      <c r="B3157" s="15"/>
      <c r="C3157" s="16"/>
      <c r="D3157" s="16"/>
      <c r="E3157" s="16"/>
      <c r="F3157" s="16"/>
      <c r="G3157" s="16"/>
      <c r="H3157" s="16"/>
      <c r="I3157" s="16"/>
      <c r="J3157" s="16"/>
      <c r="K3157" s="6"/>
      <c r="L3157" s="16"/>
    </row>
    <row r="3158" spans="1:12" ht="14" customHeight="1" x14ac:dyDescent="0.2">
      <c r="A3158" s="17"/>
      <c r="B3158" s="18"/>
      <c r="C3158" s="19"/>
      <c r="D3158" s="19"/>
      <c r="E3158" s="19"/>
      <c r="F3158" s="19"/>
      <c r="G3158" s="19"/>
      <c r="H3158" s="19"/>
      <c r="I3158" s="19"/>
      <c r="J3158" s="19"/>
      <c r="K3158" s="6"/>
      <c r="L3158" s="19"/>
    </row>
    <row r="3159" spans="1:12" ht="14" customHeight="1" x14ac:dyDescent="0.2">
      <c r="A3159" s="14"/>
      <c r="B3159" s="15"/>
      <c r="C3159" s="16"/>
      <c r="D3159" s="16"/>
      <c r="E3159" s="16"/>
      <c r="F3159" s="16"/>
      <c r="G3159" s="16"/>
      <c r="H3159" s="16"/>
      <c r="I3159" s="16"/>
      <c r="J3159" s="16"/>
      <c r="K3159" s="6"/>
      <c r="L3159" s="16"/>
    </row>
    <row r="3160" spans="1:12" ht="14" customHeight="1" x14ac:dyDescent="0.2">
      <c r="A3160" s="17"/>
      <c r="B3160" s="18"/>
      <c r="C3160" s="19"/>
      <c r="D3160" s="19"/>
      <c r="E3160" s="19"/>
      <c r="F3160" s="19"/>
      <c r="G3160" s="19"/>
      <c r="H3160" s="19"/>
      <c r="I3160" s="19"/>
      <c r="J3160" s="19"/>
      <c r="K3160" s="6"/>
      <c r="L3160" s="19"/>
    </row>
    <row r="3161" spans="1:12" ht="14" customHeight="1" x14ac:dyDescent="0.2">
      <c r="A3161" s="14"/>
      <c r="B3161" s="15"/>
      <c r="C3161" s="16"/>
      <c r="D3161" s="16"/>
      <c r="E3161" s="16"/>
      <c r="F3161" s="16"/>
      <c r="G3161" s="16"/>
      <c r="H3161" s="16"/>
      <c r="I3161" s="16"/>
      <c r="J3161" s="16"/>
      <c r="K3161" s="6"/>
      <c r="L3161" s="16"/>
    </row>
    <row r="3162" spans="1:12" ht="14" customHeight="1" x14ac:dyDescent="0.2">
      <c r="A3162" s="17"/>
      <c r="B3162" s="18"/>
      <c r="C3162" s="19"/>
      <c r="D3162" s="19"/>
      <c r="E3162" s="19"/>
      <c r="F3162" s="19"/>
      <c r="G3162" s="19"/>
      <c r="H3162" s="19"/>
      <c r="I3162" s="19"/>
      <c r="J3162" s="19"/>
      <c r="K3162" s="6"/>
      <c r="L3162" s="19"/>
    </row>
    <row r="3163" spans="1:12" ht="14" customHeight="1" x14ac:dyDescent="0.2">
      <c r="A3163" s="14"/>
      <c r="B3163" s="15"/>
      <c r="C3163" s="16"/>
      <c r="D3163" s="16"/>
      <c r="E3163" s="16"/>
      <c r="F3163" s="16"/>
      <c r="G3163" s="16"/>
      <c r="H3163" s="16"/>
      <c r="I3163" s="16"/>
      <c r="J3163" s="16"/>
      <c r="K3163" s="6"/>
      <c r="L3163" s="16"/>
    </row>
    <row r="3164" spans="1:12" ht="14" customHeight="1" x14ac:dyDescent="0.2">
      <c r="A3164" s="17"/>
      <c r="B3164" s="18"/>
      <c r="C3164" s="19"/>
      <c r="D3164" s="19"/>
      <c r="E3164" s="19"/>
      <c r="F3164" s="19"/>
      <c r="G3164" s="19"/>
      <c r="H3164" s="19"/>
      <c r="I3164" s="19"/>
      <c r="J3164" s="19"/>
      <c r="K3164" s="6"/>
      <c r="L3164" s="19"/>
    </row>
    <row r="3165" spans="1:12" ht="14" customHeight="1" x14ac:dyDescent="0.2">
      <c r="A3165" s="14"/>
      <c r="B3165" s="15"/>
      <c r="C3165" s="16"/>
      <c r="D3165" s="16"/>
      <c r="E3165" s="16"/>
      <c r="F3165" s="16"/>
      <c r="G3165" s="16"/>
      <c r="H3165" s="16"/>
      <c r="I3165" s="16"/>
      <c r="J3165" s="16"/>
      <c r="K3165" s="6"/>
      <c r="L3165" s="16"/>
    </row>
    <row r="3166" spans="1:12" ht="14" customHeight="1" x14ac:dyDescent="0.2">
      <c r="A3166" s="17"/>
      <c r="B3166" s="18"/>
      <c r="C3166" s="19"/>
      <c r="D3166" s="19"/>
      <c r="E3166" s="19"/>
      <c r="F3166" s="19"/>
      <c r="G3166" s="19"/>
      <c r="H3166" s="19"/>
      <c r="I3166" s="19"/>
      <c r="J3166" s="19"/>
      <c r="K3166" s="6"/>
      <c r="L3166" s="19"/>
    </row>
    <row r="3167" spans="1:12" ht="14" customHeight="1" x14ac:dyDescent="0.2">
      <c r="A3167" s="14"/>
      <c r="B3167" s="15"/>
      <c r="C3167" s="16"/>
      <c r="D3167" s="16"/>
      <c r="E3167" s="16"/>
      <c r="F3167" s="16"/>
      <c r="G3167" s="16"/>
      <c r="H3167" s="16"/>
      <c r="I3167" s="16"/>
      <c r="J3167" s="16"/>
      <c r="K3167" s="6"/>
      <c r="L3167" s="16"/>
    </row>
    <row r="3168" spans="1:12" ht="14" customHeight="1" x14ac:dyDescent="0.2">
      <c r="A3168" s="17"/>
      <c r="B3168" s="18"/>
      <c r="C3168" s="19"/>
      <c r="D3168" s="19"/>
      <c r="E3168" s="19"/>
      <c r="F3168" s="19"/>
      <c r="G3168" s="19"/>
      <c r="H3168" s="19"/>
      <c r="I3168" s="19"/>
      <c r="J3168" s="19"/>
      <c r="K3168" s="6"/>
      <c r="L3168" s="19"/>
    </row>
    <row r="3169" spans="1:12" ht="14" customHeight="1" x14ac:dyDescent="0.2">
      <c r="A3169" s="14"/>
      <c r="B3169" s="15"/>
      <c r="C3169" s="16"/>
      <c r="D3169" s="16"/>
      <c r="E3169" s="16"/>
      <c r="F3169" s="16"/>
      <c r="G3169" s="16"/>
      <c r="H3169" s="16"/>
      <c r="I3169" s="16"/>
      <c r="J3169" s="16"/>
      <c r="K3169" s="6"/>
      <c r="L3169" s="16"/>
    </row>
    <row r="3170" spans="1:12" ht="14" customHeight="1" x14ac:dyDescent="0.2">
      <c r="A3170" s="17"/>
      <c r="B3170" s="18"/>
      <c r="C3170" s="19"/>
      <c r="D3170" s="19"/>
      <c r="E3170" s="19"/>
      <c r="F3170" s="19"/>
      <c r="G3170" s="19"/>
      <c r="H3170" s="19"/>
      <c r="I3170" s="19"/>
      <c r="J3170" s="19"/>
      <c r="K3170" s="6"/>
      <c r="L3170" s="19"/>
    </row>
    <row r="3171" spans="1:12" ht="14" customHeight="1" x14ac:dyDescent="0.2">
      <c r="A3171" s="14"/>
      <c r="B3171" s="15"/>
      <c r="C3171" s="16"/>
      <c r="D3171" s="16"/>
      <c r="E3171" s="16"/>
      <c r="F3171" s="16"/>
      <c r="G3171" s="16"/>
      <c r="H3171" s="16"/>
      <c r="I3171" s="16"/>
      <c r="J3171" s="16"/>
      <c r="K3171" s="6"/>
      <c r="L3171" s="16"/>
    </row>
    <row r="3172" spans="1:12" ht="14" customHeight="1" x14ac:dyDescent="0.2">
      <c r="A3172" s="17"/>
      <c r="B3172" s="18"/>
      <c r="C3172" s="19"/>
      <c r="D3172" s="19"/>
      <c r="E3172" s="19"/>
      <c r="F3172" s="19"/>
      <c r="G3172" s="19"/>
      <c r="H3172" s="19"/>
      <c r="I3172" s="19"/>
      <c r="J3172" s="19"/>
      <c r="K3172" s="6"/>
      <c r="L3172" s="19"/>
    </row>
    <row r="3173" spans="1:12" ht="14" customHeight="1" x14ac:dyDescent="0.2">
      <c r="A3173" s="14"/>
      <c r="B3173" s="15"/>
      <c r="C3173" s="16"/>
      <c r="D3173" s="16"/>
      <c r="E3173" s="16"/>
      <c r="F3173" s="16"/>
      <c r="G3173" s="16"/>
      <c r="H3173" s="16"/>
      <c r="I3173" s="16"/>
      <c r="J3173" s="16"/>
      <c r="K3173" s="6"/>
      <c r="L3173" s="16"/>
    </row>
    <row r="3174" spans="1:12" ht="14" customHeight="1" x14ac:dyDescent="0.2">
      <c r="A3174" s="17"/>
      <c r="B3174" s="18"/>
      <c r="C3174" s="19"/>
      <c r="D3174" s="19"/>
      <c r="E3174" s="19"/>
      <c r="F3174" s="19"/>
      <c r="G3174" s="19"/>
      <c r="H3174" s="19"/>
      <c r="I3174" s="19"/>
      <c r="J3174" s="19"/>
      <c r="K3174" s="6"/>
      <c r="L3174" s="19"/>
    </row>
    <row r="3175" spans="1:12" ht="14" customHeight="1" x14ac:dyDescent="0.2">
      <c r="A3175" s="14"/>
      <c r="B3175" s="15"/>
      <c r="C3175" s="16"/>
      <c r="D3175" s="16"/>
      <c r="E3175" s="16"/>
      <c r="F3175" s="16"/>
      <c r="G3175" s="16"/>
      <c r="H3175" s="16"/>
      <c r="I3175" s="16"/>
      <c r="J3175" s="16"/>
      <c r="K3175" s="6"/>
      <c r="L3175" s="16"/>
    </row>
    <row r="3176" spans="1:12" ht="14" customHeight="1" x14ac:dyDescent="0.2">
      <c r="A3176" s="17"/>
      <c r="B3176" s="18"/>
      <c r="C3176" s="19"/>
      <c r="D3176" s="19"/>
      <c r="E3176" s="19"/>
      <c r="F3176" s="19"/>
      <c r="G3176" s="19"/>
      <c r="H3176" s="19"/>
      <c r="I3176" s="19"/>
      <c r="J3176" s="19"/>
      <c r="K3176" s="6"/>
      <c r="L3176" s="19"/>
    </row>
    <row r="3177" spans="1:12" ht="14" customHeight="1" x14ac:dyDescent="0.2">
      <c r="A3177" s="14"/>
      <c r="B3177" s="15"/>
      <c r="C3177" s="16"/>
      <c r="D3177" s="16"/>
      <c r="E3177" s="16"/>
      <c r="F3177" s="16"/>
      <c r="G3177" s="16"/>
      <c r="H3177" s="16"/>
      <c r="I3177" s="16"/>
      <c r="J3177" s="16"/>
      <c r="K3177" s="6"/>
      <c r="L3177" s="16"/>
    </row>
    <row r="3178" spans="1:12" ht="14" customHeight="1" x14ac:dyDescent="0.2">
      <c r="A3178" s="17"/>
      <c r="B3178" s="18"/>
      <c r="C3178" s="19"/>
      <c r="D3178" s="19"/>
      <c r="E3178" s="19"/>
      <c r="F3178" s="19"/>
      <c r="G3178" s="19"/>
      <c r="H3178" s="19"/>
      <c r="I3178" s="19"/>
      <c r="J3178" s="19"/>
      <c r="K3178" s="6"/>
      <c r="L3178" s="19"/>
    </row>
    <row r="3179" spans="1:12" ht="14" customHeight="1" x14ac:dyDescent="0.2">
      <c r="A3179" s="14"/>
      <c r="B3179" s="15"/>
      <c r="C3179" s="16"/>
      <c r="D3179" s="16"/>
      <c r="E3179" s="16"/>
      <c r="F3179" s="16"/>
      <c r="G3179" s="16"/>
      <c r="H3179" s="16"/>
      <c r="I3179" s="16"/>
      <c r="J3179" s="16"/>
      <c r="K3179" s="6"/>
      <c r="L3179" s="16"/>
    </row>
    <row r="3180" spans="1:12" ht="14" customHeight="1" x14ac:dyDescent="0.2">
      <c r="A3180" s="17"/>
      <c r="B3180" s="18"/>
      <c r="C3180" s="19"/>
      <c r="D3180" s="19"/>
      <c r="E3180" s="19"/>
      <c r="F3180" s="19"/>
      <c r="G3180" s="19"/>
      <c r="H3180" s="19"/>
      <c r="I3180" s="19"/>
      <c r="J3180" s="19"/>
      <c r="K3180" s="6"/>
      <c r="L3180" s="19"/>
    </row>
    <row r="3181" spans="1:12" ht="14" customHeight="1" x14ac:dyDescent="0.2">
      <c r="A3181" s="14"/>
      <c r="B3181" s="15"/>
      <c r="C3181" s="16"/>
      <c r="D3181" s="16"/>
      <c r="E3181" s="16"/>
      <c r="F3181" s="16"/>
      <c r="G3181" s="16"/>
      <c r="H3181" s="16"/>
      <c r="I3181" s="16"/>
      <c r="J3181" s="16"/>
      <c r="K3181" s="6"/>
      <c r="L3181" s="16"/>
    </row>
    <row r="3182" spans="1:12" ht="14" customHeight="1" x14ac:dyDescent="0.2">
      <c r="A3182" s="17"/>
      <c r="B3182" s="18"/>
      <c r="C3182" s="19"/>
      <c r="D3182" s="19"/>
      <c r="E3182" s="19"/>
      <c r="F3182" s="19"/>
      <c r="G3182" s="19"/>
      <c r="H3182" s="19"/>
      <c r="I3182" s="19"/>
      <c r="J3182" s="19"/>
      <c r="K3182" s="6"/>
      <c r="L3182" s="19"/>
    </row>
    <row r="3183" spans="1:12" ht="14" customHeight="1" x14ac:dyDescent="0.2">
      <c r="A3183" s="14"/>
      <c r="B3183" s="15"/>
      <c r="C3183" s="16"/>
      <c r="D3183" s="16"/>
      <c r="E3183" s="16"/>
      <c r="F3183" s="16"/>
      <c r="G3183" s="16"/>
      <c r="H3183" s="16"/>
      <c r="I3183" s="16"/>
      <c r="J3183" s="16"/>
      <c r="K3183" s="6"/>
      <c r="L3183" s="16"/>
    </row>
    <row r="3184" spans="1:12" ht="14" customHeight="1" x14ac:dyDescent="0.2">
      <c r="A3184" s="17"/>
      <c r="B3184" s="18"/>
      <c r="C3184" s="19"/>
      <c r="D3184" s="19"/>
      <c r="E3184" s="19"/>
      <c r="F3184" s="19"/>
      <c r="G3184" s="19"/>
      <c r="H3184" s="19"/>
      <c r="I3184" s="19"/>
      <c r="J3184" s="19"/>
      <c r="K3184" s="6"/>
      <c r="L3184" s="19"/>
    </row>
    <row r="3185" spans="1:12" ht="14" customHeight="1" x14ac:dyDescent="0.2">
      <c r="A3185" s="14"/>
      <c r="B3185" s="15"/>
      <c r="C3185" s="16"/>
      <c r="D3185" s="16"/>
      <c r="E3185" s="16"/>
      <c r="F3185" s="16"/>
      <c r="G3185" s="16"/>
      <c r="H3185" s="16"/>
      <c r="I3185" s="16"/>
      <c r="J3185" s="16"/>
      <c r="K3185" s="6"/>
      <c r="L3185" s="16"/>
    </row>
    <row r="3186" spans="1:12" ht="14" customHeight="1" x14ac:dyDescent="0.2">
      <c r="A3186" s="17"/>
      <c r="B3186" s="18"/>
      <c r="C3186" s="19"/>
      <c r="D3186" s="19"/>
      <c r="E3186" s="19"/>
      <c r="F3186" s="19"/>
      <c r="G3186" s="19"/>
      <c r="H3186" s="19"/>
      <c r="I3186" s="19"/>
      <c r="J3186" s="19"/>
      <c r="K3186" s="6"/>
      <c r="L3186" s="19"/>
    </row>
    <row r="3187" spans="1:12" ht="14" customHeight="1" x14ac:dyDescent="0.2">
      <c r="A3187" s="14"/>
      <c r="B3187" s="15"/>
      <c r="C3187" s="16"/>
      <c r="D3187" s="16"/>
      <c r="E3187" s="16"/>
      <c r="F3187" s="16"/>
      <c r="G3187" s="16"/>
      <c r="H3187" s="16"/>
      <c r="I3187" s="16"/>
      <c r="J3187" s="16"/>
      <c r="K3187" s="6"/>
      <c r="L3187" s="16"/>
    </row>
    <row r="3188" spans="1:12" ht="14" customHeight="1" x14ac:dyDescent="0.2">
      <c r="A3188" s="17"/>
      <c r="B3188" s="18"/>
      <c r="C3188" s="19"/>
      <c r="D3188" s="19"/>
      <c r="E3188" s="19"/>
      <c r="F3188" s="19"/>
      <c r="G3188" s="19"/>
      <c r="H3188" s="19"/>
      <c r="I3188" s="19"/>
      <c r="J3188" s="19"/>
      <c r="K3188" s="6"/>
      <c r="L3188" s="19"/>
    </row>
    <row r="3189" spans="1:12" ht="14" customHeight="1" x14ac:dyDescent="0.2">
      <c r="A3189" s="14"/>
      <c r="B3189" s="15"/>
      <c r="C3189" s="16"/>
      <c r="D3189" s="16"/>
      <c r="E3189" s="16"/>
      <c r="F3189" s="16"/>
      <c r="G3189" s="16"/>
      <c r="H3189" s="16"/>
      <c r="I3189" s="16"/>
      <c r="J3189" s="16"/>
      <c r="K3189" s="6"/>
      <c r="L3189" s="16"/>
    </row>
    <row r="3190" spans="1:12" ht="14" customHeight="1" x14ac:dyDescent="0.2">
      <c r="A3190" s="17"/>
      <c r="B3190" s="18"/>
      <c r="C3190" s="19"/>
      <c r="D3190" s="19"/>
      <c r="E3190" s="19"/>
      <c r="F3190" s="19"/>
      <c r="G3190" s="19"/>
      <c r="H3190" s="19"/>
      <c r="I3190" s="19"/>
      <c r="J3190" s="19"/>
      <c r="K3190" s="6"/>
      <c r="L3190" s="19"/>
    </row>
    <row r="3191" spans="1:12" ht="14" customHeight="1" x14ac:dyDescent="0.2">
      <c r="A3191" s="14"/>
      <c r="B3191" s="15"/>
      <c r="C3191" s="16"/>
      <c r="D3191" s="16"/>
      <c r="E3191" s="16"/>
      <c r="F3191" s="16"/>
      <c r="G3191" s="16"/>
      <c r="H3191" s="16"/>
      <c r="I3191" s="16"/>
      <c r="J3191" s="16"/>
      <c r="K3191" s="6"/>
      <c r="L3191" s="16"/>
    </row>
    <row r="3192" spans="1:12" ht="14" customHeight="1" x14ac:dyDescent="0.2">
      <c r="A3192" s="17"/>
      <c r="B3192" s="18"/>
      <c r="C3192" s="19"/>
      <c r="D3192" s="19"/>
      <c r="E3192" s="19"/>
      <c r="F3192" s="19"/>
      <c r="G3192" s="19"/>
      <c r="H3192" s="19"/>
      <c r="I3192" s="19"/>
      <c r="J3192" s="19"/>
      <c r="K3192" s="6"/>
      <c r="L3192" s="19"/>
    </row>
    <row r="3193" spans="1:12" ht="14" customHeight="1" x14ac:dyDescent="0.2">
      <c r="A3193" s="14"/>
      <c r="B3193" s="15"/>
      <c r="C3193" s="16"/>
      <c r="D3193" s="16"/>
      <c r="E3193" s="16"/>
      <c r="F3193" s="16"/>
      <c r="G3193" s="16"/>
      <c r="H3193" s="16"/>
      <c r="I3193" s="16"/>
      <c r="J3193" s="16"/>
      <c r="K3193" s="6"/>
      <c r="L3193" s="16"/>
    </row>
    <row r="3194" spans="1:12" ht="14" customHeight="1" x14ac:dyDescent="0.2">
      <c r="A3194" s="17"/>
      <c r="B3194" s="18"/>
      <c r="C3194" s="19"/>
      <c r="D3194" s="19"/>
      <c r="E3194" s="19"/>
      <c r="F3194" s="19"/>
      <c r="G3194" s="19"/>
      <c r="H3194" s="19"/>
      <c r="I3194" s="19"/>
      <c r="J3194" s="19"/>
      <c r="K3194" s="6"/>
      <c r="L3194" s="19"/>
    </row>
    <row r="3195" spans="1:12" ht="14" customHeight="1" x14ac:dyDescent="0.2">
      <c r="A3195" s="14"/>
      <c r="B3195" s="15"/>
      <c r="C3195" s="16"/>
      <c r="D3195" s="16"/>
      <c r="E3195" s="16"/>
      <c r="F3195" s="16"/>
      <c r="G3195" s="16"/>
      <c r="H3195" s="16"/>
      <c r="I3195" s="16"/>
      <c r="J3195" s="16"/>
      <c r="K3195" s="6"/>
      <c r="L3195" s="16"/>
    </row>
    <row r="3196" spans="1:12" ht="14" customHeight="1" x14ac:dyDescent="0.2">
      <c r="A3196" s="17"/>
      <c r="B3196" s="18"/>
      <c r="C3196" s="19"/>
      <c r="D3196" s="19"/>
      <c r="E3196" s="19"/>
      <c r="F3196" s="19"/>
      <c r="G3196" s="19"/>
      <c r="H3196" s="19"/>
      <c r="I3196" s="19"/>
      <c r="J3196" s="19"/>
      <c r="K3196" s="6"/>
      <c r="L3196" s="19"/>
    </row>
    <row r="3197" spans="1:12" ht="14" customHeight="1" x14ac:dyDescent="0.2">
      <c r="A3197" s="14"/>
      <c r="B3197" s="15"/>
      <c r="C3197" s="16"/>
      <c r="D3197" s="16"/>
      <c r="E3197" s="16"/>
      <c r="F3197" s="16"/>
      <c r="G3197" s="16"/>
      <c r="H3197" s="16"/>
      <c r="I3197" s="16"/>
      <c r="J3197" s="16"/>
      <c r="K3197" s="6"/>
      <c r="L3197" s="16"/>
    </row>
    <row r="3198" spans="1:12" ht="14" customHeight="1" x14ac:dyDescent="0.2">
      <c r="A3198" s="17"/>
      <c r="B3198" s="18"/>
      <c r="C3198" s="19"/>
      <c r="D3198" s="19"/>
      <c r="E3198" s="19"/>
      <c r="F3198" s="19"/>
      <c r="G3198" s="19"/>
      <c r="H3198" s="19"/>
      <c r="I3198" s="19"/>
      <c r="J3198" s="19"/>
      <c r="K3198" s="6"/>
      <c r="L3198" s="19"/>
    </row>
    <row r="3199" spans="1:12" ht="14" customHeight="1" x14ac:dyDescent="0.2">
      <c r="A3199" s="14"/>
      <c r="B3199" s="15"/>
      <c r="C3199" s="16"/>
      <c r="D3199" s="16"/>
      <c r="E3199" s="16"/>
      <c r="F3199" s="16"/>
      <c r="G3199" s="16"/>
      <c r="H3199" s="16"/>
      <c r="I3199" s="16"/>
      <c r="J3199" s="16"/>
      <c r="K3199" s="6"/>
      <c r="L3199" s="16"/>
    </row>
    <row r="3200" spans="1:12" ht="14" customHeight="1" x14ac:dyDescent="0.2">
      <c r="A3200" s="17"/>
      <c r="B3200" s="18"/>
      <c r="C3200" s="19"/>
      <c r="D3200" s="19"/>
      <c r="E3200" s="19"/>
      <c r="F3200" s="19"/>
      <c r="G3200" s="19"/>
      <c r="H3200" s="19"/>
      <c r="I3200" s="19"/>
      <c r="J3200" s="19"/>
      <c r="K3200" s="6"/>
      <c r="L3200" s="19"/>
    </row>
    <row r="3201" spans="1:12" ht="14" customHeight="1" x14ac:dyDescent="0.2">
      <c r="A3201" s="14"/>
      <c r="B3201" s="15"/>
      <c r="C3201" s="16"/>
      <c r="D3201" s="16"/>
      <c r="E3201" s="16"/>
      <c r="F3201" s="16"/>
      <c r="G3201" s="16"/>
      <c r="H3201" s="16"/>
      <c r="I3201" s="16"/>
      <c r="J3201" s="16"/>
      <c r="K3201" s="6"/>
      <c r="L3201" s="16"/>
    </row>
    <row r="3202" spans="1:12" ht="14" customHeight="1" x14ac:dyDescent="0.2">
      <c r="A3202" s="17"/>
      <c r="B3202" s="18"/>
      <c r="C3202" s="19"/>
      <c r="D3202" s="19"/>
      <c r="E3202" s="19"/>
      <c r="F3202" s="19"/>
      <c r="G3202" s="19"/>
      <c r="H3202" s="19"/>
      <c r="I3202" s="19"/>
      <c r="J3202" s="19"/>
      <c r="K3202" s="6"/>
      <c r="L3202" s="19"/>
    </row>
    <row r="3203" spans="1:12" ht="14" customHeight="1" x14ac:dyDescent="0.2">
      <c r="A3203" s="14"/>
      <c r="B3203" s="15"/>
      <c r="C3203" s="16"/>
      <c r="D3203" s="16"/>
      <c r="E3203" s="16"/>
      <c r="F3203" s="16"/>
      <c r="G3203" s="16"/>
      <c r="H3203" s="16"/>
      <c r="I3203" s="16"/>
      <c r="J3203" s="16"/>
      <c r="K3203" s="6"/>
      <c r="L3203" s="16"/>
    </row>
    <row r="3204" spans="1:12" ht="14" customHeight="1" x14ac:dyDescent="0.2">
      <c r="A3204" s="17"/>
      <c r="B3204" s="18"/>
      <c r="C3204" s="19"/>
      <c r="D3204" s="19"/>
      <c r="E3204" s="19"/>
      <c r="F3204" s="19"/>
      <c r="G3204" s="19"/>
      <c r="H3204" s="19"/>
      <c r="I3204" s="19"/>
      <c r="J3204" s="19"/>
      <c r="K3204" s="6"/>
      <c r="L3204" s="19"/>
    </row>
    <row r="3205" spans="1:12" ht="14" customHeight="1" x14ac:dyDescent="0.2">
      <c r="A3205" s="14"/>
      <c r="B3205" s="15"/>
      <c r="C3205" s="16"/>
      <c r="D3205" s="16"/>
      <c r="E3205" s="16"/>
      <c r="F3205" s="16"/>
      <c r="G3205" s="16"/>
      <c r="H3205" s="16"/>
      <c r="I3205" s="16"/>
      <c r="J3205" s="16"/>
      <c r="K3205" s="6"/>
      <c r="L3205" s="16"/>
    </row>
    <row r="3206" spans="1:12" ht="14" customHeight="1" x14ac:dyDescent="0.2">
      <c r="A3206" s="17"/>
      <c r="B3206" s="18"/>
      <c r="C3206" s="19"/>
      <c r="D3206" s="19"/>
      <c r="E3206" s="19"/>
      <c r="F3206" s="19"/>
      <c r="G3206" s="19"/>
      <c r="H3206" s="19"/>
      <c r="I3206" s="19"/>
      <c r="J3206" s="19"/>
      <c r="K3206" s="6"/>
      <c r="L3206" s="19"/>
    </row>
    <row r="3207" spans="1:12" ht="14" customHeight="1" x14ac:dyDescent="0.2">
      <c r="A3207" s="14"/>
      <c r="B3207" s="15"/>
      <c r="C3207" s="16"/>
      <c r="D3207" s="16"/>
      <c r="E3207" s="16"/>
      <c r="F3207" s="16"/>
      <c r="G3207" s="16"/>
      <c r="H3207" s="16"/>
      <c r="I3207" s="16"/>
      <c r="J3207" s="16"/>
      <c r="K3207" s="6"/>
      <c r="L3207" s="16"/>
    </row>
    <row r="3208" spans="1:12" ht="14" customHeight="1" x14ac:dyDescent="0.2">
      <c r="A3208" s="17"/>
      <c r="B3208" s="18"/>
      <c r="C3208" s="19"/>
      <c r="D3208" s="19"/>
      <c r="E3208" s="19"/>
      <c r="F3208" s="19"/>
      <c r="G3208" s="19"/>
      <c r="H3208" s="19"/>
      <c r="I3208" s="19"/>
      <c r="J3208" s="19"/>
      <c r="K3208" s="6"/>
      <c r="L3208" s="19"/>
    </row>
    <row r="3209" spans="1:12" ht="14" customHeight="1" x14ac:dyDescent="0.2">
      <c r="A3209" s="14"/>
      <c r="B3209" s="15"/>
      <c r="C3209" s="16"/>
      <c r="D3209" s="16"/>
      <c r="E3209" s="16"/>
      <c r="F3209" s="16"/>
      <c r="G3209" s="16"/>
      <c r="H3209" s="16"/>
      <c r="I3209" s="16"/>
      <c r="J3209" s="16"/>
      <c r="K3209" s="6"/>
      <c r="L3209" s="16"/>
    </row>
    <row r="3210" spans="1:12" ht="14" customHeight="1" x14ac:dyDescent="0.2">
      <c r="A3210" s="17"/>
      <c r="B3210" s="18"/>
      <c r="C3210" s="19"/>
      <c r="D3210" s="19"/>
      <c r="E3210" s="19"/>
      <c r="F3210" s="19"/>
      <c r="G3210" s="19"/>
      <c r="H3210" s="19"/>
      <c r="I3210" s="19"/>
      <c r="J3210" s="19"/>
      <c r="K3210" s="6"/>
      <c r="L3210" s="19"/>
    </row>
    <row r="3211" spans="1:12" ht="14" customHeight="1" x14ac:dyDescent="0.2">
      <c r="A3211" s="14"/>
      <c r="B3211" s="15"/>
      <c r="C3211" s="16"/>
      <c r="D3211" s="16"/>
      <c r="E3211" s="16"/>
      <c r="F3211" s="16"/>
      <c r="G3211" s="16"/>
      <c r="H3211" s="16"/>
      <c r="I3211" s="16"/>
      <c r="J3211" s="16"/>
      <c r="K3211" s="6"/>
      <c r="L3211" s="16"/>
    </row>
    <row r="3212" spans="1:12" ht="14" customHeight="1" x14ac:dyDescent="0.2">
      <c r="A3212" s="17"/>
      <c r="B3212" s="18"/>
      <c r="C3212" s="19"/>
      <c r="D3212" s="19"/>
      <c r="E3212" s="19"/>
      <c r="F3212" s="19"/>
      <c r="G3212" s="19"/>
      <c r="H3212" s="19"/>
      <c r="I3212" s="19"/>
      <c r="J3212" s="19"/>
      <c r="K3212" s="6"/>
      <c r="L3212" s="19"/>
    </row>
    <row r="3213" spans="1:12" ht="14" customHeight="1" x14ac:dyDescent="0.2">
      <c r="A3213" s="14"/>
      <c r="B3213" s="15"/>
      <c r="C3213" s="16"/>
      <c r="D3213" s="16"/>
      <c r="E3213" s="16"/>
      <c r="F3213" s="16"/>
      <c r="G3213" s="16"/>
      <c r="H3213" s="16"/>
      <c r="I3213" s="16"/>
      <c r="J3213" s="16"/>
      <c r="K3213" s="6"/>
      <c r="L3213" s="16"/>
    </row>
    <row r="3214" spans="1:12" ht="14" customHeight="1" x14ac:dyDescent="0.2">
      <c r="A3214" s="17"/>
      <c r="B3214" s="18"/>
      <c r="C3214" s="19"/>
      <c r="D3214" s="19"/>
      <c r="E3214" s="19"/>
      <c r="F3214" s="19"/>
      <c r="G3214" s="19"/>
      <c r="H3214" s="19"/>
      <c r="I3214" s="19"/>
      <c r="J3214" s="19"/>
      <c r="K3214" s="6"/>
      <c r="L3214" s="19"/>
    </row>
    <row r="3215" spans="1:12" ht="14" customHeight="1" x14ac:dyDescent="0.2">
      <c r="A3215" s="14"/>
      <c r="B3215" s="15"/>
      <c r="C3215" s="16"/>
      <c r="D3215" s="16"/>
      <c r="E3215" s="16"/>
      <c r="F3215" s="16"/>
      <c r="G3215" s="16"/>
      <c r="H3215" s="16"/>
      <c r="I3215" s="16"/>
      <c r="J3215" s="16"/>
      <c r="K3215" s="6"/>
      <c r="L3215" s="16"/>
    </row>
    <row r="3216" spans="1:12" ht="14" customHeight="1" x14ac:dyDescent="0.2">
      <c r="A3216" s="17"/>
      <c r="B3216" s="18"/>
      <c r="C3216" s="19"/>
      <c r="D3216" s="19"/>
      <c r="E3216" s="19"/>
      <c r="F3216" s="19"/>
      <c r="G3216" s="19"/>
      <c r="H3216" s="19"/>
      <c r="I3216" s="19"/>
      <c r="J3216" s="19"/>
      <c r="K3216" s="6"/>
      <c r="L3216" s="19"/>
    </row>
    <row r="3217" spans="1:12" ht="14" customHeight="1" x14ac:dyDescent="0.2">
      <c r="A3217" s="14"/>
      <c r="B3217" s="15"/>
      <c r="C3217" s="16"/>
      <c r="D3217" s="16"/>
      <c r="E3217" s="16"/>
      <c r="F3217" s="16"/>
      <c r="G3217" s="16"/>
      <c r="H3217" s="16"/>
      <c r="I3217" s="16"/>
      <c r="J3217" s="16"/>
      <c r="K3217" s="6"/>
      <c r="L3217" s="16"/>
    </row>
    <row r="3218" spans="1:12" ht="14" customHeight="1" x14ac:dyDescent="0.2">
      <c r="A3218" s="17"/>
      <c r="B3218" s="18"/>
      <c r="C3218" s="19"/>
      <c r="D3218" s="19"/>
      <c r="E3218" s="19"/>
      <c r="F3218" s="19"/>
      <c r="G3218" s="19"/>
      <c r="H3218" s="19"/>
      <c r="I3218" s="19"/>
      <c r="J3218" s="19"/>
      <c r="K3218" s="6"/>
      <c r="L3218" s="19"/>
    </row>
    <row r="3219" spans="1:12" ht="14" customHeight="1" x14ac:dyDescent="0.2">
      <c r="A3219" s="14"/>
      <c r="B3219" s="15"/>
      <c r="C3219" s="16"/>
      <c r="D3219" s="16"/>
      <c r="E3219" s="16"/>
      <c r="F3219" s="16"/>
      <c r="G3219" s="16"/>
      <c r="H3219" s="16"/>
      <c r="I3219" s="16"/>
      <c r="J3219" s="16"/>
      <c r="K3219" s="6"/>
      <c r="L3219" s="16"/>
    </row>
    <row r="3220" spans="1:12" ht="14" customHeight="1" x14ac:dyDescent="0.2">
      <c r="A3220" s="17"/>
      <c r="B3220" s="18"/>
      <c r="C3220" s="19"/>
      <c r="D3220" s="19"/>
      <c r="E3220" s="19"/>
      <c r="F3220" s="19"/>
      <c r="G3220" s="19"/>
      <c r="H3220" s="19"/>
      <c r="I3220" s="19"/>
      <c r="J3220" s="19"/>
      <c r="K3220" s="6"/>
      <c r="L3220" s="19"/>
    </row>
    <row r="3221" spans="1:12" ht="14" customHeight="1" x14ac:dyDescent="0.2">
      <c r="A3221" s="14"/>
      <c r="B3221" s="15"/>
      <c r="C3221" s="16"/>
      <c r="D3221" s="16"/>
      <c r="E3221" s="16"/>
      <c r="F3221" s="16"/>
      <c r="G3221" s="16"/>
      <c r="H3221" s="16"/>
      <c r="I3221" s="16"/>
      <c r="J3221" s="16"/>
      <c r="K3221" s="6"/>
      <c r="L3221" s="16"/>
    </row>
    <row r="3222" spans="1:12" ht="14" customHeight="1" x14ac:dyDescent="0.2">
      <c r="A3222" s="17"/>
      <c r="B3222" s="18"/>
      <c r="C3222" s="19"/>
      <c r="D3222" s="19"/>
      <c r="E3222" s="19"/>
      <c r="F3222" s="19"/>
      <c r="G3222" s="19"/>
      <c r="H3222" s="19"/>
      <c r="I3222" s="19"/>
      <c r="J3222" s="19"/>
      <c r="K3222" s="6"/>
      <c r="L3222" s="19"/>
    </row>
    <row r="3223" spans="1:12" ht="14" customHeight="1" x14ac:dyDescent="0.2">
      <c r="A3223" s="14"/>
      <c r="B3223" s="15"/>
      <c r="C3223" s="16"/>
      <c r="D3223" s="16"/>
      <c r="E3223" s="16"/>
      <c r="F3223" s="16"/>
      <c r="G3223" s="16"/>
      <c r="H3223" s="16"/>
      <c r="I3223" s="16"/>
      <c r="J3223" s="16"/>
      <c r="K3223" s="6"/>
      <c r="L3223" s="16"/>
    </row>
    <row r="3224" spans="1:12" ht="14" customHeight="1" x14ac:dyDescent="0.2">
      <c r="A3224" s="17"/>
      <c r="B3224" s="18"/>
      <c r="C3224" s="19"/>
      <c r="D3224" s="19"/>
      <c r="E3224" s="19"/>
      <c r="F3224" s="19"/>
      <c r="G3224" s="19"/>
      <c r="H3224" s="19"/>
      <c r="I3224" s="19"/>
      <c r="J3224" s="19"/>
      <c r="K3224" s="6"/>
      <c r="L3224" s="19"/>
    </row>
    <row r="3225" spans="1:12" ht="14" customHeight="1" x14ac:dyDescent="0.2">
      <c r="A3225" s="14"/>
      <c r="B3225" s="15"/>
      <c r="C3225" s="16"/>
      <c r="D3225" s="16"/>
      <c r="E3225" s="16"/>
      <c r="F3225" s="16"/>
      <c r="G3225" s="16"/>
      <c r="H3225" s="16"/>
      <c r="I3225" s="16"/>
      <c r="J3225" s="16"/>
      <c r="K3225" s="6"/>
      <c r="L3225" s="16"/>
    </row>
    <row r="3226" spans="1:12" ht="14" customHeight="1" x14ac:dyDescent="0.2">
      <c r="A3226" s="17"/>
      <c r="B3226" s="18"/>
      <c r="C3226" s="19"/>
      <c r="D3226" s="19"/>
      <c r="E3226" s="19"/>
      <c r="F3226" s="19"/>
      <c r="G3226" s="19"/>
      <c r="H3226" s="19"/>
      <c r="I3226" s="19"/>
      <c r="J3226" s="19"/>
      <c r="K3226" s="6"/>
      <c r="L3226" s="19"/>
    </row>
    <row r="3227" spans="1:12" ht="14" customHeight="1" x14ac:dyDescent="0.2">
      <c r="A3227" s="14"/>
      <c r="B3227" s="15"/>
      <c r="C3227" s="16"/>
      <c r="D3227" s="16"/>
      <c r="E3227" s="16"/>
      <c r="F3227" s="16"/>
      <c r="G3227" s="16"/>
      <c r="H3227" s="16"/>
      <c r="I3227" s="16"/>
      <c r="J3227" s="16"/>
      <c r="K3227" s="6"/>
      <c r="L3227" s="16"/>
    </row>
    <row r="3228" spans="1:12" ht="14" customHeight="1" x14ac:dyDescent="0.2">
      <c r="A3228" s="17"/>
      <c r="B3228" s="18"/>
      <c r="C3228" s="19"/>
      <c r="D3228" s="19"/>
      <c r="E3228" s="19"/>
      <c r="F3228" s="19"/>
      <c r="G3228" s="19"/>
      <c r="H3228" s="19"/>
      <c r="I3228" s="19"/>
      <c r="J3228" s="19"/>
      <c r="K3228" s="6"/>
      <c r="L3228" s="19"/>
    </row>
    <row r="3229" spans="1:12" ht="14" customHeight="1" x14ac:dyDescent="0.2">
      <c r="A3229" s="14"/>
      <c r="B3229" s="15"/>
      <c r="C3229" s="16"/>
      <c r="D3229" s="16"/>
      <c r="E3229" s="16"/>
      <c r="F3229" s="16"/>
      <c r="G3229" s="16"/>
      <c r="H3229" s="16"/>
      <c r="I3229" s="16"/>
      <c r="J3229" s="16"/>
      <c r="K3229" s="6"/>
      <c r="L3229" s="16"/>
    </row>
    <row r="3230" spans="1:12" ht="14" customHeight="1" x14ac:dyDescent="0.2">
      <c r="A3230" s="17"/>
      <c r="B3230" s="18"/>
      <c r="C3230" s="19"/>
      <c r="D3230" s="19"/>
      <c r="E3230" s="19"/>
      <c r="F3230" s="19"/>
      <c r="G3230" s="19"/>
      <c r="H3230" s="19"/>
      <c r="I3230" s="19"/>
      <c r="J3230" s="19"/>
      <c r="K3230" s="6"/>
      <c r="L3230" s="19"/>
    </row>
    <row r="3231" spans="1:12" ht="14" customHeight="1" x14ac:dyDescent="0.2">
      <c r="A3231" s="14"/>
      <c r="B3231" s="15"/>
      <c r="C3231" s="16"/>
      <c r="D3231" s="16"/>
      <c r="E3231" s="16"/>
      <c r="F3231" s="16"/>
      <c r="G3231" s="16"/>
      <c r="H3231" s="16"/>
      <c r="I3231" s="16"/>
      <c r="J3231" s="16"/>
      <c r="K3231" s="6"/>
      <c r="L3231" s="16"/>
    </row>
    <row r="3232" spans="1:12" ht="14" customHeight="1" x14ac:dyDescent="0.2">
      <c r="A3232" s="17"/>
      <c r="B3232" s="18"/>
      <c r="C3232" s="19"/>
      <c r="D3232" s="19"/>
      <c r="E3232" s="19"/>
      <c r="F3232" s="19"/>
      <c r="G3232" s="19"/>
      <c r="H3232" s="19"/>
      <c r="I3232" s="19"/>
      <c r="J3232" s="19"/>
      <c r="K3232" s="6"/>
      <c r="L3232" s="19"/>
    </row>
    <row r="3233" spans="1:12" ht="14" customHeight="1" x14ac:dyDescent="0.2">
      <c r="A3233" s="14"/>
      <c r="B3233" s="15"/>
      <c r="C3233" s="16"/>
      <c r="D3233" s="16"/>
      <c r="E3233" s="16"/>
      <c r="F3233" s="16"/>
      <c r="G3233" s="16"/>
      <c r="H3233" s="16"/>
      <c r="I3233" s="16"/>
      <c r="J3233" s="16"/>
      <c r="K3233" s="6"/>
      <c r="L3233" s="16"/>
    </row>
    <row r="3234" spans="1:12" ht="14" customHeight="1" x14ac:dyDescent="0.2">
      <c r="A3234" s="17"/>
      <c r="B3234" s="18"/>
      <c r="C3234" s="19"/>
      <c r="D3234" s="19"/>
      <c r="E3234" s="19"/>
      <c r="F3234" s="19"/>
      <c r="G3234" s="19"/>
      <c r="H3234" s="19"/>
      <c r="I3234" s="19"/>
      <c r="J3234" s="19"/>
      <c r="K3234" s="6"/>
      <c r="L3234" s="19"/>
    </row>
    <row r="3235" spans="1:12" ht="14" customHeight="1" x14ac:dyDescent="0.2">
      <c r="A3235" s="14"/>
      <c r="B3235" s="15"/>
      <c r="C3235" s="16"/>
      <c r="D3235" s="16"/>
      <c r="E3235" s="16"/>
      <c r="F3235" s="16"/>
      <c r="G3235" s="16"/>
      <c r="H3235" s="16"/>
      <c r="I3235" s="16"/>
      <c r="J3235" s="16"/>
      <c r="K3235" s="6"/>
      <c r="L3235" s="16"/>
    </row>
    <row r="3236" spans="1:12" ht="14" customHeight="1" x14ac:dyDescent="0.2">
      <c r="A3236" s="17"/>
      <c r="B3236" s="18"/>
      <c r="C3236" s="19"/>
      <c r="D3236" s="19"/>
      <c r="E3236" s="19"/>
      <c r="F3236" s="19"/>
      <c r="G3236" s="19"/>
      <c r="H3236" s="19"/>
      <c r="I3236" s="19"/>
      <c r="J3236" s="19"/>
      <c r="K3236" s="6"/>
      <c r="L3236" s="19"/>
    </row>
    <row r="3237" spans="1:12" ht="14" customHeight="1" x14ac:dyDescent="0.2">
      <c r="A3237" s="14"/>
      <c r="B3237" s="15"/>
      <c r="C3237" s="16"/>
      <c r="D3237" s="16"/>
      <c r="E3237" s="16"/>
      <c r="F3237" s="16"/>
      <c r="G3237" s="16"/>
      <c r="H3237" s="16"/>
      <c r="I3237" s="16"/>
      <c r="J3237" s="16"/>
      <c r="K3237" s="6"/>
      <c r="L3237" s="16"/>
    </row>
    <row r="3238" spans="1:12" ht="14" customHeight="1" x14ac:dyDescent="0.2">
      <c r="A3238" s="17"/>
      <c r="B3238" s="18"/>
      <c r="C3238" s="19"/>
      <c r="D3238" s="19"/>
      <c r="E3238" s="19"/>
      <c r="F3238" s="19"/>
      <c r="G3238" s="19"/>
      <c r="H3238" s="19"/>
      <c r="I3238" s="19"/>
      <c r="J3238" s="19"/>
      <c r="K3238" s="6"/>
      <c r="L3238" s="19"/>
    </row>
    <row r="3239" spans="1:12" ht="14" customHeight="1" x14ac:dyDescent="0.2">
      <c r="A3239" s="14"/>
      <c r="B3239" s="15"/>
      <c r="C3239" s="16"/>
      <c r="D3239" s="16"/>
      <c r="E3239" s="16"/>
      <c r="F3239" s="16"/>
      <c r="G3239" s="16"/>
      <c r="H3239" s="16"/>
      <c r="I3239" s="16"/>
      <c r="J3239" s="16"/>
      <c r="K3239" s="6"/>
      <c r="L3239" s="16"/>
    </row>
    <row r="3240" spans="1:12" ht="14" customHeight="1" x14ac:dyDescent="0.2">
      <c r="A3240" s="17"/>
      <c r="B3240" s="18"/>
      <c r="C3240" s="19"/>
      <c r="D3240" s="19"/>
      <c r="E3240" s="19"/>
      <c r="F3240" s="19"/>
      <c r="G3240" s="19"/>
      <c r="H3240" s="19"/>
      <c r="I3240" s="19"/>
      <c r="J3240" s="19"/>
      <c r="K3240" s="6"/>
      <c r="L3240" s="19"/>
    </row>
    <row r="3241" spans="1:12" ht="14" customHeight="1" x14ac:dyDescent="0.2">
      <c r="A3241" s="14"/>
      <c r="B3241" s="15"/>
      <c r="C3241" s="16"/>
      <c r="D3241" s="16"/>
      <c r="E3241" s="16"/>
      <c r="F3241" s="16"/>
      <c r="G3241" s="16"/>
      <c r="H3241" s="16"/>
      <c r="I3241" s="16"/>
      <c r="J3241" s="16"/>
      <c r="K3241" s="6"/>
      <c r="L3241" s="16"/>
    </row>
    <row r="3242" spans="1:12" ht="14" customHeight="1" x14ac:dyDescent="0.2">
      <c r="A3242" s="17"/>
      <c r="B3242" s="18"/>
      <c r="C3242" s="19"/>
      <c r="D3242" s="19"/>
      <c r="E3242" s="19"/>
      <c r="F3242" s="19"/>
      <c r="G3242" s="19"/>
      <c r="H3242" s="19"/>
      <c r="I3242" s="19"/>
      <c r="J3242" s="19"/>
      <c r="K3242" s="6"/>
      <c r="L3242" s="19"/>
    </row>
    <row r="3243" spans="1:12" ht="14" customHeight="1" x14ac:dyDescent="0.2">
      <c r="A3243" s="14"/>
      <c r="B3243" s="15"/>
      <c r="C3243" s="16"/>
      <c r="D3243" s="16"/>
      <c r="E3243" s="16"/>
      <c r="F3243" s="16"/>
      <c r="G3243" s="16"/>
      <c r="H3243" s="16"/>
      <c r="I3243" s="16"/>
      <c r="J3243" s="16"/>
      <c r="K3243" s="6"/>
      <c r="L3243" s="16"/>
    </row>
    <row r="3244" spans="1:12" ht="14" customHeight="1" x14ac:dyDescent="0.2">
      <c r="A3244" s="17"/>
      <c r="B3244" s="18"/>
      <c r="C3244" s="19"/>
      <c r="D3244" s="19"/>
      <c r="E3244" s="19"/>
      <c r="F3244" s="19"/>
      <c r="G3244" s="19"/>
      <c r="H3244" s="19"/>
      <c r="I3244" s="19"/>
      <c r="J3244" s="19"/>
      <c r="K3244" s="6"/>
      <c r="L3244" s="19"/>
    </row>
    <row r="3245" spans="1:12" ht="14" customHeight="1" x14ac:dyDescent="0.2">
      <c r="A3245" s="14"/>
      <c r="B3245" s="15"/>
      <c r="C3245" s="16"/>
      <c r="D3245" s="16"/>
      <c r="E3245" s="16"/>
      <c r="F3245" s="16"/>
      <c r="G3245" s="16"/>
      <c r="H3245" s="16"/>
      <c r="I3245" s="16"/>
      <c r="J3245" s="16"/>
      <c r="K3245" s="6"/>
      <c r="L3245" s="16"/>
    </row>
    <row r="3246" spans="1:12" ht="14" customHeight="1" x14ac:dyDescent="0.2">
      <c r="A3246" s="17"/>
      <c r="B3246" s="18"/>
      <c r="C3246" s="19"/>
      <c r="D3246" s="19"/>
      <c r="E3246" s="19"/>
      <c r="F3246" s="19"/>
      <c r="G3246" s="19"/>
      <c r="H3246" s="19"/>
      <c r="I3246" s="19"/>
      <c r="J3246" s="19"/>
      <c r="K3246" s="6"/>
      <c r="L3246" s="19"/>
    </row>
    <row r="3247" spans="1:12" ht="14" customHeight="1" x14ac:dyDescent="0.2">
      <c r="A3247" s="14"/>
      <c r="B3247" s="15"/>
      <c r="C3247" s="16"/>
      <c r="D3247" s="16"/>
      <c r="E3247" s="16"/>
      <c r="F3247" s="16"/>
      <c r="G3247" s="16"/>
      <c r="H3247" s="16"/>
      <c r="I3247" s="16"/>
      <c r="J3247" s="16"/>
      <c r="K3247" s="6"/>
      <c r="L3247" s="16"/>
    </row>
    <row r="3248" spans="1:12" ht="14" customHeight="1" x14ac:dyDescent="0.2">
      <c r="A3248" s="17"/>
      <c r="B3248" s="18"/>
      <c r="C3248" s="19"/>
      <c r="D3248" s="19"/>
      <c r="E3248" s="19"/>
      <c r="F3248" s="19"/>
      <c r="G3248" s="19"/>
      <c r="H3248" s="19"/>
      <c r="I3248" s="19"/>
      <c r="J3248" s="19"/>
      <c r="K3248" s="6"/>
      <c r="L3248" s="19"/>
    </row>
    <row r="3249" spans="1:12" ht="14" customHeight="1" x14ac:dyDescent="0.2">
      <c r="A3249" s="14"/>
      <c r="B3249" s="15"/>
      <c r="C3249" s="16"/>
      <c r="D3249" s="16"/>
      <c r="E3249" s="16"/>
      <c r="F3249" s="16"/>
      <c r="G3249" s="16"/>
      <c r="H3249" s="16"/>
      <c r="I3249" s="16"/>
      <c r="J3249" s="16"/>
      <c r="K3249" s="6"/>
      <c r="L3249" s="16"/>
    </row>
    <row r="3250" spans="1:12" ht="14" customHeight="1" x14ac:dyDescent="0.2">
      <c r="A3250" s="17"/>
      <c r="B3250" s="18"/>
      <c r="C3250" s="19"/>
      <c r="D3250" s="19"/>
      <c r="E3250" s="19"/>
      <c r="F3250" s="19"/>
      <c r="G3250" s="19"/>
      <c r="H3250" s="19"/>
      <c r="I3250" s="19"/>
      <c r="J3250" s="19"/>
      <c r="K3250" s="6"/>
      <c r="L3250" s="19"/>
    </row>
    <row r="3251" spans="1:12" ht="14" customHeight="1" x14ac:dyDescent="0.2">
      <c r="A3251" s="14"/>
      <c r="B3251" s="15"/>
      <c r="C3251" s="16"/>
      <c r="D3251" s="16"/>
      <c r="E3251" s="16"/>
      <c r="F3251" s="16"/>
      <c r="G3251" s="16"/>
      <c r="H3251" s="16"/>
      <c r="I3251" s="16"/>
      <c r="J3251" s="16"/>
      <c r="K3251" s="6"/>
      <c r="L3251" s="16"/>
    </row>
    <row r="3252" spans="1:12" ht="14" customHeight="1" x14ac:dyDescent="0.2">
      <c r="A3252" s="17"/>
      <c r="B3252" s="18"/>
      <c r="C3252" s="19"/>
      <c r="D3252" s="19"/>
      <c r="E3252" s="19"/>
      <c r="F3252" s="19"/>
      <c r="G3252" s="19"/>
      <c r="H3252" s="19"/>
      <c r="I3252" s="19"/>
      <c r="J3252" s="19"/>
      <c r="K3252" s="6"/>
      <c r="L3252" s="19"/>
    </row>
    <row r="3253" spans="1:12" ht="14" customHeight="1" x14ac:dyDescent="0.2">
      <c r="A3253" s="14"/>
      <c r="B3253" s="15"/>
      <c r="C3253" s="16"/>
      <c r="D3253" s="16"/>
      <c r="E3253" s="16"/>
      <c r="F3253" s="16"/>
      <c r="G3253" s="16"/>
      <c r="H3253" s="16"/>
      <c r="I3253" s="16"/>
      <c r="J3253" s="16"/>
      <c r="K3253" s="6"/>
      <c r="L3253" s="16"/>
    </row>
    <row r="3254" spans="1:12" ht="14" customHeight="1" x14ac:dyDescent="0.2">
      <c r="A3254" s="17"/>
      <c r="B3254" s="18"/>
      <c r="C3254" s="19"/>
      <c r="D3254" s="19"/>
      <c r="E3254" s="19"/>
      <c r="F3254" s="19"/>
      <c r="G3254" s="19"/>
      <c r="H3254" s="19"/>
      <c r="I3254" s="19"/>
      <c r="J3254" s="19"/>
      <c r="K3254" s="6"/>
      <c r="L3254" s="19"/>
    </row>
    <row r="3255" spans="1:12" ht="14" customHeight="1" x14ac:dyDescent="0.2">
      <c r="A3255" s="14"/>
      <c r="B3255" s="15"/>
      <c r="C3255" s="16"/>
      <c r="D3255" s="16"/>
      <c r="E3255" s="16"/>
      <c r="F3255" s="16"/>
      <c r="G3255" s="16"/>
      <c r="H3255" s="16"/>
      <c r="I3255" s="16"/>
      <c r="J3255" s="16"/>
      <c r="K3255" s="6"/>
      <c r="L3255" s="16"/>
    </row>
    <row r="3256" spans="1:12" ht="14" customHeight="1" x14ac:dyDescent="0.2">
      <c r="A3256" s="17"/>
      <c r="B3256" s="18"/>
      <c r="C3256" s="19"/>
      <c r="D3256" s="19"/>
      <c r="E3256" s="19"/>
      <c r="F3256" s="19"/>
      <c r="G3256" s="19"/>
      <c r="H3256" s="19"/>
      <c r="I3256" s="19"/>
      <c r="J3256" s="19"/>
      <c r="K3256" s="6"/>
      <c r="L3256" s="19"/>
    </row>
    <row r="3257" spans="1:12" ht="14" customHeight="1" x14ac:dyDescent="0.2">
      <c r="A3257" s="14"/>
      <c r="B3257" s="15"/>
      <c r="C3257" s="16"/>
      <c r="D3257" s="16"/>
      <c r="E3257" s="16"/>
      <c r="F3257" s="16"/>
      <c r="G3257" s="16"/>
      <c r="H3257" s="16"/>
      <c r="I3257" s="16"/>
      <c r="J3257" s="16"/>
      <c r="K3257" s="6"/>
      <c r="L3257" s="16"/>
    </row>
    <row r="3258" spans="1:12" ht="14" customHeight="1" x14ac:dyDescent="0.2">
      <c r="A3258" s="17"/>
      <c r="B3258" s="18"/>
      <c r="C3258" s="19"/>
      <c r="D3258" s="19"/>
      <c r="E3258" s="19"/>
      <c r="F3258" s="19"/>
      <c r="G3258" s="19"/>
      <c r="H3258" s="19"/>
      <c r="I3258" s="19"/>
      <c r="J3258" s="19"/>
      <c r="K3258" s="6"/>
      <c r="L3258" s="19"/>
    </row>
    <row r="3259" spans="1:12" ht="14" customHeight="1" x14ac:dyDescent="0.2">
      <c r="A3259" s="14"/>
      <c r="B3259" s="15"/>
      <c r="C3259" s="16"/>
      <c r="D3259" s="16"/>
      <c r="E3259" s="16"/>
      <c r="F3259" s="16"/>
      <c r="G3259" s="16"/>
      <c r="H3259" s="16"/>
      <c r="I3259" s="16"/>
      <c r="J3259" s="16"/>
      <c r="K3259" s="6"/>
      <c r="L3259" s="16"/>
    </row>
    <row r="3260" spans="1:12" ht="14" customHeight="1" x14ac:dyDescent="0.2">
      <c r="A3260" s="17"/>
      <c r="B3260" s="18"/>
      <c r="C3260" s="19"/>
      <c r="D3260" s="19"/>
      <c r="E3260" s="19"/>
      <c r="F3260" s="19"/>
      <c r="G3260" s="19"/>
      <c r="H3260" s="19"/>
      <c r="I3260" s="19"/>
      <c r="J3260" s="19"/>
      <c r="K3260" s="6"/>
      <c r="L3260" s="19"/>
    </row>
    <row r="3261" spans="1:12" ht="14" customHeight="1" x14ac:dyDescent="0.2">
      <c r="A3261" s="14"/>
      <c r="B3261" s="15"/>
      <c r="C3261" s="16"/>
      <c r="D3261" s="16"/>
      <c r="E3261" s="16"/>
      <c r="F3261" s="16"/>
      <c r="G3261" s="16"/>
      <c r="H3261" s="16"/>
      <c r="I3261" s="16"/>
      <c r="J3261" s="16"/>
      <c r="K3261" s="6"/>
      <c r="L3261" s="16"/>
    </row>
    <row r="3262" spans="1:12" ht="14" customHeight="1" x14ac:dyDescent="0.2">
      <c r="A3262" s="17"/>
      <c r="B3262" s="18"/>
      <c r="C3262" s="19"/>
      <c r="D3262" s="19"/>
      <c r="E3262" s="19"/>
      <c r="F3262" s="19"/>
      <c r="G3262" s="19"/>
      <c r="H3262" s="19"/>
      <c r="I3262" s="19"/>
      <c r="J3262" s="19"/>
      <c r="K3262" s="6"/>
      <c r="L3262" s="19"/>
    </row>
    <row r="3263" spans="1:12" ht="14" customHeight="1" x14ac:dyDescent="0.2">
      <c r="A3263" s="14"/>
      <c r="B3263" s="15"/>
      <c r="C3263" s="16"/>
      <c r="D3263" s="16"/>
      <c r="E3263" s="16"/>
      <c r="F3263" s="16"/>
      <c r="G3263" s="16"/>
      <c r="H3263" s="16"/>
      <c r="I3263" s="16"/>
      <c r="J3263" s="16"/>
      <c r="K3263" s="6"/>
      <c r="L3263" s="16"/>
    </row>
    <row r="3264" spans="1:12" ht="14" customHeight="1" x14ac:dyDescent="0.2">
      <c r="A3264" s="17"/>
      <c r="B3264" s="18"/>
      <c r="C3264" s="19"/>
      <c r="D3264" s="19"/>
      <c r="E3264" s="19"/>
      <c r="F3264" s="19"/>
      <c r="G3264" s="19"/>
      <c r="H3264" s="19"/>
      <c r="I3264" s="19"/>
      <c r="J3264" s="19"/>
      <c r="K3264" s="6"/>
      <c r="L3264" s="19"/>
    </row>
    <row r="3265" spans="1:12" ht="14" customHeight="1" x14ac:dyDescent="0.2">
      <c r="A3265" s="14"/>
      <c r="B3265" s="15"/>
      <c r="C3265" s="16"/>
      <c r="D3265" s="16"/>
      <c r="E3265" s="16"/>
      <c r="F3265" s="16"/>
      <c r="G3265" s="16"/>
      <c r="H3265" s="16"/>
      <c r="I3265" s="16"/>
      <c r="J3265" s="16"/>
      <c r="K3265" s="6"/>
      <c r="L3265" s="16"/>
    </row>
    <row r="3266" spans="1:12" ht="14" customHeight="1" x14ac:dyDescent="0.2">
      <c r="A3266" s="17"/>
      <c r="B3266" s="18"/>
      <c r="C3266" s="19"/>
      <c r="D3266" s="19"/>
      <c r="E3266" s="19"/>
      <c r="F3266" s="19"/>
      <c r="G3266" s="19"/>
      <c r="H3266" s="19"/>
      <c r="I3266" s="19"/>
      <c r="J3266" s="19"/>
      <c r="K3266" s="6"/>
      <c r="L3266" s="19"/>
    </row>
    <row r="3267" spans="1:12" ht="14" customHeight="1" x14ac:dyDescent="0.2">
      <c r="A3267" s="14"/>
      <c r="B3267" s="15"/>
      <c r="C3267" s="16"/>
      <c r="D3267" s="16"/>
      <c r="E3267" s="16"/>
      <c r="F3267" s="16"/>
      <c r="G3267" s="16"/>
      <c r="H3267" s="16"/>
      <c r="I3267" s="16"/>
      <c r="J3267" s="16"/>
      <c r="K3267" s="6"/>
      <c r="L3267" s="16"/>
    </row>
    <row r="3268" spans="1:12" ht="14" customHeight="1" x14ac:dyDescent="0.2">
      <c r="A3268" s="17"/>
      <c r="B3268" s="18"/>
      <c r="C3268" s="19"/>
      <c r="D3268" s="19"/>
      <c r="E3268" s="19"/>
      <c r="F3268" s="19"/>
      <c r="G3268" s="19"/>
      <c r="H3268" s="19"/>
      <c r="I3268" s="19"/>
      <c r="J3268" s="19"/>
      <c r="K3268" s="6"/>
      <c r="L3268" s="19"/>
    </row>
    <row r="3269" spans="1:12" ht="14" customHeight="1" x14ac:dyDescent="0.2">
      <c r="A3269" s="14"/>
      <c r="B3269" s="15"/>
      <c r="C3269" s="16"/>
      <c r="D3269" s="16"/>
      <c r="E3269" s="16"/>
      <c r="F3269" s="16"/>
      <c r="G3269" s="16"/>
      <c r="H3269" s="16"/>
      <c r="I3269" s="16"/>
      <c r="J3269" s="16"/>
      <c r="K3269" s="6"/>
      <c r="L3269" s="16"/>
    </row>
    <row r="3270" spans="1:12" ht="14" customHeight="1" x14ac:dyDescent="0.2">
      <c r="A3270" s="17"/>
      <c r="B3270" s="18"/>
      <c r="C3270" s="19"/>
      <c r="D3270" s="19"/>
      <c r="E3270" s="19"/>
      <c r="F3270" s="19"/>
      <c r="G3270" s="19"/>
      <c r="H3270" s="19"/>
      <c r="I3270" s="19"/>
      <c r="J3270" s="19"/>
      <c r="K3270" s="6"/>
      <c r="L3270" s="19"/>
    </row>
    <row r="3271" spans="1:12" ht="14" customHeight="1" x14ac:dyDescent="0.2">
      <c r="A3271" s="14"/>
      <c r="B3271" s="15"/>
      <c r="C3271" s="16"/>
      <c r="D3271" s="16"/>
      <c r="E3271" s="16"/>
      <c r="F3271" s="16"/>
      <c r="G3271" s="16"/>
      <c r="H3271" s="16"/>
      <c r="I3271" s="16"/>
      <c r="J3271" s="16"/>
      <c r="K3271" s="6"/>
      <c r="L3271" s="16"/>
    </row>
    <row r="3272" spans="1:12" ht="14" customHeight="1" x14ac:dyDescent="0.2">
      <c r="A3272" s="17"/>
      <c r="B3272" s="18"/>
      <c r="C3272" s="19"/>
      <c r="D3272" s="19"/>
      <c r="E3272" s="19"/>
      <c r="F3272" s="19"/>
      <c r="G3272" s="19"/>
      <c r="H3272" s="19"/>
      <c r="I3272" s="19"/>
      <c r="J3272" s="19"/>
      <c r="K3272" s="6"/>
      <c r="L3272" s="19"/>
    </row>
    <row r="3273" spans="1:12" ht="14" customHeight="1" x14ac:dyDescent="0.2">
      <c r="A3273" s="14"/>
      <c r="B3273" s="15"/>
      <c r="C3273" s="16"/>
      <c r="D3273" s="16"/>
      <c r="E3273" s="16"/>
      <c r="F3273" s="16"/>
      <c r="G3273" s="16"/>
      <c r="H3273" s="16"/>
      <c r="I3273" s="16"/>
      <c r="J3273" s="16"/>
      <c r="K3273" s="6"/>
      <c r="L3273" s="16"/>
    </row>
    <row r="3274" spans="1:12" ht="14" customHeight="1" x14ac:dyDescent="0.2">
      <c r="A3274" s="17"/>
      <c r="B3274" s="18"/>
      <c r="C3274" s="19"/>
      <c r="D3274" s="19"/>
      <c r="E3274" s="19"/>
      <c r="F3274" s="19"/>
      <c r="G3274" s="19"/>
      <c r="H3274" s="19"/>
      <c r="I3274" s="19"/>
      <c r="J3274" s="19"/>
      <c r="K3274" s="6"/>
      <c r="L3274" s="19"/>
    </row>
    <row r="3275" spans="1:12" ht="14" customHeight="1" x14ac:dyDescent="0.2">
      <c r="A3275" s="14"/>
      <c r="B3275" s="15"/>
      <c r="C3275" s="16"/>
      <c r="D3275" s="16"/>
      <c r="E3275" s="16"/>
      <c r="F3275" s="16"/>
      <c r="G3275" s="16"/>
      <c r="H3275" s="16"/>
      <c r="I3275" s="16"/>
      <c r="J3275" s="16"/>
      <c r="K3275" s="6"/>
      <c r="L3275" s="16"/>
    </row>
    <row r="3276" spans="1:12" ht="14" customHeight="1" x14ac:dyDescent="0.2">
      <c r="A3276" s="17"/>
      <c r="B3276" s="18"/>
      <c r="C3276" s="19"/>
      <c r="D3276" s="19"/>
      <c r="E3276" s="19"/>
      <c r="F3276" s="19"/>
      <c r="G3276" s="19"/>
      <c r="H3276" s="19"/>
      <c r="I3276" s="19"/>
      <c r="J3276" s="19"/>
      <c r="K3276" s="6"/>
      <c r="L3276" s="19"/>
    </row>
    <row r="3277" spans="1:12" ht="14" customHeight="1" x14ac:dyDescent="0.2">
      <c r="A3277" s="14"/>
      <c r="B3277" s="15"/>
      <c r="C3277" s="16"/>
      <c r="D3277" s="16"/>
      <c r="E3277" s="16"/>
      <c r="F3277" s="16"/>
      <c r="G3277" s="16"/>
      <c r="H3277" s="16"/>
      <c r="I3277" s="16"/>
      <c r="J3277" s="16"/>
      <c r="K3277" s="6"/>
      <c r="L3277" s="16"/>
    </row>
    <row r="3278" spans="1:12" ht="14" customHeight="1" x14ac:dyDescent="0.2">
      <c r="A3278" s="17"/>
      <c r="B3278" s="18"/>
      <c r="C3278" s="19"/>
      <c r="D3278" s="19"/>
      <c r="E3278" s="19"/>
      <c r="F3278" s="19"/>
      <c r="G3278" s="19"/>
      <c r="H3278" s="19"/>
      <c r="I3278" s="19"/>
      <c r="J3278" s="19"/>
      <c r="K3278" s="6"/>
      <c r="L3278" s="19"/>
    </row>
    <row r="3279" spans="1:12" ht="14" customHeight="1" x14ac:dyDescent="0.2">
      <c r="A3279" s="14"/>
      <c r="B3279" s="15"/>
      <c r="C3279" s="16"/>
      <c r="D3279" s="16"/>
      <c r="E3279" s="16"/>
      <c r="F3279" s="16"/>
      <c r="G3279" s="16"/>
      <c r="H3279" s="16"/>
      <c r="I3279" s="16"/>
      <c r="J3279" s="16"/>
      <c r="K3279" s="6"/>
      <c r="L3279" s="16"/>
    </row>
    <row r="3280" spans="1:12" ht="14" customHeight="1" x14ac:dyDescent="0.2">
      <c r="A3280" s="17"/>
      <c r="B3280" s="18"/>
      <c r="C3280" s="19"/>
      <c r="D3280" s="19"/>
      <c r="E3280" s="19"/>
      <c r="F3280" s="19"/>
      <c r="G3280" s="19"/>
      <c r="H3280" s="19"/>
      <c r="I3280" s="19"/>
      <c r="J3280" s="19"/>
      <c r="K3280" s="6"/>
      <c r="L3280" s="19"/>
    </row>
    <row r="3281" spans="1:12" ht="14" customHeight="1" x14ac:dyDescent="0.2">
      <c r="A3281" s="14"/>
      <c r="B3281" s="15"/>
      <c r="C3281" s="16"/>
      <c r="D3281" s="16"/>
      <c r="E3281" s="16"/>
      <c r="F3281" s="16"/>
      <c r="G3281" s="16"/>
      <c r="H3281" s="16"/>
      <c r="I3281" s="16"/>
      <c r="J3281" s="16"/>
      <c r="K3281" s="6"/>
      <c r="L3281" s="16"/>
    </row>
    <row r="3282" spans="1:12" ht="14" customHeight="1" x14ac:dyDescent="0.2">
      <c r="A3282" s="17"/>
      <c r="B3282" s="18"/>
      <c r="C3282" s="19"/>
      <c r="D3282" s="19"/>
      <c r="E3282" s="19"/>
      <c r="F3282" s="19"/>
      <c r="G3282" s="19"/>
      <c r="H3282" s="19"/>
      <c r="I3282" s="19"/>
      <c r="J3282" s="19"/>
      <c r="K3282" s="6"/>
      <c r="L3282" s="19"/>
    </row>
    <row r="3283" spans="1:12" ht="14" customHeight="1" x14ac:dyDescent="0.2">
      <c r="A3283" s="14"/>
      <c r="B3283" s="15"/>
      <c r="C3283" s="16"/>
      <c r="D3283" s="16"/>
      <c r="E3283" s="16"/>
      <c r="F3283" s="16"/>
      <c r="G3283" s="16"/>
      <c r="H3283" s="16"/>
      <c r="I3283" s="16"/>
      <c r="J3283" s="16"/>
      <c r="K3283" s="6"/>
      <c r="L3283" s="16"/>
    </row>
    <row r="3284" spans="1:12" ht="14" customHeight="1" x14ac:dyDescent="0.2">
      <c r="A3284" s="17"/>
      <c r="B3284" s="18"/>
      <c r="C3284" s="19"/>
      <c r="D3284" s="19"/>
      <c r="E3284" s="19"/>
      <c r="F3284" s="19"/>
      <c r="G3284" s="19"/>
      <c r="H3284" s="19"/>
      <c r="I3284" s="19"/>
      <c r="J3284" s="19"/>
      <c r="K3284" s="6"/>
      <c r="L3284" s="19"/>
    </row>
    <row r="3285" spans="1:12" ht="14" customHeight="1" x14ac:dyDescent="0.2">
      <c r="A3285" s="14"/>
      <c r="B3285" s="15"/>
      <c r="C3285" s="16"/>
      <c r="D3285" s="16"/>
      <c r="E3285" s="16"/>
      <c r="F3285" s="16"/>
      <c r="G3285" s="16"/>
      <c r="H3285" s="16"/>
      <c r="I3285" s="16"/>
      <c r="J3285" s="16"/>
      <c r="K3285" s="6"/>
      <c r="L3285" s="16"/>
    </row>
    <row r="3286" spans="1:12" ht="14" customHeight="1" x14ac:dyDescent="0.2">
      <c r="A3286" s="17"/>
      <c r="B3286" s="18"/>
      <c r="C3286" s="19"/>
      <c r="D3286" s="19"/>
      <c r="E3286" s="19"/>
      <c r="F3286" s="19"/>
      <c r="G3286" s="19"/>
      <c r="H3286" s="19"/>
      <c r="I3286" s="19"/>
      <c r="J3286" s="19"/>
      <c r="K3286" s="6"/>
      <c r="L3286" s="19"/>
    </row>
    <row r="3287" spans="1:12" ht="14" customHeight="1" x14ac:dyDescent="0.2">
      <c r="A3287" s="14"/>
      <c r="B3287" s="15"/>
      <c r="C3287" s="16"/>
      <c r="D3287" s="16"/>
      <c r="E3287" s="16"/>
      <c r="F3287" s="16"/>
      <c r="G3287" s="16"/>
      <c r="H3287" s="16"/>
      <c r="I3287" s="16"/>
      <c r="J3287" s="16"/>
      <c r="K3287" s="6"/>
      <c r="L3287" s="16"/>
    </row>
    <row r="3288" spans="1:12" ht="14" customHeight="1" x14ac:dyDescent="0.2">
      <c r="A3288" s="17"/>
      <c r="B3288" s="18"/>
      <c r="C3288" s="19"/>
      <c r="D3288" s="19"/>
      <c r="E3288" s="19"/>
      <c r="F3288" s="19"/>
      <c r="G3288" s="19"/>
      <c r="H3288" s="19"/>
      <c r="I3288" s="19"/>
      <c r="J3288" s="19"/>
      <c r="K3288" s="6"/>
      <c r="L3288" s="19"/>
    </row>
    <row r="3289" spans="1:12" ht="14" customHeight="1" x14ac:dyDescent="0.2">
      <c r="A3289" s="14"/>
      <c r="B3289" s="15"/>
      <c r="C3289" s="16"/>
      <c r="D3289" s="16"/>
      <c r="E3289" s="16"/>
      <c r="F3289" s="16"/>
      <c r="G3289" s="16"/>
      <c r="H3289" s="16"/>
      <c r="I3289" s="16"/>
      <c r="J3289" s="16"/>
      <c r="K3289" s="6"/>
      <c r="L3289" s="16"/>
    </row>
    <row r="3290" spans="1:12" ht="14" customHeight="1" x14ac:dyDescent="0.2">
      <c r="A3290" s="17"/>
      <c r="B3290" s="18"/>
      <c r="C3290" s="19"/>
      <c r="D3290" s="19"/>
      <c r="E3290" s="19"/>
      <c r="F3290" s="19"/>
      <c r="G3290" s="19"/>
      <c r="H3290" s="19"/>
      <c r="I3290" s="19"/>
      <c r="J3290" s="19"/>
      <c r="K3290" s="6"/>
      <c r="L3290" s="19"/>
    </row>
    <row r="3291" spans="1:12" ht="14" customHeight="1" x14ac:dyDescent="0.2">
      <c r="A3291" s="14"/>
      <c r="B3291" s="15"/>
      <c r="C3291" s="16"/>
      <c r="D3291" s="16"/>
      <c r="E3291" s="16"/>
      <c r="F3291" s="16"/>
      <c r="G3291" s="16"/>
      <c r="H3291" s="16"/>
      <c r="I3291" s="16"/>
      <c r="J3291" s="16"/>
      <c r="K3291" s="6"/>
      <c r="L3291" s="16"/>
    </row>
    <row r="3292" spans="1:12" ht="14" customHeight="1" x14ac:dyDescent="0.2">
      <c r="A3292" s="17"/>
      <c r="B3292" s="18"/>
      <c r="C3292" s="19"/>
      <c r="D3292" s="19"/>
      <c r="E3292" s="19"/>
      <c r="F3292" s="19"/>
      <c r="G3292" s="19"/>
      <c r="H3292" s="19"/>
      <c r="I3292" s="19"/>
      <c r="J3292" s="19"/>
      <c r="K3292" s="6"/>
      <c r="L3292" s="19"/>
    </row>
    <row r="3293" spans="1:12" ht="14" customHeight="1" x14ac:dyDescent="0.2">
      <c r="A3293" s="14"/>
      <c r="B3293" s="15"/>
      <c r="C3293" s="16"/>
      <c r="D3293" s="16"/>
      <c r="E3293" s="16"/>
      <c r="F3293" s="16"/>
      <c r="G3293" s="16"/>
      <c r="H3293" s="16"/>
      <c r="I3293" s="16"/>
      <c r="J3293" s="16"/>
      <c r="K3293" s="6"/>
      <c r="L3293" s="16"/>
    </row>
    <row r="3294" spans="1:12" ht="14" customHeight="1" x14ac:dyDescent="0.2">
      <c r="A3294" s="17"/>
      <c r="B3294" s="18"/>
      <c r="C3294" s="19"/>
      <c r="D3294" s="19"/>
      <c r="E3294" s="19"/>
      <c r="F3294" s="19"/>
      <c r="G3294" s="19"/>
      <c r="H3294" s="19"/>
      <c r="I3294" s="19"/>
      <c r="J3294" s="19"/>
      <c r="K3294" s="6"/>
      <c r="L3294" s="19"/>
    </row>
    <row r="3295" spans="1:12" ht="14" customHeight="1" x14ac:dyDescent="0.2">
      <c r="A3295" s="14"/>
      <c r="B3295" s="15"/>
      <c r="C3295" s="16"/>
      <c r="D3295" s="16"/>
      <c r="E3295" s="16"/>
      <c r="F3295" s="16"/>
      <c r="G3295" s="16"/>
      <c r="H3295" s="16"/>
      <c r="I3295" s="16"/>
      <c r="J3295" s="16"/>
      <c r="K3295" s="6"/>
      <c r="L3295" s="16"/>
    </row>
    <row r="3296" spans="1:12" ht="14" customHeight="1" x14ac:dyDescent="0.2">
      <c r="A3296" s="17"/>
      <c r="B3296" s="18"/>
      <c r="C3296" s="19"/>
      <c r="D3296" s="19"/>
      <c r="E3296" s="19"/>
      <c r="F3296" s="19"/>
      <c r="G3296" s="19"/>
      <c r="H3296" s="19"/>
      <c r="I3296" s="19"/>
      <c r="J3296" s="19"/>
      <c r="K3296" s="6"/>
      <c r="L3296" s="19"/>
    </row>
    <row r="3297" spans="1:12" ht="14" customHeight="1" x14ac:dyDescent="0.2">
      <c r="A3297" s="14"/>
      <c r="B3297" s="15"/>
      <c r="C3297" s="16"/>
      <c r="D3297" s="16"/>
      <c r="E3297" s="16"/>
      <c r="F3297" s="16"/>
      <c r="G3297" s="16"/>
      <c r="H3297" s="16"/>
      <c r="I3297" s="16"/>
      <c r="J3297" s="16"/>
      <c r="K3297" s="6"/>
      <c r="L3297" s="16"/>
    </row>
    <row r="3298" spans="1:12" ht="14" customHeight="1" x14ac:dyDescent="0.2">
      <c r="A3298" s="17"/>
      <c r="B3298" s="18"/>
      <c r="C3298" s="19"/>
      <c r="D3298" s="19"/>
      <c r="E3298" s="19"/>
      <c r="F3298" s="19"/>
      <c r="G3298" s="19"/>
      <c r="H3298" s="19"/>
      <c r="I3298" s="19"/>
      <c r="J3298" s="19"/>
      <c r="K3298" s="6"/>
      <c r="L3298" s="19"/>
    </row>
    <row r="3299" spans="1:12" ht="14" customHeight="1" x14ac:dyDescent="0.2">
      <c r="A3299" s="14"/>
      <c r="B3299" s="15"/>
      <c r="C3299" s="16"/>
      <c r="D3299" s="16"/>
      <c r="E3299" s="16"/>
      <c r="F3299" s="16"/>
      <c r="G3299" s="16"/>
      <c r="H3299" s="16"/>
      <c r="I3299" s="16"/>
      <c r="J3299" s="16"/>
      <c r="K3299" s="6"/>
      <c r="L3299" s="16"/>
    </row>
    <row r="3300" spans="1:12" ht="14" customHeight="1" x14ac:dyDescent="0.2">
      <c r="A3300" s="17"/>
      <c r="B3300" s="18"/>
      <c r="C3300" s="19"/>
      <c r="D3300" s="19"/>
      <c r="E3300" s="19"/>
      <c r="F3300" s="19"/>
      <c r="G3300" s="19"/>
      <c r="H3300" s="19"/>
      <c r="I3300" s="19"/>
      <c r="J3300" s="19"/>
      <c r="K3300" s="6"/>
      <c r="L3300" s="19"/>
    </row>
    <row r="3301" spans="1:12" ht="14" customHeight="1" x14ac:dyDescent="0.2">
      <c r="A3301" s="14"/>
      <c r="B3301" s="15"/>
      <c r="C3301" s="16"/>
      <c r="D3301" s="16"/>
      <c r="E3301" s="16"/>
      <c r="F3301" s="16"/>
      <c r="G3301" s="16"/>
      <c r="H3301" s="16"/>
      <c r="I3301" s="16"/>
      <c r="J3301" s="16"/>
      <c r="K3301" s="6"/>
      <c r="L3301" s="16"/>
    </row>
    <row r="3302" spans="1:12" ht="14" customHeight="1" x14ac:dyDescent="0.2">
      <c r="A3302" s="17"/>
      <c r="B3302" s="18"/>
      <c r="C3302" s="19"/>
      <c r="D3302" s="19"/>
      <c r="E3302" s="19"/>
      <c r="F3302" s="19"/>
      <c r="G3302" s="19"/>
      <c r="H3302" s="19"/>
      <c r="I3302" s="19"/>
      <c r="J3302" s="19"/>
      <c r="K3302" s="6"/>
      <c r="L3302" s="19"/>
    </row>
    <row r="3303" spans="1:12" ht="14" customHeight="1" x14ac:dyDescent="0.2">
      <c r="A3303" s="14"/>
      <c r="B3303" s="15"/>
      <c r="C3303" s="16"/>
      <c r="D3303" s="16"/>
      <c r="E3303" s="16"/>
      <c r="F3303" s="16"/>
      <c r="G3303" s="16"/>
      <c r="H3303" s="16"/>
      <c r="I3303" s="16"/>
      <c r="J3303" s="16"/>
      <c r="K3303" s="6"/>
      <c r="L3303" s="16"/>
    </row>
    <row r="3304" spans="1:12" ht="14" customHeight="1" x14ac:dyDescent="0.2">
      <c r="A3304" s="17"/>
      <c r="B3304" s="18"/>
      <c r="C3304" s="19"/>
      <c r="D3304" s="19"/>
      <c r="E3304" s="19"/>
      <c r="F3304" s="19"/>
      <c r="G3304" s="19"/>
      <c r="H3304" s="19"/>
      <c r="I3304" s="19"/>
      <c r="J3304" s="19"/>
      <c r="K3304" s="6"/>
      <c r="L3304" s="19"/>
    </row>
    <row r="3305" spans="1:12" ht="14" customHeight="1" x14ac:dyDescent="0.2">
      <c r="A3305" s="14"/>
      <c r="B3305" s="15"/>
      <c r="C3305" s="16"/>
      <c r="D3305" s="16"/>
      <c r="E3305" s="16"/>
      <c r="F3305" s="16"/>
      <c r="G3305" s="16"/>
      <c r="H3305" s="16"/>
      <c r="I3305" s="16"/>
      <c r="J3305" s="16"/>
      <c r="K3305" s="6"/>
      <c r="L3305" s="16"/>
    </row>
    <row r="3306" spans="1:12" ht="14" customHeight="1" x14ac:dyDescent="0.2">
      <c r="A3306" s="17"/>
      <c r="B3306" s="18"/>
      <c r="C3306" s="19"/>
      <c r="D3306" s="19"/>
      <c r="E3306" s="19"/>
      <c r="F3306" s="19"/>
      <c r="G3306" s="19"/>
      <c r="H3306" s="19"/>
      <c r="I3306" s="19"/>
      <c r="J3306" s="19"/>
      <c r="K3306" s="6"/>
      <c r="L3306" s="19"/>
    </row>
    <row r="3307" spans="1:12" ht="14" customHeight="1" x14ac:dyDescent="0.2">
      <c r="A3307" s="14"/>
      <c r="B3307" s="15"/>
      <c r="C3307" s="16"/>
      <c r="D3307" s="16"/>
      <c r="E3307" s="16"/>
      <c r="F3307" s="16"/>
      <c r="G3307" s="16"/>
      <c r="H3307" s="16"/>
      <c r="I3307" s="16"/>
      <c r="J3307" s="16"/>
      <c r="K3307" s="6"/>
      <c r="L3307" s="16"/>
    </row>
    <row r="3308" spans="1:12" ht="14" customHeight="1" x14ac:dyDescent="0.2">
      <c r="A3308" s="17"/>
      <c r="B3308" s="18"/>
      <c r="C3308" s="19"/>
      <c r="D3308" s="19"/>
      <c r="E3308" s="19"/>
      <c r="F3308" s="19"/>
      <c r="G3308" s="19"/>
      <c r="H3308" s="19"/>
      <c r="I3308" s="19"/>
      <c r="J3308" s="19"/>
      <c r="K3308" s="6"/>
      <c r="L3308" s="19"/>
    </row>
    <row r="3309" spans="1:12" ht="14" customHeight="1" x14ac:dyDescent="0.2">
      <c r="A3309" s="14"/>
      <c r="B3309" s="15"/>
      <c r="C3309" s="16"/>
      <c r="D3309" s="16"/>
      <c r="E3309" s="16"/>
      <c r="F3309" s="16"/>
      <c r="G3309" s="16"/>
      <c r="H3309" s="16"/>
      <c r="I3309" s="16"/>
      <c r="J3309" s="16"/>
      <c r="K3309" s="6"/>
      <c r="L3309" s="16"/>
    </row>
    <row r="3310" spans="1:12" ht="14" customHeight="1" x14ac:dyDescent="0.2">
      <c r="A3310" s="17"/>
      <c r="B3310" s="18"/>
      <c r="C3310" s="19"/>
      <c r="D3310" s="19"/>
      <c r="E3310" s="19"/>
      <c r="F3310" s="19"/>
      <c r="G3310" s="19"/>
      <c r="H3310" s="19"/>
      <c r="I3310" s="19"/>
      <c r="J3310" s="19"/>
      <c r="K3310" s="6"/>
      <c r="L3310" s="19"/>
    </row>
    <row r="3311" spans="1:12" ht="14" customHeight="1" x14ac:dyDescent="0.2">
      <c r="A3311" s="14"/>
      <c r="B3311" s="15"/>
      <c r="C3311" s="16"/>
      <c r="D3311" s="16"/>
      <c r="E3311" s="16"/>
      <c r="F3311" s="16"/>
      <c r="G3311" s="16"/>
      <c r="H3311" s="16"/>
      <c r="I3311" s="16"/>
      <c r="J3311" s="16"/>
      <c r="K3311" s="6"/>
      <c r="L3311" s="16"/>
    </row>
    <row r="3312" spans="1:12" ht="14" customHeight="1" x14ac:dyDescent="0.2">
      <c r="A3312" s="17"/>
      <c r="B3312" s="18"/>
      <c r="C3312" s="19"/>
      <c r="D3312" s="19"/>
      <c r="E3312" s="19"/>
      <c r="F3312" s="19"/>
      <c r="G3312" s="19"/>
      <c r="H3312" s="19"/>
      <c r="I3312" s="19"/>
      <c r="J3312" s="19"/>
      <c r="K3312" s="6"/>
      <c r="L3312" s="19"/>
    </row>
    <row r="3313" spans="1:12" ht="14" customHeight="1" x14ac:dyDescent="0.2">
      <c r="A3313" s="14"/>
      <c r="B3313" s="15"/>
      <c r="C3313" s="16"/>
      <c r="D3313" s="16"/>
      <c r="E3313" s="16"/>
      <c r="F3313" s="16"/>
      <c r="G3313" s="16"/>
      <c r="H3313" s="16"/>
      <c r="I3313" s="16"/>
      <c r="J3313" s="16"/>
      <c r="K3313" s="6"/>
      <c r="L3313" s="16"/>
    </row>
    <row r="3314" spans="1:12" ht="14" customHeight="1" x14ac:dyDescent="0.2">
      <c r="A3314" s="17"/>
      <c r="B3314" s="18"/>
      <c r="C3314" s="19"/>
      <c r="D3314" s="19"/>
      <c r="E3314" s="19"/>
      <c r="F3314" s="19"/>
      <c r="G3314" s="19"/>
      <c r="H3314" s="19"/>
      <c r="I3314" s="19"/>
      <c r="J3314" s="19"/>
      <c r="K3314" s="6"/>
      <c r="L3314" s="19"/>
    </row>
    <row r="3315" spans="1:12" ht="14" customHeight="1" x14ac:dyDescent="0.2">
      <c r="A3315" s="14"/>
      <c r="B3315" s="15"/>
      <c r="C3315" s="16"/>
      <c r="D3315" s="16"/>
      <c r="E3315" s="16"/>
      <c r="F3315" s="16"/>
      <c r="G3315" s="16"/>
      <c r="H3315" s="16"/>
      <c r="I3315" s="16"/>
      <c r="J3315" s="16"/>
      <c r="K3315" s="6"/>
      <c r="L3315" s="16"/>
    </row>
    <row r="3316" spans="1:12" ht="14" customHeight="1" x14ac:dyDescent="0.2">
      <c r="A3316" s="17"/>
      <c r="B3316" s="18"/>
      <c r="C3316" s="19"/>
      <c r="D3316" s="19"/>
      <c r="E3316" s="19"/>
      <c r="F3316" s="19"/>
      <c r="G3316" s="19"/>
      <c r="H3316" s="19"/>
      <c r="I3316" s="19"/>
      <c r="J3316" s="19"/>
      <c r="K3316" s="6"/>
      <c r="L3316" s="19"/>
    </row>
    <row r="3317" spans="1:12" ht="14" customHeight="1" x14ac:dyDescent="0.2">
      <c r="A3317" s="14"/>
      <c r="B3317" s="15"/>
      <c r="C3317" s="16"/>
      <c r="D3317" s="16"/>
      <c r="E3317" s="16"/>
      <c r="F3317" s="16"/>
      <c r="G3317" s="16"/>
      <c r="H3317" s="16"/>
      <c r="I3317" s="16"/>
      <c r="J3317" s="16"/>
      <c r="K3317" s="6"/>
      <c r="L3317" s="16"/>
    </row>
    <row r="3318" spans="1:12" ht="14" customHeight="1" x14ac:dyDescent="0.2">
      <c r="A3318" s="17"/>
      <c r="B3318" s="18"/>
      <c r="C3318" s="19"/>
      <c r="D3318" s="19"/>
      <c r="E3318" s="19"/>
      <c r="F3318" s="19"/>
      <c r="G3318" s="19"/>
      <c r="H3318" s="19"/>
      <c r="I3318" s="19"/>
      <c r="J3318" s="19"/>
      <c r="K3318" s="6"/>
      <c r="L3318" s="19"/>
    </row>
    <row r="3319" spans="1:12" ht="14" customHeight="1" x14ac:dyDescent="0.2">
      <c r="A3319" s="14"/>
      <c r="B3319" s="15"/>
      <c r="C3319" s="16"/>
      <c r="D3319" s="16"/>
      <c r="E3319" s="16"/>
      <c r="F3319" s="16"/>
      <c r="G3319" s="16"/>
      <c r="H3319" s="16"/>
      <c r="I3319" s="16"/>
      <c r="J3319" s="16"/>
      <c r="K3319" s="6"/>
      <c r="L3319" s="16"/>
    </row>
    <row r="3320" spans="1:12" ht="14" customHeight="1" x14ac:dyDescent="0.2">
      <c r="A3320" s="17"/>
      <c r="B3320" s="18"/>
      <c r="C3320" s="19"/>
      <c r="D3320" s="19"/>
      <c r="E3320" s="19"/>
      <c r="F3320" s="19"/>
      <c r="G3320" s="19"/>
      <c r="H3320" s="19"/>
      <c r="I3320" s="19"/>
      <c r="J3320" s="19"/>
      <c r="K3320" s="6"/>
      <c r="L3320" s="19"/>
    </row>
    <row r="3321" spans="1:12" ht="14" customHeight="1" x14ac:dyDescent="0.2">
      <c r="A3321" s="14"/>
      <c r="B3321" s="15"/>
      <c r="C3321" s="16"/>
      <c r="D3321" s="16"/>
      <c r="E3321" s="16"/>
      <c r="F3321" s="16"/>
      <c r="G3321" s="16"/>
      <c r="H3321" s="16"/>
      <c r="I3321" s="16"/>
      <c r="J3321" s="16"/>
      <c r="K3321" s="6"/>
      <c r="L3321" s="16"/>
    </row>
    <row r="3322" spans="1:12" ht="14" customHeight="1" x14ac:dyDescent="0.2">
      <c r="A3322" s="17"/>
      <c r="B3322" s="18"/>
      <c r="C3322" s="19"/>
      <c r="D3322" s="19"/>
      <c r="E3322" s="19"/>
      <c r="F3322" s="19"/>
      <c r="G3322" s="19"/>
      <c r="H3322" s="19"/>
      <c r="I3322" s="19"/>
      <c r="J3322" s="19"/>
      <c r="K3322" s="6"/>
      <c r="L3322" s="19"/>
    </row>
    <row r="3323" spans="1:12" ht="14" customHeight="1" x14ac:dyDescent="0.2">
      <c r="A3323" s="14"/>
      <c r="B3323" s="15"/>
      <c r="C3323" s="16"/>
      <c r="D3323" s="16"/>
      <c r="E3323" s="16"/>
      <c r="F3323" s="16"/>
      <c r="G3323" s="16"/>
      <c r="H3323" s="16"/>
      <c r="I3323" s="16"/>
      <c r="J3323" s="16"/>
      <c r="K3323" s="6"/>
      <c r="L3323" s="16"/>
    </row>
    <row r="3324" spans="1:12" ht="14" customHeight="1" x14ac:dyDescent="0.2">
      <c r="A3324" s="17"/>
      <c r="B3324" s="18"/>
      <c r="C3324" s="19"/>
      <c r="D3324" s="19"/>
      <c r="E3324" s="19"/>
      <c r="F3324" s="19"/>
      <c r="G3324" s="19"/>
      <c r="H3324" s="19"/>
      <c r="I3324" s="19"/>
      <c r="J3324" s="19"/>
      <c r="K3324" s="6"/>
      <c r="L3324" s="19"/>
    </row>
    <row r="3325" spans="1:12" ht="14" customHeight="1" x14ac:dyDescent="0.2">
      <c r="A3325" s="14"/>
      <c r="B3325" s="15"/>
      <c r="C3325" s="16"/>
      <c r="D3325" s="16"/>
      <c r="E3325" s="16"/>
      <c r="F3325" s="16"/>
      <c r="G3325" s="16"/>
      <c r="H3325" s="16"/>
      <c r="I3325" s="16"/>
      <c r="J3325" s="16"/>
      <c r="K3325" s="6"/>
      <c r="L3325" s="16"/>
    </row>
    <row r="3326" spans="1:12" ht="14" customHeight="1" x14ac:dyDescent="0.2">
      <c r="A3326" s="17"/>
      <c r="B3326" s="18"/>
      <c r="C3326" s="19"/>
      <c r="D3326" s="19"/>
      <c r="E3326" s="19"/>
      <c r="F3326" s="19"/>
      <c r="G3326" s="19"/>
      <c r="H3326" s="19"/>
      <c r="I3326" s="19"/>
      <c r="J3326" s="19"/>
      <c r="K3326" s="6"/>
      <c r="L3326" s="19"/>
    </row>
    <row r="3327" spans="1:12" ht="14" customHeight="1" x14ac:dyDescent="0.2">
      <c r="A3327" s="14"/>
      <c r="B3327" s="15"/>
      <c r="C3327" s="16"/>
      <c r="D3327" s="16"/>
      <c r="E3327" s="16"/>
      <c r="F3327" s="16"/>
      <c r="G3327" s="16"/>
      <c r="H3327" s="16"/>
      <c r="I3327" s="16"/>
      <c r="J3327" s="16"/>
      <c r="K3327" s="6"/>
      <c r="L3327" s="16"/>
    </row>
    <row r="3328" spans="1:12" ht="14" customHeight="1" x14ac:dyDescent="0.2">
      <c r="A3328" s="17"/>
      <c r="B3328" s="18"/>
      <c r="C3328" s="19"/>
      <c r="D3328" s="19"/>
      <c r="E3328" s="19"/>
      <c r="F3328" s="19"/>
      <c r="G3328" s="19"/>
      <c r="H3328" s="19"/>
      <c r="I3328" s="19"/>
      <c r="J3328" s="19"/>
      <c r="K3328" s="6"/>
      <c r="L3328" s="19"/>
    </row>
    <row r="3329" spans="1:12" ht="14" customHeight="1" x14ac:dyDescent="0.2">
      <c r="A3329" s="14"/>
      <c r="B3329" s="15"/>
      <c r="C3329" s="16"/>
      <c r="D3329" s="16"/>
      <c r="E3329" s="16"/>
      <c r="F3329" s="16"/>
      <c r="G3329" s="16"/>
      <c r="H3329" s="16"/>
      <c r="I3329" s="16"/>
      <c r="J3329" s="16"/>
      <c r="K3329" s="6"/>
      <c r="L3329" s="16"/>
    </row>
    <row r="3330" spans="1:12" ht="14" customHeight="1" x14ac:dyDescent="0.2">
      <c r="A3330" s="17"/>
      <c r="B3330" s="18"/>
      <c r="C3330" s="19"/>
      <c r="D3330" s="19"/>
      <c r="E3330" s="19"/>
      <c r="F3330" s="19"/>
      <c r="G3330" s="19"/>
      <c r="H3330" s="19"/>
      <c r="I3330" s="19"/>
      <c r="J3330" s="19"/>
      <c r="K3330" s="6"/>
      <c r="L3330" s="19"/>
    </row>
    <row r="3331" spans="1:12" ht="14" customHeight="1" x14ac:dyDescent="0.2">
      <c r="A3331" s="14"/>
      <c r="B3331" s="15"/>
      <c r="C3331" s="16"/>
      <c r="D3331" s="16"/>
      <c r="E3331" s="16"/>
      <c r="F3331" s="16"/>
      <c r="G3331" s="16"/>
      <c r="H3331" s="16"/>
      <c r="I3331" s="16"/>
      <c r="J3331" s="16"/>
      <c r="K3331" s="6"/>
      <c r="L3331" s="16"/>
    </row>
    <row r="3332" spans="1:12" ht="14" customHeight="1" x14ac:dyDescent="0.2">
      <c r="A3332" s="17"/>
      <c r="B3332" s="18"/>
      <c r="C3332" s="19"/>
      <c r="D3332" s="19"/>
      <c r="E3332" s="19"/>
      <c r="F3332" s="19"/>
      <c r="G3332" s="19"/>
      <c r="H3332" s="19"/>
      <c r="I3332" s="19"/>
      <c r="J3332" s="19"/>
      <c r="K3332" s="6"/>
      <c r="L3332" s="19"/>
    </row>
    <row r="3333" spans="1:12" ht="14" customHeight="1" x14ac:dyDescent="0.2">
      <c r="A3333" s="14"/>
      <c r="B3333" s="15"/>
      <c r="C3333" s="16"/>
      <c r="D3333" s="16"/>
      <c r="E3333" s="16"/>
      <c r="F3333" s="16"/>
      <c r="G3333" s="16"/>
      <c r="H3333" s="16"/>
      <c r="I3333" s="16"/>
      <c r="J3333" s="16"/>
      <c r="K3333" s="6"/>
      <c r="L3333" s="16"/>
    </row>
    <row r="3334" spans="1:12" ht="14" customHeight="1" x14ac:dyDescent="0.2">
      <c r="A3334" s="17"/>
      <c r="B3334" s="18"/>
      <c r="C3334" s="19"/>
      <c r="D3334" s="19"/>
      <c r="E3334" s="19"/>
      <c r="F3334" s="19"/>
      <c r="G3334" s="19"/>
      <c r="H3334" s="19"/>
      <c r="I3334" s="19"/>
      <c r="J3334" s="19"/>
      <c r="K3334" s="6"/>
      <c r="L3334" s="19"/>
    </row>
    <row r="3335" spans="1:12" ht="14" customHeight="1" x14ac:dyDescent="0.2">
      <c r="A3335" s="14"/>
      <c r="B3335" s="15"/>
      <c r="C3335" s="16"/>
      <c r="D3335" s="16"/>
      <c r="E3335" s="16"/>
      <c r="F3335" s="16"/>
      <c r="G3335" s="16"/>
      <c r="H3335" s="16"/>
      <c r="I3335" s="16"/>
      <c r="J3335" s="16"/>
      <c r="K3335" s="6"/>
      <c r="L3335" s="16"/>
    </row>
    <row r="3336" spans="1:12" ht="14" customHeight="1" x14ac:dyDescent="0.2">
      <c r="A3336" s="17"/>
      <c r="B3336" s="18"/>
      <c r="C3336" s="19"/>
      <c r="D3336" s="19"/>
      <c r="E3336" s="19"/>
      <c r="F3336" s="19"/>
      <c r="G3336" s="19"/>
      <c r="H3336" s="19"/>
      <c r="I3336" s="19"/>
      <c r="J3336" s="19"/>
      <c r="K3336" s="6"/>
      <c r="L3336" s="19"/>
    </row>
    <row r="3337" spans="1:12" ht="14" customHeight="1" x14ac:dyDescent="0.2">
      <c r="A3337" s="14"/>
      <c r="B3337" s="15"/>
      <c r="C3337" s="16"/>
      <c r="D3337" s="16"/>
      <c r="E3337" s="16"/>
      <c r="F3337" s="16"/>
      <c r="G3337" s="16"/>
      <c r="H3337" s="16"/>
      <c r="I3337" s="16"/>
      <c r="J3337" s="16"/>
      <c r="K3337" s="6"/>
      <c r="L3337" s="16"/>
    </row>
    <row r="3338" spans="1:12" ht="14" customHeight="1" x14ac:dyDescent="0.2">
      <c r="A3338" s="17"/>
      <c r="B3338" s="18"/>
      <c r="C3338" s="19"/>
      <c r="D3338" s="19"/>
      <c r="E3338" s="19"/>
      <c r="F3338" s="19"/>
      <c r="G3338" s="19"/>
      <c r="H3338" s="19"/>
      <c r="I3338" s="19"/>
      <c r="J3338" s="19"/>
      <c r="K3338" s="6"/>
      <c r="L3338" s="19"/>
    </row>
    <row r="3339" spans="1:12" ht="14" customHeight="1" x14ac:dyDescent="0.2">
      <c r="A3339" s="14"/>
      <c r="B3339" s="15"/>
      <c r="C3339" s="16"/>
      <c r="D3339" s="16"/>
      <c r="E3339" s="16"/>
      <c r="F3339" s="16"/>
      <c r="G3339" s="16"/>
      <c r="H3339" s="16"/>
      <c r="I3339" s="16"/>
      <c r="J3339" s="16"/>
      <c r="K3339" s="6"/>
      <c r="L3339" s="16"/>
    </row>
    <row r="3340" spans="1:12" ht="14" customHeight="1" x14ac:dyDescent="0.2">
      <c r="A3340" s="17"/>
      <c r="B3340" s="18"/>
      <c r="C3340" s="19"/>
      <c r="D3340" s="19"/>
      <c r="E3340" s="19"/>
      <c r="F3340" s="19"/>
      <c r="G3340" s="19"/>
      <c r="H3340" s="19"/>
      <c r="I3340" s="19"/>
      <c r="J3340" s="19"/>
      <c r="K3340" s="6"/>
      <c r="L3340" s="19"/>
    </row>
    <row r="3341" spans="1:12" ht="14" customHeight="1" x14ac:dyDescent="0.2">
      <c r="A3341" s="14"/>
      <c r="B3341" s="15"/>
      <c r="C3341" s="16"/>
      <c r="D3341" s="16"/>
      <c r="E3341" s="16"/>
      <c r="F3341" s="16"/>
      <c r="G3341" s="16"/>
      <c r="H3341" s="16"/>
      <c r="I3341" s="16"/>
      <c r="J3341" s="16"/>
      <c r="K3341" s="6"/>
      <c r="L3341" s="16"/>
    </row>
    <row r="3342" spans="1:12" ht="14" customHeight="1" x14ac:dyDescent="0.2">
      <c r="A3342" s="17"/>
      <c r="B3342" s="18"/>
      <c r="C3342" s="19"/>
      <c r="D3342" s="19"/>
      <c r="E3342" s="19"/>
      <c r="F3342" s="19"/>
      <c r="G3342" s="19"/>
      <c r="H3342" s="19"/>
      <c r="I3342" s="19"/>
      <c r="J3342" s="19"/>
      <c r="K3342" s="6"/>
      <c r="L3342" s="19"/>
    </row>
    <row r="3343" spans="1:12" ht="14" customHeight="1" x14ac:dyDescent="0.2">
      <c r="A3343" s="14"/>
      <c r="B3343" s="15"/>
      <c r="C3343" s="16"/>
      <c r="D3343" s="16"/>
      <c r="E3343" s="16"/>
      <c r="F3343" s="16"/>
      <c r="G3343" s="16"/>
      <c r="H3343" s="16"/>
      <c r="I3343" s="16"/>
      <c r="J3343" s="16"/>
      <c r="K3343" s="6"/>
      <c r="L3343" s="16"/>
    </row>
    <row r="3344" spans="1:12" ht="14" customHeight="1" x14ac:dyDescent="0.2">
      <c r="A3344" s="17"/>
      <c r="B3344" s="18"/>
      <c r="C3344" s="19"/>
      <c r="D3344" s="19"/>
      <c r="E3344" s="19"/>
      <c r="F3344" s="19"/>
      <c r="G3344" s="19"/>
      <c r="H3344" s="19"/>
      <c r="I3344" s="19"/>
      <c r="J3344" s="19"/>
      <c r="K3344" s="6"/>
      <c r="L3344" s="19"/>
    </row>
    <row r="3345" spans="1:12" ht="14" customHeight="1" x14ac:dyDescent="0.2">
      <c r="A3345" s="14"/>
      <c r="B3345" s="15"/>
      <c r="C3345" s="16"/>
      <c r="D3345" s="16"/>
      <c r="E3345" s="16"/>
      <c r="F3345" s="16"/>
      <c r="G3345" s="16"/>
      <c r="H3345" s="16"/>
      <c r="I3345" s="16"/>
      <c r="J3345" s="16"/>
      <c r="K3345" s="6"/>
      <c r="L3345" s="16"/>
    </row>
    <row r="3346" spans="1:12" ht="14" customHeight="1" x14ac:dyDescent="0.2">
      <c r="A3346" s="17"/>
      <c r="B3346" s="18"/>
      <c r="C3346" s="19"/>
      <c r="D3346" s="19"/>
      <c r="E3346" s="19"/>
      <c r="F3346" s="19"/>
      <c r="G3346" s="19"/>
      <c r="H3346" s="19"/>
      <c r="I3346" s="19"/>
      <c r="J3346" s="19"/>
      <c r="K3346" s="6"/>
      <c r="L3346" s="19"/>
    </row>
    <row r="3347" spans="1:12" ht="14" customHeight="1" x14ac:dyDescent="0.2">
      <c r="A3347" s="14"/>
      <c r="B3347" s="15"/>
      <c r="C3347" s="16"/>
      <c r="D3347" s="16"/>
      <c r="E3347" s="16"/>
      <c r="F3347" s="16"/>
      <c r="G3347" s="16"/>
      <c r="H3347" s="16"/>
      <c r="I3347" s="16"/>
      <c r="J3347" s="16"/>
      <c r="K3347" s="6"/>
      <c r="L3347" s="16"/>
    </row>
    <row r="3348" spans="1:12" ht="14" customHeight="1" x14ac:dyDescent="0.2">
      <c r="A3348" s="17"/>
      <c r="B3348" s="18"/>
      <c r="C3348" s="19"/>
      <c r="D3348" s="19"/>
      <c r="E3348" s="19"/>
      <c r="F3348" s="19"/>
      <c r="G3348" s="19"/>
      <c r="H3348" s="19"/>
      <c r="I3348" s="19"/>
      <c r="J3348" s="19"/>
      <c r="K3348" s="6"/>
      <c r="L3348" s="19"/>
    </row>
    <row r="3349" spans="1:12" ht="14" customHeight="1" x14ac:dyDescent="0.2">
      <c r="A3349" s="14"/>
      <c r="B3349" s="15"/>
      <c r="C3349" s="16"/>
      <c r="D3349" s="16"/>
      <c r="E3349" s="16"/>
      <c r="F3349" s="16"/>
      <c r="G3349" s="16"/>
      <c r="H3349" s="16"/>
      <c r="I3349" s="16"/>
      <c r="J3349" s="16"/>
      <c r="K3349" s="6"/>
      <c r="L3349" s="16"/>
    </row>
    <row r="3350" spans="1:12" ht="14" customHeight="1" x14ac:dyDescent="0.2">
      <c r="A3350" s="17"/>
      <c r="B3350" s="18"/>
      <c r="C3350" s="19"/>
      <c r="D3350" s="19"/>
      <c r="E3350" s="19"/>
      <c r="F3350" s="19"/>
      <c r="G3350" s="19"/>
      <c r="H3350" s="19"/>
      <c r="I3350" s="19"/>
      <c r="J3350" s="19"/>
      <c r="K3350" s="6"/>
      <c r="L3350" s="19"/>
    </row>
    <row r="3351" spans="1:12" ht="14" customHeight="1" x14ac:dyDescent="0.2">
      <c r="A3351" s="14"/>
      <c r="B3351" s="15"/>
      <c r="C3351" s="16"/>
      <c r="D3351" s="16"/>
      <c r="E3351" s="16"/>
      <c r="F3351" s="16"/>
      <c r="G3351" s="16"/>
      <c r="H3351" s="16"/>
      <c r="I3351" s="16"/>
      <c r="J3351" s="16"/>
      <c r="K3351" s="6"/>
      <c r="L3351" s="16"/>
    </row>
    <row r="3352" spans="1:12" ht="14" customHeight="1" x14ac:dyDescent="0.2">
      <c r="A3352" s="17"/>
      <c r="B3352" s="18"/>
      <c r="C3352" s="19"/>
      <c r="D3352" s="19"/>
      <c r="E3352" s="19"/>
      <c r="F3352" s="19"/>
      <c r="G3352" s="19"/>
      <c r="H3352" s="19"/>
      <c r="I3352" s="19"/>
      <c r="J3352" s="19"/>
      <c r="K3352" s="6"/>
      <c r="L3352" s="19"/>
    </row>
    <row r="3353" spans="1:12" ht="14" customHeight="1" x14ac:dyDescent="0.2">
      <c r="A3353" s="14"/>
      <c r="B3353" s="15"/>
      <c r="C3353" s="16"/>
      <c r="D3353" s="16"/>
      <c r="E3353" s="16"/>
      <c r="F3353" s="16"/>
      <c r="G3353" s="16"/>
      <c r="H3353" s="16"/>
      <c r="I3353" s="16"/>
      <c r="J3353" s="16"/>
      <c r="K3353" s="6"/>
      <c r="L3353" s="16"/>
    </row>
    <row r="3354" spans="1:12" ht="14" customHeight="1" x14ac:dyDescent="0.2">
      <c r="A3354" s="17"/>
      <c r="B3354" s="18"/>
      <c r="C3354" s="19"/>
      <c r="D3354" s="19"/>
      <c r="E3354" s="19"/>
      <c r="F3354" s="19"/>
      <c r="G3354" s="19"/>
      <c r="H3354" s="19"/>
      <c r="I3354" s="19"/>
      <c r="J3354" s="19"/>
      <c r="K3354" s="6"/>
      <c r="L3354" s="19"/>
    </row>
    <row r="3355" spans="1:12" ht="14" customHeight="1" x14ac:dyDescent="0.2">
      <c r="A3355" s="14"/>
      <c r="B3355" s="15"/>
      <c r="C3355" s="16"/>
      <c r="D3355" s="16"/>
      <c r="E3355" s="16"/>
      <c r="F3355" s="16"/>
      <c r="G3355" s="16"/>
      <c r="H3355" s="16"/>
      <c r="I3355" s="16"/>
      <c r="J3355" s="16"/>
      <c r="K3355" s="6"/>
      <c r="L3355" s="16"/>
    </row>
    <row r="3356" spans="1:12" ht="14" customHeight="1" x14ac:dyDescent="0.2">
      <c r="A3356" s="17"/>
      <c r="B3356" s="18"/>
      <c r="C3356" s="19"/>
      <c r="D3356" s="19"/>
      <c r="E3356" s="19"/>
      <c r="F3356" s="19"/>
      <c r="G3356" s="19"/>
      <c r="H3356" s="19"/>
      <c r="I3356" s="19"/>
      <c r="J3356" s="19"/>
      <c r="K3356" s="6"/>
      <c r="L3356" s="19"/>
    </row>
    <row r="3357" spans="1:12" ht="14" customHeight="1" x14ac:dyDescent="0.2">
      <c r="A3357" s="14"/>
      <c r="B3357" s="15"/>
      <c r="C3357" s="16"/>
      <c r="D3357" s="16"/>
      <c r="E3357" s="16"/>
      <c r="F3357" s="16"/>
      <c r="G3357" s="16"/>
      <c r="H3357" s="16"/>
      <c r="I3357" s="16"/>
      <c r="J3357" s="16"/>
      <c r="K3357" s="6"/>
      <c r="L3357" s="16"/>
    </row>
    <row r="3358" spans="1:12" ht="14" customHeight="1" x14ac:dyDescent="0.2">
      <c r="A3358" s="17"/>
      <c r="B3358" s="18"/>
      <c r="C3358" s="19"/>
      <c r="D3358" s="19"/>
      <c r="E3358" s="19"/>
      <c r="F3358" s="19"/>
      <c r="G3358" s="19"/>
      <c r="H3358" s="19"/>
      <c r="I3358" s="19"/>
      <c r="J3358" s="19"/>
      <c r="K3358" s="6"/>
      <c r="L3358" s="19"/>
    </row>
    <row r="3359" spans="1:12" ht="14" customHeight="1" x14ac:dyDescent="0.2">
      <c r="A3359" s="14"/>
      <c r="B3359" s="15"/>
      <c r="C3359" s="16"/>
      <c r="D3359" s="16"/>
      <c r="E3359" s="16"/>
      <c r="F3359" s="16"/>
      <c r="G3359" s="16"/>
      <c r="H3359" s="16"/>
      <c r="I3359" s="16"/>
      <c r="J3359" s="16"/>
      <c r="K3359" s="6"/>
      <c r="L3359" s="16"/>
    </row>
    <row r="3360" spans="1:12" ht="14" customHeight="1" x14ac:dyDescent="0.2">
      <c r="A3360" s="17"/>
      <c r="B3360" s="18"/>
      <c r="C3360" s="19"/>
      <c r="D3360" s="19"/>
      <c r="E3360" s="19"/>
      <c r="F3360" s="19"/>
      <c r="G3360" s="19"/>
      <c r="H3360" s="19"/>
      <c r="I3360" s="19"/>
      <c r="J3360" s="19"/>
      <c r="K3360" s="6"/>
      <c r="L3360" s="19"/>
    </row>
    <row r="3361" spans="1:12" ht="14" customHeight="1" x14ac:dyDescent="0.2">
      <c r="A3361" s="14"/>
      <c r="B3361" s="15"/>
      <c r="C3361" s="16"/>
      <c r="D3361" s="16"/>
      <c r="E3361" s="16"/>
      <c r="F3361" s="16"/>
      <c r="G3361" s="16"/>
      <c r="H3361" s="16"/>
      <c r="I3361" s="16"/>
      <c r="J3361" s="16"/>
      <c r="K3361" s="6"/>
      <c r="L3361" s="16"/>
    </row>
    <row r="3362" spans="1:12" ht="14" customHeight="1" x14ac:dyDescent="0.2">
      <c r="A3362" s="17"/>
      <c r="B3362" s="18"/>
      <c r="C3362" s="19"/>
      <c r="D3362" s="19"/>
      <c r="E3362" s="19"/>
      <c r="F3362" s="19"/>
      <c r="G3362" s="19"/>
      <c r="H3362" s="19"/>
      <c r="I3362" s="19"/>
      <c r="J3362" s="19"/>
      <c r="K3362" s="6"/>
      <c r="L3362" s="19"/>
    </row>
    <row r="3363" spans="1:12" ht="14" customHeight="1" x14ac:dyDescent="0.2">
      <c r="A3363" s="14"/>
      <c r="B3363" s="15"/>
      <c r="C3363" s="16"/>
      <c r="D3363" s="16"/>
      <c r="E3363" s="16"/>
      <c r="F3363" s="16"/>
      <c r="G3363" s="16"/>
      <c r="H3363" s="16"/>
      <c r="I3363" s="16"/>
      <c r="J3363" s="16"/>
      <c r="K3363" s="6"/>
      <c r="L3363" s="16"/>
    </row>
    <row r="3364" spans="1:12" ht="14" customHeight="1" x14ac:dyDescent="0.2">
      <c r="A3364" s="17"/>
      <c r="B3364" s="18"/>
      <c r="C3364" s="19"/>
      <c r="D3364" s="19"/>
      <c r="E3364" s="19"/>
      <c r="F3364" s="19"/>
      <c r="G3364" s="19"/>
      <c r="H3364" s="19"/>
      <c r="I3364" s="19"/>
      <c r="J3364" s="19"/>
      <c r="K3364" s="6"/>
      <c r="L3364" s="19"/>
    </row>
    <row r="3365" spans="1:12" ht="14" customHeight="1" x14ac:dyDescent="0.2">
      <c r="A3365" s="14"/>
      <c r="B3365" s="15"/>
      <c r="C3365" s="16"/>
      <c r="D3365" s="16"/>
      <c r="E3365" s="16"/>
      <c r="F3365" s="16"/>
      <c r="G3365" s="16"/>
      <c r="H3365" s="16"/>
      <c r="I3365" s="16"/>
      <c r="J3365" s="16"/>
      <c r="K3365" s="6"/>
      <c r="L3365" s="16"/>
    </row>
    <row r="3366" spans="1:12" ht="14" customHeight="1" x14ac:dyDescent="0.2">
      <c r="A3366" s="17"/>
      <c r="B3366" s="18"/>
      <c r="C3366" s="19"/>
      <c r="D3366" s="19"/>
      <c r="E3366" s="19"/>
      <c r="F3366" s="19"/>
      <c r="G3366" s="19"/>
      <c r="H3366" s="19"/>
      <c r="I3366" s="19"/>
      <c r="J3366" s="19"/>
      <c r="K3366" s="6"/>
      <c r="L3366" s="19"/>
    </row>
    <row r="3367" spans="1:12" ht="14" customHeight="1" x14ac:dyDescent="0.2">
      <c r="A3367" s="14"/>
      <c r="B3367" s="15"/>
      <c r="C3367" s="16"/>
      <c r="D3367" s="16"/>
      <c r="E3367" s="16"/>
      <c r="F3367" s="16"/>
      <c r="G3367" s="16"/>
      <c r="H3367" s="16"/>
      <c r="I3367" s="16"/>
      <c r="J3367" s="16"/>
      <c r="K3367" s="6"/>
      <c r="L3367" s="16"/>
    </row>
    <row r="3368" spans="1:12" ht="14" customHeight="1" x14ac:dyDescent="0.2">
      <c r="A3368" s="17"/>
      <c r="B3368" s="18"/>
      <c r="C3368" s="19"/>
      <c r="D3368" s="19"/>
      <c r="E3368" s="19"/>
      <c r="F3368" s="19"/>
      <c r="G3368" s="19"/>
      <c r="H3368" s="19"/>
      <c r="I3368" s="19"/>
      <c r="J3368" s="19"/>
      <c r="K3368" s="6"/>
      <c r="L3368" s="19"/>
    </row>
    <row r="3369" spans="1:12" ht="14" customHeight="1" x14ac:dyDescent="0.2">
      <c r="A3369" s="14"/>
      <c r="B3369" s="15"/>
      <c r="C3369" s="16"/>
      <c r="D3369" s="16"/>
      <c r="E3369" s="16"/>
      <c r="F3369" s="16"/>
      <c r="G3369" s="16"/>
      <c r="H3369" s="16"/>
      <c r="I3369" s="16"/>
      <c r="J3369" s="16"/>
      <c r="K3369" s="6"/>
      <c r="L3369" s="16"/>
    </row>
    <row r="3370" spans="1:12" ht="14" customHeight="1" x14ac:dyDescent="0.2">
      <c r="A3370" s="17"/>
      <c r="B3370" s="18"/>
      <c r="C3370" s="19"/>
      <c r="D3370" s="19"/>
      <c r="E3370" s="19"/>
      <c r="F3370" s="19"/>
      <c r="G3370" s="19"/>
      <c r="H3370" s="19"/>
      <c r="I3370" s="19"/>
      <c r="J3370" s="19"/>
      <c r="K3370" s="6"/>
      <c r="L3370" s="19"/>
    </row>
    <row r="3371" spans="1:12" ht="14" customHeight="1" x14ac:dyDescent="0.2">
      <c r="A3371" s="14"/>
      <c r="B3371" s="15"/>
      <c r="C3371" s="16"/>
      <c r="D3371" s="16"/>
      <c r="E3371" s="16"/>
      <c r="F3371" s="16"/>
      <c r="G3371" s="16"/>
      <c r="H3371" s="16"/>
      <c r="I3371" s="16"/>
      <c r="J3371" s="16"/>
      <c r="K3371" s="6"/>
      <c r="L3371" s="16"/>
    </row>
    <row r="3372" spans="1:12" ht="14" customHeight="1" x14ac:dyDescent="0.2">
      <c r="A3372" s="17"/>
      <c r="B3372" s="18"/>
      <c r="C3372" s="19"/>
      <c r="D3372" s="19"/>
      <c r="E3372" s="19"/>
      <c r="F3372" s="19"/>
      <c r="G3372" s="19"/>
      <c r="H3372" s="19"/>
      <c r="I3372" s="19"/>
      <c r="J3372" s="19"/>
      <c r="K3372" s="6"/>
      <c r="L3372" s="19"/>
    </row>
    <row r="3373" spans="1:12" ht="14" customHeight="1" x14ac:dyDescent="0.2">
      <c r="A3373" s="14"/>
      <c r="B3373" s="15"/>
      <c r="C3373" s="16"/>
      <c r="D3373" s="16"/>
      <c r="E3373" s="16"/>
      <c r="F3373" s="16"/>
      <c r="G3373" s="16"/>
      <c r="H3373" s="16"/>
      <c r="I3373" s="16"/>
      <c r="J3373" s="16"/>
      <c r="K3373" s="6"/>
      <c r="L3373" s="16"/>
    </row>
    <row r="3374" spans="1:12" ht="14" customHeight="1" x14ac:dyDescent="0.2">
      <c r="A3374" s="17"/>
      <c r="B3374" s="18"/>
      <c r="C3374" s="19"/>
      <c r="D3374" s="19"/>
      <c r="E3374" s="19"/>
      <c r="F3374" s="19"/>
      <c r="G3374" s="19"/>
      <c r="H3374" s="19"/>
      <c r="I3374" s="19"/>
      <c r="J3374" s="19"/>
      <c r="K3374" s="6"/>
      <c r="L3374" s="19"/>
    </row>
    <row r="3375" spans="1:12" ht="14" customHeight="1" x14ac:dyDescent="0.2">
      <c r="A3375" s="14"/>
      <c r="B3375" s="15"/>
      <c r="C3375" s="16"/>
      <c r="D3375" s="16"/>
      <c r="E3375" s="16"/>
      <c r="F3375" s="16"/>
      <c r="G3375" s="16"/>
      <c r="H3375" s="16"/>
      <c r="I3375" s="16"/>
      <c r="J3375" s="16"/>
      <c r="K3375" s="6"/>
      <c r="L3375" s="16"/>
    </row>
    <row r="3376" spans="1:12" ht="14" customHeight="1" x14ac:dyDescent="0.2">
      <c r="A3376" s="17"/>
      <c r="B3376" s="18"/>
      <c r="C3376" s="19"/>
      <c r="D3376" s="19"/>
      <c r="E3376" s="19"/>
      <c r="F3376" s="19"/>
      <c r="G3376" s="19"/>
      <c r="H3376" s="19"/>
      <c r="I3376" s="19"/>
      <c r="J3376" s="19"/>
      <c r="K3376" s="6"/>
      <c r="L3376" s="19"/>
    </row>
    <row r="3377" spans="1:12" ht="14" customHeight="1" x14ac:dyDescent="0.2">
      <c r="A3377" s="14"/>
      <c r="B3377" s="15"/>
      <c r="C3377" s="16"/>
      <c r="D3377" s="16"/>
      <c r="E3377" s="16"/>
      <c r="F3377" s="16"/>
      <c r="G3377" s="16"/>
      <c r="H3377" s="16"/>
      <c r="I3377" s="16"/>
      <c r="J3377" s="16"/>
      <c r="K3377" s="6"/>
      <c r="L3377" s="16"/>
    </row>
    <row r="3378" spans="1:12" ht="14" customHeight="1" x14ac:dyDescent="0.2">
      <c r="A3378" s="17"/>
      <c r="B3378" s="18"/>
      <c r="C3378" s="19"/>
      <c r="D3378" s="19"/>
      <c r="E3378" s="19"/>
      <c r="F3378" s="19"/>
      <c r="G3378" s="19"/>
      <c r="H3378" s="19"/>
      <c r="I3378" s="19"/>
      <c r="J3378" s="19"/>
      <c r="K3378" s="6"/>
      <c r="L3378" s="19"/>
    </row>
    <row r="3379" spans="1:12" ht="14" customHeight="1" x14ac:dyDescent="0.2">
      <c r="A3379" s="14"/>
      <c r="B3379" s="15"/>
      <c r="C3379" s="16"/>
      <c r="D3379" s="16"/>
      <c r="E3379" s="16"/>
      <c r="F3379" s="16"/>
      <c r="G3379" s="16"/>
      <c r="H3379" s="16"/>
      <c r="I3379" s="16"/>
      <c r="J3379" s="16"/>
      <c r="K3379" s="6"/>
      <c r="L3379" s="16"/>
    </row>
    <row r="3380" spans="1:12" ht="14" customHeight="1" x14ac:dyDescent="0.2">
      <c r="A3380" s="17"/>
      <c r="B3380" s="18"/>
      <c r="C3380" s="19"/>
      <c r="D3380" s="19"/>
      <c r="E3380" s="19"/>
      <c r="F3380" s="19"/>
      <c r="G3380" s="19"/>
      <c r="H3380" s="19"/>
      <c r="I3380" s="19"/>
      <c r="J3380" s="19"/>
      <c r="K3380" s="6"/>
      <c r="L3380" s="19"/>
    </row>
    <row r="3381" spans="1:12" ht="14" customHeight="1" x14ac:dyDescent="0.2">
      <c r="A3381" s="14"/>
      <c r="B3381" s="15"/>
      <c r="C3381" s="16"/>
      <c r="D3381" s="16"/>
      <c r="E3381" s="16"/>
      <c r="F3381" s="16"/>
      <c r="G3381" s="16"/>
      <c r="H3381" s="16"/>
      <c r="I3381" s="16"/>
      <c r="J3381" s="16"/>
      <c r="K3381" s="6"/>
      <c r="L3381" s="16"/>
    </row>
    <row r="3382" spans="1:12" ht="14" customHeight="1" x14ac:dyDescent="0.2">
      <c r="A3382" s="17"/>
      <c r="B3382" s="18"/>
      <c r="C3382" s="19"/>
      <c r="D3382" s="19"/>
      <c r="E3382" s="19"/>
      <c r="F3382" s="19"/>
      <c r="G3382" s="19"/>
      <c r="H3382" s="19"/>
      <c r="I3382" s="19"/>
      <c r="J3382" s="19"/>
      <c r="K3382" s="6"/>
      <c r="L3382" s="19"/>
    </row>
    <row r="3383" spans="1:12" ht="14" customHeight="1" x14ac:dyDescent="0.2">
      <c r="A3383" s="14"/>
      <c r="B3383" s="15"/>
      <c r="C3383" s="16"/>
      <c r="D3383" s="16"/>
      <c r="E3383" s="16"/>
      <c r="F3383" s="16"/>
      <c r="G3383" s="16"/>
      <c r="H3383" s="16"/>
      <c r="I3383" s="16"/>
      <c r="J3383" s="16"/>
      <c r="K3383" s="6"/>
      <c r="L3383" s="16"/>
    </row>
    <row r="3384" spans="1:12" ht="14" customHeight="1" x14ac:dyDescent="0.2">
      <c r="A3384" s="17"/>
      <c r="B3384" s="18"/>
      <c r="C3384" s="19"/>
      <c r="D3384" s="19"/>
      <c r="E3384" s="19"/>
      <c r="F3384" s="19"/>
      <c r="G3384" s="19"/>
      <c r="H3384" s="19"/>
      <c r="I3384" s="19"/>
      <c r="J3384" s="19"/>
      <c r="K3384" s="6"/>
      <c r="L3384" s="19"/>
    </row>
    <row r="3385" spans="1:12" ht="14" customHeight="1" x14ac:dyDescent="0.2">
      <c r="A3385" s="14"/>
      <c r="B3385" s="15"/>
      <c r="C3385" s="16"/>
      <c r="D3385" s="16"/>
      <c r="E3385" s="16"/>
      <c r="F3385" s="16"/>
      <c r="G3385" s="16"/>
      <c r="H3385" s="16"/>
      <c r="I3385" s="16"/>
      <c r="J3385" s="16"/>
      <c r="K3385" s="6"/>
      <c r="L3385" s="16"/>
    </row>
    <row r="3386" spans="1:12" ht="14" customHeight="1" x14ac:dyDescent="0.2">
      <c r="A3386" s="17"/>
      <c r="B3386" s="18"/>
      <c r="C3386" s="19"/>
      <c r="D3386" s="19"/>
      <c r="E3386" s="19"/>
      <c r="F3386" s="19"/>
      <c r="G3386" s="19"/>
      <c r="H3386" s="19"/>
      <c r="I3386" s="19"/>
      <c r="J3386" s="19"/>
      <c r="K3386" s="6"/>
      <c r="L3386" s="19"/>
    </row>
    <row r="3387" spans="1:12" ht="14" customHeight="1" x14ac:dyDescent="0.2">
      <c r="A3387" s="14"/>
      <c r="B3387" s="15"/>
      <c r="C3387" s="16"/>
      <c r="D3387" s="16"/>
      <c r="E3387" s="16"/>
      <c r="F3387" s="16"/>
      <c r="G3387" s="16"/>
      <c r="H3387" s="16"/>
      <c r="I3387" s="16"/>
      <c r="J3387" s="16"/>
      <c r="K3387" s="6"/>
      <c r="L3387" s="16"/>
    </row>
    <row r="3388" spans="1:12" ht="14" customHeight="1" x14ac:dyDescent="0.2">
      <c r="A3388" s="17"/>
      <c r="B3388" s="18"/>
      <c r="C3388" s="19"/>
      <c r="D3388" s="19"/>
      <c r="E3388" s="19"/>
      <c r="F3388" s="19"/>
      <c r="G3388" s="19"/>
      <c r="H3388" s="19"/>
      <c r="I3388" s="19"/>
      <c r="J3388" s="19"/>
      <c r="K3388" s="6"/>
      <c r="L3388" s="19"/>
    </row>
    <row r="3389" spans="1:12" ht="14" customHeight="1" x14ac:dyDescent="0.2">
      <c r="A3389" s="14"/>
      <c r="B3389" s="15"/>
      <c r="C3389" s="16"/>
      <c r="D3389" s="16"/>
      <c r="E3389" s="16"/>
      <c r="F3389" s="16"/>
      <c r="G3389" s="16"/>
      <c r="H3389" s="16"/>
      <c r="I3389" s="16"/>
      <c r="J3389" s="16"/>
      <c r="K3389" s="6"/>
      <c r="L3389" s="16"/>
    </row>
    <row r="3390" spans="1:12" ht="14" customHeight="1" x14ac:dyDescent="0.2">
      <c r="A3390" s="17"/>
      <c r="B3390" s="18"/>
      <c r="C3390" s="19"/>
      <c r="D3390" s="19"/>
      <c r="E3390" s="19"/>
      <c r="F3390" s="19"/>
      <c r="G3390" s="19"/>
      <c r="H3390" s="19"/>
      <c r="I3390" s="19"/>
      <c r="J3390" s="19"/>
      <c r="K3390" s="6"/>
      <c r="L3390" s="19"/>
    </row>
    <row r="3391" spans="1:12" ht="14" customHeight="1" x14ac:dyDescent="0.2">
      <c r="A3391" s="14"/>
      <c r="B3391" s="15"/>
      <c r="C3391" s="16"/>
      <c r="D3391" s="16"/>
      <c r="E3391" s="16"/>
      <c r="F3391" s="16"/>
      <c r="G3391" s="16"/>
      <c r="H3391" s="16"/>
      <c r="I3391" s="16"/>
      <c r="J3391" s="16"/>
      <c r="K3391" s="6"/>
      <c r="L3391" s="16"/>
    </row>
    <row r="3392" spans="1:12" ht="14" customHeight="1" x14ac:dyDescent="0.2">
      <c r="A3392" s="17"/>
      <c r="B3392" s="18"/>
      <c r="C3392" s="19"/>
      <c r="D3392" s="19"/>
      <c r="E3392" s="19"/>
      <c r="F3392" s="19"/>
      <c r="G3392" s="19"/>
      <c r="H3392" s="19"/>
      <c r="I3392" s="19"/>
      <c r="J3392" s="19"/>
      <c r="K3392" s="6"/>
      <c r="L3392" s="19"/>
    </row>
    <row r="3393" spans="1:12" ht="14" customHeight="1" x14ac:dyDescent="0.2">
      <c r="A3393" s="14"/>
      <c r="B3393" s="15"/>
      <c r="C3393" s="16"/>
      <c r="D3393" s="16"/>
      <c r="E3393" s="16"/>
      <c r="F3393" s="16"/>
      <c r="G3393" s="16"/>
      <c r="H3393" s="16"/>
      <c r="I3393" s="16"/>
      <c r="J3393" s="16"/>
      <c r="K3393" s="6"/>
      <c r="L3393" s="16"/>
    </row>
    <row r="3394" spans="1:12" ht="14" customHeight="1" x14ac:dyDescent="0.2">
      <c r="A3394" s="17"/>
      <c r="B3394" s="18"/>
      <c r="C3394" s="19"/>
      <c r="D3394" s="19"/>
      <c r="E3394" s="19"/>
      <c r="F3394" s="19"/>
      <c r="G3394" s="19"/>
      <c r="H3394" s="19"/>
      <c r="I3394" s="19"/>
      <c r="J3394" s="19"/>
      <c r="K3394" s="6"/>
      <c r="L3394" s="19"/>
    </row>
    <row r="3395" spans="1:12" ht="14" customHeight="1" x14ac:dyDescent="0.2">
      <c r="A3395" s="14"/>
      <c r="B3395" s="15"/>
      <c r="C3395" s="16"/>
      <c r="D3395" s="16"/>
      <c r="E3395" s="16"/>
      <c r="F3395" s="16"/>
      <c r="G3395" s="16"/>
      <c r="H3395" s="16"/>
      <c r="I3395" s="16"/>
      <c r="J3395" s="16"/>
      <c r="K3395" s="6"/>
      <c r="L3395" s="16"/>
    </row>
    <row r="3396" spans="1:12" ht="14" customHeight="1" x14ac:dyDescent="0.2">
      <c r="A3396" s="17"/>
      <c r="B3396" s="18"/>
      <c r="C3396" s="19"/>
      <c r="D3396" s="19"/>
      <c r="E3396" s="19"/>
      <c r="F3396" s="19"/>
      <c r="G3396" s="19"/>
      <c r="H3396" s="19"/>
      <c r="I3396" s="19"/>
      <c r="J3396" s="19"/>
      <c r="K3396" s="6"/>
      <c r="L3396" s="19"/>
    </row>
    <row r="3397" spans="1:12" ht="14" customHeight="1" x14ac:dyDescent="0.2">
      <c r="A3397" s="14"/>
      <c r="B3397" s="15"/>
      <c r="C3397" s="16"/>
      <c r="D3397" s="16"/>
      <c r="E3397" s="16"/>
      <c r="F3397" s="16"/>
      <c r="G3397" s="16"/>
      <c r="H3397" s="16"/>
      <c r="I3397" s="16"/>
      <c r="J3397" s="16"/>
      <c r="K3397" s="6"/>
      <c r="L3397" s="16"/>
    </row>
    <row r="3398" spans="1:12" ht="14" customHeight="1" x14ac:dyDescent="0.2">
      <c r="A3398" s="17"/>
      <c r="B3398" s="18"/>
      <c r="C3398" s="19"/>
      <c r="D3398" s="19"/>
      <c r="E3398" s="19"/>
      <c r="F3398" s="19"/>
      <c r="G3398" s="19"/>
      <c r="H3398" s="19"/>
      <c r="I3398" s="19"/>
      <c r="J3398" s="19"/>
      <c r="K3398" s="6"/>
      <c r="L3398" s="19"/>
    </row>
    <row r="3399" spans="1:12" ht="14" customHeight="1" x14ac:dyDescent="0.2">
      <c r="A3399" s="14"/>
      <c r="B3399" s="15"/>
      <c r="C3399" s="16"/>
      <c r="D3399" s="16"/>
      <c r="E3399" s="16"/>
      <c r="F3399" s="16"/>
      <c r="G3399" s="16"/>
      <c r="H3399" s="16"/>
      <c r="I3399" s="16"/>
      <c r="J3399" s="16"/>
      <c r="K3399" s="6"/>
      <c r="L3399" s="16"/>
    </row>
    <row r="3400" spans="1:12" ht="14" customHeight="1" x14ac:dyDescent="0.2">
      <c r="A3400" s="17"/>
      <c r="B3400" s="18"/>
      <c r="C3400" s="19"/>
      <c r="D3400" s="19"/>
      <c r="E3400" s="19"/>
      <c r="F3400" s="19"/>
      <c r="G3400" s="19"/>
      <c r="H3400" s="19"/>
      <c r="I3400" s="19"/>
      <c r="J3400" s="19"/>
      <c r="K3400" s="6"/>
      <c r="L3400" s="19"/>
    </row>
    <row r="3401" spans="1:12" ht="14" customHeight="1" x14ac:dyDescent="0.2">
      <c r="A3401" s="14"/>
      <c r="B3401" s="15"/>
      <c r="C3401" s="16"/>
      <c r="D3401" s="16"/>
      <c r="E3401" s="16"/>
      <c r="F3401" s="16"/>
      <c r="G3401" s="16"/>
      <c r="H3401" s="16"/>
      <c r="I3401" s="16"/>
      <c r="J3401" s="16"/>
      <c r="K3401" s="6"/>
      <c r="L3401" s="16"/>
    </row>
    <row r="3402" spans="1:12" ht="14" customHeight="1" x14ac:dyDescent="0.2">
      <c r="A3402" s="17"/>
      <c r="B3402" s="18"/>
      <c r="C3402" s="19"/>
      <c r="D3402" s="19"/>
      <c r="E3402" s="19"/>
      <c r="F3402" s="19"/>
      <c r="G3402" s="19"/>
      <c r="H3402" s="19"/>
      <c r="I3402" s="19"/>
      <c r="J3402" s="19"/>
      <c r="K3402" s="6"/>
      <c r="L3402" s="19"/>
    </row>
    <row r="3403" spans="1:12" ht="14" customHeight="1" x14ac:dyDescent="0.2">
      <c r="A3403" s="14"/>
      <c r="B3403" s="15"/>
      <c r="C3403" s="16"/>
      <c r="D3403" s="16"/>
      <c r="E3403" s="16"/>
      <c r="F3403" s="16"/>
      <c r="G3403" s="16"/>
      <c r="H3403" s="16"/>
      <c r="I3403" s="16"/>
      <c r="J3403" s="16"/>
      <c r="K3403" s="6"/>
      <c r="L3403" s="16"/>
    </row>
    <row r="3404" spans="1:12" ht="14" customHeight="1" x14ac:dyDescent="0.2">
      <c r="A3404" s="17"/>
      <c r="B3404" s="18"/>
      <c r="C3404" s="19"/>
      <c r="D3404" s="19"/>
      <c r="E3404" s="19"/>
      <c r="F3404" s="19"/>
      <c r="G3404" s="19"/>
      <c r="H3404" s="19"/>
      <c r="I3404" s="19"/>
      <c r="J3404" s="19"/>
      <c r="K3404" s="6"/>
      <c r="L3404" s="19"/>
    </row>
    <row r="3405" spans="1:12" ht="14" customHeight="1" x14ac:dyDescent="0.2">
      <c r="A3405" s="14"/>
      <c r="B3405" s="15"/>
      <c r="C3405" s="16"/>
      <c r="D3405" s="16"/>
      <c r="E3405" s="16"/>
      <c r="F3405" s="16"/>
      <c r="G3405" s="16"/>
      <c r="H3405" s="16"/>
      <c r="I3405" s="16"/>
      <c r="J3405" s="16"/>
      <c r="K3405" s="6"/>
      <c r="L3405" s="16"/>
    </row>
    <row r="3406" spans="1:12" ht="14" customHeight="1" x14ac:dyDescent="0.2">
      <c r="A3406" s="17"/>
      <c r="B3406" s="18"/>
      <c r="C3406" s="19"/>
      <c r="D3406" s="19"/>
      <c r="E3406" s="19"/>
      <c r="F3406" s="19"/>
      <c r="G3406" s="19"/>
      <c r="H3406" s="19"/>
      <c r="I3406" s="19"/>
      <c r="J3406" s="19"/>
      <c r="K3406" s="6"/>
      <c r="L3406" s="19"/>
    </row>
    <row r="3407" spans="1:12" ht="14" customHeight="1" x14ac:dyDescent="0.2">
      <c r="A3407" s="14"/>
      <c r="B3407" s="15"/>
      <c r="C3407" s="16"/>
      <c r="D3407" s="16"/>
      <c r="E3407" s="16"/>
      <c r="F3407" s="16"/>
      <c r="G3407" s="16"/>
      <c r="H3407" s="16"/>
      <c r="I3407" s="16"/>
      <c r="J3407" s="16"/>
      <c r="K3407" s="6"/>
      <c r="L3407" s="16"/>
    </row>
    <row r="3408" spans="1:12" ht="14" customHeight="1" x14ac:dyDescent="0.2">
      <c r="A3408" s="17"/>
      <c r="B3408" s="18"/>
      <c r="C3408" s="19"/>
      <c r="D3408" s="19"/>
      <c r="E3408" s="19"/>
      <c r="F3408" s="19"/>
      <c r="G3408" s="19"/>
      <c r="H3408" s="19"/>
      <c r="I3408" s="19"/>
      <c r="J3408" s="19"/>
      <c r="K3408" s="6"/>
      <c r="L3408" s="19"/>
    </row>
    <row r="3409" spans="1:12" ht="14" customHeight="1" x14ac:dyDescent="0.2">
      <c r="A3409" s="14"/>
      <c r="B3409" s="15"/>
      <c r="C3409" s="16"/>
      <c r="D3409" s="16"/>
      <c r="E3409" s="16"/>
      <c r="F3409" s="16"/>
      <c r="G3409" s="16"/>
      <c r="H3409" s="16"/>
      <c r="I3409" s="16"/>
      <c r="J3409" s="16"/>
      <c r="K3409" s="6"/>
      <c r="L3409" s="16"/>
    </row>
    <row r="3410" spans="1:12" ht="14" customHeight="1" x14ac:dyDescent="0.2">
      <c r="A3410" s="17"/>
      <c r="B3410" s="18"/>
      <c r="C3410" s="19"/>
      <c r="D3410" s="19"/>
      <c r="E3410" s="19"/>
      <c r="F3410" s="19"/>
      <c r="G3410" s="19"/>
      <c r="H3410" s="19"/>
      <c r="I3410" s="19"/>
      <c r="J3410" s="19"/>
      <c r="K3410" s="6"/>
      <c r="L3410" s="19"/>
    </row>
    <row r="3411" spans="1:12" ht="14" customHeight="1" x14ac:dyDescent="0.2">
      <c r="A3411" s="14"/>
      <c r="B3411" s="15"/>
      <c r="C3411" s="16"/>
      <c r="D3411" s="16"/>
      <c r="E3411" s="16"/>
      <c r="F3411" s="16"/>
      <c r="G3411" s="16"/>
      <c r="H3411" s="16"/>
      <c r="I3411" s="16"/>
      <c r="J3411" s="16"/>
      <c r="K3411" s="6"/>
      <c r="L3411" s="16"/>
    </row>
    <row r="3412" spans="1:12" ht="14" customHeight="1" x14ac:dyDescent="0.2">
      <c r="A3412" s="17"/>
      <c r="B3412" s="18"/>
      <c r="C3412" s="19"/>
      <c r="D3412" s="19"/>
      <c r="E3412" s="19"/>
      <c r="F3412" s="19"/>
      <c r="G3412" s="19"/>
      <c r="H3412" s="19"/>
      <c r="I3412" s="19"/>
      <c r="J3412" s="19"/>
      <c r="K3412" s="6"/>
      <c r="L3412" s="19"/>
    </row>
    <row r="3413" spans="1:12" ht="14" customHeight="1" x14ac:dyDescent="0.2">
      <c r="A3413" s="14"/>
      <c r="B3413" s="15"/>
      <c r="C3413" s="16"/>
      <c r="D3413" s="16"/>
      <c r="E3413" s="16"/>
      <c r="F3413" s="16"/>
      <c r="G3413" s="16"/>
      <c r="H3413" s="16"/>
      <c r="I3413" s="16"/>
      <c r="J3413" s="16"/>
      <c r="K3413" s="6"/>
      <c r="L3413" s="16"/>
    </row>
    <row r="3414" spans="1:12" ht="14" customHeight="1" x14ac:dyDescent="0.2">
      <c r="A3414" s="17"/>
      <c r="B3414" s="18"/>
      <c r="C3414" s="19"/>
      <c r="D3414" s="19"/>
      <c r="E3414" s="19"/>
      <c r="F3414" s="19"/>
      <c r="G3414" s="19"/>
      <c r="H3414" s="19"/>
      <c r="I3414" s="19"/>
      <c r="J3414" s="19"/>
      <c r="K3414" s="6"/>
      <c r="L3414" s="19"/>
    </row>
    <row r="3415" spans="1:12" ht="14" customHeight="1" x14ac:dyDescent="0.2">
      <c r="A3415" s="14"/>
      <c r="B3415" s="15"/>
      <c r="C3415" s="16"/>
      <c r="D3415" s="16"/>
      <c r="E3415" s="16"/>
      <c r="F3415" s="16"/>
      <c r="G3415" s="16"/>
      <c r="H3415" s="16"/>
      <c r="I3415" s="16"/>
      <c r="J3415" s="16"/>
      <c r="K3415" s="6"/>
      <c r="L3415" s="16"/>
    </row>
    <row r="3416" spans="1:12" ht="14" customHeight="1" x14ac:dyDescent="0.2">
      <c r="A3416" s="17"/>
      <c r="B3416" s="18"/>
      <c r="C3416" s="19"/>
      <c r="D3416" s="19"/>
      <c r="E3416" s="19"/>
      <c r="F3416" s="19"/>
      <c r="G3416" s="19"/>
      <c r="H3416" s="19"/>
      <c r="I3416" s="19"/>
      <c r="J3416" s="19"/>
      <c r="K3416" s="6"/>
      <c r="L3416" s="19"/>
    </row>
    <row r="3417" spans="1:12" ht="14" customHeight="1" x14ac:dyDescent="0.2">
      <c r="A3417" s="14"/>
      <c r="B3417" s="15"/>
      <c r="C3417" s="16"/>
      <c r="D3417" s="16"/>
      <c r="E3417" s="16"/>
      <c r="F3417" s="16"/>
      <c r="G3417" s="16"/>
      <c r="H3417" s="16"/>
      <c r="I3417" s="16"/>
      <c r="J3417" s="16"/>
      <c r="K3417" s="6"/>
      <c r="L3417" s="16"/>
    </row>
    <row r="3418" spans="1:12" ht="14" customHeight="1" x14ac:dyDescent="0.2">
      <c r="A3418" s="17"/>
      <c r="B3418" s="18"/>
      <c r="C3418" s="19"/>
      <c r="D3418" s="19"/>
      <c r="E3418" s="19"/>
      <c r="F3418" s="19"/>
      <c r="G3418" s="19"/>
      <c r="H3418" s="19"/>
      <c r="I3418" s="19"/>
      <c r="J3418" s="19"/>
      <c r="K3418" s="6"/>
      <c r="L3418" s="19"/>
    </row>
    <row r="3419" spans="1:12" ht="14" customHeight="1" x14ac:dyDescent="0.2">
      <c r="A3419" s="14"/>
      <c r="B3419" s="15"/>
      <c r="C3419" s="16"/>
      <c r="D3419" s="16"/>
      <c r="E3419" s="16"/>
      <c r="F3419" s="16"/>
      <c r="G3419" s="16"/>
      <c r="H3419" s="16"/>
      <c r="I3419" s="16"/>
      <c r="J3419" s="16"/>
      <c r="K3419" s="6"/>
      <c r="L3419" s="16"/>
    </row>
    <row r="3420" spans="1:12" ht="14" customHeight="1" x14ac:dyDescent="0.2">
      <c r="A3420" s="17"/>
      <c r="B3420" s="18"/>
      <c r="C3420" s="19"/>
      <c r="D3420" s="19"/>
      <c r="E3420" s="19"/>
      <c r="F3420" s="19"/>
      <c r="G3420" s="19"/>
      <c r="H3420" s="19"/>
      <c r="I3420" s="19"/>
      <c r="J3420" s="19"/>
      <c r="K3420" s="6"/>
      <c r="L3420" s="19"/>
    </row>
    <row r="3421" spans="1:12" ht="14" customHeight="1" x14ac:dyDescent="0.2">
      <c r="A3421" s="14"/>
      <c r="B3421" s="15"/>
      <c r="C3421" s="16"/>
      <c r="D3421" s="16"/>
      <c r="E3421" s="16"/>
      <c r="F3421" s="16"/>
      <c r="G3421" s="16"/>
      <c r="H3421" s="16"/>
      <c r="I3421" s="16"/>
      <c r="J3421" s="16"/>
      <c r="K3421" s="6"/>
      <c r="L3421" s="16"/>
    </row>
    <row r="3422" spans="1:12" ht="14" customHeight="1" x14ac:dyDescent="0.2">
      <c r="A3422" s="17"/>
      <c r="B3422" s="18"/>
      <c r="C3422" s="19"/>
      <c r="D3422" s="19"/>
      <c r="E3422" s="19"/>
      <c r="F3422" s="19"/>
      <c r="G3422" s="19"/>
      <c r="H3422" s="19"/>
      <c r="I3422" s="19"/>
      <c r="J3422" s="19"/>
      <c r="K3422" s="6"/>
      <c r="L3422" s="19"/>
    </row>
    <row r="3423" spans="1:12" ht="14" customHeight="1" x14ac:dyDescent="0.2">
      <c r="A3423" s="14"/>
      <c r="B3423" s="15"/>
      <c r="C3423" s="16"/>
      <c r="D3423" s="16"/>
      <c r="E3423" s="16"/>
      <c r="F3423" s="16"/>
      <c r="G3423" s="16"/>
      <c r="H3423" s="16"/>
      <c r="I3423" s="16"/>
      <c r="J3423" s="16"/>
      <c r="K3423" s="6"/>
      <c r="L3423" s="16"/>
    </row>
    <row r="3424" spans="1:12" ht="14" customHeight="1" x14ac:dyDescent="0.2">
      <c r="A3424" s="17"/>
      <c r="B3424" s="18"/>
      <c r="C3424" s="19"/>
      <c r="D3424" s="19"/>
      <c r="E3424" s="19"/>
      <c r="F3424" s="19"/>
      <c r="G3424" s="19"/>
      <c r="H3424" s="19"/>
      <c r="I3424" s="19"/>
      <c r="J3424" s="19"/>
      <c r="K3424" s="6"/>
      <c r="L3424" s="19"/>
    </row>
    <row r="3425" spans="1:12" ht="14" customHeight="1" x14ac:dyDescent="0.2">
      <c r="A3425" s="14"/>
      <c r="B3425" s="15"/>
      <c r="C3425" s="16"/>
      <c r="D3425" s="16"/>
      <c r="E3425" s="16"/>
      <c r="F3425" s="16"/>
      <c r="G3425" s="16"/>
      <c r="H3425" s="16"/>
      <c r="I3425" s="16"/>
      <c r="J3425" s="16"/>
      <c r="K3425" s="6"/>
      <c r="L3425" s="16"/>
    </row>
    <row r="3426" spans="1:12" ht="14" customHeight="1" x14ac:dyDescent="0.2">
      <c r="A3426" s="17"/>
      <c r="B3426" s="18"/>
      <c r="C3426" s="19"/>
      <c r="D3426" s="19"/>
      <c r="E3426" s="19"/>
      <c r="F3426" s="19"/>
      <c r="G3426" s="19"/>
      <c r="H3426" s="19"/>
      <c r="I3426" s="19"/>
      <c r="J3426" s="19"/>
      <c r="K3426" s="6"/>
      <c r="L3426" s="19"/>
    </row>
    <row r="3427" spans="1:12" ht="14" customHeight="1" x14ac:dyDescent="0.2">
      <c r="A3427" s="14"/>
      <c r="B3427" s="15"/>
      <c r="C3427" s="16"/>
      <c r="D3427" s="16"/>
      <c r="E3427" s="16"/>
      <c r="F3427" s="16"/>
      <c r="G3427" s="16"/>
      <c r="H3427" s="16"/>
      <c r="I3427" s="16"/>
      <c r="J3427" s="16"/>
      <c r="K3427" s="6"/>
      <c r="L3427" s="16"/>
    </row>
    <row r="3428" spans="1:12" ht="14" customHeight="1" x14ac:dyDescent="0.2">
      <c r="A3428" s="17"/>
      <c r="B3428" s="18"/>
      <c r="C3428" s="19"/>
      <c r="D3428" s="19"/>
      <c r="E3428" s="19"/>
      <c r="F3428" s="19"/>
      <c r="G3428" s="19"/>
      <c r="H3428" s="19"/>
      <c r="I3428" s="19"/>
      <c r="J3428" s="19"/>
      <c r="K3428" s="6"/>
      <c r="L3428" s="19"/>
    </row>
    <row r="3429" spans="1:12" ht="14" customHeight="1" x14ac:dyDescent="0.2">
      <c r="A3429" s="14"/>
      <c r="B3429" s="15"/>
      <c r="C3429" s="16"/>
      <c r="D3429" s="16"/>
      <c r="E3429" s="16"/>
      <c r="F3429" s="16"/>
      <c r="G3429" s="16"/>
      <c r="H3429" s="16"/>
      <c r="I3429" s="16"/>
      <c r="J3429" s="16"/>
      <c r="K3429" s="6"/>
      <c r="L3429" s="16"/>
    </row>
    <row r="3430" spans="1:12" ht="14" customHeight="1" x14ac:dyDescent="0.2">
      <c r="A3430" s="17"/>
      <c r="B3430" s="18"/>
      <c r="C3430" s="19"/>
      <c r="D3430" s="19"/>
      <c r="E3430" s="19"/>
      <c r="F3430" s="19"/>
      <c r="G3430" s="19"/>
      <c r="H3430" s="19"/>
      <c r="I3430" s="19"/>
      <c r="J3430" s="19"/>
      <c r="K3430" s="6"/>
      <c r="L3430" s="19"/>
    </row>
    <row r="3431" spans="1:12" ht="14" customHeight="1" x14ac:dyDescent="0.2">
      <c r="A3431" s="14"/>
      <c r="B3431" s="15"/>
      <c r="C3431" s="16"/>
      <c r="D3431" s="16"/>
      <c r="E3431" s="16"/>
      <c r="F3431" s="16"/>
      <c r="G3431" s="16"/>
      <c r="H3431" s="16"/>
      <c r="I3431" s="16"/>
      <c r="J3431" s="16"/>
      <c r="K3431" s="6"/>
      <c r="L3431" s="16"/>
    </row>
    <row r="3432" spans="1:12" ht="14" customHeight="1" x14ac:dyDescent="0.2">
      <c r="A3432" s="17"/>
      <c r="B3432" s="18"/>
      <c r="C3432" s="19"/>
      <c r="D3432" s="19"/>
      <c r="E3432" s="19"/>
      <c r="F3432" s="19"/>
      <c r="G3432" s="19"/>
      <c r="H3432" s="19"/>
      <c r="I3432" s="19"/>
      <c r="J3432" s="19"/>
      <c r="K3432" s="6"/>
      <c r="L3432" s="19"/>
    </row>
    <row r="3433" spans="1:12" ht="14" customHeight="1" x14ac:dyDescent="0.2">
      <c r="A3433" s="14"/>
      <c r="B3433" s="15"/>
      <c r="C3433" s="16"/>
      <c r="D3433" s="16"/>
      <c r="E3433" s="16"/>
      <c r="F3433" s="16"/>
      <c r="G3433" s="16"/>
      <c r="H3433" s="16"/>
      <c r="I3433" s="16"/>
      <c r="J3433" s="16"/>
      <c r="K3433" s="6"/>
      <c r="L3433" s="16"/>
    </row>
    <row r="3434" spans="1:12" ht="14" customHeight="1" x14ac:dyDescent="0.2">
      <c r="A3434" s="17"/>
      <c r="B3434" s="18"/>
      <c r="C3434" s="19"/>
      <c r="D3434" s="19"/>
      <c r="E3434" s="19"/>
      <c r="F3434" s="19"/>
      <c r="G3434" s="19"/>
      <c r="H3434" s="19"/>
      <c r="I3434" s="19"/>
      <c r="J3434" s="19"/>
      <c r="K3434" s="6"/>
      <c r="L3434" s="19"/>
    </row>
    <row r="3435" spans="1:12" ht="14" customHeight="1" x14ac:dyDescent="0.2">
      <c r="A3435" s="14"/>
      <c r="B3435" s="15"/>
      <c r="C3435" s="16"/>
      <c r="D3435" s="16"/>
      <c r="E3435" s="16"/>
      <c r="F3435" s="16"/>
      <c r="G3435" s="16"/>
      <c r="H3435" s="16"/>
      <c r="I3435" s="16"/>
      <c r="J3435" s="16"/>
      <c r="K3435" s="6"/>
      <c r="L3435" s="16"/>
    </row>
    <row r="3436" spans="1:12" ht="14" customHeight="1" x14ac:dyDescent="0.2">
      <c r="A3436" s="17"/>
      <c r="B3436" s="18"/>
      <c r="C3436" s="19"/>
      <c r="D3436" s="19"/>
      <c r="E3436" s="19"/>
      <c r="F3436" s="19"/>
      <c r="G3436" s="19"/>
      <c r="H3436" s="19"/>
      <c r="I3436" s="19"/>
      <c r="J3436" s="19"/>
      <c r="K3436" s="6"/>
      <c r="L3436" s="19"/>
    </row>
    <row r="3437" spans="1:12" ht="14" customHeight="1" x14ac:dyDescent="0.2">
      <c r="A3437" s="14"/>
      <c r="B3437" s="15"/>
      <c r="C3437" s="16"/>
      <c r="D3437" s="16"/>
      <c r="E3437" s="16"/>
      <c r="F3437" s="16"/>
      <c r="G3437" s="16"/>
      <c r="H3437" s="16"/>
      <c r="I3437" s="16"/>
      <c r="J3437" s="16"/>
      <c r="K3437" s="6"/>
      <c r="L3437" s="16"/>
    </row>
    <row r="3438" spans="1:12" ht="14" customHeight="1" x14ac:dyDescent="0.2">
      <c r="A3438" s="17"/>
      <c r="B3438" s="18"/>
      <c r="C3438" s="19"/>
      <c r="D3438" s="19"/>
      <c r="E3438" s="19"/>
      <c r="F3438" s="19"/>
      <c r="G3438" s="19"/>
      <c r="H3438" s="19"/>
      <c r="I3438" s="19"/>
      <c r="J3438" s="19"/>
      <c r="K3438" s="6"/>
      <c r="L3438" s="19"/>
    </row>
    <row r="3439" spans="1:12" ht="14" customHeight="1" x14ac:dyDescent="0.2">
      <c r="A3439" s="14"/>
      <c r="B3439" s="15"/>
      <c r="C3439" s="16"/>
      <c r="D3439" s="16"/>
      <c r="E3439" s="16"/>
      <c r="F3439" s="16"/>
      <c r="G3439" s="16"/>
      <c r="H3439" s="16"/>
      <c r="I3439" s="16"/>
      <c r="J3439" s="16"/>
      <c r="K3439" s="6"/>
      <c r="L3439" s="16"/>
    </row>
    <row r="3440" spans="1:12" ht="14" customHeight="1" x14ac:dyDescent="0.2">
      <c r="A3440" s="17"/>
      <c r="B3440" s="18"/>
      <c r="C3440" s="19"/>
      <c r="D3440" s="19"/>
      <c r="E3440" s="19"/>
      <c r="F3440" s="19"/>
      <c r="G3440" s="19"/>
      <c r="H3440" s="19"/>
      <c r="I3440" s="19"/>
      <c r="J3440" s="19"/>
      <c r="K3440" s="6"/>
      <c r="L3440" s="19"/>
    </row>
    <row r="3441" spans="1:12" ht="14" customHeight="1" x14ac:dyDescent="0.2">
      <c r="A3441" s="14"/>
      <c r="B3441" s="15"/>
      <c r="C3441" s="16"/>
      <c r="D3441" s="16"/>
      <c r="E3441" s="16"/>
      <c r="F3441" s="16"/>
      <c r="G3441" s="16"/>
      <c r="H3441" s="16"/>
      <c r="I3441" s="16"/>
      <c r="J3441" s="16"/>
      <c r="K3441" s="6"/>
      <c r="L3441" s="16"/>
    </row>
    <row r="3442" spans="1:12" ht="14" customHeight="1" x14ac:dyDescent="0.2">
      <c r="A3442" s="17"/>
      <c r="B3442" s="18"/>
      <c r="C3442" s="19"/>
      <c r="D3442" s="19"/>
      <c r="E3442" s="19"/>
      <c r="F3442" s="19"/>
      <c r="G3442" s="19"/>
      <c r="H3442" s="19"/>
      <c r="I3442" s="19"/>
      <c r="J3442" s="19"/>
      <c r="K3442" s="6"/>
      <c r="L3442" s="19"/>
    </row>
    <row r="3443" spans="1:12" ht="14" customHeight="1" x14ac:dyDescent="0.2">
      <c r="A3443" s="14"/>
      <c r="B3443" s="15"/>
      <c r="C3443" s="16"/>
      <c r="D3443" s="16"/>
      <c r="E3443" s="16"/>
      <c r="F3443" s="16"/>
      <c r="G3443" s="16"/>
      <c r="H3443" s="16"/>
      <c r="I3443" s="16"/>
      <c r="J3443" s="16"/>
      <c r="K3443" s="6"/>
      <c r="L3443" s="16"/>
    </row>
    <row r="3444" spans="1:12" ht="14" customHeight="1" x14ac:dyDescent="0.2">
      <c r="A3444" s="17"/>
      <c r="B3444" s="18"/>
      <c r="C3444" s="19"/>
      <c r="D3444" s="19"/>
      <c r="E3444" s="19"/>
      <c r="F3444" s="19"/>
      <c r="G3444" s="19"/>
      <c r="H3444" s="19"/>
      <c r="I3444" s="19"/>
      <c r="J3444" s="19"/>
      <c r="K3444" s="6"/>
      <c r="L3444" s="19"/>
    </row>
    <row r="3445" spans="1:12" ht="14" customHeight="1" x14ac:dyDescent="0.2">
      <c r="A3445" s="14"/>
      <c r="B3445" s="15"/>
      <c r="C3445" s="16"/>
      <c r="D3445" s="16"/>
      <c r="E3445" s="16"/>
      <c r="F3445" s="16"/>
      <c r="G3445" s="16"/>
      <c r="H3445" s="16"/>
      <c r="I3445" s="16"/>
      <c r="J3445" s="16"/>
      <c r="K3445" s="6"/>
      <c r="L3445" s="16"/>
    </row>
    <row r="3446" spans="1:12" ht="14" customHeight="1" x14ac:dyDescent="0.2">
      <c r="A3446" s="17"/>
      <c r="B3446" s="18"/>
      <c r="C3446" s="19"/>
      <c r="D3446" s="19"/>
      <c r="E3446" s="19"/>
      <c r="F3446" s="19"/>
      <c r="G3446" s="19"/>
      <c r="H3446" s="19"/>
      <c r="I3446" s="19"/>
      <c r="J3446" s="19"/>
      <c r="K3446" s="6"/>
      <c r="L3446" s="19"/>
    </row>
    <row r="3447" spans="1:12" ht="14" customHeight="1" x14ac:dyDescent="0.2">
      <c r="A3447" s="14"/>
      <c r="B3447" s="15"/>
      <c r="C3447" s="16"/>
      <c r="D3447" s="16"/>
      <c r="E3447" s="16"/>
      <c r="F3447" s="16"/>
      <c r="G3447" s="16"/>
      <c r="H3447" s="16"/>
      <c r="I3447" s="16"/>
      <c r="J3447" s="16"/>
      <c r="K3447" s="6"/>
      <c r="L3447" s="16"/>
    </row>
    <row r="3448" spans="1:12" ht="14" customHeight="1" x14ac:dyDescent="0.2">
      <c r="A3448" s="17"/>
      <c r="B3448" s="18"/>
      <c r="C3448" s="19"/>
      <c r="D3448" s="19"/>
      <c r="E3448" s="19"/>
      <c r="F3448" s="19"/>
      <c r="G3448" s="19"/>
      <c r="H3448" s="19"/>
      <c r="I3448" s="19"/>
      <c r="J3448" s="19"/>
      <c r="K3448" s="6"/>
      <c r="L3448" s="19"/>
    </row>
    <row r="3449" spans="1:12" ht="14" customHeight="1" x14ac:dyDescent="0.2">
      <c r="A3449" s="14"/>
      <c r="B3449" s="15"/>
      <c r="C3449" s="16"/>
      <c r="D3449" s="16"/>
      <c r="E3449" s="16"/>
      <c r="F3449" s="16"/>
      <c r="G3449" s="16"/>
      <c r="H3449" s="16"/>
      <c r="I3449" s="16"/>
      <c r="J3449" s="16"/>
      <c r="K3449" s="6"/>
      <c r="L3449" s="16"/>
    </row>
    <row r="3450" spans="1:12" ht="14" customHeight="1" x14ac:dyDescent="0.2">
      <c r="A3450" s="17"/>
      <c r="B3450" s="18"/>
      <c r="C3450" s="19"/>
      <c r="D3450" s="19"/>
      <c r="E3450" s="19"/>
      <c r="F3450" s="19"/>
      <c r="G3450" s="19"/>
      <c r="H3450" s="19"/>
      <c r="I3450" s="19"/>
      <c r="J3450" s="19"/>
      <c r="K3450" s="6"/>
      <c r="L3450" s="19"/>
    </row>
    <row r="3451" spans="1:12" ht="14" customHeight="1" x14ac:dyDescent="0.2">
      <c r="A3451" s="14"/>
      <c r="B3451" s="15"/>
      <c r="C3451" s="16"/>
      <c r="D3451" s="16"/>
      <c r="E3451" s="16"/>
      <c r="F3451" s="16"/>
      <c r="G3451" s="16"/>
      <c r="H3451" s="16"/>
      <c r="I3451" s="16"/>
      <c r="J3451" s="16"/>
      <c r="K3451" s="6"/>
      <c r="L3451" s="16"/>
    </row>
    <row r="3452" spans="1:12" ht="14" customHeight="1" x14ac:dyDescent="0.2">
      <c r="A3452" s="17"/>
      <c r="B3452" s="18"/>
      <c r="C3452" s="19"/>
      <c r="D3452" s="19"/>
      <c r="E3452" s="19"/>
      <c r="F3452" s="19"/>
      <c r="G3452" s="19"/>
      <c r="H3452" s="19"/>
      <c r="I3452" s="19"/>
      <c r="J3452" s="19"/>
      <c r="K3452" s="6"/>
      <c r="L3452" s="19"/>
    </row>
    <row r="3453" spans="1:12" ht="14" customHeight="1" x14ac:dyDescent="0.2">
      <c r="A3453" s="14"/>
      <c r="B3453" s="15"/>
      <c r="C3453" s="16"/>
      <c r="D3453" s="16"/>
      <c r="E3453" s="16"/>
      <c r="F3453" s="16"/>
      <c r="G3453" s="16"/>
      <c r="H3453" s="16"/>
      <c r="I3453" s="16"/>
      <c r="J3453" s="16"/>
      <c r="K3453" s="6"/>
      <c r="L3453" s="16"/>
    </row>
    <row r="3454" spans="1:12" ht="14" customHeight="1" x14ac:dyDescent="0.2">
      <c r="A3454" s="17"/>
      <c r="B3454" s="18"/>
      <c r="C3454" s="19"/>
      <c r="D3454" s="19"/>
      <c r="E3454" s="19"/>
      <c r="F3454" s="19"/>
      <c r="G3454" s="19"/>
      <c r="H3454" s="19"/>
      <c r="I3454" s="19"/>
      <c r="J3454" s="19"/>
      <c r="K3454" s="6"/>
      <c r="L3454" s="19"/>
    </row>
    <row r="3455" spans="1:12" ht="14" customHeight="1" x14ac:dyDescent="0.2">
      <c r="A3455" s="14"/>
      <c r="B3455" s="15"/>
      <c r="C3455" s="16"/>
      <c r="D3455" s="16"/>
      <c r="E3455" s="16"/>
      <c r="F3455" s="16"/>
      <c r="G3455" s="16"/>
      <c r="H3455" s="16"/>
      <c r="I3455" s="16"/>
      <c r="J3455" s="16"/>
      <c r="K3455" s="6"/>
      <c r="L3455" s="16"/>
    </row>
    <row r="3456" spans="1:12" ht="14" customHeight="1" x14ac:dyDescent="0.2">
      <c r="A3456" s="17"/>
      <c r="B3456" s="18"/>
      <c r="C3456" s="19"/>
      <c r="D3456" s="19"/>
      <c r="E3456" s="19"/>
      <c r="F3456" s="19"/>
      <c r="G3456" s="19"/>
      <c r="H3456" s="19"/>
      <c r="I3456" s="19"/>
      <c r="J3456" s="19"/>
      <c r="K3456" s="6"/>
      <c r="L3456" s="19"/>
    </row>
    <row r="3457" spans="1:12" ht="14" customHeight="1" x14ac:dyDescent="0.2">
      <c r="A3457" s="14"/>
      <c r="B3457" s="15"/>
      <c r="C3457" s="16"/>
      <c r="D3457" s="16"/>
      <c r="E3457" s="16"/>
      <c r="F3457" s="16"/>
      <c r="G3457" s="16"/>
      <c r="H3457" s="16"/>
      <c r="I3457" s="16"/>
      <c r="J3457" s="16"/>
      <c r="K3457" s="6"/>
      <c r="L3457" s="16"/>
    </row>
    <row r="3458" spans="1:12" ht="14" customHeight="1" x14ac:dyDescent="0.2">
      <c r="A3458" s="17"/>
      <c r="B3458" s="18"/>
      <c r="C3458" s="19"/>
      <c r="D3458" s="19"/>
      <c r="E3458" s="19"/>
      <c r="F3458" s="19"/>
      <c r="G3458" s="19"/>
      <c r="H3458" s="19"/>
      <c r="I3458" s="19"/>
      <c r="J3458" s="19"/>
      <c r="K3458" s="6"/>
      <c r="L3458" s="19"/>
    </row>
    <row r="3459" spans="1:12" ht="14" customHeight="1" x14ac:dyDescent="0.2">
      <c r="A3459" s="14"/>
      <c r="B3459" s="15"/>
      <c r="C3459" s="16"/>
      <c r="D3459" s="16"/>
      <c r="E3459" s="16"/>
      <c r="F3459" s="16"/>
      <c r="G3459" s="16"/>
      <c r="H3459" s="16"/>
      <c r="I3459" s="16"/>
      <c r="J3459" s="16"/>
      <c r="K3459" s="6"/>
      <c r="L3459" s="16"/>
    </row>
    <row r="3460" spans="1:12" ht="14" customHeight="1" x14ac:dyDescent="0.2">
      <c r="A3460" s="17"/>
      <c r="B3460" s="18"/>
      <c r="C3460" s="19"/>
      <c r="D3460" s="19"/>
      <c r="E3460" s="19"/>
      <c r="F3460" s="19"/>
      <c r="G3460" s="19"/>
      <c r="H3460" s="19"/>
      <c r="I3460" s="19"/>
      <c r="J3460" s="19"/>
      <c r="K3460" s="6"/>
      <c r="L3460" s="19"/>
    </row>
    <row r="3461" spans="1:12" ht="14" customHeight="1" x14ac:dyDescent="0.2">
      <c r="A3461" s="14"/>
      <c r="B3461" s="15"/>
      <c r="C3461" s="16"/>
      <c r="D3461" s="16"/>
      <c r="E3461" s="16"/>
      <c r="F3461" s="16"/>
      <c r="G3461" s="16"/>
      <c r="H3461" s="16"/>
      <c r="I3461" s="16"/>
      <c r="J3461" s="16"/>
      <c r="K3461" s="6"/>
      <c r="L3461" s="16"/>
    </row>
    <row r="3462" spans="1:12" ht="14" customHeight="1" x14ac:dyDescent="0.2">
      <c r="A3462" s="17"/>
      <c r="B3462" s="18"/>
      <c r="C3462" s="19"/>
      <c r="D3462" s="19"/>
      <c r="E3462" s="19"/>
      <c r="F3462" s="19"/>
      <c r="G3462" s="19"/>
      <c r="H3462" s="19"/>
      <c r="I3462" s="19"/>
      <c r="J3462" s="19"/>
      <c r="K3462" s="6"/>
      <c r="L3462" s="19"/>
    </row>
    <row r="3463" spans="1:12" ht="14" customHeight="1" x14ac:dyDescent="0.2">
      <c r="A3463" s="14"/>
      <c r="B3463" s="15"/>
      <c r="C3463" s="16"/>
      <c r="D3463" s="16"/>
      <c r="E3463" s="16"/>
      <c r="F3463" s="16"/>
      <c r="G3463" s="16"/>
      <c r="H3463" s="16"/>
      <c r="I3463" s="16"/>
      <c r="J3463" s="16"/>
      <c r="K3463" s="6"/>
      <c r="L3463" s="16"/>
    </row>
    <row r="3464" spans="1:12" ht="14" customHeight="1" x14ac:dyDescent="0.2">
      <c r="A3464" s="17"/>
      <c r="B3464" s="18"/>
      <c r="C3464" s="19"/>
      <c r="D3464" s="19"/>
      <c r="E3464" s="19"/>
      <c r="F3464" s="19"/>
      <c r="G3464" s="19"/>
      <c r="H3464" s="19"/>
      <c r="I3464" s="19"/>
      <c r="J3464" s="19"/>
      <c r="K3464" s="6"/>
      <c r="L3464" s="19"/>
    </row>
    <row r="3465" spans="1:12" ht="14" customHeight="1" x14ac:dyDescent="0.2">
      <c r="A3465" s="14"/>
      <c r="B3465" s="15"/>
      <c r="C3465" s="16"/>
      <c r="D3465" s="16"/>
      <c r="E3465" s="16"/>
      <c r="F3465" s="16"/>
      <c r="G3465" s="16"/>
      <c r="H3465" s="16"/>
      <c r="I3465" s="16"/>
      <c r="J3465" s="16"/>
      <c r="K3465" s="6"/>
      <c r="L3465" s="16"/>
    </row>
    <row r="3466" spans="1:12" ht="14" customHeight="1" x14ac:dyDescent="0.2">
      <c r="A3466" s="17"/>
      <c r="B3466" s="18"/>
      <c r="C3466" s="19"/>
      <c r="D3466" s="19"/>
      <c r="E3466" s="19"/>
      <c r="F3466" s="19"/>
      <c r="G3466" s="19"/>
      <c r="H3466" s="19"/>
      <c r="I3466" s="19"/>
      <c r="J3466" s="19"/>
      <c r="K3466" s="6"/>
      <c r="L3466" s="19"/>
    </row>
    <row r="3467" spans="1:12" ht="14" customHeight="1" x14ac:dyDescent="0.2">
      <c r="A3467" s="14"/>
      <c r="B3467" s="15"/>
      <c r="C3467" s="16"/>
      <c r="D3467" s="16"/>
      <c r="E3467" s="16"/>
      <c r="F3467" s="16"/>
      <c r="G3467" s="16"/>
      <c r="H3467" s="16"/>
      <c r="I3467" s="16"/>
      <c r="J3467" s="16"/>
      <c r="K3467" s="6"/>
      <c r="L3467" s="16"/>
    </row>
    <row r="3468" spans="1:12" ht="14" customHeight="1" x14ac:dyDescent="0.2">
      <c r="A3468" s="17"/>
      <c r="B3468" s="18"/>
      <c r="C3468" s="19"/>
      <c r="D3468" s="19"/>
      <c r="E3468" s="19"/>
      <c r="F3468" s="19"/>
      <c r="G3468" s="19"/>
      <c r="H3468" s="19"/>
      <c r="I3468" s="19"/>
      <c r="J3468" s="19"/>
      <c r="K3468" s="6"/>
      <c r="L3468" s="19"/>
    </row>
    <row r="3469" spans="1:12" ht="14" customHeight="1" x14ac:dyDescent="0.2">
      <c r="A3469" s="14"/>
      <c r="B3469" s="15"/>
      <c r="C3469" s="16"/>
      <c r="D3469" s="16"/>
      <c r="E3469" s="16"/>
      <c r="F3469" s="16"/>
      <c r="G3469" s="16"/>
      <c r="H3469" s="16"/>
      <c r="I3469" s="16"/>
      <c r="J3469" s="16"/>
      <c r="K3469" s="6"/>
      <c r="L3469" s="16"/>
    </row>
    <row r="3470" spans="1:12" ht="14" customHeight="1" x14ac:dyDescent="0.2">
      <c r="A3470" s="17"/>
      <c r="B3470" s="18"/>
      <c r="C3470" s="19"/>
      <c r="D3470" s="19"/>
      <c r="E3470" s="19"/>
      <c r="F3470" s="19"/>
      <c r="G3470" s="19"/>
      <c r="H3470" s="19"/>
      <c r="I3470" s="19"/>
      <c r="J3470" s="19"/>
      <c r="K3470" s="6"/>
      <c r="L3470" s="19"/>
    </row>
    <row r="3471" spans="1:12" ht="14" customHeight="1" x14ac:dyDescent="0.2">
      <c r="A3471" s="14"/>
      <c r="B3471" s="15"/>
      <c r="C3471" s="16"/>
      <c r="D3471" s="16"/>
      <c r="E3471" s="16"/>
      <c r="F3471" s="16"/>
      <c r="G3471" s="16"/>
      <c r="H3471" s="16"/>
      <c r="I3471" s="16"/>
      <c r="J3471" s="16"/>
      <c r="K3471" s="6"/>
      <c r="L3471" s="16"/>
    </row>
    <row r="3472" spans="1:12" ht="14" customHeight="1" x14ac:dyDescent="0.2">
      <c r="A3472" s="17"/>
      <c r="B3472" s="18"/>
      <c r="C3472" s="19"/>
      <c r="D3472" s="19"/>
      <c r="E3472" s="19"/>
      <c r="F3472" s="19"/>
      <c r="G3472" s="19"/>
      <c r="H3472" s="19"/>
      <c r="I3472" s="19"/>
      <c r="J3472" s="19"/>
      <c r="K3472" s="6"/>
      <c r="L3472" s="19"/>
    </row>
    <row r="3473" spans="1:12" ht="14" customHeight="1" x14ac:dyDescent="0.2">
      <c r="A3473" s="14"/>
      <c r="B3473" s="15"/>
      <c r="C3473" s="16"/>
      <c r="D3473" s="16"/>
      <c r="E3473" s="16"/>
      <c r="F3473" s="16"/>
      <c r="G3473" s="16"/>
      <c r="H3473" s="16"/>
      <c r="I3473" s="16"/>
      <c r="J3473" s="16"/>
      <c r="K3473" s="6"/>
      <c r="L3473" s="16"/>
    </row>
    <row r="3474" spans="1:12" ht="14" customHeight="1" x14ac:dyDescent="0.2">
      <c r="A3474" s="17"/>
      <c r="B3474" s="18"/>
      <c r="C3474" s="19"/>
      <c r="D3474" s="19"/>
      <c r="E3474" s="19"/>
      <c r="F3474" s="19"/>
      <c r="G3474" s="19"/>
      <c r="H3474" s="19"/>
      <c r="I3474" s="19"/>
      <c r="J3474" s="19"/>
      <c r="K3474" s="6"/>
      <c r="L3474" s="19"/>
    </row>
    <row r="3475" spans="1:12" ht="14" customHeight="1" x14ac:dyDescent="0.2">
      <c r="A3475" s="14"/>
      <c r="B3475" s="15"/>
      <c r="C3475" s="16"/>
      <c r="D3475" s="16"/>
      <c r="E3475" s="16"/>
      <c r="F3475" s="16"/>
      <c r="G3475" s="16"/>
      <c r="H3475" s="16"/>
      <c r="I3475" s="16"/>
      <c r="J3475" s="16"/>
      <c r="K3475" s="6"/>
      <c r="L3475" s="16"/>
    </row>
    <row r="3476" spans="1:12" ht="14" customHeight="1" x14ac:dyDescent="0.2">
      <c r="A3476" s="17"/>
      <c r="B3476" s="18"/>
      <c r="C3476" s="19"/>
      <c r="D3476" s="19"/>
      <c r="E3476" s="19"/>
      <c r="F3476" s="19"/>
      <c r="G3476" s="19"/>
      <c r="H3476" s="19"/>
      <c r="I3476" s="19"/>
      <c r="J3476" s="19"/>
      <c r="K3476" s="6"/>
      <c r="L3476" s="19"/>
    </row>
    <row r="3477" spans="1:12" ht="14" customHeight="1" x14ac:dyDescent="0.2">
      <c r="A3477" s="14"/>
      <c r="B3477" s="15"/>
      <c r="C3477" s="16"/>
      <c r="D3477" s="16"/>
      <c r="E3477" s="16"/>
      <c r="F3477" s="16"/>
      <c r="G3477" s="16"/>
      <c r="H3477" s="16"/>
      <c r="I3477" s="16"/>
      <c r="J3477" s="16"/>
      <c r="K3477" s="6"/>
      <c r="L3477" s="16"/>
    </row>
    <row r="3478" spans="1:12" ht="14" customHeight="1" x14ac:dyDescent="0.2">
      <c r="A3478" s="17"/>
      <c r="B3478" s="18"/>
      <c r="C3478" s="19"/>
      <c r="D3478" s="19"/>
      <c r="E3478" s="19"/>
      <c r="F3478" s="19"/>
      <c r="G3478" s="19"/>
      <c r="H3478" s="19"/>
      <c r="I3478" s="19"/>
      <c r="J3478" s="19"/>
      <c r="K3478" s="6"/>
      <c r="L3478" s="19"/>
    </row>
    <row r="3479" spans="1:12" ht="14" customHeight="1" x14ac:dyDescent="0.2">
      <c r="A3479" s="14"/>
      <c r="B3479" s="15"/>
      <c r="C3479" s="16"/>
      <c r="D3479" s="16"/>
      <c r="E3479" s="16"/>
      <c r="F3479" s="16"/>
      <c r="G3479" s="16"/>
      <c r="H3479" s="16"/>
      <c r="I3479" s="16"/>
      <c r="J3479" s="16"/>
      <c r="K3479" s="6"/>
      <c r="L3479" s="16"/>
    </row>
    <row r="3480" spans="1:12" ht="14" customHeight="1" x14ac:dyDescent="0.2">
      <c r="A3480" s="17"/>
      <c r="B3480" s="18"/>
      <c r="C3480" s="19"/>
      <c r="D3480" s="19"/>
      <c r="E3480" s="19"/>
      <c r="F3480" s="19"/>
      <c r="G3480" s="19"/>
      <c r="H3480" s="19"/>
      <c r="I3480" s="19"/>
      <c r="J3480" s="19"/>
      <c r="K3480" s="6"/>
      <c r="L3480" s="19"/>
    </row>
    <row r="3481" spans="1:12" ht="14" customHeight="1" x14ac:dyDescent="0.2">
      <c r="A3481" s="14"/>
      <c r="B3481" s="15"/>
      <c r="C3481" s="16"/>
      <c r="D3481" s="16"/>
      <c r="E3481" s="16"/>
      <c r="F3481" s="16"/>
      <c r="G3481" s="16"/>
      <c r="H3481" s="16"/>
      <c r="I3481" s="16"/>
      <c r="J3481" s="16"/>
      <c r="K3481" s="6"/>
      <c r="L3481" s="16"/>
    </row>
    <row r="3482" spans="1:12" ht="14" customHeight="1" x14ac:dyDescent="0.2">
      <c r="A3482" s="17"/>
      <c r="B3482" s="18"/>
      <c r="C3482" s="19"/>
      <c r="D3482" s="19"/>
      <c r="E3482" s="19"/>
      <c r="F3482" s="19"/>
      <c r="G3482" s="19"/>
      <c r="H3482" s="19"/>
      <c r="I3482" s="19"/>
      <c r="J3482" s="19"/>
      <c r="K3482" s="6"/>
      <c r="L3482" s="19"/>
    </row>
    <row r="3483" spans="1:12" ht="14" customHeight="1" x14ac:dyDescent="0.2">
      <c r="A3483" s="14"/>
      <c r="B3483" s="15"/>
      <c r="C3483" s="16"/>
      <c r="D3483" s="16"/>
      <c r="E3483" s="16"/>
      <c r="F3483" s="16"/>
      <c r="G3483" s="16"/>
      <c r="H3483" s="16"/>
      <c r="I3483" s="16"/>
      <c r="J3483" s="16"/>
      <c r="K3483" s="6"/>
      <c r="L3483" s="16"/>
    </row>
    <row r="3484" spans="1:12" ht="14" customHeight="1" x14ac:dyDescent="0.2">
      <c r="A3484" s="17"/>
      <c r="B3484" s="18"/>
      <c r="C3484" s="19"/>
      <c r="D3484" s="19"/>
      <c r="E3484" s="19"/>
      <c r="F3484" s="19"/>
      <c r="G3484" s="19"/>
      <c r="H3484" s="19"/>
      <c r="I3484" s="19"/>
      <c r="J3484" s="19"/>
      <c r="K3484" s="6"/>
      <c r="L3484" s="19"/>
    </row>
    <row r="3485" spans="1:12" ht="14" customHeight="1" x14ac:dyDescent="0.2">
      <c r="A3485" s="14"/>
      <c r="B3485" s="15"/>
      <c r="C3485" s="16"/>
      <c r="D3485" s="16"/>
      <c r="E3485" s="16"/>
      <c r="F3485" s="16"/>
      <c r="G3485" s="16"/>
      <c r="H3485" s="16"/>
      <c r="I3485" s="16"/>
      <c r="J3485" s="16"/>
      <c r="K3485" s="6"/>
      <c r="L3485" s="16"/>
    </row>
    <row r="3486" spans="1:12" ht="14" customHeight="1" x14ac:dyDescent="0.2">
      <c r="A3486" s="17"/>
      <c r="B3486" s="18"/>
      <c r="C3486" s="19"/>
      <c r="D3486" s="19"/>
      <c r="E3486" s="19"/>
      <c r="F3486" s="19"/>
      <c r="G3486" s="19"/>
      <c r="H3486" s="19"/>
      <c r="I3486" s="19"/>
      <c r="J3486" s="19"/>
      <c r="K3486" s="6"/>
      <c r="L3486" s="19"/>
    </row>
    <row r="3487" spans="1:12" ht="14" customHeight="1" x14ac:dyDescent="0.2">
      <c r="A3487" s="14"/>
      <c r="B3487" s="15"/>
      <c r="C3487" s="16"/>
      <c r="D3487" s="16"/>
      <c r="E3487" s="16"/>
      <c r="F3487" s="16"/>
      <c r="G3487" s="16"/>
      <c r="H3487" s="16"/>
      <c r="I3487" s="16"/>
      <c r="J3487" s="16"/>
      <c r="K3487" s="6"/>
      <c r="L3487" s="16"/>
    </row>
    <row r="3488" spans="1:12" ht="14" customHeight="1" x14ac:dyDescent="0.2">
      <c r="A3488" s="17"/>
      <c r="B3488" s="18"/>
      <c r="C3488" s="19"/>
      <c r="D3488" s="19"/>
      <c r="E3488" s="19"/>
      <c r="F3488" s="19"/>
      <c r="G3488" s="19"/>
      <c r="H3488" s="19"/>
      <c r="I3488" s="19"/>
      <c r="J3488" s="19"/>
      <c r="K3488" s="6"/>
      <c r="L3488" s="19"/>
    </row>
    <row r="3489" spans="1:12" ht="14" customHeight="1" x14ac:dyDescent="0.2">
      <c r="A3489" s="14"/>
      <c r="B3489" s="15"/>
      <c r="C3489" s="16"/>
      <c r="D3489" s="16"/>
      <c r="E3489" s="16"/>
      <c r="F3489" s="16"/>
      <c r="G3489" s="16"/>
      <c r="H3489" s="16"/>
      <c r="I3489" s="16"/>
      <c r="J3489" s="16"/>
      <c r="K3489" s="6"/>
      <c r="L3489" s="16"/>
    </row>
    <row r="3490" spans="1:12" ht="14" customHeight="1" x14ac:dyDescent="0.2">
      <c r="A3490" s="17"/>
      <c r="B3490" s="18"/>
      <c r="C3490" s="19"/>
      <c r="D3490" s="19"/>
      <c r="E3490" s="19"/>
      <c r="F3490" s="19"/>
      <c r="G3490" s="19"/>
      <c r="H3490" s="19"/>
      <c r="I3490" s="19"/>
      <c r="J3490" s="19"/>
      <c r="K3490" s="6"/>
      <c r="L3490" s="19"/>
    </row>
    <row r="3491" spans="1:12" ht="14" customHeight="1" x14ac:dyDescent="0.2">
      <c r="A3491" s="14"/>
      <c r="B3491" s="15"/>
      <c r="C3491" s="16"/>
      <c r="D3491" s="16"/>
      <c r="E3491" s="16"/>
      <c r="F3491" s="16"/>
      <c r="G3491" s="16"/>
      <c r="H3491" s="16"/>
      <c r="I3491" s="16"/>
      <c r="J3491" s="16"/>
      <c r="K3491" s="6"/>
      <c r="L3491" s="16"/>
    </row>
    <row r="3492" spans="1:12" ht="14" customHeight="1" x14ac:dyDescent="0.2">
      <c r="A3492" s="17"/>
      <c r="B3492" s="18"/>
      <c r="C3492" s="19"/>
      <c r="D3492" s="19"/>
      <c r="E3492" s="19"/>
      <c r="F3492" s="19"/>
      <c r="G3492" s="19"/>
      <c r="H3492" s="19"/>
      <c r="I3492" s="19"/>
      <c r="J3492" s="19"/>
      <c r="K3492" s="6"/>
      <c r="L3492" s="19"/>
    </row>
    <row r="3493" spans="1:12" ht="14" customHeight="1" x14ac:dyDescent="0.2">
      <c r="A3493" s="14"/>
      <c r="B3493" s="15"/>
      <c r="C3493" s="16"/>
      <c r="D3493" s="16"/>
      <c r="E3493" s="16"/>
      <c r="F3493" s="16"/>
      <c r="G3493" s="16"/>
      <c r="H3493" s="16"/>
      <c r="I3493" s="16"/>
      <c r="J3493" s="16"/>
      <c r="K3493" s="6"/>
      <c r="L3493" s="16"/>
    </row>
    <row r="3494" spans="1:12" ht="14" customHeight="1" x14ac:dyDescent="0.2">
      <c r="A3494" s="17"/>
      <c r="B3494" s="18"/>
      <c r="C3494" s="19"/>
      <c r="D3494" s="19"/>
      <c r="E3494" s="19"/>
      <c r="F3494" s="19"/>
      <c r="G3494" s="19"/>
      <c r="H3494" s="19"/>
      <c r="I3494" s="19"/>
      <c r="J3494" s="19"/>
      <c r="K3494" s="6"/>
      <c r="L3494" s="19"/>
    </row>
    <row r="3495" spans="1:12" ht="14" customHeight="1" x14ac:dyDescent="0.2">
      <c r="A3495" s="14"/>
      <c r="B3495" s="15"/>
      <c r="C3495" s="16"/>
      <c r="D3495" s="16"/>
      <c r="E3495" s="16"/>
      <c r="F3495" s="16"/>
      <c r="G3495" s="16"/>
      <c r="H3495" s="16"/>
      <c r="I3495" s="16"/>
      <c r="J3495" s="16"/>
      <c r="K3495" s="6"/>
      <c r="L3495" s="16"/>
    </row>
    <row r="3496" spans="1:12" ht="14" customHeight="1" x14ac:dyDescent="0.2">
      <c r="A3496" s="17"/>
      <c r="B3496" s="18"/>
      <c r="C3496" s="19"/>
      <c r="D3496" s="19"/>
      <c r="E3496" s="19"/>
      <c r="F3496" s="19"/>
      <c r="G3496" s="19"/>
      <c r="H3496" s="19"/>
      <c r="I3496" s="19"/>
      <c r="J3496" s="19"/>
      <c r="K3496" s="6"/>
      <c r="L3496" s="19"/>
    </row>
    <row r="3497" spans="1:12" ht="14" customHeight="1" x14ac:dyDescent="0.2">
      <c r="A3497" s="14"/>
      <c r="B3497" s="15"/>
      <c r="C3497" s="16"/>
      <c r="D3497" s="16"/>
      <c r="E3497" s="16"/>
      <c r="F3497" s="16"/>
      <c r="G3497" s="16"/>
      <c r="H3497" s="16"/>
      <c r="I3497" s="16"/>
      <c r="J3497" s="16"/>
      <c r="K3497" s="6"/>
      <c r="L3497" s="16"/>
    </row>
    <row r="3498" spans="1:12" ht="14" customHeight="1" x14ac:dyDescent="0.2">
      <c r="A3498" s="17"/>
      <c r="B3498" s="18"/>
      <c r="C3498" s="19"/>
      <c r="D3498" s="19"/>
      <c r="E3498" s="19"/>
      <c r="F3498" s="19"/>
      <c r="G3498" s="19"/>
      <c r="H3498" s="19"/>
      <c r="I3498" s="19"/>
      <c r="J3498" s="19"/>
      <c r="K3498" s="6"/>
      <c r="L3498" s="19"/>
    </row>
    <row r="3499" spans="1:12" ht="14" customHeight="1" x14ac:dyDescent="0.2">
      <c r="A3499" s="14"/>
      <c r="B3499" s="15"/>
      <c r="C3499" s="16"/>
      <c r="D3499" s="16"/>
      <c r="E3499" s="16"/>
      <c r="F3499" s="16"/>
      <c r="G3499" s="16"/>
      <c r="H3499" s="16"/>
      <c r="I3499" s="16"/>
      <c r="J3499" s="16"/>
      <c r="K3499" s="6"/>
      <c r="L3499" s="16"/>
    </row>
    <row r="3500" spans="1:12" ht="14" customHeight="1" x14ac:dyDescent="0.2">
      <c r="A3500" s="17"/>
      <c r="B3500" s="18"/>
      <c r="C3500" s="19"/>
      <c r="D3500" s="19"/>
      <c r="E3500" s="19"/>
      <c r="F3500" s="19"/>
      <c r="G3500" s="19"/>
      <c r="H3500" s="19"/>
      <c r="I3500" s="19"/>
      <c r="J3500" s="19"/>
      <c r="K3500" s="6"/>
      <c r="L3500" s="19"/>
    </row>
    <row r="3501" spans="1:12" ht="14" customHeight="1" x14ac:dyDescent="0.2">
      <c r="A3501" s="14"/>
      <c r="B3501" s="15"/>
      <c r="C3501" s="16"/>
      <c r="D3501" s="16"/>
      <c r="E3501" s="16"/>
      <c r="F3501" s="16"/>
      <c r="G3501" s="16"/>
      <c r="H3501" s="16"/>
      <c r="I3501" s="16"/>
      <c r="J3501" s="16"/>
      <c r="K3501" s="6"/>
      <c r="L3501" s="16"/>
    </row>
    <row r="3502" spans="1:12" ht="14" customHeight="1" x14ac:dyDescent="0.2">
      <c r="A3502" s="17"/>
      <c r="B3502" s="18"/>
      <c r="C3502" s="19"/>
      <c r="D3502" s="19"/>
      <c r="E3502" s="19"/>
      <c r="F3502" s="19"/>
      <c r="G3502" s="19"/>
      <c r="H3502" s="19"/>
      <c r="I3502" s="19"/>
      <c r="J3502" s="19"/>
      <c r="K3502" s="6"/>
      <c r="L3502" s="19"/>
    </row>
    <row r="3503" spans="1:12" ht="14" customHeight="1" x14ac:dyDescent="0.2">
      <c r="A3503" s="14"/>
      <c r="B3503" s="15"/>
      <c r="C3503" s="16"/>
      <c r="D3503" s="16"/>
      <c r="E3503" s="16"/>
      <c r="F3503" s="16"/>
      <c r="G3503" s="16"/>
      <c r="H3503" s="16"/>
      <c r="I3503" s="16"/>
      <c r="J3503" s="16"/>
      <c r="K3503" s="6"/>
      <c r="L3503" s="16"/>
    </row>
    <row r="3504" spans="1:12" ht="14" customHeight="1" x14ac:dyDescent="0.2">
      <c r="A3504" s="17"/>
      <c r="B3504" s="18"/>
      <c r="C3504" s="19"/>
      <c r="D3504" s="19"/>
      <c r="E3504" s="19"/>
      <c r="F3504" s="19"/>
      <c r="G3504" s="19"/>
      <c r="H3504" s="19"/>
      <c r="I3504" s="19"/>
      <c r="J3504" s="19"/>
      <c r="K3504" s="6"/>
      <c r="L3504" s="19"/>
    </row>
    <row r="3505" spans="1:12" ht="14" customHeight="1" x14ac:dyDescent="0.2">
      <c r="A3505" s="14"/>
      <c r="B3505" s="15"/>
      <c r="C3505" s="16"/>
      <c r="D3505" s="16"/>
      <c r="E3505" s="16"/>
      <c r="F3505" s="16"/>
      <c r="G3505" s="16"/>
      <c r="H3505" s="16"/>
      <c r="I3505" s="16"/>
      <c r="J3505" s="16"/>
      <c r="K3505" s="6"/>
      <c r="L3505" s="16"/>
    </row>
    <row r="3506" spans="1:12" ht="14" customHeight="1" x14ac:dyDescent="0.2">
      <c r="A3506" s="17"/>
      <c r="B3506" s="18"/>
      <c r="C3506" s="19"/>
      <c r="D3506" s="19"/>
      <c r="E3506" s="19"/>
      <c r="F3506" s="19"/>
      <c r="G3506" s="19"/>
      <c r="H3506" s="19"/>
      <c r="I3506" s="19"/>
      <c r="J3506" s="19"/>
      <c r="K3506" s="6"/>
      <c r="L3506" s="19"/>
    </row>
    <row r="3507" spans="1:12" ht="14" customHeight="1" x14ac:dyDescent="0.2">
      <c r="A3507" s="14"/>
      <c r="B3507" s="15"/>
      <c r="C3507" s="16"/>
      <c r="D3507" s="16"/>
      <c r="E3507" s="16"/>
      <c r="F3507" s="16"/>
      <c r="G3507" s="16"/>
      <c r="H3507" s="16"/>
      <c r="I3507" s="16"/>
      <c r="J3507" s="16"/>
      <c r="K3507" s="6"/>
      <c r="L3507" s="16"/>
    </row>
    <row r="3508" spans="1:12" ht="14" customHeight="1" x14ac:dyDescent="0.2">
      <c r="A3508" s="17"/>
      <c r="B3508" s="18"/>
      <c r="C3508" s="19"/>
      <c r="D3508" s="19"/>
      <c r="E3508" s="19"/>
      <c r="F3508" s="19"/>
      <c r="G3508" s="19"/>
      <c r="H3508" s="19"/>
      <c r="I3508" s="19"/>
      <c r="J3508" s="19"/>
      <c r="K3508" s="6"/>
      <c r="L3508" s="19"/>
    </row>
    <row r="3509" spans="1:12" ht="14" customHeight="1" x14ac:dyDescent="0.2">
      <c r="A3509" s="14"/>
      <c r="B3509" s="15"/>
      <c r="C3509" s="16"/>
      <c r="D3509" s="16"/>
      <c r="E3509" s="16"/>
      <c r="F3509" s="16"/>
      <c r="G3509" s="16"/>
      <c r="H3509" s="16"/>
      <c r="I3509" s="16"/>
      <c r="J3509" s="16"/>
      <c r="K3509" s="6"/>
      <c r="L3509" s="16"/>
    </row>
    <row r="3510" spans="1:12" ht="14" customHeight="1" x14ac:dyDescent="0.2">
      <c r="A3510" s="17"/>
      <c r="B3510" s="18"/>
      <c r="C3510" s="19"/>
      <c r="D3510" s="19"/>
      <c r="E3510" s="19"/>
      <c r="F3510" s="19"/>
      <c r="G3510" s="19"/>
      <c r="H3510" s="19"/>
      <c r="I3510" s="19"/>
      <c r="J3510" s="19"/>
      <c r="K3510" s="6"/>
      <c r="L3510" s="19"/>
    </row>
    <row r="3511" spans="1:12" ht="14" customHeight="1" x14ac:dyDescent="0.2">
      <c r="A3511" s="14"/>
      <c r="B3511" s="15"/>
      <c r="C3511" s="16"/>
      <c r="D3511" s="16"/>
      <c r="E3511" s="16"/>
      <c r="F3511" s="16"/>
      <c r="G3511" s="16"/>
      <c r="H3511" s="16"/>
      <c r="I3511" s="16"/>
      <c r="J3511" s="16"/>
      <c r="K3511" s="6"/>
      <c r="L3511" s="16"/>
    </row>
    <row r="3512" spans="1:12" ht="14" customHeight="1" x14ac:dyDescent="0.2">
      <c r="A3512" s="17"/>
      <c r="B3512" s="18"/>
      <c r="C3512" s="19"/>
      <c r="D3512" s="19"/>
      <c r="E3512" s="19"/>
      <c r="F3512" s="19"/>
      <c r="G3512" s="19"/>
      <c r="H3512" s="19"/>
      <c r="I3512" s="19"/>
      <c r="J3512" s="19"/>
      <c r="K3512" s="6"/>
      <c r="L3512" s="19"/>
    </row>
    <row r="3513" spans="1:12" ht="14" customHeight="1" x14ac:dyDescent="0.2">
      <c r="A3513" s="14"/>
      <c r="B3513" s="15"/>
      <c r="C3513" s="16"/>
      <c r="D3513" s="16"/>
      <c r="E3513" s="16"/>
      <c r="F3513" s="16"/>
      <c r="G3513" s="16"/>
      <c r="H3513" s="16"/>
      <c r="I3513" s="16"/>
      <c r="J3513" s="16"/>
      <c r="K3513" s="6"/>
      <c r="L3513" s="16"/>
    </row>
    <row r="3514" spans="1:12" ht="14" customHeight="1" x14ac:dyDescent="0.2">
      <c r="A3514" s="17"/>
      <c r="B3514" s="18"/>
      <c r="C3514" s="19"/>
      <c r="D3514" s="19"/>
      <c r="E3514" s="19"/>
      <c r="F3514" s="19"/>
      <c r="G3514" s="19"/>
      <c r="H3514" s="19"/>
      <c r="I3514" s="19"/>
      <c r="J3514" s="19"/>
      <c r="K3514" s="6"/>
      <c r="L3514" s="19"/>
    </row>
    <row r="3515" spans="1:12" ht="14" customHeight="1" x14ac:dyDescent="0.2">
      <c r="A3515" s="14"/>
      <c r="B3515" s="15"/>
      <c r="C3515" s="16"/>
      <c r="D3515" s="16"/>
      <c r="E3515" s="16"/>
      <c r="F3515" s="16"/>
      <c r="G3515" s="16"/>
      <c r="H3515" s="16"/>
      <c r="I3515" s="16"/>
      <c r="J3515" s="16"/>
      <c r="K3515" s="6"/>
      <c r="L3515" s="16"/>
    </row>
    <row r="3516" spans="1:12" ht="14" customHeight="1" x14ac:dyDescent="0.2">
      <c r="A3516" s="17"/>
      <c r="B3516" s="18"/>
      <c r="C3516" s="19"/>
      <c r="D3516" s="19"/>
      <c r="E3516" s="19"/>
      <c r="F3516" s="19"/>
      <c r="G3516" s="19"/>
      <c r="H3516" s="19"/>
      <c r="I3516" s="19"/>
      <c r="J3516" s="19"/>
      <c r="K3516" s="6"/>
      <c r="L3516" s="19"/>
    </row>
    <row r="3517" spans="1:12" ht="14" customHeight="1" x14ac:dyDescent="0.2">
      <c r="A3517" s="14"/>
      <c r="B3517" s="15"/>
      <c r="C3517" s="16"/>
      <c r="D3517" s="16"/>
      <c r="E3517" s="16"/>
      <c r="F3517" s="16"/>
      <c r="G3517" s="16"/>
      <c r="H3517" s="16"/>
      <c r="I3517" s="16"/>
      <c r="J3517" s="16"/>
      <c r="K3517" s="6"/>
      <c r="L3517" s="16"/>
    </row>
    <row r="3518" spans="1:12" ht="14" customHeight="1" x14ac:dyDescent="0.2">
      <c r="A3518" s="17"/>
      <c r="B3518" s="18"/>
      <c r="C3518" s="19"/>
      <c r="D3518" s="19"/>
      <c r="E3518" s="19"/>
      <c r="F3518" s="19"/>
      <c r="G3518" s="19"/>
      <c r="H3518" s="19"/>
      <c r="I3518" s="19"/>
      <c r="J3518" s="19"/>
      <c r="K3518" s="6"/>
      <c r="L3518" s="19"/>
    </row>
    <row r="3519" spans="1:12" ht="14" customHeight="1" x14ac:dyDescent="0.2">
      <c r="A3519" s="14"/>
      <c r="B3519" s="15"/>
      <c r="C3519" s="16"/>
      <c r="D3519" s="16"/>
      <c r="E3519" s="16"/>
      <c r="F3519" s="16"/>
      <c r="G3519" s="16"/>
      <c r="H3519" s="16"/>
      <c r="I3519" s="16"/>
      <c r="J3519" s="16"/>
      <c r="K3519" s="6"/>
      <c r="L3519" s="16"/>
    </row>
    <row r="3520" spans="1:12" ht="14" customHeight="1" x14ac:dyDescent="0.2">
      <c r="A3520" s="17"/>
      <c r="B3520" s="18"/>
      <c r="C3520" s="19"/>
      <c r="D3520" s="19"/>
      <c r="E3520" s="19"/>
      <c r="F3520" s="19"/>
      <c r="G3520" s="19"/>
      <c r="H3520" s="19"/>
      <c r="I3520" s="19"/>
      <c r="J3520" s="19"/>
      <c r="K3520" s="6"/>
      <c r="L3520" s="19"/>
    </row>
    <row r="3521" spans="1:12" ht="14" customHeight="1" x14ac:dyDescent="0.2">
      <c r="A3521" s="14"/>
      <c r="B3521" s="15"/>
      <c r="C3521" s="16"/>
      <c r="D3521" s="16"/>
      <c r="E3521" s="16"/>
      <c r="F3521" s="16"/>
      <c r="G3521" s="16"/>
      <c r="H3521" s="16"/>
      <c r="I3521" s="16"/>
      <c r="J3521" s="16"/>
      <c r="K3521" s="6"/>
      <c r="L3521" s="16"/>
    </row>
    <row r="3522" spans="1:12" ht="14" customHeight="1" x14ac:dyDescent="0.2">
      <c r="A3522" s="17"/>
      <c r="B3522" s="18"/>
      <c r="C3522" s="19"/>
      <c r="D3522" s="19"/>
      <c r="E3522" s="19"/>
      <c r="F3522" s="19"/>
      <c r="G3522" s="19"/>
      <c r="H3522" s="19"/>
      <c r="I3522" s="19"/>
      <c r="J3522" s="19"/>
      <c r="K3522" s="6"/>
      <c r="L3522" s="19"/>
    </row>
    <row r="3523" spans="1:12" ht="14" customHeight="1" x14ac:dyDescent="0.2">
      <c r="A3523" s="14"/>
      <c r="B3523" s="15"/>
      <c r="C3523" s="16"/>
      <c r="D3523" s="16"/>
      <c r="E3523" s="16"/>
      <c r="F3523" s="16"/>
      <c r="G3523" s="16"/>
      <c r="H3523" s="16"/>
      <c r="I3523" s="16"/>
      <c r="J3523" s="16"/>
      <c r="K3523" s="6"/>
      <c r="L3523" s="16"/>
    </row>
    <row r="3524" spans="1:12" ht="14" customHeight="1" x14ac:dyDescent="0.2">
      <c r="A3524" s="17"/>
      <c r="B3524" s="18"/>
      <c r="C3524" s="19"/>
      <c r="D3524" s="19"/>
      <c r="E3524" s="19"/>
      <c r="F3524" s="19"/>
      <c r="G3524" s="19"/>
      <c r="H3524" s="19"/>
      <c r="I3524" s="19"/>
      <c r="J3524" s="19"/>
      <c r="K3524" s="6"/>
      <c r="L3524" s="19"/>
    </row>
    <row r="3525" spans="1:12" ht="14" customHeight="1" x14ac:dyDescent="0.2">
      <c r="A3525" s="14"/>
      <c r="B3525" s="15"/>
      <c r="C3525" s="16"/>
      <c r="D3525" s="16"/>
      <c r="E3525" s="16"/>
      <c r="F3525" s="16"/>
      <c r="G3525" s="16"/>
      <c r="H3525" s="16"/>
      <c r="I3525" s="16"/>
      <c r="J3525" s="16"/>
      <c r="K3525" s="6"/>
      <c r="L3525" s="16"/>
    </row>
    <row r="3526" spans="1:12" ht="14" customHeight="1" x14ac:dyDescent="0.2">
      <c r="A3526" s="17"/>
      <c r="B3526" s="18"/>
      <c r="C3526" s="19"/>
      <c r="D3526" s="19"/>
      <c r="E3526" s="19"/>
      <c r="F3526" s="19"/>
      <c r="G3526" s="19"/>
      <c r="H3526" s="19"/>
      <c r="I3526" s="19"/>
      <c r="J3526" s="19"/>
      <c r="K3526" s="6"/>
      <c r="L3526" s="19"/>
    </row>
    <row r="3527" spans="1:12" ht="14" customHeight="1" x14ac:dyDescent="0.2">
      <c r="A3527" s="14"/>
      <c r="B3527" s="15"/>
      <c r="C3527" s="16"/>
      <c r="D3527" s="16"/>
      <c r="E3527" s="16"/>
      <c r="F3527" s="16"/>
      <c r="G3527" s="16"/>
      <c r="H3527" s="16"/>
      <c r="I3527" s="16"/>
      <c r="J3527" s="16"/>
      <c r="K3527" s="6"/>
      <c r="L3527" s="16"/>
    </row>
    <row r="3528" spans="1:12" ht="14" customHeight="1" x14ac:dyDescent="0.2">
      <c r="A3528" s="17"/>
      <c r="B3528" s="18"/>
      <c r="C3528" s="19"/>
      <c r="D3528" s="19"/>
      <c r="E3528" s="19"/>
      <c r="F3528" s="19"/>
      <c r="G3528" s="19"/>
      <c r="H3528" s="19"/>
      <c r="I3528" s="19"/>
      <c r="J3528" s="19"/>
      <c r="K3528" s="6"/>
      <c r="L3528" s="19"/>
    </row>
    <row r="3529" spans="1:12" ht="14" customHeight="1" x14ac:dyDescent="0.2">
      <c r="A3529" s="14"/>
      <c r="B3529" s="15"/>
      <c r="C3529" s="16"/>
      <c r="D3529" s="16"/>
      <c r="E3529" s="16"/>
      <c r="F3529" s="16"/>
      <c r="G3529" s="16"/>
      <c r="H3529" s="16"/>
      <c r="I3529" s="16"/>
      <c r="J3529" s="16"/>
      <c r="K3529" s="6"/>
      <c r="L3529" s="16"/>
    </row>
    <row r="3530" spans="1:12" ht="14" customHeight="1" x14ac:dyDescent="0.2">
      <c r="A3530" s="17"/>
      <c r="B3530" s="18"/>
      <c r="C3530" s="19"/>
      <c r="D3530" s="19"/>
      <c r="E3530" s="19"/>
      <c r="F3530" s="19"/>
      <c r="G3530" s="19"/>
      <c r="H3530" s="19"/>
      <c r="I3530" s="19"/>
      <c r="J3530" s="19"/>
      <c r="K3530" s="6"/>
      <c r="L3530" s="19"/>
    </row>
    <row r="3531" spans="1:12" ht="14" customHeight="1" x14ac:dyDescent="0.2">
      <c r="A3531" s="14"/>
      <c r="B3531" s="15"/>
      <c r="C3531" s="16"/>
      <c r="D3531" s="16"/>
      <c r="E3531" s="16"/>
      <c r="F3531" s="16"/>
      <c r="G3531" s="16"/>
      <c r="H3531" s="16"/>
      <c r="I3531" s="16"/>
      <c r="J3531" s="16"/>
      <c r="K3531" s="6"/>
      <c r="L3531" s="16"/>
    </row>
    <row r="3532" spans="1:12" ht="14" customHeight="1" x14ac:dyDescent="0.2">
      <c r="A3532" s="17"/>
      <c r="B3532" s="18"/>
      <c r="C3532" s="19"/>
      <c r="D3532" s="19"/>
      <c r="E3532" s="19"/>
      <c r="F3532" s="19"/>
      <c r="G3532" s="19"/>
      <c r="H3532" s="19"/>
      <c r="I3532" s="19"/>
      <c r="J3532" s="19"/>
      <c r="K3532" s="6"/>
      <c r="L3532" s="19"/>
    </row>
    <row r="3533" spans="1:12" ht="14" customHeight="1" x14ac:dyDescent="0.2">
      <c r="A3533" s="14"/>
      <c r="B3533" s="15"/>
      <c r="C3533" s="16"/>
      <c r="D3533" s="16"/>
      <c r="E3533" s="16"/>
      <c r="F3533" s="16"/>
      <c r="G3533" s="16"/>
      <c r="H3533" s="16"/>
      <c r="I3533" s="16"/>
      <c r="J3533" s="16"/>
      <c r="K3533" s="6"/>
      <c r="L3533" s="16"/>
    </row>
    <row r="3534" spans="1:12" ht="14" customHeight="1" x14ac:dyDescent="0.2">
      <c r="A3534" s="17"/>
      <c r="B3534" s="18"/>
      <c r="C3534" s="19"/>
      <c r="D3534" s="19"/>
      <c r="E3534" s="19"/>
      <c r="F3534" s="19"/>
      <c r="G3534" s="19"/>
      <c r="H3534" s="19"/>
      <c r="I3534" s="19"/>
      <c r="J3534" s="19"/>
      <c r="K3534" s="6"/>
      <c r="L3534" s="19"/>
    </row>
    <row r="3535" spans="1:12" ht="14" customHeight="1" x14ac:dyDescent="0.2">
      <c r="A3535" s="14"/>
      <c r="B3535" s="15"/>
      <c r="C3535" s="16"/>
      <c r="D3535" s="16"/>
      <c r="E3535" s="16"/>
      <c r="F3535" s="16"/>
      <c r="G3535" s="16"/>
      <c r="H3535" s="16"/>
      <c r="I3535" s="16"/>
      <c r="J3535" s="16"/>
      <c r="K3535" s="6"/>
      <c r="L3535" s="16"/>
    </row>
    <row r="3536" spans="1:12" ht="14" customHeight="1" x14ac:dyDescent="0.2">
      <c r="A3536" s="17"/>
      <c r="B3536" s="18"/>
      <c r="C3536" s="19"/>
      <c r="D3536" s="19"/>
      <c r="E3536" s="19"/>
      <c r="F3536" s="19"/>
      <c r="G3536" s="19"/>
      <c r="H3536" s="19"/>
      <c r="I3536" s="19"/>
      <c r="J3536" s="19"/>
      <c r="K3536" s="6"/>
      <c r="L3536" s="19"/>
    </row>
    <row r="3537" spans="1:12" ht="14" customHeight="1" x14ac:dyDescent="0.2">
      <c r="A3537" s="14"/>
      <c r="B3537" s="15"/>
      <c r="C3537" s="16"/>
      <c r="D3537" s="16"/>
      <c r="E3537" s="16"/>
      <c r="F3537" s="16"/>
      <c r="G3537" s="16"/>
      <c r="H3537" s="16"/>
      <c r="I3537" s="16"/>
      <c r="J3537" s="16"/>
      <c r="K3537" s="6"/>
      <c r="L3537" s="16"/>
    </row>
    <row r="3538" spans="1:12" ht="14" customHeight="1" x14ac:dyDescent="0.2">
      <c r="A3538" s="17"/>
      <c r="B3538" s="18"/>
      <c r="C3538" s="19"/>
      <c r="D3538" s="19"/>
      <c r="E3538" s="19"/>
      <c r="F3538" s="19"/>
      <c r="G3538" s="19"/>
      <c r="H3538" s="19"/>
      <c r="I3538" s="19"/>
      <c r="J3538" s="19"/>
      <c r="K3538" s="6"/>
      <c r="L3538" s="19"/>
    </row>
    <row r="3539" spans="1:12" ht="14" customHeight="1" x14ac:dyDescent="0.2">
      <c r="A3539" s="14"/>
      <c r="B3539" s="15"/>
      <c r="C3539" s="16"/>
      <c r="D3539" s="16"/>
      <c r="E3539" s="16"/>
      <c r="F3539" s="16"/>
      <c r="G3539" s="16"/>
      <c r="H3539" s="16"/>
      <c r="I3539" s="16"/>
      <c r="J3539" s="16"/>
      <c r="K3539" s="6"/>
      <c r="L3539" s="16"/>
    </row>
    <row r="3540" spans="1:12" ht="14" customHeight="1" x14ac:dyDescent="0.2">
      <c r="A3540" s="17"/>
      <c r="B3540" s="18"/>
      <c r="C3540" s="19"/>
      <c r="D3540" s="19"/>
      <c r="E3540" s="19"/>
      <c r="F3540" s="19"/>
      <c r="G3540" s="19"/>
      <c r="H3540" s="19"/>
      <c r="I3540" s="19"/>
      <c r="J3540" s="19"/>
      <c r="K3540" s="6"/>
      <c r="L3540" s="19"/>
    </row>
    <row r="3541" spans="1:12" ht="14" customHeight="1" x14ac:dyDescent="0.2">
      <c r="A3541" s="14"/>
      <c r="B3541" s="15"/>
      <c r="C3541" s="16"/>
      <c r="D3541" s="16"/>
      <c r="E3541" s="16"/>
      <c r="F3541" s="16"/>
      <c r="G3541" s="16"/>
      <c r="H3541" s="16"/>
      <c r="I3541" s="16"/>
      <c r="J3541" s="16"/>
      <c r="K3541" s="6"/>
      <c r="L3541" s="16"/>
    </row>
    <row r="3542" spans="1:12" ht="14" customHeight="1" x14ac:dyDescent="0.2">
      <c r="A3542" s="17"/>
      <c r="B3542" s="18"/>
      <c r="C3542" s="19"/>
      <c r="D3542" s="19"/>
      <c r="E3542" s="19"/>
      <c r="F3542" s="19"/>
      <c r="G3542" s="19"/>
      <c r="H3542" s="19"/>
      <c r="I3542" s="19"/>
      <c r="J3542" s="19"/>
      <c r="K3542" s="6"/>
      <c r="L3542" s="19"/>
    </row>
    <row r="3543" spans="1:12" ht="14" customHeight="1" x14ac:dyDescent="0.2">
      <c r="A3543" s="14"/>
      <c r="B3543" s="15"/>
      <c r="C3543" s="16"/>
      <c r="D3543" s="16"/>
      <c r="E3543" s="16"/>
      <c r="F3543" s="16"/>
      <c r="G3543" s="16"/>
      <c r="H3543" s="16"/>
      <c r="I3543" s="16"/>
      <c r="J3543" s="16"/>
      <c r="K3543" s="6"/>
      <c r="L3543" s="16"/>
    </row>
    <row r="3544" spans="1:12" ht="14" customHeight="1" x14ac:dyDescent="0.2">
      <c r="A3544" s="17"/>
      <c r="B3544" s="18"/>
      <c r="C3544" s="19"/>
      <c r="D3544" s="19"/>
      <c r="E3544" s="19"/>
      <c r="F3544" s="19"/>
      <c r="G3544" s="19"/>
      <c r="H3544" s="19"/>
      <c r="I3544" s="19"/>
      <c r="J3544" s="19"/>
      <c r="K3544" s="6"/>
      <c r="L3544" s="19"/>
    </row>
    <row r="3545" spans="1:12" ht="14" customHeight="1" x14ac:dyDescent="0.2">
      <c r="A3545" s="14"/>
      <c r="B3545" s="15"/>
      <c r="C3545" s="16"/>
      <c r="D3545" s="16"/>
      <c r="E3545" s="16"/>
      <c r="F3545" s="16"/>
      <c r="G3545" s="16"/>
      <c r="H3545" s="16"/>
      <c r="I3545" s="16"/>
      <c r="J3545" s="16"/>
      <c r="K3545" s="6"/>
      <c r="L3545" s="16"/>
    </row>
    <row r="3546" spans="1:12" ht="14" customHeight="1" x14ac:dyDescent="0.2">
      <c r="A3546" s="17"/>
      <c r="B3546" s="18"/>
      <c r="C3546" s="19"/>
      <c r="D3546" s="19"/>
      <c r="E3546" s="19"/>
      <c r="F3546" s="19"/>
      <c r="G3546" s="19"/>
      <c r="H3546" s="19"/>
      <c r="I3546" s="19"/>
      <c r="J3546" s="19"/>
      <c r="K3546" s="6"/>
      <c r="L3546" s="19"/>
    </row>
    <row r="3547" spans="1:12" ht="14" customHeight="1" x14ac:dyDescent="0.2">
      <c r="A3547" s="14"/>
      <c r="B3547" s="15"/>
      <c r="C3547" s="16"/>
      <c r="D3547" s="16"/>
      <c r="E3547" s="16"/>
      <c r="F3547" s="16"/>
      <c r="G3547" s="16"/>
      <c r="H3547" s="16"/>
      <c r="I3547" s="16"/>
      <c r="J3547" s="16"/>
      <c r="K3547" s="6"/>
      <c r="L3547" s="16"/>
    </row>
    <row r="3548" spans="1:12" ht="14" customHeight="1" x14ac:dyDescent="0.2">
      <c r="A3548" s="17"/>
      <c r="B3548" s="18"/>
      <c r="C3548" s="19"/>
      <c r="D3548" s="19"/>
      <c r="E3548" s="19"/>
      <c r="F3548" s="19"/>
      <c r="G3548" s="19"/>
      <c r="H3548" s="19"/>
      <c r="I3548" s="19"/>
      <c r="J3548" s="19"/>
      <c r="K3548" s="6"/>
      <c r="L3548" s="19"/>
    </row>
    <row r="3549" spans="1:12" ht="14" customHeight="1" x14ac:dyDescent="0.2">
      <c r="A3549" s="14"/>
      <c r="B3549" s="15"/>
      <c r="C3549" s="16"/>
      <c r="D3549" s="16"/>
      <c r="E3549" s="16"/>
      <c r="F3549" s="16"/>
      <c r="G3549" s="16"/>
      <c r="H3549" s="16"/>
      <c r="I3549" s="16"/>
      <c r="J3549" s="16"/>
      <c r="K3549" s="6"/>
      <c r="L3549" s="16"/>
    </row>
    <row r="3550" spans="1:12" ht="14" customHeight="1" x14ac:dyDescent="0.2">
      <c r="A3550" s="17"/>
      <c r="B3550" s="18"/>
      <c r="C3550" s="19"/>
      <c r="D3550" s="19"/>
      <c r="E3550" s="19"/>
      <c r="F3550" s="19"/>
      <c r="G3550" s="19"/>
      <c r="H3550" s="19"/>
      <c r="I3550" s="19"/>
      <c r="J3550" s="19"/>
      <c r="K3550" s="6"/>
      <c r="L3550" s="19"/>
    </row>
    <row r="3551" spans="1:12" ht="14" customHeight="1" x14ac:dyDescent="0.2">
      <c r="A3551" s="14"/>
      <c r="B3551" s="15"/>
      <c r="C3551" s="16"/>
      <c r="D3551" s="16"/>
      <c r="E3551" s="16"/>
      <c r="F3551" s="16"/>
      <c r="G3551" s="16"/>
      <c r="H3551" s="16"/>
      <c r="I3551" s="16"/>
      <c r="J3551" s="16"/>
      <c r="K3551" s="6"/>
      <c r="L3551" s="16"/>
    </row>
    <row r="3552" spans="1:12" ht="14" customHeight="1" x14ac:dyDescent="0.2">
      <c r="A3552" s="17"/>
      <c r="B3552" s="18"/>
      <c r="C3552" s="19"/>
      <c r="D3552" s="19"/>
      <c r="E3552" s="19"/>
      <c r="F3552" s="19"/>
      <c r="G3552" s="19"/>
      <c r="H3552" s="19"/>
      <c r="I3552" s="19"/>
      <c r="J3552" s="19"/>
      <c r="K3552" s="6"/>
      <c r="L3552" s="19"/>
    </row>
    <row r="3553" spans="1:12" ht="14" customHeight="1" x14ac:dyDescent="0.2">
      <c r="A3553" s="14"/>
      <c r="B3553" s="15"/>
      <c r="C3553" s="16"/>
      <c r="D3553" s="16"/>
      <c r="E3553" s="16"/>
      <c r="F3553" s="16"/>
      <c r="G3553" s="16"/>
      <c r="H3553" s="16"/>
      <c r="I3553" s="16"/>
      <c r="J3553" s="16"/>
      <c r="K3553" s="6"/>
      <c r="L3553" s="16"/>
    </row>
    <row r="3554" spans="1:12" ht="14" customHeight="1" x14ac:dyDescent="0.2">
      <c r="A3554" s="17"/>
      <c r="B3554" s="18"/>
      <c r="C3554" s="19"/>
      <c r="D3554" s="19"/>
      <c r="E3554" s="19"/>
      <c r="F3554" s="19"/>
      <c r="G3554" s="19"/>
      <c r="H3554" s="19"/>
      <c r="I3554" s="19"/>
      <c r="J3554" s="19"/>
      <c r="K3554" s="6"/>
      <c r="L3554" s="19"/>
    </row>
    <row r="3555" spans="1:12" ht="14" customHeight="1" x14ac:dyDescent="0.2">
      <c r="A3555" s="14"/>
      <c r="B3555" s="15"/>
      <c r="C3555" s="16"/>
      <c r="D3555" s="16"/>
      <c r="E3555" s="16"/>
      <c r="F3555" s="16"/>
      <c r="G3555" s="16"/>
      <c r="H3555" s="16"/>
      <c r="I3555" s="16"/>
      <c r="J3555" s="16"/>
      <c r="K3555" s="6"/>
      <c r="L3555" s="16"/>
    </row>
    <row r="3556" spans="1:12" ht="14" customHeight="1" x14ac:dyDescent="0.2">
      <c r="A3556" s="17"/>
      <c r="B3556" s="18"/>
      <c r="C3556" s="19"/>
      <c r="D3556" s="19"/>
      <c r="E3556" s="19"/>
      <c r="F3556" s="19"/>
      <c r="G3556" s="19"/>
      <c r="H3556" s="19"/>
      <c r="I3556" s="19"/>
      <c r="J3556" s="19"/>
      <c r="K3556" s="6"/>
      <c r="L3556" s="19"/>
    </row>
    <row r="3557" spans="1:12" ht="14" customHeight="1" x14ac:dyDescent="0.2">
      <c r="A3557" s="14"/>
      <c r="B3557" s="15"/>
      <c r="C3557" s="16"/>
      <c r="D3557" s="16"/>
      <c r="E3557" s="16"/>
      <c r="F3557" s="16"/>
      <c r="G3557" s="16"/>
      <c r="H3557" s="16"/>
      <c r="I3557" s="16"/>
      <c r="J3557" s="16"/>
      <c r="K3557" s="6"/>
      <c r="L3557" s="16"/>
    </row>
    <row r="3558" spans="1:12" ht="14" customHeight="1" x14ac:dyDescent="0.2">
      <c r="A3558" s="17"/>
      <c r="B3558" s="18"/>
      <c r="C3558" s="19"/>
      <c r="D3558" s="19"/>
      <c r="E3558" s="19"/>
      <c r="F3558" s="19"/>
      <c r="G3558" s="19"/>
      <c r="H3558" s="19"/>
      <c r="I3558" s="19"/>
      <c r="J3558" s="19"/>
      <c r="K3558" s="6"/>
      <c r="L3558" s="19"/>
    </row>
    <row r="3559" spans="1:12" ht="14" customHeight="1" x14ac:dyDescent="0.2">
      <c r="A3559" s="14"/>
      <c r="B3559" s="15"/>
      <c r="C3559" s="16"/>
      <c r="D3559" s="16"/>
      <c r="E3559" s="16"/>
      <c r="F3559" s="16"/>
      <c r="G3559" s="16"/>
      <c r="H3559" s="16"/>
      <c r="I3559" s="16"/>
      <c r="J3559" s="16"/>
      <c r="K3559" s="6"/>
      <c r="L3559" s="16"/>
    </row>
    <row r="3560" spans="1:12" ht="14" customHeight="1" x14ac:dyDescent="0.2">
      <c r="A3560" s="17"/>
      <c r="B3560" s="18"/>
      <c r="C3560" s="19"/>
      <c r="D3560" s="19"/>
      <c r="E3560" s="19"/>
      <c r="F3560" s="19"/>
      <c r="G3560" s="19"/>
      <c r="H3560" s="19"/>
      <c r="I3560" s="19"/>
      <c r="J3560" s="19"/>
      <c r="K3560" s="6"/>
      <c r="L3560" s="19"/>
    </row>
    <row r="3561" spans="1:12" ht="14" customHeight="1" x14ac:dyDescent="0.2">
      <c r="A3561" s="14"/>
      <c r="B3561" s="15"/>
      <c r="C3561" s="16"/>
      <c r="D3561" s="16"/>
      <c r="E3561" s="16"/>
      <c r="F3561" s="16"/>
      <c r="G3561" s="16"/>
      <c r="H3561" s="16"/>
      <c r="I3561" s="16"/>
      <c r="J3561" s="16"/>
      <c r="K3561" s="6"/>
      <c r="L3561" s="16"/>
    </row>
    <row r="3562" spans="1:12" ht="14" customHeight="1" x14ac:dyDescent="0.2">
      <c r="A3562" s="17"/>
      <c r="B3562" s="18"/>
      <c r="C3562" s="19"/>
      <c r="D3562" s="19"/>
      <c r="E3562" s="19"/>
      <c r="F3562" s="19"/>
      <c r="G3562" s="19"/>
      <c r="H3562" s="19"/>
      <c r="I3562" s="19"/>
      <c r="J3562" s="19"/>
      <c r="K3562" s="6"/>
      <c r="L3562" s="19"/>
    </row>
    <row r="3563" spans="1:12" ht="14" customHeight="1" x14ac:dyDescent="0.2">
      <c r="A3563" s="14"/>
      <c r="B3563" s="15"/>
      <c r="C3563" s="16"/>
      <c r="D3563" s="16"/>
      <c r="E3563" s="16"/>
      <c r="F3563" s="16"/>
      <c r="G3563" s="16"/>
      <c r="H3563" s="16"/>
      <c r="I3563" s="16"/>
      <c r="J3563" s="16"/>
      <c r="K3563" s="6"/>
      <c r="L3563" s="16"/>
    </row>
    <row r="3564" spans="1:12" ht="14" customHeight="1" x14ac:dyDescent="0.2">
      <c r="A3564" s="17"/>
      <c r="B3564" s="18"/>
      <c r="C3564" s="19"/>
      <c r="D3564" s="19"/>
      <c r="E3564" s="19"/>
      <c r="F3564" s="19"/>
      <c r="G3564" s="19"/>
      <c r="H3564" s="19"/>
      <c r="I3564" s="19"/>
      <c r="J3564" s="19"/>
      <c r="K3564" s="6"/>
      <c r="L3564" s="19"/>
    </row>
    <row r="3565" spans="1:12" ht="14" customHeight="1" x14ac:dyDescent="0.2">
      <c r="A3565" s="14"/>
      <c r="B3565" s="15"/>
      <c r="C3565" s="16"/>
      <c r="D3565" s="16"/>
      <c r="E3565" s="16"/>
      <c r="F3565" s="16"/>
      <c r="G3565" s="16"/>
      <c r="H3565" s="16"/>
      <c r="I3565" s="16"/>
      <c r="J3565" s="16"/>
      <c r="K3565" s="6"/>
      <c r="L3565" s="16"/>
    </row>
    <row r="3566" spans="1:12" ht="14" customHeight="1" x14ac:dyDescent="0.2">
      <c r="A3566" s="17"/>
      <c r="B3566" s="18"/>
      <c r="C3566" s="19"/>
      <c r="D3566" s="19"/>
      <c r="E3566" s="19"/>
      <c r="F3566" s="19"/>
      <c r="G3566" s="19"/>
      <c r="H3566" s="19"/>
      <c r="I3566" s="19"/>
      <c r="J3566" s="19"/>
      <c r="K3566" s="6"/>
      <c r="L3566" s="19"/>
    </row>
    <row r="3567" spans="1:12" ht="14" customHeight="1" x14ac:dyDescent="0.2">
      <c r="A3567" s="14"/>
      <c r="B3567" s="15"/>
      <c r="C3567" s="16"/>
      <c r="D3567" s="16"/>
      <c r="E3567" s="16"/>
      <c r="F3567" s="16"/>
      <c r="G3567" s="16"/>
      <c r="H3567" s="16"/>
      <c r="I3567" s="16"/>
      <c r="J3567" s="16"/>
      <c r="K3567" s="6"/>
      <c r="L3567" s="16"/>
    </row>
    <row r="3568" spans="1:12" ht="14" customHeight="1" x14ac:dyDescent="0.2">
      <c r="A3568" s="17"/>
      <c r="B3568" s="18"/>
      <c r="C3568" s="19"/>
      <c r="D3568" s="19"/>
      <c r="E3568" s="19"/>
      <c r="F3568" s="19"/>
      <c r="G3568" s="19"/>
      <c r="H3568" s="19"/>
      <c r="I3568" s="19"/>
      <c r="J3568" s="19"/>
      <c r="K3568" s="6"/>
      <c r="L3568" s="19"/>
    </row>
    <row r="3569" spans="1:12" ht="14" customHeight="1" x14ac:dyDescent="0.2">
      <c r="A3569" s="14"/>
      <c r="B3569" s="15"/>
      <c r="C3569" s="16"/>
      <c r="D3569" s="16"/>
      <c r="E3569" s="16"/>
      <c r="F3569" s="16"/>
      <c r="G3569" s="16"/>
      <c r="H3569" s="16"/>
      <c r="I3569" s="16"/>
      <c r="J3569" s="16"/>
      <c r="K3569" s="6"/>
      <c r="L3569" s="16"/>
    </row>
    <row r="3570" spans="1:12" ht="14" customHeight="1" x14ac:dyDescent="0.2">
      <c r="A3570" s="17"/>
      <c r="B3570" s="18"/>
      <c r="C3570" s="19"/>
      <c r="D3570" s="19"/>
      <c r="E3570" s="19"/>
      <c r="F3570" s="19"/>
      <c r="G3570" s="19"/>
      <c r="H3570" s="19"/>
      <c r="I3570" s="19"/>
      <c r="J3570" s="19"/>
      <c r="K3570" s="6"/>
      <c r="L3570" s="19"/>
    </row>
    <row r="3571" spans="1:12" ht="14" customHeight="1" x14ac:dyDescent="0.2">
      <c r="A3571" s="14"/>
      <c r="B3571" s="15"/>
      <c r="C3571" s="16"/>
      <c r="D3571" s="16"/>
      <c r="E3571" s="16"/>
      <c r="F3571" s="16"/>
      <c r="G3571" s="16"/>
      <c r="H3571" s="16"/>
      <c r="I3571" s="16"/>
      <c r="J3571" s="16"/>
      <c r="K3571" s="6"/>
      <c r="L3571" s="16"/>
    </row>
    <row r="3572" spans="1:12" ht="14" customHeight="1" x14ac:dyDescent="0.2">
      <c r="A3572" s="17"/>
      <c r="B3572" s="18"/>
      <c r="C3572" s="19"/>
      <c r="D3572" s="19"/>
      <c r="E3572" s="19"/>
      <c r="F3572" s="19"/>
      <c r="G3572" s="19"/>
      <c r="H3572" s="19"/>
      <c r="I3572" s="19"/>
      <c r="J3572" s="19"/>
      <c r="K3572" s="6"/>
      <c r="L3572" s="19"/>
    </row>
    <row r="3573" spans="1:12" ht="14" customHeight="1" x14ac:dyDescent="0.2">
      <c r="A3573" s="14"/>
      <c r="B3573" s="15"/>
      <c r="C3573" s="16"/>
      <c r="D3573" s="16"/>
      <c r="E3573" s="16"/>
      <c r="F3573" s="16"/>
      <c r="G3573" s="16"/>
      <c r="H3573" s="16"/>
      <c r="I3573" s="16"/>
      <c r="J3573" s="16"/>
      <c r="K3573" s="6"/>
      <c r="L3573" s="16"/>
    </row>
    <row r="3574" spans="1:12" ht="14" customHeight="1" x14ac:dyDescent="0.2">
      <c r="A3574" s="17"/>
      <c r="B3574" s="18"/>
      <c r="C3574" s="19"/>
      <c r="D3574" s="19"/>
      <c r="E3574" s="19"/>
      <c r="F3574" s="19"/>
      <c r="G3574" s="19"/>
      <c r="H3574" s="19"/>
      <c r="I3574" s="19"/>
      <c r="J3574" s="19"/>
      <c r="K3574" s="6"/>
      <c r="L3574" s="19"/>
    </row>
    <row r="3575" spans="1:12" ht="14" customHeight="1" x14ac:dyDescent="0.2">
      <c r="A3575" s="14"/>
      <c r="B3575" s="15"/>
      <c r="C3575" s="16"/>
      <c r="D3575" s="16"/>
      <c r="E3575" s="16"/>
      <c r="F3575" s="16"/>
      <c r="G3575" s="16"/>
      <c r="H3575" s="16"/>
      <c r="I3575" s="16"/>
      <c r="J3575" s="16"/>
      <c r="K3575" s="6"/>
      <c r="L3575" s="16"/>
    </row>
    <row r="3576" spans="1:12" ht="14" customHeight="1" x14ac:dyDescent="0.2">
      <c r="A3576" s="17"/>
      <c r="B3576" s="18"/>
      <c r="C3576" s="19"/>
      <c r="D3576" s="19"/>
      <c r="E3576" s="19"/>
      <c r="F3576" s="19"/>
      <c r="G3576" s="19"/>
      <c r="H3576" s="19"/>
      <c r="I3576" s="19"/>
      <c r="J3576" s="19"/>
      <c r="K3576" s="6"/>
      <c r="L3576" s="19"/>
    </row>
    <row r="3577" spans="1:12" ht="14" customHeight="1" x14ac:dyDescent="0.2">
      <c r="A3577" s="14"/>
      <c r="B3577" s="15"/>
      <c r="C3577" s="16"/>
      <c r="D3577" s="16"/>
      <c r="E3577" s="16"/>
      <c r="F3577" s="16"/>
      <c r="G3577" s="16"/>
      <c r="H3577" s="16"/>
      <c r="I3577" s="16"/>
      <c r="J3577" s="16"/>
      <c r="K3577" s="6"/>
      <c r="L3577" s="16"/>
    </row>
    <row r="3578" spans="1:12" ht="14" customHeight="1" x14ac:dyDescent="0.2">
      <c r="A3578" s="17"/>
      <c r="B3578" s="18"/>
      <c r="C3578" s="19"/>
      <c r="D3578" s="19"/>
      <c r="E3578" s="19"/>
      <c r="F3578" s="19"/>
      <c r="G3578" s="19"/>
      <c r="H3578" s="19"/>
      <c r="I3578" s="19"/>
      <c r="J3578" s="19"/>
      <c r="K3578" s="6"/>
      <c r="L3578" s="19"/>
    </row>
    <row r="3579" spans="1:12" ht="14" customHeight="1" x14ac:dyDescent="0.2">
      <c r="A3579" s="14"/>
      <c r="B3579" s="15"/>
      <c r="C3579" s="16"/>
      <c r="D3579" s="16"/>
      <c r="E3579" s="16"/>
      <c r="F3579" s="16"/>
      <c r="G3579" s="16"/>
      <c r="H3579" s="16"/>
      <c r="I3579" s="16"/>
      <c r="J3579" s="16"/>
      <c r="K3579" s="6"/>
      <c r="L3579" s="16"/>
    </row>
    <row r="3580" spans="1:12" ht="14" customHeight="1" x14ac:dyDescent="0.2">
      <c r="A3580" s="17"/>
      <c r="B3580" s="18"/>
      <c r="C3580" s="19"/>
      <c r="D3580" s="19"/>
      <c r="E3580" s="19"/>
      <c r="F3580" s="19"/>
      <c r="G3580" s="19"/>
      <c r="H3580" s="19"/>
      <c r="I3580" s="19"/>
      <c r="J3580" s="19"/>
      <c r="K3580" s="6"/>
      <c r="L3580" s="19"/>
    </row>
    <row r="3581" spans="1:12" ht="14" customHeight="1" x14ac:dyDescent="0.2">
      <c r="A3581" s="14"/>
      <c r="B3581" s="15"/>
      <c r="C3581" s="16"/>
      <c r="D3581" s="16"/>
      <c r="E3581" s="16"/>
      <c r="F3581" s="16"/>
      <c r="G3581" s="16"/>
      <c r="H3581" s="16"/>
      <c r="I3581" s="16"/>
      <c r="J3581" s="16"/>
      <c r="K3581" s="6"/>
      <c r="L3581" s="16"/>
    </row>
    <row r="3582" spans="1:12" ht="14" customHeight="1" x14ac:dyDescent="0.2">
      <c r="A3582" s="17"/>
      <c r="B3582" s="18"/>
      <c r="C3582" s="19"/>
      <c r="D3582" s="19"/>
      <c r="E3582" s="19"/>
      <c r="F3582" s="19"/>
      <c r="G3582" s="19"/>
      <c r="H3582" s="19"/>
      <c r="I3582" s="19"/>
      <c r="J3582" s="19"/>
      <c r="K3582" s="6"/>
      <c r="L3582" s="19"/>
    </row>
    <row r="3583" spans="1:12" ht="14" customHeight="1" x14ac:dyDescent="0.2">
      <c r="A3583" s="14"/>
      <c r="B3583" s="15"/>
      <c r="C3583" s="16"/>
      <c r="D3583" s="16"/>
      <c r="E3583" s="16"/>
      <c r="F3583" s="16"/>
      <c r="G3583" s="16"/>
      <c r="H3583" s="16"/>
      <c r="I3583" s="16"/>
      <c r="J3583" s="16"/>
      <c r="K3583" s="6"/>
      <c r="L3583" s="16"/>
    </row>
    <row r="3584" spans="1:12" ht="14" customHeight="1" x14ac:dyDescent="0.2">
      <c r="A3584" s="17"/>
      <c r="B3584" s="18"/>
      <c r="C3584" s="19"/>
      <c r="D3584" s="19"/>
      <c r="E3584" s="19"/>
      <c r="F3584" s="19"/>
      <c r="G3584" s="19"/>
      <c r="H3584" s="19"/>
      <c r="I3584" s="19"/>
      <c r="J3584" s="19"/>
      <c r="K3584" s="6"/>
      <c r="L3584" s="19"/>
    </row>
    <row r="3585" spans="1:12" ht="14" customHeight="1" x14ac:dyDescent="0.2">
      <c r="A3585" s="14"/>
      <c r="B3585" s="15"/>
      <c r="C3585" s="16"/>
      <c r="D3585" s="16"/>
      <c r="E3585" s="16"/>
      <c r="F3585" s="16"/>
      <c r="G3585" s="16"/>
      <c r="H3585" s="16"/>
      <c r="I3585" s="16"/>
      <c r="J3585" s="16"/>
      <c r="K3585" s="6"/>
      <c r="L3585" s="16"/>
    </row>
    <row r="3586" spans="1:12" ht="14" customHeight="1" x14ac:dyDescent="0.2">
      <c r="A3586" s="17"/>
      <c r="B3586" s="18"/>
      <c r="C3586" s="19"/>
      <c r="D3586" s="19"/>
      <c r="E3586" s="19"/>
      <c r="F3586" s="19"/>
      <c r="G3586" s="19"/>
      <c r="H3586" s="19"/>
      <c r="I3586" s="19"/>
      <c r="J3586" s="19"/>
      <c r="K3586" s="6"/>
      <c r="L3586" s="19"/>
    </row>
    <row r="3587" spans="1:12" ht="14" customHeight="1" x14ac:dyDescent="0.2">
      <c r="A3587" s="14"/>
      <c r="B3587" s="15"/>
      <c r="C3587" s="16"/>
      <c r="D3587" s="16"/>
      <c r="E3587" s="16"/>
      <c r="F3587" s="16"/>
      <c r="G3587" s="16"/>
      <c r="H3587" s="16"/>
      <c r="I3587" s="16"/>
      <c r="J3587" s="16"/>
      <c r="K3587" s="6"/>
      <c r="L3587" s="16"/>
    </row>
    <row r="3588" spans="1:12" ht="14" customHeight="1" x14ac:dyDescent="0.2">
      <c r="A3588" s="17"/>
      <c r="B3588" s="18"/>
      <c r="C3588" s="19"/>
      <c r="D3588" s="19"/>
      <c r="E3588" s="19"/>
      <c r="F3588" s="19"/>
      <c r="G3588" s="19"/>
      <c r="H3588" s="19"/>
      <c r="I3588" s="19"/>
      <c r="J3588" s="19"/>
      <c r="K3588" s="6"/>
      <c r="L3588" s="19"/>
    </row>
    <row r="3589" spans="1:12" ht="14" customHeight="1" x14ac:dyDescent="0.2">
      <c r="A3589" s="14"/>
      <c r="B3589" s="15"/>
      <c r="C3589" s="16"/>
      <c r="D3589" s="16"/>
      <c r="E3589" s="16"/>
      <c r="F3589" s="16"/>
      <c r="G3589" s="16"/>
      <c r="H3589" s="16"/>
      <c r="I3589" s="16"/>
      <c r="J3589" s="16"/>
      <c r="K3589" s="6"/>
      <c r="L3589" s="16"/>
    </row>
    <row r="3590" spans="1:12" ht="14" customHeight="1" x14ac:dyDescent="0.2">
      <c r="A3590" s="17"/>
      <c r="B3590" s="18"/>
      <c r="C3590" s="19"/>
      <c r="D3590" s="19"/>
      <c r="E3590" s="19"/>
      <c r="F3590" s="19"/>
      <c r="G3590" s="19"/>
      <c r="H3590" s="19"/>
      <c r="I3590" s="19"/>
      <c r="J3590" s="19"/>
      <c r="K3590" s="6"/>
      <c r="L3590" s="19"/>
    </row>
    <row r="3591" spans="1:12" ht="14" customHeight="1" x14ac:dyDescent="0.2">
      <c r="A3591" s="14"/>
      <c r="B3591" s="15"/>
      <c r="C3591" s="16"/>
      <c r="D3591" s="16"/>
      <c r="E3591" s="16"/>
      <c r="F3591" s="16"/>
      <c r="G3591" s="16"/>
      <c r="H3591" s="16"/>
      <c r="I3591" s="16"/>
      <c r="J3591" s="16"/>
      <c r="K3591" s="6"/>
      <c r="L3591" s="16"/>
    </row>
    <row r="3592" spans="1:12" ht="14" customHeight="1" x14ac:dyDescent="0.2">
      <c r="A3592" s="17"/>
      <c r="B3592" s="18"/>
      <c r="C3592" s="19"/>
      <c r="D3592" s="19"/>
      <c r="E3592" s="19"/>
      <c r="F3592" s="19"/>
      <c r="G3592" s="19"/>
      <c r="H3592" s="19"/>
      <c r="I3592" s="19"/>
      <c r="J3592" s="19"/>
      <c r="K3592" s="6"/>
      <c r="L3592" s="19"/>
    </row>
    <row r="3593" spans="1:12" ht="14" customHeight="1" x14ac:dyDescent="0.2">
      <c r="A3593" s="14"/>
      <c r="B3593" s="15"/>
      <c r="C3593" s="16"/>
      <c r="D3593" s="16"/>
      <c r="E3593" s="16"/>
      <c r="F3593" s="16"/>
      <c r="G3593" s="16"/>
      <c r="H3593" s="16"/>
      <c r="I3593" s="16"/>
      <c r="J3593" s="16"/>
      <c r="K3593" s="6"/>
      <c r="L3593" s="16"/>
    </row>
    <row r="3594" spans="1:12" ht="14" customHeight="1" x14ac:dyDescent="0.2">
      <c r="A3594" s="17"/>
      <c r="B3594" s="18"/>
      <c r="C3594" s="19"/>
      <c r="D3594" s="19"/>
      <c r="E3594" s="19"/>
      <c r="F3594" s="19"/>
      <c r="G3594" s="19"/>
      <c r="H3594" s="19"/>
      <c r="I3594" s="19"/>
      <c r="J3594" s="19"/>
      <c r="K3594" s="6"/>
      <c r="L3594" s="19"/>
    </row>
    <row r="3595" spans="1:12" ht="14" customHeight="1" x14ac:dyDescent="0.2">
      <c r="A3595" s="14"/>
      <c r="B3595" s="15"/>
      <c r="C3595" s="16"/>
      <c r="D3595" s="16"/>
      <c r="E3595" s="16"/>
      <c r="F3595" s="16"/>
      <c r="G3595" s="16"/>
      <c r="H3595" s="16"/>
      <c r="I3595" s="16"/>
      <c r="J3595" s="16"/>
      <c r="K3595" s="6"/>
      <c r="L3595" s="16"/>
    </row>
    <row r="3596" spans="1:12" ht="14" customHeight="1" x14ac:dyDescent="0.2">
      <c r="A3596" s="17"/>
      <c r="B3596" s="18"/>
      <c r="C3596" s="19"/>
      <c r="D3596" s="19"/>
      <c r="E3596" s="19"/>
      <c r="F3596" s="19"/>
      <c r="G3596" s="19"/>
      <c r="H3596" s="19"/>
      <c r="I3596" s="19"/>
      <c r="J3596" s="19"/>
      <c r="K3596" s="6"/>
      <c r="L3596" s="19"/>
    </row>
    <row r="3597" spans="1:12" ht="14" customHeight="1" x14ac:dyDescent="0.2">
      <c r="A3597" s="14"/>
      <c r="B3597" s="15"/>
      <c r="C3597" s="16"/>
      <c r="D3597" s="16"/>
      <c r="E3597" s="16"/>
      <c r="F3597" s="16"/>
      <c r="G3597" s="16"/>
      <c r="H3597" s="16"/>
      <c r="I3597" s="16"/>
      <c r="J3597" s="16"/>
      <c r="K3597" s="6"/>
      <c r="L3597" s="16"/>
    </row>
    <row r="3598" spans="1:12" ht="14" customHeight="1" x14ac:dyDescent="0.2">
      <c r="A3598" s="17"/>
      <c r="B3598" s="18"/>
      <c r="C3598" s="19"/>
      <c r="D3598" s="19"/>
      <c r="E3598" s="19"/>
      <c r="F3598" s="19"/>
      <c r="G3598" s="19"/>
      <c r="H3598" s="19"/>
      <c r="I3598" s="19"/>
      <c r="J3598" s="19"/>
      <c r="K3598" s="6"/>
      <c r="L3598" s="19"/>
    </row>
    <row r="3599" spans="1:12" ht="14" customHeight="1" x14ac:dyDescent="0.2">
      <c r="A3599" s="14"/>
      <c r="B3599" s="15"/>
      <c r="C3599" s="16"/>
      <c r="D3599" s="16"/>
      <c r="E3599" s="16"/>
      <c r="F3599" s="16"/>
      <c r="G3599" s="16"/>
      <c r="H3599" s="16"/>
      <c r="I3599" s="16"/>
      <c r="J3599" s="16"/>
      <c r="K3599" s="6"/>
      <c r="L3599" s="16"/>
    </row>
    <row r="3600" spans="1:12" ht="14" customHeight="1" x14ac:dyDescent="0.2">
      <c r="A3600" s="17"/>
      <c r="B3600" s="18"/>
      <c r="C3600" s="19"/>
      <c r="D3600" s="19"/>
      <c r="E3600" s="19"/>
      <c r="F3600" s="19"/>
      <c r="G3600" s="19"/>
      <c r="H3600" s="19"/>
      <c r="I3600" s="19"/>
      <c r="J3600" s="19"/>
      <c r="K3600" s="6"/>
      <c r="L3600" s="19"/>
    </row>
    <row r="3601" spans="1:12" ht="14" customHeight="1" x14ac:dyDescent="0.2">
      <c r="A3601" s="14"/>
      <c r="B3601" s="15"/>
      <c r="C3601" s="16"/>
      <c r="D3601" s="16"/>
      <c r="E3601" s="16"/>
      <c r="F3601" s="16"/>
      <c r="G3601" s="16"/>
      <c r="H3601" s="16"/>
      <c r="I3601" s="16"/>
      <c r="J3601" s="16"/>
      <c r="K3601" s="6"/>
      <c r="L3601" s="16"/>
    </row>
    <row r="3602" spans="1:12" ht="14" customHeight="1" x14ac:dyDescent="0.2">
      <c r="A3602" s="17"/>
      <c r="B3602" s="18"/>
      <c r="C3602" s="19"/>
      <c r="D3602" s="19"/>
      <c r="E3602" s="19"/>
      <c r="F3602" s="19"/>
      <c r="G3602" s="19"/>
      <c r="H3602" s="19"/>
      <c r="I3602" s="19"/>
      <c r="J3602" s="19"/>
      <c r="K3602" s="6"/>
      <c r="L3602" s="19"/>
    </row>
    <row r="3603" spans="1:12" ht="14" customHeight="1" x14ac:dyDescent="0.2">
      <c r="A3603" s="14"/>
      <c r="B3603" s="15"/>
      <c r="C3603" s="16"/>
      <c r="D3603" s="16"/>
      <c r="E3603" s="16"/>
      <c r="F3603" s="16"/>
      <c r="G3603" s="16"/>
      <c r="H3603" s="16"/>
      <c r="I3603" s="16"/>
      <c r="J3603" s="16"/>
      <c r="K3603" s="6"/>
      <c r="L3603" s="16"/>
    </row>
    <row r="3604" spans="1:12" ht="14" customHeight="1" x14ac:dyDescent="0.2">
      <c r="A3604" s="17"/>
      <c r="B3604" s="18"/>
      <c r="C3604" s="19"/>
      <c r="D3604" s="19"/>
      <c r="E3604" s="19"/>
      <c r="F3604" s="19"/>
      <c r="G3604" s="19"/>
      <c r="H3604" s="19"/>
      <c r="I3604" s="19"/>
      <c r="J3604" s="19"/>
      <c r="K3604" s="6"/>
      <c r="L3604" s="19"/>
    </row>
    <row r="3605" spans="1:12" ht="14" customHeight="1" x14ac:dyDescent="0.2">
      <c r="A3605" s="14"/>
      <c r="B3605" s="15"/>
      <c r="C3605" s="16"/>
      <c r="D3605" s="16"/>
      <c r="E3605" s="16"/>
      <c r="F3605" s="16"/>
      <c r="G3605" s="16"/>
      <c r="H3605" s="16"/>
      <c r="I3605" s="16"/>
      <c r="J3605" s="16"/>
      <c r="K3605" s="6"/>
      <c r="L3605" s="16"/>
    </row>
    <row r="3606" spans="1:12" ht="14" customHeight="1" x14ac:dyDescent="0.2">
      <c r="A3606" s="17"/>
      <c r="B3606" s="18"/>
      <c r="C3606" s="19"/>
      <c r="D3606" s="19"/>
      <c r="E3606" s="19"/>
      <c r="F3606" s="19"/>
      <c r="G3606" s="19"/>
      <c r="H3606" s="19"/>
      <c r="I3606" s="19"/>
      <c r="J3606" s="19"/>
      <c r="K3606" s="6"/>
      <c r="L3606" s="19"/>
    </row>
    <row r="3607" spans="1:12" ht="14" customHeight="1" x14ac:dyDescent="0.2">
      <c r="A3607" s="14"/>
      <c r="B3607" s="15"/>
      <c r="C3607" s="16"/>
      <c r="D3607" s="16"/>
      <c r="E3607" s="16"/>
      <c r="F3607" s="16"/>
      <c r="G3607" s="16"/>
      <c r="H3607" s="16"/>
      <c r="I3607" s="16"/>
      <c r="J3607" s="16"/>
      <c r="K3607" s="6"/>
      <c r="L3607" s="16"/>
    </row>
    <row r="3608" spans="1:12" ht="14" customHeight="1" x14ac:dyDescent="0.2">
      <c r="A3608" s="17"/>
      <c r="B3608" s="18"/>
      <c r="C3608" s="19"/>
      <c r="D3608" s="19"/>
      <c r="E3608" s="19"/>
      <c r="F3608" s="19"/>
      <c r="G3608" s="19"/>
      <c r="H3608" s="19"/>
      <c r="I3608" s="19"/>
      <c r="J3608" s="19"/>
      <c r="K3608" s="6"/>
      <c r="L3608" s="19"/>
    </row>
    <row r="3609" spans="1:12" ht="14" customHeight="1" x14ac:dyDescent="0.2">
      <c r="A3609" s="14"/>
      <c r="B3609" s="15"/>
      <c r="C3609" s="16"/>
      <c r="D3609" s="16"/>
      <c r="E3609" s="16"/>
      <c r="F3609" s="16"/>
      <c r="G3609" s="16"/>
      <c r="H3609" s="16"/>
      <c r="I3609" s="16"/>
      <c r="J3609" s="16"/>
      <c r="K3609" s="6"/>
      <c r="L3609" s="16"/>
    </row>
    <row r="3610" spans="1:12" ht="14" customHeight="1" x14ac:dyDescent="0.2">
      <c r="A3610" s="17"/>
      <c r="B3610" s="18"/>
      <c r="C3610" s="19"/>
      <c r="D3610" s="19"/>
      <c r="E3610" s="19"/>
      <c r="F3610" s="19"/>
      <c r="G3610" s="19"/>
      <c r="H3610" s="19"/>
      <c r="I3610" s="19"/>
      <c r="J3610" s="19"/>
      <c r="K3610" s="6"/>
      <c r="L3610" s="19"/>
    </row>
    <row r="3611" spans="1:12" ht="14" customHeight="1" x14ac:dyDescent="0.2">
      <c r="A3611" s="14"/>
      <c r="B3611" s="15"/>
      <c r="C3611" s="16"/>
      <c r="D3611" s="16"/>
      <c r="E3611" s="16"/>
      <c r="F3611" s="16"/>
      <c r="G3611" s="16"/>
      <c r="H3611" s="16"/>
      <c r="I3611" s="16"/>
      <c r="J3611" s="16"/>
      <c r="K3611" s="6"/>
      <c r="L3611" s="16"/>
    </row>
    <row r="3612" spans="1:12" ht="14" customHeight="1" x14ac:dyDescent="0.2">
      <c r="A3612" s="17"/>
      <c r="B3612" s="18"/>
      <c r="C3612" s="19"/>
      <c r="D3612" s="19"/>
      <c r="E3612" s="19"/>
      <c r="F3612" s="19"/>
      <c r="G3612" s="19"/>
      <c r="H3612" s="19"/>
      <c r="I3612" s="19"/>
      <c r="J3612" s="19"/>
      <c r="K3612" s="6"/>
      <c r="L3612" s="19"/>
    </row>
    <row r="3613" spans="1:12" ht="14" customHeight="1" x14ac:dyDescent="0.2">
      <c r="A3613" s="14"/>
      <c r="B3613" s="15"/>
      <c r="C3613" s="16"/>
      <c r="D3613" s="16"/>
      <c r="E3613" s="16"/>
      <c r="F3613" s="16"/>
      <c r="G3613" s="16"/>
      <c r="H3613" s="16"/>
      <c r="I3613" s="16"/>
      <c r="J3613" s="16"/>
      <c r="K3613" s="6"/>
      <c r="L3613" s="16"/>
    </row>
    <row r="3614" spans="1:12" ht="14" customHeight="1" x14ac:dyDescent="0.2">
      <c r="A3614" s="17"/>
      <c r="B3614" s="18"/>
      <c r="C3614" s="19"/>
      <c r="D3614" s="19"/>
      <c r="E3614" s="19"/>
      <c r="F3614" s="19"/>
      <c r="G3614" s="19"/>
      <c r="H3614" s="19"/>
      <c r="I3614" s="19"/>
      <c r="J3614" s="19"/>
      <c r="K3614" s="6"/>
      <c r="L3614" s="19"/>
    </row>
    <row r="3615" spans="1:12" ht="14" customHeight="1" x14ac:dyDescent="0.2">
      <c r="A3615" s="14"/>
      <c r="B3615" s="15"/>
      <c r="C3615" s="16"/>
      <c r="D3615" s="16"/>
      <c r="E3615" s="16"/>
      <c r="F3615" s="16"/>
      <c r="G3615" s="16"/>
      <c r="H3615" s="16"/>
      <c r="I3615" s="16"/>
      <c r="J3615" s="16"/>
      <c r="K3615" s="6"/>
      <c r="L3615" s="16"/>
    </row>
    <row r="3616" spans="1:12" ht="14" customHeight="1" x14ac:dyDescent="0.2">
      <c r="A3616" s="17"/>
      <c r="B3616" s="18"/>
      <c r="C3616" s="19"/>
      <c r="D3616" s="19"/>
      <c r="E3616" s="19"/>
      <c r="F3616" s="19"/>
      <c r="G3616" s="19"/>
      <c r="H3616" s="19"/>
      <c r="I3616" s="19"/>
      <c r="J3616" s="19"/>
      <c r="K3616" s="6"/>
      <c r="L3616" s="19"/>
    </row>
    <row r="3617" spans="1:12" ht="14" customHeight="1" x14ac:dyDescent="0.2">
      <c r="A3617" s="14"/>
      <c r="B3617" s="15"/>
      <c r="C3617" s="16"/>
      <c r="D3617" s="16"/>
      <c r="E3617" s="16"/>
      <c r="F3617" s="16"/>
      <c r="G3617" s="16"/>
      <c r="H3617" s="16"/>
      <c r="I3617" s="16"/>
      <c r="J3617" s="16"/>
      <c r="K3617" s="6"/>
      <c r="L3617" s="16"/>
    </row>
    <row r="3618" spans="1:12" ht="14" customHeight="1" x14ac:dyDescent="0.2">
      <c r="A3618" s="17"/>
      <c r="B3618" s="18"/>
      <c r="C3618" s="19"/>
      <c r="D3618" s="19"/>
      <c r="E3618" s="19"/>
      <c r="F3618" s="19"/>
      <c r="G3618" s="19"/>
      <c r="H3618" s="19"/>
      <c r="I3618" s="19"/>
      <c r="J3618" s="19"/>
      <c r="K3618" s="6"/>
      <c r="L3618" s="19"/>
    </row>
    <row r="3619" spans="1:12" ht="14" customHeight="1" x14ac:dyDescent="0.2">
      <c r="A3619" s="14"/>
      <c r="B3619" s="15"/>
      <c r="C3619" s="16"/>
      <c r="D3619" s="16"/>
      <c r="E3619" s="16"/>
      <c r="F3619" s="16"/>
      <c r="G3619" s="16"/>
      <c r="H3619" s="16"/>
      <c r="I3619" s="16"/>
      <c r="J3619" s="16"/>
      <c r="K3619" s="6"/>
      <c r="L3619" s="16"/>
    </row>
    <row r="3620" spans="1:12" ht="14" customHeight="1" x14ac:dyDescent="0.2">
      <c r="A3620" s="17"/>
      <c r="B3620" s="18"/>
      <c r="C3620" s="19"/>
      <c r="D3620" s="19"/>
      <c r="E3620" s="19"/>
      <c r="F3620" s="19"/>
      <c r="G3620" s="19"/>
      <c r="H3620" s="19"/>
      <c r="I3620" s="19"/>
      <c r="J3620" s="19"/>
      <c r="K3620" s="6"/>
      <c r="L3620" s="19"/>
    </row>
    <row r="3621" spans="1:12" ht="14" customHeight="1" x14ac:dyDescent="0.2">
      <c r="A3621" s="14"/>
      <c r="B3621" s="15"/>
      <c r="C3621" s="16"/>
      <c r="D3621" s="16"/>
      <c r="E3621" s="16"/>
      <c r="F3621" s="16"/>
      <c r="G3621" s="16"/>
      <c r="H3621" s="16"/>
      <c r="I3621" s="16"/>
      <c r="J3621" s="16"/>
      <c r="K3621" s="6"/>
      <c r="L3621" s="16"/>
    </row>
    <row r="3622" spans="1:12" ht="14" customHeight="1" x14ac:dyDescent="0.2">
      <c r="A3622" s="17"/>
      <c r="B3622" s="18"/>
      <c r="C3622" s="19"/>
      <c r="D3622" s="19"/>
      <c r="E3622" s="19"/>
      <c r="F3622" s="19"/>
      <c r="G3622" s="19"/>
      <c r="H3622" s="19"/>
      <c r="I3622" s="19"/>
      <c r="J3622" s="19"/>
      <c r="K3622" s="6"/>
      <c r="L3622" s="19"/>
    </row>
    <row r="3623" spans="1:12" ht="14" customHeight="1" x14ac:dyDescent="0.2">
      <c r="A3623" s="14"/>
      <c r="B3623" s="15"/>
      <c r="C3623" s="16"/>
      <c r="D3623" s="16"/>
      <c r="E3623" s="16"/>
      <c r="F3623" s="16"/>
      <c r="G3623" s="16"/>
      <c r="H3623" s="16"/>
      <c r="I3623" s="16"/>
      <c r="J3623" s="16"/>
      <c r="K3623" s="6"/>
      <c r="L3623" s="16"/>
    </row>
    <row r="3624" spans="1:12" ht="14" customHeight="1" x14ac:dyDescent="0.2">
      <c r="A3624" s="17"/>
      <c r="B3624" s="18"/>
      <c r="C3624" s="19"/>
      <c r="D3624" s="19"/>
      <c r="E3624" s="19"/>
      <c r="F3624" s="19"/>
      <c r="G3624" s="19"/>
      <c r="H3624" s="19"/>
      <c r="I3624" s="19"/>
      <c r="J3624" s="19"/>
      <c r="K3624" s="6"/>
      <c r="L3624" s="19"/>
    </row>
    <row r="3625" spans="1:12" ht="14" customHeight="1" x14ac:dyDescent="0.2">
      <c r="A3625" s="14"/>
      <c r="B3625" s="15"/>
      <c r="C3625" s="16"/>
      <c r="D3625" s="16"/>
      <c r="E3625" s="16"/>
      <c r="F3625" s="16"/>
      <c r="G3625" s="16"/>
      <c r="H3625" s="16"/>
      <c r="I3625" s="16"/>
      <c r="J3625" s="16"/>
      <c r="K3625" s="6"/>
      <c r="L3625" s="16"/>
    </row>
    <row r="3626" spans="1:12" ht="14" customHeight="1" x14ac:dyDescent="0.2">
      <c r="A3626" s="17"/>
      <c r="B3626" s="18"/>
      <c r="C3626" s="19"/>
      <c r="D3626" s="19"/>
      <c r="E3626" s="19"/>
      <c r="F3626" s="19"/>
      <c r="G3626" s="19"/>
      <c r="H3626" s="19"/>
      <c r="I3626" s="19"/>
      <c r="J3626" s="19"/>
      <c r="K3626" s="6"/>
      <c r="L3626" s="19"/>
    </row>
    <row r="3627" spans="1:12" ht="14" customHeight="1" x14ac:dyDescent="0.2">
      <c r="A3627" s="14"/>
      <c r="B3627" s="15"/>
      <c r="C3627" s="16"/>
      <c r="D3627" s="16"/>
      <c r="E3627" s="16"/>
      <c r="F3627" s="16"/>
      <c r="G3627" s="16"/>
      <c r="H3627" s="16"/>
      <c r="I3627" s="16"/>
      <c r="J3627" s="16"/>
      <c r="K3627" s="6"/>
      <c r="L3627" s="16"/>
    </row>
    <row r="3628" spans="1:12" ht="14" customHeight="1" x14ac:dyDescent="0.2">
      <c r="A3628" s="17"/>
      <c r="B3628" s="18"/>
      <c r="C3628" s="19"/>
      <c r="D3628" s="19"/>
      <c r="E3628" s="19"/>
      <c r="F3628" s="19"/>
      <c r="G3628" s="19"/>
      <c r="H3628" s="19"/>
      <c r="I3628" s="19"/>
      <c r="J3628" s="19"/>
      <c r="K3628" s="6"/>
      <c r="L3628" s="19"/>
    </row>
    <row r="3629" spans="1:12" ht="14" customHeight="1" x14ac:dyDescent="0.2">
      <c r="A3629" s="14"/>
      <c r="B3629" s="15"/>
      <c r="C3629" s="16"/>
      <c r="D3629" s="16"/>
      <c r="E3629" s="16"/>
      <c r="F3629" s="16"/>
      <c r="G3629" s="16"/>
      <c r="H3629" s="16"/>
      <c r="I3629" s="16"/>
      <c r="J3629" s="16"/>
      <c r="K3629" s="6"/>
      <c r="L3629" s="16"/>
    </row>
    <row r="3630" spans="1:12" ht="14" customHeight="1" x14ac:dyDescent="0.2">
      <c r="A3630" s="17"/>
      <c r="B3630" s="18"/>
      <c r="C3630" s="19"/>
      <c r="D3630" s="19"/>
      <c r="E3630" s="19"/>
      <c r="F3630" s="19"/>
      <c r="G3630" s="19"/>
      <c r="H3630" s="19"/>
      <c r="I3630" s="19"/>
      <c r="J3630" s="19"/>
      <c r="K3630" s="6"/>
      <c r="L3630" s="19"/>
    </row>
    <row r="3631" spans="1:12" ht="14" customHeight="1" x14ac:dyDescent="0.2">
      <c r="A3631" s="14"/>
      <c r="B3631" s="15"/>
      <c r="C3631" s="16"/>
      <c r="D3631" s="16"/>
      <c r="E3631" s="16"/>
      <c r="F3631" s="16"/>
      <c r="G3631" s="16"/>
      <c r="H3631" s="16"/>
      <c r="I3631" s="16"/>
      <c r="J3631" s="16"/>
      <c r="K3631" s="6"/>
      <c r="L3631" s="16"/>
    </row>
    <row r="3632" spans="1:12" ht="14" customHeight="1" x14ac:dyDescent="0.2">
      <c r="A3632" s="17"/>
      <c r="B3632" s="18"/>
      <c r="C3632" s="19"/>
      <c r="D3632" s="19"/>
      <c r="E3632" s="19"/>
      <c r="F3632" s="19"/>
      <c r="G3632" s="19"/>
      <c r="H3632" s="19"/>
      <c r="I3632" s="19"/>
      <c r="J3632" s="19"/>
      <c r="K3632" s="6"/>
      <c r="L3632" s="19"/>
    </row>
    <row r="3633" spans="1:12" ht="14" customHeight="1" x14ac:dyDescent="0.2">
      <c r="A3633" s="14"/>
      <c r="B3633" s="15"/>
      <c r="C3633" s="16"/>
      <c r="D3633" s="16"/>
      <c r="E3633" s="16"/>
      <c r="F3633" s="16"/>
      <c r="G3633" s="16"/>
      <c r="H3633" s="16"/>
      <c r="I3633" s="16"/>
      <c r="J3633" s="16"/>
      <c r="K3633" s="6"/>
      <c r="L3633" s="16"/>
    </row>
    <row r="3634" spans="1:12" ht="14" customHeight="1" x14ac:dyDescent="0.2">
      <c r="A3634" s="17"/>
      <c r="B3634" s="18"/>
      <c r="C3634" s="19"/>
      <c r="D3634" s="19"/>
      <c r="E3634" s="19"/>
      <c r="F3634" s="19"/>
      <c r="G3634" s="19"/>
      <c r="H3634" s="19"/>
      <c r="I3634" s="19"/>
      <c r="J3634" s="19"/>
      <c r="K3634" s="6"/>
      <c r="L3634" s="19"/>
    </row>
    <row r="3635" spans="1:12" ht="14" customHeight="1" x14ac:dyDescent="0.2">
      <c r="A3635" s="14"/>
      <c r="B3635" s="15"/>
      <c r="C3635" s="16"/>
      <c r="D3635" s="16"/>
      <c r="E3635" s="16"/>
      <c r="F3635" s="16"/>
      <c r="G3635" s="16"/>
      <c r="H3635" s="16"/>
      <c r="I3635" s="16"/>
      <c r="J3635" s="16"/>
      <c r="K3635" s="6"/>
      <c r="L3635" s="16"/>
    </row>
    <row r="3636" spans="1:12" ht="14" customHeight="1" x14ac:dyDescent="0.2">
      <c r="A3636" s="17"/>
      <c r="B3636" s="18"/>
      <c r="C3636" s="19"/>
      <c r="D3636" s="19"/>
      <c r="E3636" s="19"/>
      <c r="F3636" s="19"/>
      <c r="G3636" s="19"/>
      <c r="H3636" s="19"/>
      <c r="I3636" s="19"/>
      <c r="J3636" s="19"/>
      <c r="K3636" s="6"/>
      <c r="L3636" s="19"/>
    </row>
    <row r="3637" spans="1:12" ht="14" customHeight="1" x14ac:dyDescent="0.2">
      <c r="A3637" s="14"/>
      <c r="B3637" s="15"/>
      <c r="C3637" s="16"/>
      <c r="D3637" s="16"/>
      <c r="E3637" s="16"/>
      <c r="F3637" s="16"/>
      <c r="G3637" s="16"/>
      <c r="H3637" s="16"/>
      <c r="I3637" s="16"/>
      <c r="J3637" s="16"/>
      <c r="K3637" s="6"/>
      <c r="L3637" s="16"/>
    </row>
    <row r="3638" spans="1:12" ht="14" customHeight="1" x14ac:dyDescent="0.2">
      <c r="A3638" s="17"/>
      <c r="B3638" s="18"/>
      <c r="C3638" s="19"/>
      <c r="D3638" s="19"/>
      <c r="E3638" s="19"/>
      <c r="F3638" s="19"/>
      <c r="G3638" s="19"/>
      <c r="H3638" s="19"/>
      <c r="I3638" s="19"/>
      <c r="J3638" s="19"/>
      <c r="K3638" s="6"/>
      <c r="L3638" s="19"/>
    </row>
    <row r="3639" spans="1:12" ht="14" customHeight="1" x14ac:dyDescent="0.2">
      <c r="A3639" s="14"/>
      <c r="B3639" s="15"/>
      <c r="C3639" s="16"/>
      <c r="D3639" s="16"/>
      <c r="E3639" s="16"/>
      <c r="F3639" s="16"/>
      <c r="G3639" s="16"/>
      <c r="H3639" s="16"/>
      <c r="I3639" s="16"/>
      <c r="J3639" s="16"/>
      <c r="K3639" s="6"/>
      <c r="L3639" s="16"/>
    </row>
    <row r="3640" spans="1:12" ht="14" customHeight="1" x14ac:dyDescent="0.2">
      <c r="A3640" s="17"/>
      <c r="B3640" s="18"/>
      <c r="C3640" s="19"/>
      <c r="D3640" s="19"/>
      <c r="E3640" s="19"/>
      <c r="F3640" s="19"/>
      <c r="G3640" s="19"/>
      <c r="H3640" s="19"/>
      <c r="I3640" s="19"/>
      <c r="J3640" s="19"/>
      <c r="K3640" s="6"/>
      <c r="L3640" s="19"/>
    </row>
    <row r="3641" spans="1:12" ht="14" customHeight="1" x14ac:dyDescent="0.2">
      <c r="A3641" s="14"/>
      <c r="B3641" s="15"/>
      <c r="C3641" s="16"/>
      <c r="D3641" s="16"/>
      <c r="E3641" s="16"/>
      <c r="F3641" s="16"/>
      <c r="G3641" s="16"/>
      <c r="H3641" s="16"/>
      <c r="I3641" s="16"/>
      <c r="J3641" s="16"/>
      <c r="K3641" s="6"/>
      <c r="L3641" s="16"/>
    </row>
    <row r="3642" spans="1:12" ht="14" customHeight="1" x14ac:dyDescent="0.2">
      <c r="A3642" s="17"/>
      <c r="B3642" s="18"/>
      <c r="C3642" s="19"/>
      <c r="D3642" s="19"/>
      <c r="E3642" s="19"/>
      <c r="F3642" s="19"/>
      <c r="G3642" s="19"/>
      <c r="H3642" s="19"/>
      <c r="I3642" s="19"/>
      <c r="J3642" s="19"/>
      <c r="K3642" s="6"/>
      <c r="L3642" s="19"/>
    </row>
    <row r="3643" spans="1:12" ht="14" customHeight="1" x14ac:dyDescent="0.2">
      <c r="A3643" s="14"/>
      <c r="B3643" s="15"/>
      <c r="C3643" s="16"/>
      <c r="D3643" s="16"/>
      <c r="E3643" s="16"/>
      <c r="F3643" s="16"/>
      <c r="G3643" s="16"/>
      <c r="H3643" s="16"/>
      <c r="I3643" s="16"/>
      <c r="J3643" s="16"/>
      <c r="K3643" s="6"/>
      <c r="L3643" s="16"/>
    </row>
    <row r="3644" spans="1:12" ht="14" customHeight="1" x14ac:dyDescent="0.2">
      <c r="A3644" s="17"/>
      <c r="B3644" s="18"/>
      <c r="C3644" s="19"/>
      <c r="D3644" s="19"/>
      <c r="E3644" s="19"/>
      <c r="F3644" s="19"/>
      <c r="G3644" s="19"/>
      <c r="H3644" s="19"/>
      <c r="I3644" s="19"/>
      <c r="J3644" s="19"/>
      <c r="K3644" s="6"/>
      <c r="L3644" s="19"/>
    </row>
    <row r="3645" spans="1:12" ht="14" customHeight="1" x14ac:dyDescent="0.2">
      <c r="A3645" s="14"/>
      <c r="B3645" s="15"/>
      <c r="C3645" s="16"/>
      <c r="D3645" s="16"/>
      <c r="E3645" s="16"/>
      <c r="F3645" s="16"/>
      <c r="G3645" s="16"/>
      <c r="H3645" s="16"/>
      <c r="I3645" s="16"/>
      <c r="J3645" s="16"/>
      <c r="K3645" s="6"/>
      <c r="L3645" s="16"/>
    </row>
    <row r="3646" spans="1:12" ht="14" customHeight="1" x14ac:dyDescent="0.2">
      <c r="A3646" s="17"/>
      <c r="B3646" s="18"/>
      <c r="C3646" s="19"/>
      <c r="D3646" s="19"/>
      <c r="E3646" s="19"/>
      <c r="F3646" s="19"/>
      <c r="G3646" s="19"/>
      <c r="H3646" s="19"/>
      <c r="I3646" s="19"/>
      <c r="J3646" s="19"/>
      <c r="K3646" s="6"/>
      <c r="L3646" s="19"/>
    </row>
    <row r="3647" spans="1:12" ht="14" customHeight="1" x14ac:dyDescent="0.2">
      <c r="A3647" s="14"/>
      <c r="B3647" s="15"/>
      <c r="C3647" s="16"/>
      <c r="D3647" s="16"/>
      <c r="E3647" s="16"/>
      <c r="F3647" s="16"/>
      <c r="G3647" s="16"/>
      <c r="H3647" s="16"/>
      <c r="I3647" s="16"/>
      <c r="J3647" s="16"/>
      <c r="K3647" s="6"/>
      <c r="L3647" s="16"/>
    </row>
    <row r="3648" spans="1:12" ht="14" customHeight="1" x14ac:dyDescent="0.2">
      <c r="A3648" s="17"/>
      <c r="B3648" s="18"/>
      <c r="C3648" s="19"/>
      <c r="D3648" s="19"/>
      <c r="E3648" s="19"/>
      <c r="F3648" s="19"/>
      <c r="G3648" s="19"/>
      <c r="H3648" s="19"/>
      <c r="I3648" s="19"/>
      <c r="J3648" s="19"/>
      <c r="K3648" s="6"/>
      <c r="L3648" s="19"/>
    </row>
    <row r="3649" spans="1:12" ht="14" customHeight="1" x14ac:dyDescent="0.2">
      <c r="A3649" s="14"/>
      <c r="B3649" s="15"/>
      <c r="C3649" s="16"/>
      <c r="D3649" s="16"/>
      <c r="E3649" s="16"/>
      <c r="F3649" s="16"/>
      <c r="G3649" s="16"/>
      <c r="H3649" s="16"/>
      <c r="I3649" s="16"/>
      <c r="J3649" s="16"/>
      <c r="K3649" s="6"/>
      <c r="L3649" s="16"/>
    </row>
    <row r="3650" spans="1:12" ht="14" customHeight="1" x14ac:dyDescent="0.2">
      <c r="A3650" s="17"/>
      <c r="B3650" s="18"/>
      <c r="C3650" s="19"/>
      <c r="D3650" s="19"/>
      <c r="E3650" s="19"/>
      <c r="F3650" s="19"/>
      <c r="G3650" s="19"/>
      <c r="H3650" s="19"/>
      <c r="I3650" s="19"/>
      <c r="J3650" s="19"/>
      <c r="K3650" s="6"/>
      <c r="L3650" s="19"/>
    </row>
    <row r="3651" spans="1:12" ht="14" customHeight="1" x14ac:dyDescent="0.2">
      <c r="A3651" s="14"/>
      <c r="B3651" s="15"/>
      <c r="C3651" s="16"/>
      <c r="D3651" s="16"/>
      <c r="E3651" s="16"/>
      <c r="F3651" s="16"/>
      <c r="G3651" s="16"/>
      <c r="H3651" s="16"/>
      <c r="I3651" s="16"/>
      <c r="J3651" s="16"/>
      <c r="K3651" s="6"/>
      <c r="L3651" s="16"/>
    </row>
    <row r="3652" spans="1:12" ht="14" customHeight="1" x14ac:dyDescent="0.2">
      <c r="A3652" s="17"/>
      <c r="B3652" s="18"/>
      <c r="C3652" s="19"/>
      <c r="D3652" s="19"/>
      <c r="E3652" s="19"/>
      <c r="F3652" s="19"/>
      <c r="G3652" s="19"/>
      <c r="H3652" s="19"/>
      <c r="I3652" s="19"/>
      <c r="J3652" s="19"/>
      <c r="K3652" s="6"/>
      <c r="L3652" s="19"/>
    </row>
    <row r="3653" spans="1:12" ht="14" customHeight="1" x14ac:dyDescent="0.2">
      <c r="A3653" s="14"/>
      <c r="B3653" s="15"/>
      <c r="C3653" s="16"/>
      <c r="D3653" s="16"/>
      <c r="E3653" s="16"/>
      <c r="F3653" s="16"/>
      <c r="G3653" s="16"/>
      <c r="H3653" s="16"/>
      <c r="I3653" s="16"/>
      <c r="J3653" s="16"/>
      <c r="K3653" s="6"/>
      <c r="L3653" s="16"/>
    </row>
    <row r="3654" spans="1:12" ht="14" customHeight="1" x14ac:dyDescent="0.2">
      <c r="A3654" s="17"/>
      <c r="B3654" s="18"/>
      <c r="C3654" s="19"/>
      <c r="D3654" s="19"/>
      <c r="E3654" s="19"/>
      <c r="F3654" s="19"/>
      <c r="G3654" s="19"/>
      <c r="H3654" s="19"/>
      <c r="I3654" s="19"/>
      <c r="J3654" s="19"/>
      <c r="K3654" s="6"/>
      <c r="L3654" s="19"/>
    </row>
    <row r="3655" spans="1:12" ht="14" customHeight="1" x14ac:dyDescent="0.2">
      <c r="A3655" s="14"/>
      <c r="B3655" s="15"/>
      <c r="C3655" s="16"/>
      <c r="D3655" s="16"/>
      <c r="E3655" s="16"/>
      <c r="F3655" s="16"/>
      <c r="G3655" s="16"/>
      <c r="H3655" s="16"/>
      <c r="I3655" s="16"/>
      <c r="J3655" s="16"/>
      <c r="K3655" s="6"/>
      <c r="L3655" s="16"/>
    </row>
    <row r="3656" spans="1:12" ht="14" customHeight="1" x14ac:dyDescent="0.2">
      <c r="A3656" s="17"/>
      <c r="B3656" s="18"/>
      <c r="C3656" s="19"/>
      <c r="D3656" s="19"/>
      <c r="E3656" s="19"/>
      <c r="F3656" s="19"/>
      <c r="G3656" s="19"/>
      <c r="H3656" s="19"/>
      <c r="I3656" s="19"/>
      <c r="J3656" s="19"/>
      <c r="K3656" s="6"/>
      <c r="L3656" s="19"/>
    </row>
    <row r="3657" spans="1:12" ht="14" customHeight="1" x14ac:dyDescent="0.2">
      <c r="A3657" s="14"/>
      <c r="B3657" s="15"/>
      <c r="C3657" s="16"/>
      <c r="D3657" s="16"/>
      <c r="E3657" s="16"/>
      <c r="F3657" s="16"/>
      <c r="G3657" s="16"/>
      <c r="H3657" s="16"/>
      <c r="I3657" s="16"/>
      <c r="J3657" s="16"/>
      <c r="K3657" s="6"/>
      <c r="L3657" s="16"/>
    </row>
    <row r="3658" spans="1:12" ht="14" customHeight="1" x14ac:dyDescent="0.2">
      <c r="A3658" s="17"/>
      <c r="B3658" s="18"/>
      <c r="C3658" s="19"/>
      <c r="D3658" s="19"/>
      <c r="E3658" s="19"/>
      <c r="F3658" s="19"/>
      <c r="G3658" s="19"/>
      <c r="H3658" s="19"/>
      <c r="I3658" s="19"/>
      <c r="J3658" s="19"/>
      <c r="K3658" s="6"/>
      <c r="L3658" s="19"/>
    </row>
    <row r="3659" spans="1:12" ht="14" customHeight="1" x14ac:dyDescent="0.2">
      <c r="A3659" s="14"/>
      <c r="B3659" s="15"/>
      <c r="C3659" s="16"/>
      <c r="D3659" s="16"/>
      <c r="E3659" s="16"/>
      <c r="F3659" s="16"/>
      <c r="G3659" s="16"/>
      <c r="H3659" s="16"/>
      <c r="I3659" s="16"/>
      <c r="J3659" s="16"/>
      <c r="K3659" s="6"/>
      <c r="L3659" s="16"/>
    </row>
    <row r="3660" spans="1:12" ht="14" customHeight="1" x14ac:dyDescent="0.2">
      <c r="A3660" s="17"/>
      <c r="B3660" s="18"/>
      <c r="C3660" s="19"/>
      <c r="D3660" s="19"/>
      <c r="E3660" s="19"/>
      <c r="F3660" s="19"/>
      <c r="G3660" s="19"/>
      <c r="H3660" s="19"/>
      <c r="I3660" s="19"/>
      <c r="J3660" s="19"/>
      <c r="K3660" s="6"/>
      <c r="L3660" s="19"/>
    </row>
    <row r="3661" spans="1:12" ht="14" customHeight="1" x14ac:dyDescent="0.2">
      <c r="A3661" s="14"/>
      <c r="B3661" s="15"/>
      <c r="C3661" s="16"/>
      <c r="D3661" s="16"/>
      <c r="E3661" s="16"/>
      <c r="F3661" s="16"/>
      <c r="G3661" s="16"/>
      <c r="H3661" s="16"/>
      <c r="I3661" s="16"/>
      <c r="J3661" s="16"/>
      <c r="K3661" s="6"/>
      <c r="L3661" s="16"/>
    </row>
    <row r="3662" spans="1:12" ht="14" customHeight="1" x14ac:dyDescent="0.2">
      <c r="A3662" s="17"/>
      <c r="B3662" s="18"/>
      <c r="C3662" s="19"/>
      <c r="D3662" s="19"/>
      <c r="E3662" s="19"/>
      <c r="F3662" s="19"/>
      <c r="G3662" s="19"/>
      <c r="H3662" s="19"/>
      <c r="I3662" s="19"/>
      <c r="J3662" s="19"/>
      <c r="K3662" s="6"/>
      <c r="L3662" s="19"/>
    </row>
    <row r="3663" spans="1:12" ht="14" customHeight="1" x14ac:dyDescent="0.2">
      <c r="A3663" s="14"/>
      <c r="B3663" s="15"/>
      <c r="C3663" s="16"/>
      <c r="D3663" s="16"/>
      <c r="E3663" s="16"/>
      <c r="F3663" s="16"/>
      <c r="G3663" s="16"/>
      <c r="H3663" s="16"/>
      <c r="I3663" s="16"/>
      <c r="J3663" s="16"/>
      <c r="K3663" s="6"/>
      <c r="L3663" s="16"/>
    </row>
    <row r="3664" spans="1:12" ht="14" customHeight="1" x14ac:dyDescent="0.2">
      <c r="A3664" s="17"/>
      <c r="B3664" s="18"/>
      <c r="C3664" s="19"/>
      <c r="D3664" s="19"/>
      <c r="E3664" s="19"/>
      <c r="F3664" s="19"/>
      <c r="G3664" s="19"/>
      <c r="H3664" s="19"/>
      <c r="I3664" s="19"/>
      <c r="J3664" s="19"/>
      <c r="K3664" s="6"/>
      <c r="L3664" s="19"/>
    </row>
    <row r="3665" spans="1:12" ht="14" customHeight="1" x14ac:dyDescent="0.2">
      <c r="A3665" s="14"/>
      <c r="B3665" s="15"/>
      <c r="C3665" s="16"/>
      <c r="D3665" s="16"/>
      <c r="E3665" s="16"/>
      <c r="F3665" s="16"/>
      <c r="G3665" s="16"/>
      <c r="H3665" s="16"/>
      <c r="I3665" s="16"/>
      <c r="J3665" s="16"/>
      <c r="K3665" s="6"/>
      <c r="L3665" s="16"/>
    </row>
    <row r="3666" spans="1:12" ht="14" customHeight="1" x14ac:dyDescent="0.2">
      <c r="A3666" s="17"/>
      <c r="B3666" s="18"/>
      <c r="C3666" s="19"/>
      <c r="D3666" s="19"/>
      <c r="E3666" s="19"/>
      <c r="F3666" s="19"/>
      <c r="G3666" s="19"/>
      <c r="H3666" s="19"/>
      <c r="I3666" s="19"/>
      <c r="J3666" s="19"/>
      <c r="K3666" s="6"/>
      <c r="L3666" s="19"/>
    </row>
    <row r="3667" spans="1:12" ht="14" customHeight="1" x14ac:dyDescent="0.2">
      <c r="A3667" s="14"/>
      <c r="B3667" s="15"/>
      <c r="C3667" s="16"/>
      <c r="D3667" s="16"/>
      <c r="E3667" s="16"/>
      <c r="F3667" s="16"/>
      <c r="G3667" s="16"/>
      <c r="H3667" s="16"/>
      <c r="I3667" s="16"/>
      <c r="J3667" s="16"/>
      <c r="K3667" s="6"/>
      <c r="L3667" s="16"/>
    </row>
    <row r="3668" spans="1:12" ht="14" customHeight="1" x14ac:dyDescent="0.2">
      <c r="A3668" s="17"/>
      <c r="B3668" s="18"/>
      <c r="C3668" s="19"/>
      <c r="D3668" s="19"/>
      <c r="E3668" s="19"/>
      <c r="F3668" s="19"/>
      <c r="G3668" s="19"/>
      <c r="H3668" s="19"/>
      <c r="I3668" s="19"/>
      <c r="J3668" s="19"/>
      <c r="K3668" s="6"/>
      <c r="L3668" s="19"/>
    </row>
    <row r="3669" spans="1:12" ht="14" customHeight="1" x14ac:dyDescent="0.2">
      <c r="A3669" s="14"/>
      <c r="B3669" s="15"/>
      <c r="C3669" s="16"/>
      <c r="D3669" s="16"/>
      <c r="E3669" s="16"/>
      <c r="F3669" s="16"/>
      <c r="G3669" s="16"/>
      <c r="H3669" s="16"/>
      <c r="I3669" s="16"/>
      <c r="J3669" s="16"/>
      <c r="K3669" s="6"/>
      <c r="L3669" s="16"/>
    </row>
    <row r="3670" spans="1:12" ht="14" customHeight="1" x14ac:dyDescent="0.2">
      <c r="A3670" s="17"/>
      <c r="B3670" s="18"/>
      <c r="C3670" s="19"/>
      <c r="D3670" s="19"/>
      <c r="E3670" s="19"/>
      <c r="F3670" s="19"/>
      <c r="G3670" s="19"/>
      <c r="H3670" s="19"/>
      <c r="I3670" s="19"/>
      <c r="J3670" s="19"/>
      <c r="K3670" s="6"/>
      <c r="L3670" s="19"/>
    </row>
    <row r="3671" spans="1:12" ht="14" customHeight="1" x14ac:dyDescent="0.2">
      <c r="A3671" s="14"/>
      <c r="B3671" s="15"/>
      <c r="C3671" s="16"/>
      <c r="D3671" s="16"/>
      <c r="E3671" s="16"/>
      <c r="F3671" s="16"/>
      <c r="G3671" s="16"/>
      <c r="H3671" s="16"/>
      <c r="I3671" s="16"/>
      <c r="J3671" s="16"/>
      <c r="K3671" s="6"/>
      <c r="L3671" s="16"/>
    </row>
    <row r="3672" spans="1:12" ht="14" customHeight="1" x14ac:dyDescent="0.2">
      <c r="A3672" s="17"/>
      <c r="B3672" s="18"/>
      <c r="C3672" s="19"/>
      <c r="D3672" s="19"/>
      <c r="E3672" s="19"/>
      <c r="F3672" s="19"/>
      <c r="G3672" s="19"/>
      <c r="H3672" s="19"/>
      <c r="I3672" s="19"/>
      <c r="J3672" s="19"/>
      <c r="K3672" s="6"/>
      <c r="L3672" s="19"/>
    </row>
    <row r="3673" spans="1:12" ht="14" customHeight="1" x14ac:dyDescent="0.2">
      <c r="A3673" s="14"/>
      <c r="B3673" s="15"/>
      <c r="C3673" s="16"/>
      <c r="D3673" s="16"/>
      <c r="E3673" s="16"/>
      <c r="F3673" s="16"/>
      <c r="G3673" s="16"/>
      <c r="H3673" s="16"/>
      <c r="I3673" s="16"/>
      <c r="J3673" s="16"/>
      <c r="K3673" s="6"/>
      <c r="L3673" s="16"/>
    </row>
    <row r="3674" spans="1:12" ht="14" customHeight="1" x14ac:dyDescent="0.2">
      <c r="A3674" s="17"/>
      <c r="B3674" s="18"/>
      <c r="C3674" s="19"/>
      <c r="D3674" s="19"/>
      <c r="E3674" s="19"/>
      <c r="F3674" s="19"/>
      <c r="G3674" s="19"/>
      <c r="H3674" s="19"/>
      <c r="I3674" s="19"/>
      <c r="J3674" s="19"/>
      <c r="K3674" s="6"/>
      <c r="L3674" s="19"/>
    </row>
    <row r="3675" spans="1:12" ht="14" customHeight="1" x14ac:dyDescent="0.2">
      <c r="A3675" s="14"/>
      <c r="B3675" s="15"/>
      <c r="C3675" s="16"/>
      <c r="D3675" s="16"/>
      <c r="E3675" s="16"/>
      <c r="F3675" s="16"/>
      <c r="G3675" s="16"/>
      <c r="H3675" s="16"/>
      <c r="I3675" s="16"/>
      <c r="J3675" s="16"/>
      <c r="K3675" s="6"/>
      <c r="L3675" s="16"/>
    </row>
    <row r="3676" spans="1:12" ht="14" customHeight="1" x14ac:dyDescent="0.2">
      <c r="A3676" s="17"/>
      <c r="B3676" s="18"/>
      <c r="C3676" s="19"/>
      <c r="D3676" s="19"/>
      <c r="E3676" s="19"/>
      <c r="F3676" s="19"/>
      <c r="G3676" s="19"/>
      <c r="H3676" s="19"/>
      <c r="I3676" s="19"/>
      <c r="J3676" s="19"/>
      <c r="K3676" s="6"/>
      <c r="L3676" s="19"/>
    </row>
    <row r="3677" spans="1:12" ht="14" customHeight="1" x14ac:dyDescent="0.2">
      <c r="A3677" s="14"/>
      <c r="B3677" s="15"/>
      <c r="C3677" s="16"/>
      <c r="D3677" s="16"/>
      <c r="E3677" s="16"/>
      <c r="F3677" s="16"/>
      <c r="G3677" s="16"/>
      <c r="H3677" s="16"/>
      <c r="I3677" s="16"/>
      <c r="J3677" s="16"/>
      <c r="K3677" s="6"/>
      <c r="L3677" s="16"/>
    </row>
    <row r="3678" spans="1:12" ht="14" customHeight="1" x14ac:dyDescent="0.2">
      <c r="A3678" s="17"/>
      <c r="B3678" s="18"/>
      <c r="C3678" s="19"/>
      <c r="D3678" s="19"/>
      <c r="E3678" s="19"/>
      <c r="F3678" s="19"/>
      <c r="G3678" s="19"/>
      <c r="H3678" s="19"/>
      <c r="I3678" s="19"/>
      <c r="J3678" s="19"/>
      <c r="K3678" s="6"/>
      <c r="L3678" s="19"/>
    </row>
    <row r="3679" spans="1:12" ht="14" customHeight="1" x14ac:dyDescent="0.2">
      <c r="A3679" s="14"/>
      <c r="B3679" s="15"/>
      <c r="C3679" s="16"/>
      <c r="D3679" s="16"/>
      <c r="E3679" s="16"/>
      <c r="F3679" s="16"/>
      <c r="G3679" s="16"/>
      <c r="H3679" s="16"/>
      <c r="I3679" s="16"/>
      <c r="J3679" s="16"/>
      <c r="K3679" s="6"/>
      <c r="L3679" s="16"/>
    </row>
    <row r="3680" spans="1:12" ht="14" customHeight="1" x14ac:dyDescent="0.2">
      <c r="A3680" s="17"/>
      <c r="B3680" s="18"/>
      <c r="C3680" s="19"/>
      <c r="D3680" s="19"/>
      <c r="E3680" s="19"/>
      <c r="F3680" s="19"/>
      <c r="G3680" s="19"/>
      <c r="H3680" s="19"/>
      <c r="I3680" s="19"/>
      <c r="J3680" s="19"/>
      <c r="K3680" s="6"/>
      <c r="L3680" s="19"/>
    </row>
    <row r="3681" spans="1:12" ht="14" customHeight="1" x14ac:dyDescent="0.2">
      <c r="A3681" s="14"/>
      <c r="B3681" s="15"/>
      <c r="C3681" s="16"/>
      <c r="D3681" s="16"/>
      <c r="E3681" s="16"/>
      <c r="F3681" s="16"/>
      <c r="G3681" s="16"/>
      <c r="H3681" s="16"/>
      <c r="I3681" s="16"/>
      <c r="J3681" s="16"/>
      <c r="K3681" s="6"/>
      <c r="L3681" s="16"/>
    </row>
    <row r="3682" spans="1:12" ht="14" customHeight="1" x14ac:dyDescent="0.2">
      <c r="A3682" s="17"/>
      <c r="B3682" s="18"/>
      <c r="C3682" s="19"/>
      <c r="D3682" s="19"/>
      <c r="E3682" s="19"/>
      <c r="F3682" s="19"/>
      <c r="G3682" s="19"/>
      <c r="H3682" s="19"/>
      <c r="I3682" s="19"/>
      <c r="J3682" s="19"/>
      <c r="K3682" s="6"/>
      <c r="L3682" s="19"/>
    </row>
    <row r="3683" spans="1:12" ht="14" customHeight="1" x14ac:dyDescent="0.2">
      <c r="A3683" s="14"/>
      <c r="B3683" s="15"/>
      <c r="C3683" s="16"/>
      <c r="D3683" s="16"/>
      <c r="E3683" s="16"/>
      <c r="F3683" s="16"/>
      <c r="G3683" s="16"/>
      <c r="H3683" s="16"/>
      <c r="I3683" s="16"/>
      <c r="J3683" s="16"/>
      <c r="K3683" s="6"/>
      <c r="L3683" s="16"/>
    </row>
    <row r="3684" spans="1:12" ht="14" customHeight="1" x14ac:dyDescent="0.2">
      <c r="A3684" s="17"/>
      <c r="B3684" s="18"/>
      <c r="C3684" s="19"/>
      <c r="D3684" s="19"/>
      <c r="E3684" s="19"/>
      <c r="F3684" s="19"/>
      <c r="G3684" s="19"/>
      <c r="H3684" s="19"/>
      <c r="I3684" s="19"/>
      <c r="J3684" s="19"/>
      <c r="K3684" s="6"/>
      <c r="L3684" s="19"/>
    </row>
    <row r="3685" spans="1:12" ht="14" customHeight="1" x14ac:dyDescent="0.2">
      <c r="A3685" s="14"/>
      <c r="B3685" s="15"/>
      <c r="C3685" s="16"/>
      <c r="D3685" s="16"/>
      <c r="E3685" s="16"/>
      <c r="F3685" s="16"/>
      <c r="G3685" s="16"/>
      <c r="H3685" s="16"/>
      <c r="I3685" s="16"/>
      <c r="J3685" s="16"/>
      <c r="K3685" s="6"/>
      <c r="L3685" s="16"/>
    </row>
    <row r="3686" spans="1:12" ht="14" customHeight="1" x14ac:dyDescent="0.2">
      <c r="A3686" s="17"/>
      <c r="B3686" s="18"/>
      <c r="C3686" s="19"/>
      <c r="D3686" s="19"/>
      <c r="E3686" s="19"/>
      <c r="F3686" s="19"/>
      <c r="G3686" s="19"/>
      <c r="H3686" s="19"/>
      <c r="I3686" s="19"/>
      <c r="J3686" s="19"/>
      <c r="K3686" s="6"/>
      <c r="L3686" s="19"/>
    </row>
    <row r="3687" spans="1:12" ht="14" customHeight="1" x14ac:dyDescent="0.2">
      <c r="A3687" s="14"/>
      <c r="B3687" s="15"/>
      <c r="C3687" s="16"/>
      <c r="D3687" s="16"/>
      <c r="E3687" s="16"/>
      <c r="F3687" s="16"/>
      <c r="G3687" s="16"/>
      <c r="H3687" s="16"/>
      <c r="I3687" s="16"/>
      <c r="J3687" s="16"/>
      <c r="K3687" s="6"/>
      <c r="L3687" s="16"/>
    </row>
    <row r="3688" spans="1:12" ht="14" customHeight="1" x14ac:dyDescent="0.2">
      <c r="A3688" s="17"/>
      <c r="B3688" s="18"/>
      <c r="C3688" s="19"/>
      <c r="D3688" s="19"/>
      <c r="E3688" s="19"/>
      <c r="F3688" s="19"/>
      <c r="G3688" s="19"/>
      <c r="H3688" s="19"/>
      <c r="I3688" s="19"/>
      <c r="J3688" s="19"/>
      <c r="K3688" s="6"/>
      <c r="L3688" s="19"/>
    </row>
    <row r="3689" spans="1:12" ht="14" customHeight="1" x14ac:dyDescent="0.2">
      <c r="A3689" s="14"/>
      <c r="B3689" s="15"/>
      <c r="C3689" s="16"/>
      <c r="D3689" s="16"/>
      <c r="E3689" s="16"/>
      <c r="F3689" s="16"/>
      <c r="G3689" s="16"/>
      <c r="H3689" s="16"/>
      <c r="I3689" s="16"/>
      <c r="J3689" s="16"/>
      <c r="K3689" s="6"/>
      <c r="L3689" s="16"/>
    </row>
    <row r="3690" spans="1:12" ht="14" customHeight="1" x14ac:dyDescent="0.2">
      <c r="A3690" s="17"/>
      <c r="B3690" s="18"/>
      <c r="C3690" s="19"/>
      <c r="D3690" s="19"/>
      <c r="E3690" s="19"/>
      <c r="F3690" s="19"/>
      <c r="G3690" s="19"/>
      <c r="H3690" s="19"/>
      <c r="I3690" s="19"/>
      <c r="J3690" s="19"/>
      <c r="K3690" s="6"/>
      <c r="L3690" s="19"/>
    </row>
    <row r="3691" spans="1:12" ht="14" customHeight="1" x14ac:dyDescent="0.2">
      <c r="A3691" s="14"/>
      <c r="B3691" s="15"/>
      <c r="C3691" s="16"/>
      <c r="D3691" s="16"/>
      <c r="E3691" s="16"/>
      <c r="F3691" s="16"/>
      <c r="G3691" s="16"/>
      <c r="H3691" s="16"/>
      <c r="I3691" s="16"/>
      <c r="J3691" s="16"/>
      <c r="K3691" s="6"/>
      <c r="L3691" s="16"/>
    </row>
    <row r="3692" spans="1:12" ht="14" customHeight="1" x14ac:dyDescent="0.2">
      <c r="A3692" s="17"/>
      <c r="B3692" s="18"/>
      <c r="C3692" s="19"/>
      <c r="D3692" s="19"/>
      <c r="E3692" s="19"/>
      <c r="F3692" s="19"/>
      <c r="G3692" s="19"/>
      <c r="H3692" s="19"/>
      <c r="I3692" s="19"/>
      <c r="J3692" s="19"/>
      <c r="K3692" s="6"/>
      <c r="L3692" s="19"/>
    </row>
    <row r="3693" spans="1:12" ht="14" customHeight="1" x14ac:dyDescent="0.2">
      <c r="A3693" s="14"/>
      <c r="B3693" s="15"/>
      <c r="C3693" s="16"/>
      <c r="D3693" s="16"/>
      <c r="E3693" s="16"/>
      <c r="F3693" s="16"/>
      <c r="G3693" s="16"/>
      <c r="H3693" s="16"/>
      <c r="I3693" s="16"/>
      <c r="J3693" s="16"/>
      <c r="K3693" s="6"/>
      <c r="L3693" s="16"/>
    </row>
    <row r="3694" spans="1:12" ht="14" customHeight="1" x14ac:dyDescent="0.2">
      <c r="A3694" s="17"/>
      <c r="B3694" s="18"/>
      <c r="C3694" s="19"/>
      <c r="D3694" s="19"/>
      <c r="E3694" s="19"/>
      <c r="F3694" s="19"/>
      <c r="G3694" s="19"/>
      <c r="H3694" s="19"/>
      <c r="I3694" s="19"/>
      <c r="J3694" s="19"/>
      <c r="K3694" s="6"/>
      <c r="L3694" s="19"/>
    </row>
    <row r="3695" spans="1:12" ht="14" customHeight="1" x14ac:dyDescent="0.2">
      <c r="A3695" s="14"/>
      <c r="B3695" s="15"/>
      <c r="C3695" s="16"/>
      <c r="D3695" s="16"/>
      <c r="E3695" s="16"/>
      <c r="F3695" s="16"/>
      <c r="G3695" s="16"/>
      <c r="H3695" s="16"/>
      <c r="I3695" s="16"/>
      <c r="J3695" s="16"/>
      <c r="K3695" s="6"/>
      <c r="L3695" s="16"/>
    </row>
    <row r="3696" spans="1:12" ht="14" customHeight="1" x14ac:dyDescent="0.2">
      <c r="A3696" s="17"/>
      <c r="B3696" s="18"/>
      <c r="C3696" s="19"/>
      <c r="D3696" s="19"/>
      <c r="E3696" s="19"/>
      <c r="F3696" s="19"/>
      <c r="G3696" s="19"/>
      <c r="H3696" s="19"/>
      <c r="I3696" s="19"/>
      <c r="J3696" s="19"/>
      <c r="K3696" s="6"/>
      <c r="L3696" s="19"/>
    </row>
    <row r="3697" spans="1:12" ht="14" customHeight="1" x14ac:dyDescent="0.2">
      <c r="A3697" s="14"/>
      <c r="B3697" s="15"/>
      <c r="C3697" s="16"/>
      <c r="D3697" s="16"/>
      <c r="E3697" s="16"/>
      <c r="F3697" s="16"/>
      <c r="G3697" s="16"/>
      <c r="H3697" s="16"/>
      <c r="I3697" s="16"/>
      <c r="J3697" s="16"/>
      <c r="K3697" s="6"/>
      <c r="L3697" s="16"/>
    </row>
    <row r="3698" spans="1:12" ht="14" customHeight="1" x14ac:dyDescent="0.2">
      <c r="A3698" s="17"/>
      <c r="B3698" s="18"/>
      <c r="C3698" s="19"/>
      <c r="D3698" s="19"/>
      <c r="E3698" s="19"/>
      <c r="F3698" s="19"/>
      <c r="G3698" s="19"/>
      <c r="H3698" s="19"/>
      <c r="I3698" s="19"/>
      <c r="J3698" s="19"/>
      <c r="K3698" s="6"/>
      <c r="L3698" s="19"/>
    </row>
    <row r="3699" spans="1:12" ht="14" customHeight="1" x14ac:dyDescent="0.2">
      <c r="A3699" s="14"/>
      <c r="B3699" s="15"/>
      <c r="C3699" s="16"/>
      <c r="D3699" s="16"/>
      <c r="E3699" s="16"/>
      <c r="F3699" s="16"/>
      <c r="G3699" s="16"/>
      <c r="H3699" s="16"/>
      <c r="I3699" s="16"/>
      <c r="J3699" s="16"/>
      <c r="K3699" s="6"/>
      <c r="L3699" s="16"/>
    </row>
    <row r="3700" spans="1:12" ht="14" customHeight="1" x14ac:dyDescent="0.2">
      <c r="A3700" s="17"/>
      <c r="B3700" s="18"/>
      <c r="C3700" s="19"/>
      <c r="D3700" s="19"/>
      <c r="E3700" s="19"/>
      <c r="F3700" s="19"/>
      <c r="G3700" s="19"/>
      <c r="H3700" s="19"/>
      <c r="I3700" s="19"/>
      <c r="J3700" s="19"/>
      <c r="K3700" s="6"/>
      <c r="L3700" s="19"/>
    </row>
    <row r="3701" spans="1:12" ht="14" customHeight="1" x14ac:dyDescent="0.2">
      <c r="A3701" s="14"/>
      <c r="B3701" s="15"/>
      <c r="C3701" s="16"/>
      <c r="D3701" s="16"/>
      <c r="E3701" s="16"/>
      <c r="F3701" s="16"/>
      <c r="G3701" s="16"/>
      <c r="H3701" s="16"/>
      <c r="I3701" s="16"/>
      <c r="J3701" s="16"/>
      <c r="K3701" s="6"/>
      <c r="L3701" s="16"/>
    </row>
    <row r="3702" spans="1:12" ht="14" customHeight="1" x14ac:dyDescent="0.2">
      <c r="A3702" s="17"/>
      <c r="B3702" s="18"/>
      <c r="C3702" s="19"/>
      <c r="D3702" s="19"/>
      <c r="E3702" s="19"/>
      <c r="F3702" s="19"/>
      <c r="G3702" s="19"/>
      <c r="H3702" s="19"/>
      <c r="I3702" s="19"/>
      <c r="J3702" s="19"/>
      <c r="K3702" s="6"/>
      <c r="L3702" s="19"/>
    </row>
    <row r="3703" spans="1:12" ht="14" customHeight="1" x14ac:dyDescent="0.2">
      <c r="A3703" s="14"/>
      <c r="B3703" s="15"/>
      <c r="C3703" s="16"/>
      <c r="D3703" s="16"/>
      <c r="E3703" s="16"/>
      <c r="F3703" s="16"/>
      <c r="G3703" s="16"/>
      <c r="H3703" s="16"/>
      <c r="I3703" s="16"/>
      <c r="J3703" s="16"/>
      <c r="K3703" s="6"/>
      <c r="L3703" s="16"/>
    </row>
    <row r="3704" spans="1:12" ht="14" customHeight="1" x14ac:dyDescent="0.2">
      <c r="A3704" s="17"/>
      <c r="B3704" s="18"/>
      <c r="C3704" s="19"/>
      <c r="D3704" s="19"/>
      <c r="E3704" s="19"/>
      <c r="F3704" s="19"/>
      <c r="G3704" s="19"/>
      <c r="H3704" s="19"/>
      <c r="I3704" s="19"/>
      <c r="J3704" s="19"/>
      <c r="K3704" s="6"/>
      <c r="L3704" s="19"/>
    </row>
    <row r="3705" spans="1:12" ht="14" customHeight="1" x14ac:dyDescent="0.2">
      <c r="A3705" s="14"/>
      <c r="B3705" s="15"/>
      <c r="C3705" s="16"/>
      <c r="D3705" s="16"/>
      <c r="E3705" s="16"/>
      <c r="F3705" s="16"/>
      <c r="G3705" s="16"/>
      <c r="H3705" s="16"/>
      <c r="I3705" s="16"/>
      <c r="J3705" s="16"/>
      <c r="K3705" s="6"/>
      <c r="L3705" s="16"/>
    </row>
    <row r="3706" spans="1:12" ht="14" customHeight="1" x14ac:dyDescent="0.2">
      <c r="A3706" s="17"/>
      <c r="B3706" s="18"/>
      <c r="C3706" s="19"/>
      <c r="D3706" s="19"/>
      <c r="E3706" s="19"/>
      <c r="F3706" s="19"/>
      <c r="G3706" s="19"/>
      <c r="H3706" s="19"/>
      <c r="I3706" s="19"/>
      <c r="J3706" s="19"/>
      <c r="K3706" s="6"/>
      <c r="L3706" s="19"/>
    </row>
    <row r="3707" spans="1:12" ht="14" customHeight="1" x14ac:dyDescent="0.2">
      <c r="A3707" s="14"/>
      <c r="B3707" s="15"/>
      <c r="C3707" s="16"/>
      <c r="D3707" s="16"/>
      <c r="E3707" s="16"/>
      <c r="F3707" s="16"/>
      <c r="G3707" s="16"/>
      <c r="H3707" s="16"/>
      <c r="I3707" s="16"/>
      <c r="J3707" s="16"/>
      <c r="K3707" s="6"/>
      <c r="L3707" s="16"/>
    </row>
    <row r="3708" spans="1:12" ht="14" customHeight="1" x14ac:dyDescent="0.2">
      <c r="A3708" s="17"/>
      <c r="B3708" s="18"/>
      <c r="C3708" s="19"/>
      <c r="D3708" s="19"/>
      <c r="E3708" s="19"/>
      <c r="F3708" s="19"/>
      <c r="G3708" s="19"/>
      <c r="H3708" s="19"/>
      <c r="I3708" s="19"/>
      <c r="J3708" s="19"/>
      <c r="K3708" s="6"/>
      <c r="L3708" s="19"/>
    </row>
    <row r="3709" spans="1:12" ht="14" customHeight="1" x14ac:dyDescent="0.2">
      <c r="A3709" s="14"/>
      <c r="B3709" s="15"/>
      <c r="C3709" s="16"/>
      <c r="D3709" s="16"/>
      <c r="E3709" s="16"/>
      <c r="F3709" s="16"/>
      <c r="G3709" s="16"/>
      <c r="H3709" s="16"/>
      <c r="I3709" s="16"/>
      <c r="J3709" s="16"/>
      <c r="K3709" s="6"/>
      <c r="L3709" s="16"/>
    </row>
    <row r="3710" spans="1:12" ht="14" customHeight="1" x14ac:dyDescent="0.2">
      <c r="A3710" s="17"/>
      <c r="B3710" s="18"/>
      <c r="C3710" s="19"/>
      <c r="D3710" s="19"/>
      <c r="E3710" s="19"/>
      <c r="F3710" s="19"/>
      <c r="G3710" s="19"/>
      <c r="H3710" s="19"/>
      <c r="I3710" s="19"/>
      <c r="J3710" s="19"/>
      <c r="K3710" s="6"/>
      <c r="L3710" s="19"/>
    </row>
    <row r="3711" spans="1:12" ht="14" customHeight="1" x14ac:dyDescent="0.2">
      <c r="A3711" s="14"/>
      <c r="B3711" s="15"/>
      <c r="C3711" s="16"/>
      <c r="D3711" s="16"/>
      <c r="E3711" s="16"/>
      <c r="F3711" s="16"/>
      <c r="G3711" s="16"/>
      <c r="H3711" s="16"/>
      <c r="I3711" s="16"/>
      <c r="J3711" s="16"/>
      <c r="K3711" s="6"/>
      <c r="L3711" s="16"/>
    </row>
    <row r="3712" spans="1:12" ht="14" customHeight="1" x14ac:dyDescent="0.2">
      <c r="A3712" s="17"/>
      <c r="B3712" s="18"/>
      <c r="C3712" s="19"/>
      <c r="D3712" s="19"/>
      <c r="E3712" s="19"/>
      <c r="F3712" s="19"/>
      <c r="G3712" s="19"/>
      <c r="H3712" s="19"/>
      <c r="I3712" s="19"/>
      <c r="J3712" s="19"/>
      <c r="K3712" s="6"/>
      <c r="L3712" s="19"/>
    </row>
    <row r="3713" spans="1:12" ht="14" customHeight="1" x14ac:dyDescent="0.2">
      <c r="A3713" s="14"/>
      <c r="B3713" s="15"/>
      <c r="C3713" s="16"/>
      <c r="D3713" s="16"/>
      <c r="E3713" s="16"/>
      <c r="F3713" s="16"/>
      <c r="G3713" s="16"/>
      <c r="H3713" s="16"/>
      <c r="I3713" s="16"/>
      <c r="J3713" s="16"/>
      <c r="K3713" s="6"/>
      <c r="L3713" s="16"/>
    </row>
    <row r="3714" spans="1:12" ht="14" customHeight="1" x14ac:dyDescent="0.2">
      <c r="A3714" s="17"/>
      <c r="B3714" s="18"/>
      <c r="C3714" s="19"/>
      <c r="D3714" s="19"/>
      <c r="E3714" s="19"/>
      <c r="F3714" s="19"/>
      <c r="G3714" s="19"/>
      <c r="H3714" s="19"/>
      <c r="I3714" s="19"/>
      <c r="J3714" s="19"/>
      <c r="K3714" s="6"/>
      <c r="L3714" s="19"/>
    </row>
    <row r="3715" spans="1:12" ht="14" customHeight="1" x14ac:dyDescent="0.2">
      <c r="A3715" s="14"/>
      <c r="B3715" s="15"/>
      <c r="C3715" s="16"/>
      <c r="D3715" s="16"/>
      <c r="E3715" s="16"/>
      <c r="F3715" s="16"/>
      <c r="G3715" s="16"/>
      <c r="H3715" s="16"/>
      <c r="I3715" s="16"/>
      <c r="J3715" s="16"/>
      <c r="K3715" s="6"/>
      <c r="L3715" s="16"/>
    </row>
    <row r="3716" spans="1:12" ht="14" customHeight="1" x14ac:dyDescent="0.2">
      <c r="A3716" s="17"/>
      <c r="B3716" s="18"/>
      <c r="C3716" s="19"/>
      <c r="D3716" s="19"/>
      <c r="E3716" s="19"/>
      <c r="F3716" s="19"/>
      <c r="G3716" s="19"/>
      <c r="H3716" s="19"/>
      <c r="I3716" s="19"/>
      <c r="J3716" s="19"/>
      <c r="K3716" s="6"/>
      <c r="L3716" s="19"/>
    </row>
    <row r="3717" spans="1:12" ht="14" customHeight="1" x14ac:dyDescent="0.2">
      <c r="A3717" s="14"/>
      <c r="B3717" s="15"/>
      <c r="C3717" s="16"/>
      <c r="D3717" s="16"/>
      <c r="E3717" s="16"/>
      <c r="F3717" s="16"/>
      <c r="G3717" s="16"/>
      <c r="H3717" s="16"/>
      <c r="I3717" s="16"/>
      <c r="J3717" s="16"/>
      <c r="K3717" s="6"/>
      <c r="L3717" s="16"/>
    </row>
    <row r="3718" spans="1:12" ht="14" customHeight="1" x14ac:dyDescent="0.2">
      <c r="A3718" s="17"/>
      <c r="B3718" s="18"/>
      <c r="C3718" s="19"/>
      <c r="D3718" s="19"/>
      <c r="E3718" s="19"/>
      <c r="F3718" s="19"/>
      <c r="G3718" s="19"/>
      <c r="H3718" s="19"/>
      <c r="I3718" s="19"/>
      <c r="J3718" s="19"/>
      <c r="K3718" s="6"/>
      <c r="L3718" s="19"/>
    </row>
    <row r="3719" spans="1:12" ht="14" customHeight="1" x14ac:dyDescent="0.2">
      <c r="A3719" s="14"/>
      <c r="B3719" s="15"/>
      <c r="C3719" s="16"/>
      <c r="D3719" s="16"/>
      <c r="E3719" s="16"/>
      <c r="F3719" s="16"/>
      <c r="G3719" s="16"/>
      <c r="H3719" s="16"/>
      <c r="I3719" s="16"/>
      <c r="J3719" s="16"/>
      <c r="K3719" s="6"/>
      <c r="L3719" s="16"/>
    </row>
    <row r="3720" spans="1:12" ht="14" customHeight="1" x14ac:dyDescent="0.2">
      <c r="A3720" s="17"/>
      <c r="B3720" s="18"/>
      <c r="C3720" s="19"/>
      <c r="D3720" s="19"/>
      <c r="E3720" s="19"/>
      <c r="F3720" s="19"/>
      <c r="G3720" s="19"/>
      <c r="H3720" s="19"/>
      <c r="I3720" s="19"/>
      <c r="J3720" s="19"/>
      <c r="K3720" s="6"/>
      <c r="L3720" s="19"/>
    </row>
    <row r="3721" spans="1:12" ht="14" customHeight="1" x14ac:dyDescent="0.2">
      <c r="A3721" s="14"/>
      <c r="B3721" s="15"/>
      <c r="C3721" s="16"/>
      <c r="D3721" s="16"/>
      <c r="E3721" s="16"/>
      <c r="F3721" s="16"/>
      <c r="G3721" s="16"/>
      <c r="H3721" s="16"/>
      <c r="I3721" s="16"/>
      <c r="J3721" s="16"/>
      <c r="K3721" s="6"/>
      <c r="L3721" s="16"/>
    </row>
    <row r="3722" spans="1:12" ht="14" customHeight="1" x14ac:dyDescent="0.2">
      <c r="A3722" s="17"/>
      <c r="B3722" s="18"/>
      <c r="C3722" s="19"/>
      <c r="D3722" s="19"/>
      <c r="E3722" s="19"/>
      <c r="F3722" s="19"/>
      <c r="G3722" s="19"/>
      <c r="H3722" s="19"/>
      <c r="I3722" s="19"/>
      <c r="J3722" s="19"/>
      <c r="K3722" s="6"/>
      <c r="L3722" s="19"/>
    </row>
    <row r="3723" spans="1:12" ht="14" customHeight="1" x14ac:dyDescent="0.2">
      <c r="A3723" s="14"/>
      <c r="B3723" s="15"/>
      <c r="C3723" s="16"/>
      <c r="D3723" s="16"/>
      <c r="E3723" s="16"/>
      <c r="F3723" s="16"/>
      <c r="G3723" s="16"/>
      <c r="H3723" s="16"/>
      <c r="I3723" s="16"/>
      <c r="J3723" s="16"/>
      <c r="K3723" s="6"/>
      <c r="L3723" s="16"/>
    </row>
    <row r="3724" spans="1:12" ht="14" customHeight="1" x14ac:dyDescent="0.2">
      <c r="A3724" s="17"/>
      <c r="B3724" s="18"/>
      <c r="C3724" s="19"/>
      <c r="D3724" s="19"/>
      <c r="E3724" s="19"/>
      <c r="F3724" s="19"/>
      <c r="G3724" s="19"/>
      <c r="H3724" s="19"/>
      <c r="I3724" s="19"/>
      <c r="J3724" s="19"/>
      <c r="K3724" s="6"/>
      <c r="L3724" s="19"/>
    </row>
    <row r="3725" spans="1:12" ht="14" customHeight="1" x14ac:dyDescent="0.2">
      <c r="A3725" s="14"/>
      <c r="B3725" s="15"/>
      <c r="C3725" s="16"/>
      <c r="D3725" s="16"/>
      <c r="E3725" s="16"/>
      <c r="F3725" s="16"/>
      <c r="G3725" s="16"/>
      <c r="H3725" s="16"/>
      <c r="I3725" s="16"/>
      <c r="J3725" s="16"/>
      <c r="K3725" s="6"/>
      <c r="L3725" s="16"/>
    </row>
    <row r="3726" spans="1:12" ht="14" customHeight="1" x14ac:dyDescent="0.2">
      <c r="A3726" s="17"/>
      <c r="B3726" s="18"/>
      <c r="C3726" s="19"/>
      <c r="D3726" s="19"/>
      <c r="E3726" s="19"/>
      <c r="F3726" s="19"/>
      <c r="G3726" s="19"/>
      <c r="H3726" s="19"/>
      <c r="I3726" s="19"/>
      <c r="J3726" s="19"/>
      <c r="K3726" s="6"/>
      <c r="L3726" s="19"/>
    </row>
    <row r="3727" spans="1:12" ht="14" customHeight="1" x14ac:dyDescent="0.2">
      <c r="A3727" s="14"/>
      <c r="B3727" s="15"/>
      <c r="C3727" s="16"/>
      <c r="D3727" s="16"/>
      <c r="E3727" s="16"/>
      <c r="F3727" s="16"/>
      <c r="G3727" s="16"/>
      <c r="H3727" s="16"/>
      <c r="I3727" s="16"/>
      <c r="J3727" s="16"/>
      <c r="K3727" s="6"/>
      <c r="L3727" s="16"/>
    </row>
    <row r="3728" spans="1:12" ht="14" customHeight="1" x14ac:dyDescent="0.2">
      <c r="A3728" s="17"/>
      <c r="B3728" s="18"/>
      <c r="C3728" s="19"/>
      <c r="D3728" s="19"/>
      <c r="E3728" s="19"/>
      <c r="F3728" s="19"/>
      <c r="G3728" s="19"/>
      <c r="H3728" s="19"/>
      <c r="I3728" s="19"/>
      <c r="J3728" s="19"/>
      <c r="K3728" s="6"/>
      <c r="L3728" s="19"/>
    </row>
    <row r="3729" spans="1:12" ht="14" customHeight="1" x14ac:dyDescent="0.2">
      <c r="A3729" s="14"/>
      <c r="B3729" s="15"/>
      <c r="C3729" s="16"/>
      <c r="D3729" s="16"/>
      <c r="E3729" s="16"/>
      <c r="F3729" s="16"/>
      <c r="G3729" s="16"/>
      <c r="H3729" s="16"/>
      <c r="I3729" s="16"/>
      <c r="J3729" s="16"/>
      <c r="K3729" s="6"/>
      <c r="L3729" s="16"/>
    </row>
    <row r="3730" spans="1:12" ht="14" customHeight="1" x14ac:dyDescent="0.2">
      <c r="A3730" s="17"/>
      <c r="B3730" s="18"/>
      <c r="C3730" s="19"/>
      <c r="D3730" s="19"/>
      <c r="E3730" s="19"/>
      <c r="F3730" s="19"/>
      <c r="G3730" s="19"/>
      <c r="H3730" s="19"/>
      <c r="I3730" s="19"/>
      <c r="J3730" s="19"/>
      <c r="K3730" s="6"/>
      <c r="L3730" s="19"/>
    </row>
    <row r="3731" spans="1:12" ht="14" customHeight="1" x14ac:dyDescent="0.2">
      <c r="A3731" s="14"/>
      <c r="B3731" s="15"/>
      <c r="C3731" s="16"/>
      <c r="D3731" s="16"/>
      <c r="E3731" s="16"/>
      <c r="F3731" s="16"/>
      <c r="G3731" s="16"/>
      <c r="H3731" s="16"/>
      <c r="I3731" s="16"/>
      <c r="J3731" s="16"/>
      <c r="K3731" s="6"/>
      <c r="L3731" s="16"/>
    </row>
    <row r="3732" spans="1:12" ht="14" customHeight="1" x14ac:dyDescent="0.2">
      <c r="A3732" s="17"/>
      <c r="B3732" s="18"/>
      <c r="C3732" s="19"/>
      <c r="D3732" s="19"/>
      <c r="E3732" s="19"/>
      <c r="F3732" s="19"/>
      <c r="G3732" s="19"/>
      <c r="H3732" s="19"/>
      <c r="I3732" s="19"/>
      <c r="J3732" s="19"/>
      <c r="K3732" s="6"/>
      <c r="L3732" s="19"/>
    </row>
    <row r="3733" spans="1:12" ht="14" customHeight="1" x14ac:dyDescent="0.2">
      <c r="A3733" s="14"/>
      <c r="B3733" s="15"/>
      <c r="C3733" s="16"/>
      <c r="D3733" s="16"/>
      <c r="E3733" s="16"/>
      <c r="F3733" s="16"/>
      <c r="G3733" s="16"/>
      <c r="H3733" s="16"/>
      <c r="I3733" s="16"/>
      <c r="J3733" s="16"/>
      <c r="K3733" s="6"/>
      <c r="L3733" s="16"/>
    </row>
    <row r="3734" spans="1:12" ht="14" customHeight="1" x14ac:dyDescent="0.2">
      <c r="A3734" s="17"/>
      <c r="B3734" s="18"/>
      <c r="C3734" s="19"/>
      <c r="D3734" s="19"/>
      <c r="E3734" s="19"/>
      <c r="F3734" s="19"/>
      <c r="G3734" s="19"/>
      <c r="H3734" s="19"/>
      <c r="I3734" s="19"/>
      <c r="J3734" s="19"/>
      <c r="K3734" s="6"/>
      <c r="L3734" s="19"/>
    </row>
    <row r="3735" spans="1:12" ht="14" customHeight="1" x14ac:dyDescent="0.2">
      <c r="A3735" s="14"/>
      <c r="B3735" s="15"/>
      <c r="C3735" s="16"/>
      <c r="D3735" s="16"/>
      <c r="E3735" s="16"/>
      <c r="F3735" s="16"/>
      <c r="G3735" s="16"/>
      <c r="H3735" s="16"/>
      <c r="I3735" s="16"/>
      <c r="J3735" s="16"/>
      <c r="K3735" s="6"/>
      <c r="L3735" s="16"/>
    </row>
    <row r="3736" spans="1:12" ht="14" customHeight="1" x14ac:dyDescent="0.2">
      <c r="A3736" s="17"/>
      <c r="B3736" s="18"/>
      <c r="C3736" s="19"/>
      <c r="D3736" s="19"/>
      <c r="E3736" s="19"/>
      <c r="F3736" s="19"/>
      <c r="G3736" s="19"/>
      <c r="H3736" s="19"/>
      <c r="I3736" s="19"/>
      <c r="J3736" s="19"/>
      <c r="K3736" s="6"/>
      <c r="L3736" s="19"/>
    </row>
    <row r="3737" spans="1:12" ht="14" customHeight="1" x14ac:dyDescent="0.2">
      <c r="A3737" s="14"/>
      <c r="B3737" s="15"/>
      <c r="C3737" s="16"/>
      <c r="D3737" s="16"/>
      <c r="E3737" s="16"/>
      <c r="F3737" s="16"/>
      <c r="G3737" s="16"/>
      <c r="H3737" s="16"/>
      <c r="I3737" s="16"/>
      <c r="J3737" s="16"/>
      <c r="K3737" s="6"/>
      <c r="L3737" s="16"/>
    </row>
    <row r="3738" spans="1:12" ht="14" customHeight="1" x14ac:dyDescent="0.2">
      <c r="A3738" s="17"/>
      <c r="B3738" s="18"/>
      <c r="C3738" s="19"/>
      <c r="D3738" s="19"/>
      <c r="E3738" s="19"/>
      <c r="F3738" s="19"/>
      <c r="G3738" s="19"/>
      <c r="H3738" s="19"/>
      <c r="I3738" s="19"/>
      <c r="J3738" s="19"/>
      <c r="K3738" s="6"/>
      <c r="L3738" s="19"/>
    </row>
    <row r="3739" spans="1:12" ht="14" customHeight="1" x14ac:dyDescent="0.2">
      <c r="A3739" s="14"/>
      <c r="B3739" s="15"/>
      <c r="C3739" s="16"/>
      <c r="D3739" s="16"/>
      <c r="E3739" s="16"/>
      <c r="F3739" s="16"/>
      <c r="G3739" s="16"/>
      <c r="H3739" s="16"/>
      <c r="I3739" s="16"/>
      <c r="J3739" s="16"/>
      <c r="K3739" s="6"/>
      <c r="L3739" s="16"/>
    </row>
    <row r="3740" spans="1:12" ht="14" customHeight="1" x14ac:dyDescent="0.2">
      <c r="A3740" s="17"/>
      <c r="B3740" s="18"/>
      <c r="C3740" s="19"/>
      <c r="D3740" s="19"/>
      <c r="E3740" s="19"/>
      <c r="F3740" s="19"/>
      <c r="G3740" s="19"/>
      <c r="H3740" s="19"/>
      <c r="I3740" s="19"/>
      <c r="J3740" s="19"/>
      <c r="K3740" s="6"/>
      <c r="L3740" s="19"/>
    </row>
    <row r="3741" spans="1:12" ht="14" customHeight="1" x14ac:dyDescent="0.2">
      <c r="A3741" s="14"/>
      <c r="B3741" s="15"/>
      <c r="C3741" s="16"/>
      <c r="D3741" s="16"/>
      <c r="E3741" s="16"/>
      <c r="F3741" s="16"/>
      <c r="G3741" s="16"/>
      <c r="H3741" s="16"/>
      <c r="I3741" s="16"/>
      <c r="J3741" s="16"/>
      <c r="K3741" s="6"/>
      <c r="L3741" s="16"/>
    </row>
    <row r="3742" spans="1:12" ht="14" customHeight="1" x14ac:dyDescent="0.2">
      <c r="A3742" s="17"/>
      <c r="B3742" s="18"/>
      <c r="C3742" s="19"/>
      <c r="D3742" s="19"/>
      <c r="E3742" s="19"/>
      <c r="F3742" s="19"/>
      <c r="G3742" s="19"/>
      <c r="H3742" s="19"/>
      <c r="I3742" s="19"/>
      <c r="J3742" s="19"/>
      <c r="K3742" s="6"/>
      <c r="L3742" s="19"/>
    </row>
    <row r="3743" spans="1:12" ht="14" customHeight="1" x14ac:dyDescent="0.2">
      <c r="A3743" s="14"/>
      <c r="B3743" s="15"/>
      <c r="C3743" s="16"/>
      <c r="D3743" s="16"/>
      <c r="E3743" s="16"/>
      <c r="F3743" s="16"/>
      <c r="G3743" s="16"/>
      <c r="H3743" s="16"/>
      <c r="I3743" s="16"/>
      <c r="J3743" s="16"/>
      <c r="K3743" s="6"/>
      <c r="L3743" s="16"/>
    </row>
    <row r="3744" spans="1:12" ht="14" customHeight="1" x14ac:dyDescent="0.2">
      <c r="A3744" s="17"/>
      <c r="B3744" s="18"/>
      <c r="C3744" s="19"/>
      <c r="D3744" s="19"/>
      <c r="E3744" s="19"/>
      <c r="F3744" s="19"/>
      <c r="G3744" s="19"/>
      <c r="H3744" s="19"/>
      <c r="I3744" s="19"/>
      <c r="J3744" s="19"/>
      <c r="K3744" s="6"/>
      <c r="L3744" s="19"/>
    </row>
    <row r="3745" spans="1:12" ht="14" customHeight="1" x14ac:dyDescent="0.2">
      <c r="A3745" s="14"/>
      <c r="B3745" s="15"/>
      <c r="C3745" s="16"/>
      <c r="D3745" s="16"/>
      <c r="E3745" s="16"/>
      <c r="F3745" s="16"/>
      <c r="G3745" s="16"/>
      <c r="H3745" s="16"/>
      <c r="I3745" s="16"/>
      <c r="J3745" s="16"/>
      <c r="K3745" s="6"/>
      <c r="L3745" s="16"/>
    </row>
    <row r="3746" spans="1:12" ht="14" customHeight="1" x14ac:dyDescent="0.2">
      <c r="A3746" s="17"/>
      <c r="B3746" s="18"/>
      <c r="C3746" s="19"/>
      <c r="D3746" s="19"/>
      <c r="E3746" s="19"/>
      <c r="F3746" s="19"/>
      <c r="G3746" s="19"/>
      <c r="H3746" s="19"/>
      <c r="I3746" s="19"/>
      <c r="J3746" s="19"/>
      <c r="K3746" s="6"/>
      <c r="L3746" s="19"/>
    </row>
    <row r="3747" spans="1:12" ht="14" customHeight="1" x14ac:dyDescent="0.2">
      <c r="A3747" s="14"/>
      <c r="B3747" s="15"/>
      <c r="C3747" s="16"/>
      <c r="D3747" s="16"/>
      <c r="E3747" s="16"/>
      <c r="F3747" s="16"/>
      <c r="G3747" s="16"/>
      <c r="H3747" s="16"/>
      <c r="I3747" s="16"/>
      <c r="J3747" s="16"/>
      <c r="K3747" s="6"/>
      <c r="L3747" s="16"/>
    </row>
    <row r="3748" spans="1:12" ht="14" customHeight="1" x14ac:dyDescent="0.2">
      <c r="A3748" s="17"/>
      <c r="B3748" s="18"/>
      <c r="C3748" s="19"/>
      <c r="D3748" s="19"/>
      <c r="E3748" s="19"/>
      <c r="F3748" s="19"/>
      <c r="G3748" s="19"/>
      <c r="H3748" s="19"/>
      <c r="I3748" s="19"/>
      <c r="J3748" s="19"/>
      <c r="K3748" s="6"/>
      <c r="L3748" s="19"/>
    </row>
    <row r="3749" spans="1:12" ht="14" customHeight="1" x14ac:dyDescent="0.2">
      <c r="A3749" s="14"/>
      <c r="B3749" s="15"/>
      <c r="C3749" s="16"/>
      <c r="D3749" s="16"/>
      <c r="E3749" s="16"/>
      <c r="F3749" s="16"/>
      <c r="G3749" s="16"/>
      <c r="H3749" s="16"/>
      <c r="I3749" s="16"/>
      <c r="J3749" s="16"/>
      <c r="K3749" s="6"/>
      <c r="L3749" s="16"/>
    </row>
    <row r="3750" spans="1:12" ht="14" customHeight="1" x14ac:dyDescent="0.2">
      <c r="A3750" s="17"/>
      <c r="B3750" s="18"/>
      <c r="C3750" s="19"/>
      <c r="D3750" s="19"/>
      <c r="E3750" s="19"/>
      <c r="F3750" s="19"/>
      <c r="G3750" s="19"/>
      <c r="H3750" s="19"/>
      <c r="I3750" s="19"/>
      <c r="J3750" s="19"/>
      <c r="K3750" s="6"/>
      <c r="L3750" s="19"/>
    </row>
    <row r="3751" spans="1:12" ht="14" customHeight="1" x14ac:dyDescent="0.2">
      <c r="A3751" s="14"/>
      <c r="B3751" s="15"/>
      <c r="C3751" s="16"/>
      <c r="D3751" s="16"/>
      <c r="E3751" s="16"/>
      <c r="F3751" s="16"/>
      <c r="G3751" s="16"/>
      <c r="H3751" s="16"/>
      <c r="I3751" s="16"/>
      <c r="J3751" s="16"/>
      <c r="K3751" s="6"/>
      <c r="L3751" s="16"/>
    </row>
    <row r="3752" spans="1:12" ht="14" customHeight="1" x14ac:dyDescent="0.2">
      <c r="A3752" s="17"/>
      <c r="B3752" s="18"/>
      <c r="C3752" s="19"/>
      <c r="D3752" s="19"/>
      <c r="E3752" s="19"/>
      <c r="F3752" s="19"/>
      <c r="G3752" s="19"/>
      <c r="H3752" s="19"/>
      <c r="I3752" s="19"/>
      <c r="J3752" s="19"/>
      <c r="K3752" s="6"/>
      <c r="L3752" s="19"/>
    </row>
    <row r="3753" spans="1:12" ht="14" customHeight="1" x14ac:dyDescent="0.2">
      <c r="A3753" s="14"/>
      <c r="B3753" s="15"/>
      <c r="C3753" s="16"/>
      <c r="D3753" s="16"/>
      <c r="E3753" s="16"/>
      <c r="F3753" s="16"/>
      <c r="G3753" s="16"/>
      <c r="H3753" s="16"/>
      <c r="I3753" s="16"/>
      <c r="J3753" s="16"/>
      <c r="K3753" s="6"/>
      <c r="L3753" s="16"/>
    </row>
    <row r="3754" spans="1:12" ht="14" customHeight="1" x14ac:dyDescent="0.2">
      <c r="A3754" s="17"/>
      <c r="B3754" s="18"/>
      <c r="C3754" s="19"/>
      <c r="D3754" s="19"/>
      <c r="E3754" s="19"/>
      <c r="F3754" s="19"/>
      <c r="G3754" s="19"/>
      <c r="H3754" s="19"/>
      <c r="I3754" s="19"/>
      <c r="J3754" s="19"/>
      <c r="K3754" s="6"/>
      <c r="L3754" s="19"/>
    </row>
    <row r="3755" spans="1:12" ht="14" customHeight="1" x14ac:dyDescent="0.2">
      <c r="A3755" s="14"/>
      <c r="B3755" s="15"/>
      <c r="C3755" s="16"/>
      <c r="D3755" s="16"/>
      <c r="E3755" s="16"/>
      <c r="F3755" s="16"/>
      <c r="G3755" s="16"/>
      <c r="H3755" s="16"/>
      <c r="I3755" s="16"/>
      <c r="J3755" s="16"/>
      <c r="K3755" s="6"/>
      <c r="L3755" s="16"/>
    </row>
    <row r="3756" spans="1:12" ht="14" customHeight="1" x14ac:dyDescent="0.2">
      <c r="A3756" s="17"/>
      <c r="B3756" s="18"/>
      <c r="C3756" s="19"/>
      <c r="D3756" s="19"/>
      <c r="E3756" s="19"/>
      <c r="F3756" s="19"/>
      <c r="G3756" s="19"/>
      <c r="H3756" s="19"/>
      <c r="I3756" s="19"/>
      <c r="J3756" s="19"/>
      <c r="K3756" s="6"/>
      <c r="L3756" s="19"/>
    </row>
    <row r="3757" spans="1:12" ht="14" customHeight="1" x14ac:dyDescent="0.2">
      <c r="A3757" s="14"/>
      <c r="B3757" s="15"/>
      <c r="C3757" s="16"/>
      <c r="D3757" s="16"/>
      <c r="E3757" s="16"/>
      <c r="F3757" s="16"/>
      <c r="G3757" s="16"/>
      <c r="H3757" s="16"/>
      <c r="I3757" s="16"/>
      <c r="J3757" s="16"/>
      <c r="K3757" s="6"/>
      <c r="L3757" s="16"/>
    </row>
    <row r="3758" spans="1:12" ht="14" customHeight="1" x14ac:dyDescent="0.2">
      <c r="A3758" s="17"/>
      <c r="B3758" s="18"/>
      <c r="C3758" s="19"/>
      <c r="D3758" s="19"/>
      <c r="E3758" s="19"/>
      <c r="F3758" s="19"/>
      <c r="G3758" s="19"/>
      <c r="H3758" s="19"/>
      <c r="I3758" s="19"/>
      <c r="J3758" s="19"/>
      <c r="K3758" s="6"/>
      <c r="L3758" s="19"/>
    </row>
    <row r="3759" spans="1:12" ht="14" customHeight="1" x14ac:dyDescent="0.2">
      <c r="A3759" s="14"/>
      <c r="B3759" s="15"/>
      <c r="C3759" s="16"/>
      <c r="D3759" s="16"/>
      <c r="E3759" s="16"/>
      <c r="F3759" s="16"/>
      <c r="G3759" s="16"/>
      <c r="H3759" s="16"/>
      <c r="I3759" s="16"/>
      <c r="J3759" s="16"/>
      <c r="K3759" s="6"/>
      <c r="L3759" s="16"/>
    </row>
    <row r="3760" spans="1:12" ht="14" customHeight="1" x14ac:dyDescent="0.2">
      <c r="A3760" s="17"/>
      <c r="B3760" s="18"/>
      <c r="C3760" s="19"/>
      <c r="D3760" s="19"/>
      <c r="E3760" s="19"/>
      <c r="F3760" s="19"/>
      <c r="G3760" s="19"/>
      <c r="H3760" s="19"/>
      <c r="I3760" s="19"/>
      <c r="J3760" s="19"/>
      <c r="K3760" s="6"/>
      <c r="L3760" s="19"/>
    </row>
    <row r="3761" spans="1:12" ht="14" customHeight="1" x14ac:dyDescent="0.2">
      <c r="A3761" s="14"/>
      <c r="B3761" s="15"/>
      <c r="C3761" s="16"/>
      <c r="D3761" s="16"/>
      <c r="E3761" s="16"/>
      <c r="F3761" s="16"/>
      <c r="G3761" s="16"/>
      <c r="H3761" s="16"/>
      <c r="I3761" s="16"/>
      <c r="J3761" s="16"/>
      <c r="K3761" s="6"/>
      <c r="L3761" s="16"/>
    </row>
    <row r="3762" spans="1:12" ht="14" customHeight="1" x14ac:dyDescent="0.2">
      <c r="A3762" s="17"/>
      <c r="B3762" s="18"/>
      <c r="C3762" s="19"/>
      <c r="D3762" s="19"/>
      <c r="E3762" s="19"/>
      <c r="F3762" s="19"/>
      <c r="G3762" s="19"/>
      <c r="H3762" s="19"/>
      <c r="I3762" s="19"/>
      <c r="J3762" s="19"/>
      <c r="K3762" s="6"/>
      <c r="L3762" s="19"/>
    </row>
    <row r="3763" spans="1:12" ht="14" customHeight="1" x14ac:dyDescent="0.2">
      <c r="A3763" s="14"/>
      <c r="B3763" s="15"/>
      <c r="C3763" s="16"/>
      <c r="D3763" s="16"/>
      <c r="E3763" s="16"/>
      <c r="F3763" s="16"/>
      <c r="G3763" s="16"/>
      <c r="H3763" s="16"/>
      <c r="I3763" s="16"/>
      <c r="J3763" s="16"/>
      <c r="K3763" s="6"/>
      <c r="L3763" s="16"/>
    </row>
    <row r="3764" spans="1:12" ht="14" customHeight="1" x14ac:dyDescent="0.2">
      <c r="A3764" s="17"/>
      <c r="B3764" s="18"/>
      <c r="C3764" s="19"/>
      <c r="D3764" s="19"/>
      <c r="E3764" s="19"/>
      <c r="F3764" s="19"/>
      <c r="G3764" s="19"/>
      <c r="H3764" s="19"/>
      <c r="I3764" s="19"/>
      <c r="J3764" s="19"/>
      <c r="K3764" s="6"/>
      <c r="L3764" s="19"/>
    </row>
    <row r="3765" spans="1:12" ht="14" customHeight="1" x14ac:dyDescent="0.2">
      <c r="A3765" s="14"/>
      <c r="B3765" s="15"/>
      <c r="C3765" s="16"/>
      <c r="D3765" s="16"/>
      <c r="E3765" s="16"/>
      <c r="F3765" s="16"/>
      <c r="G3765" s="16"/>
      <c r="H3765" s="16"/>
      <c r="I3765" s="16"/>
      <c r="J3765" s="16"/>
      <c r="K3765" s="6"/>
      <c r="L3765" s="16"/>
    </row>
    <row r="3766" spans="1:12" ht="14" customHeight="1" x14ac:dyDescent="0.2">
      <c r="A3766" s="17"/>
      <c r="B3766" s="18"/>
      <c r="C3766" s="19"/>
      <c r="D3766" s="19"/>
      <c r="E3766" s="19"/>
      <c r="F3766" s="19"/>
      <c r="G3766" s="19"/>
      <c r="H3766" s="19"/>
      <c r="I3766" s="19"/>
      <c r="J3766" s="19"/>
      <c r="K3766" s="6"/>
      <c r="L3766" s="19"/>
    </row>
    <row r="3767" spans="1:12" ht="14" customHeight="1" x14ac:dyDescent="0.2">
      <c r="A3767" s="14"/>
      <c r="B3767" s="15"/>
      <c r="C3767" s="16"/>
      <c r="D3767" s="16"/>
      <c r="E3767" s="16"/>
      <c r="F3767" s="16"/>
      <c r="G3767" s="16"/>
      <c r="H3767" s="16"/>
      <c r="I3767" s="16"/>
      <c r="J3767" s="16"/>
      <c r="K3767" s="6"/>
      <c r="L3767" s="16"/>
    </row>
    <row r="3768" spans="1:12" ht="14" customHeight="1" x14ac:dyDescent="0.2">
      <c r="A3768" s="17"/>
      <c r="B3768" s="18"/>
      <c r="C3768" s="19"/>
      <c r="D3768" s="19"/>
      <c r="E3768" s="19"/>
      <c r="F3768" s="19"/>
      <c r="G3768" s="19"/>
      <c r="H3768" s="19"/>
      <c r="I3768" s="19"/>
      <c r="J3768" s="19"/>
      <c r="K3768" s="6"/>
      <c r="L3768" s="19"/>
    </row>
    <row r="3769" spans="1:12" ht="14" customHeight="1" x14ac:dyDescent="0.2">
      <c r="A3769" s="14"/>
      <c r="B3769" s="15"/>
      <c r="C3769" s="16"/>
      <c r="D3769" s="16"/>
      <c r="E3769" s="16"/>
      <c r="F3769" s="16"/>
      <c r="G3769" s="16"/>
      <c r="H3769" s="16"/>
      <c r="I3769" s="16"/>
      <c r="J3769" s="16"/>
      <c r="K3769" s="6"/>
      <c r="L3769" s="16"/>
    </row>
    <row r="3770" spans="1:12" ht="14" customHeight="1" x14ac:dyDescent="0.2">
      <c r="A3770" s="17"/>
      <c r="B3770" s="18"/>
      <c r="C3770" s="19"/>
      <c r="D3770" s="19"/>
      <c r="E3770" s="19"/>
      <c r="F3770" s="19"/>
      <c r="G3770" s="19"/>
      <c r="H3770" s="19"/>
      <c r="I3770" s="19"/>
      <c r="J3770" s="19"/>
      <c r="K3770" s="6"/>
      <c r="L3770" s="19"/>
    </row>
    <row r="3771" spans="1:12" ht="14" customHeight="1" x14ac:dyDescent="0.2">
      <c r="A3771" s="14"/>
      <c r="B3771" s="15"/>
      <c r="C3771" s="16"/>
      <c r="D3771" s="16"/>
      <c r="E3771" s="16"/>
      <c r="F3771" s="16"/>
      <c r="G3771" s="16"/>
      <c r="H3771" s="16"/>
      <c r="I3771" s="16"/>
      <c r="J3771" s="16"/>
      <c r="K3771" s="6"/>
      <c r="L3771" s="16"/>
    </row>
    <row r="3772" spans="1:12" ht="14" customHeight="1" x14ac:dyDescent="0.2">
      <c r="A3772" s="17"/>
      <c r="B3772" s="18"/>
      <c r="C3772" s="19"/>
      <c r="D3772" s="19"/>
      <c r="E3772" s="19"/>
      <c r="F3772" s="19"/>
      <c r="G3772" s="19"/>
      <c r="H3772" s="19"/>
      <c r="I3772" s="19"/>
      <c r="J3772" s="19"/>
      <c r="K3772" s="6"/>
      <c r="L3772" s="19"/>
    </row>
    <row r="3773" spans="1:12" ht="14" customHeight="1" x14ac:dyDescent="0.2">
      <c r="A3773" s="14"/>
      <c r="B3773" s="15"/>
      <c r="C3773" s="16"/>
      <c r="D3773" s="16"/>
      <c r="E3773" s="16"/>
      <c r="F3773" s="16"/>
      <c r="G3773" s="16"/>
      <c r="H3773" s="16"/>
      <c r="I3773" s="16"/>
      <c r="J3773" s="16"/>
      <c r="K3773" s="6"/>
      <c r="L3773" s="16"/>
    </row>
    <row r="3774" spans="1:12" ht="14" customHeight="1" x14ac:dyDescent="0.2">
      <c r="A3774" s="17"/>
      <c r="B3774" s="18"/>
      <c r="C3774" s="19"/>
      <c r="D3774" s="19"/>
      <c r="E3774" s="19"/>
      <c r="F3774" s="19"/>
      <c r="G3774" s="19"/>
      <c r="H3774" s="19"/>
      <c r="I3774" s="19"/>
      <c r="J3774" s="19"/>
      <c r="K3774" s="6"/>
      <c r="L3774" s="19"/>
    </row>
    <row r="3775" spans="1:12" ht="14" customHeight="1" x14ac:dyDescent="0.2">
      <c r="A3775" s="14"/>
      <c r="B3775" s="15"/>
      <c r="C3775" s="16"/>
      <c r="D3775" s="16"/>
      <c r="E3775" s="16"/>
      <c r="F3775" s="16"/>
      <c r="G3775" s="16"/>
      <c r="H3775" s="16"/>
      <c r="I3775" s="16"/>
      <c r="J3775" s="16"/>
      <c r="K3775" s="6"/>
      <c r="L3775" s="16"/>
    </row>
    <row r="3776" spans="1:12" ht="14" customHeight="1" x14ac:dyDescent="0.2">
      <c r="A3776" s="17"/>
      <c r="B3776" s="18"/>
      <c r="C3776" s="19"/>
      <c r="D3776" s="19"/>
      <c r="E3776" s="19"/>
      <c r="F3776" s="19"/>
      <c r="G3776" s="19"/>
      <c r="H3776" s="19"/>
      <c r="I3776" s="19"/>
      <c r="J3776" s="19"/>
      <c r="K3776" s="6"/>
      <c r="L3776" s="19"/>
    </row>
    <row r="3777" spans="1:12" ht="14" customHeight="1" x14ac:dyDescent="0.2">
      <c r="A3777" s="14"/>
      <c r="B3777" s="15"/>
      <c r="C3777" s="16"/>
      <c r="D3777" s="16"/>
      <c r="E3777" s="16"/>
      <c r="F3777" s="16"/>
      <c r="G3777" s="16"/>
      <c r="H3777" s="16"/>
      <c r="I3777" s="16"/>
      <c r="J3777" s="16"/>
      <c r="K3777" s="6"/>
      <c r="L3777" s="16"/>
    </row>
    <row r="3778" spans="1:12" ht="14" customHeight="1" x14ac:dyDescent="0.2">
      <c r="A3778" s="17"/>
      <c r="B3778" s="18"/>
      <c r="C3778" s="19"/>
      <c r="D3778" s="19"/>
      <c r="E3778" s="19"/>
      <c r="F3778" s="19"/>
      <c r="G3778" s="19"/>
      <c r="H3778" s="19"/>
      <c r="I3778" s="19"/>
      <c r="J3778" s="19"/>
      <c r="K3778" s="6"/>
      <c r="L3778" s="19"/>
    </row>
    <row r="3779" spans="1:12" ht="14" customHeight="1" x14ac:dyDescent="0.2">
      <c r="A3779" s="14"/>
      <c r="B3779" s="15"/>
      <c r="C3779" s="16"/>
      <c r="D3779" s="16"/>
      <c r="E3779" s="16"/>
      <c r="F3779" s="16"/>
      <c r="G3779" s="16"/>
      <c r="H3779" s="16"/>
      <c r="I3779" s="16"/>
      <c r="J3779" s="16"/>
      <c r="K3779" s="6"/>
      <c r="L3779" s="16"/>
    </row>
    <row r="3780" spans="1:12" ht="14" customHeight="1" x14ac:dyDescent="0.2">
      <c r="A3780" s="17"/>
      <c r="B3780" s="18"/>
      <c r="C3780" s="19"/>
      <c r="D3780" s="19"/>
      <c r="E3780" s="19"/>
      <c r="F3780" s="19"/>
      <c r="G3780" s="19"/>
      <c r="H3780" s="19"/>
      <c r="I3780" s="19"/>
      <c r="J3780" s="19"/>
      <c r="K3780" s="6"/>
      <c r="L3780" s="19"/>
    </row>
    <row r="3781" spans="1:12" ht="14" customHeight="1" x14ac:dyDescent="0.2">
      <c r="A3781" s="14"/>
      <c r="B3781" s="15"/>
      <c r="C3781" s="16"/>
      <c r="D3781" s="16"/>
      <c r="E3781" s="16"/>
      <c r="F3781" s="16"/>
      <c r="G3781" s="16"/>
      <c r="H3781" s="16"/>
      <c r="I3781" s="16"/>
      <c r="J3781" s="16"/>
      <c r="K3781" s="6"/>
      <c r="L3781" s="16"/>
    </row>
    <row r="3782" spans="1:12" ht="14" customHeight="1" x14ac:dyDescent="0.2">
      <c r="A3782" s="17"/>
      <c r="B3782" s="18"/>
      <c r="C3782" s="19"/>
      <c r="D3782" s="19"/>
      <c r="E3782" s="19"/>
      <c r="F3782" s="19"/>
      <c r="G3782" s="19"/>
      <c r="H3782" s="19"/>
      <c r="I3782" s="19"/>
      <c r="J3782" s="19"/>
      <c r="K3782" s="6"/>
      <c r="L3782" s="19"/>
    </row>
    <row r="3783" spans="1:12" ht="14" customHeight="1" x14ac:dyDescent="0.2">
      <c r="A3783" s="14"/>
      <c r="B3783" s="15"/>
      <c r="C3783" s="16"/>
      <c r="D3783" s="16"/>
      <c r="E3783" s="16"/>
      <c r="F3783" s="16"/>
      <c r="G3783" s="16"/>
      <c r="H3783" s="16"/>
      <c r="I3783" s="16"/>
      <c r="J3783" s="16"/>
      <c r="K3783" s="6"/>
      <c r="L3783" s="16"/>
    </row>
    <row r="3784" spans="1:12" ht="14" customHeight="1" x14ac:dyDescent="0.2">
      <c r="A3784" s="17"/>
      <c r="B3784" s="18"/>
      <c r="C3784" s="19"/>
      <c r="D3784" s="19"/>
      <c r="E3784" s="19"/>
      <c r="F3784" s="19"/>
      <c r="G3784" s="19"/>
      <c r="H3784" s="19"/>
      <c r="I3784" s="19"/>
      <c r="J3784" s="19"/>
      <c r="K3784" s="6"/>
      <c r="L3784" s="19"/>
    </row>
    <row r="3785" spans="1:12" ht="14" customHeight="1" x14ac:dyDescent="0.2">
      <c r="A3785" s="14"/>
      <c r="B3785" s="15"/>
      <c r="C3785" s="16"/>
      <c r="D3785" s="16"/>
      <c r="E3785" s="16"/>
      <c r="F3785" s="16"/>
      <c r="G3785" s="16"/>
      <c r="H3785" s="16"/>
      <c r="I3785" s="16"/>
      <c r="J3785" s="16"/>
      <c r="K3785" s="6"/>
      <c r="L3785" s="16"/>
    </row>
    <row r="3786" spans="1:12" ht="14" customHeight="1" x14ac:dyDescent="0.2">
      <c r="A3786" s="17"/>
      <c r="B3786" s="18"/>
      <c r="C3786" s="19"/>
      <c r="D3786" s="19"/>
      <c r="E3786" s="19"/>
      <c r="F3786" s="19"/>
      <c r="G3786" s="19"/>
      <c r="H3786" s="19"/>
      <c r="I3786" s="19"/>
      <c r="J3786" s="19"/>
      <c r="K3786" s="6"/>
      <c r="L3786" s="19"/>
    </row>
    <row r="3787" spans="1:12" ht="14" customHeight="1" x14ac:dyDescent="0.2">
      <c r="A3787" s="14"/>
      <c r="B3787" s="15"/>
      <c r="C3787" s="16"/>
      <c r="D3787" s="16"/>
      <c r="E3787" s="16"/>
      <c r="F3787" s="16"/>
      <c r="G3787" s="16"/>
      <c r="H3787" s="16"/>
      <c r="I3787" s="16"/>
      <c r="J3787" s="16"/>
      <c r="K3787" s="6"/>
      <c r="L3787" s="16"/>
    </row>
    <row r="3788" spans="1:12" ht="14" customHeight="1" x14ac:dyDescent="0.2">
      <c r="A3788" s="17"/>
      <c r="B3788" s="18"/>
      <c r="C3788" s="19"/>
      <c r="D3788" s="19"/>
      <c r="E3788" s="19"/>
      <c r="F3788" s="19"/>
      <c r="G3788" s="19"/>
      <c r="H3788" s="19"/>
      <c r="I3788" s="19"/>
      <c r="J3788" s="19"/>
      <c r="K3788" s="6"/>
      <c r="L3788" s="19"/>
    </row>
    <row r="3789" spans="1:12" ht="14" customHeight="1" x14ac:dyDescent="0.2">
      <c r="A3789" s="14"/>
      <c r="B3789" s="15"/>
      <c r="C3789" s="16"/>
      <c r="D3789" s="16"/>
      <c r="E3789" s="16"/>
      <c r="F3789" s="16"/>
      <c r="G3789" s="16"/>
      <c r="H3789" s="16"/>
      <c r="I3789" s="16"/>
      <c r="J3789" s="16"/>
      <c r="K3789" s="6"/>
      <c r="L3789" s="16"/>
    </row>
    <row r="3790" spans="1:12" ht="14" customHeight="1" x14ac:dyDescent="0.2">
      <c r="A3790" s="17"/>
      <c r="B3790" s="18"/>
      <c r="C3790" s="19"/>
      <c r="D3790" s="19"/>
      <c r="E3790" s="19"/>
      <c r="F3790" s="19"/>
      <c r="G3790" s="19"/>
      <c r="H3790" s="19"/>
      <c r="I3790" s="19"/>
      <c r="J3790" s="19"/>
      <c r="K3790" s="6"/>
      <c r="L3790" s="19"/>
    </row>
    <row r="3791" spans="1:12" ht="14" customHeight="1" x14ac:dyDescent="0.2">
      <c r="A3791" s="14"/>
      <c r="B3791" s="15"/>
      <c r="C3791" s="16"/>
      <c r="D3791" s="16"/>
      <c r="E3791" s="16"/>
      <c r="F3791" s="16"/>
      <c r="G3791" s="16"/>
      <c r="H3791" s="16"/>
      <c r="I3791" s="16"/>
      <c r="J3791" s="16"/>
      <c r="K3791" s="6"/>
      <c r="L3791" s="16"/>
    </row>
    <row r="3792" spans="1:12" ht="14" customHeight="1" x14ac:dyDescent="0.2">
      <c r="A3792" s="17"/>
      <c r="B3792" s="18"/>
      <c r="C3792" s="19"/>
      <c r="D3792" s="19"/>
      <c r="E3792" s="19"/>
      <c r="F3792" s="19"/>
      <c r="G3792" s="19"/>
      <c r="H3792" s="19"/>
      <c r="I3792" s="19"/>
      <c r="J3792" s="19"/>
      <c r="K3792" s="6"/>
      <c r="L3792" s="19"/>
    </row>
    <row r="3793" spans="1:12" ht="14" customHeight="1" x14ac:dyDescent="0.2">
      <c r="A3793" s="14"/>
      <c r="B3793" s="15"/>
      <c r="C3793" s="16"/>
      <c r="D3793" s="16"/>
      <c r="E3793" s="16"/>
      <c r="F3793" s="16"/>
      <c r="G3793" s="16"/>
      <c r="H3793" s="16"/>
      <c r="I3793" s="16"/>
      <c r="J3793" s="16"/>
      <c r="K3793" s="6"/>
      <c r="L3793" s="16"/>
    </row>
    <row r="3794" spans="1:12" ht="14" customHeight="1" x14ac:dyDescent="0.2">
      <c r="A3794" s="17"/>
      <c r="B3794" s="18"/>
      <c r="C3794" s="19"/>
      <c r="D3794" s="19"/>
      <c r="E3794" s="19"/>
      <c r="F3794" s="19"/>
      <c r="G3794" s="19"/>
      <c r="H3794" s="19"/>
      <c r="I3794" s="19"/>
      <c r="J3794" s="19"/>
      <c r="K3794" s="6"/>
      <c r="L3794" s="19"/>
    </row>
    <row r="3795" spans="1:12" ht="14" customHeight="1" x14ac:dyDescent="0.2">
      <c r="A3795" s="14"/>
      <c r="B3795" s="15"/>
      <c r="C3795" s="16"/>
      <c r="D3795" s="16"/>
      <c r="E3795" s="16"/>
      <c r="F3795" s="16"/>
      <c r="G3795" s="16"/>
      <c r="H3795" s="16"/>
      <c r="I3795" s="16"/>
      <c r="J3795" s="16"/>
      <c r="K3795" s="6"/>
      <c r="L3795" s="16"/>
    </row>
    <row r="3796" spans="1:12" ht="14" customHeight="1" x14ac:dyDescent="0.2">
      <c r="A3796" s="17"/>
      <c r="B3796" s="18"/>
      <c r="C3796" s="19"/>
      <c r="D3796" s="19"/>
      <c r="E3796" s="19"/>
      <c r="F3796" s="19"/>
      <c r="G3796" s="19"/>
      <c r="H3796" s="19"/>
      <c r="I3796" s="19"/>
      <c r="J3796" s="19"/>
      <c r="K3796" s="6"/>
      <c r="L3796" s="19"/>
    </row>
    <row r="3797" spans="1:12" ht="14" customHeight="1" x14ac:dyDescent="0.2">
      <c r="A3797" s="14"/>
      <c r="B3797" s="15"/>
      <c r="C3797" s="16"/>
      <c r="D3797" s="16"/>
      <c r="E3797" s="16"/>
      <c r="F3797" s="16"/>
      <c r="G3797" s="16"/>
      <c r="H3797" s="16"/>
      <c r="I3797" s="16"/>
      <c r="J3797" s="16"/>
      <c r="K3797" s="6"/>
      <c r="L3797" s="16"/>
    </row>
    <row r="3798" spans="1:12" ht="14" customHeight="1" x14ac:dyDescent="0.2">
      <c r="A3798" s="17"/>
      <c r="B3798" s="18"/>
      <c r="C3798" s="19"/>
      <c r="D3798" s="19"/>
      <c r="E3798" s="19"/>
      <c r="F3798" s="19"/>
      <c r="G3798" s="19"/>
      <c r="H3798" s="19"/>
      <c r="I3798" s="19"/>
      <c r="J3798" s="19"/>
      <c r="K3798" s="6"/>
      <c r="L3798" s="19"/>
    </row>
    <row r="3799" spans="1:12" ht="14" customHeight="1" x14ac:dyDescent="0.2">
      <c r="A3799" s="14"/>
      <c r="B3799" s="15"/>
      <c r="C3799" s="16"/>
      <c r="D3799" s="16"/>
      <c r="E3799" s="16"/>
      <c r="F3799" s="16"/>
      <c r="G3799" s="16"/>
      <c r="H3799" s="16"/>
      <c r="I3799" s="16"/>
      <c r="J3799" s="16"/>
      <c r="K3799" s="6"/>
      <c r="L3799" s="16"/>
    </row>
    <row r="3800" spans="1:12" ht="14" customHeight="1" x14ac:dyDescent="0.2">
      <c r="A3800" s="17"/>
      <c r="B3800" s="18"/>
      <c r="C3800" s="19"/>
      <c r="D3800" s="19"/>
      <c r="E3800" s="19"/>
      <c r="F3800" s="19"/>
      <c r="G3800" s="19"/>
      <c r="H3800" s="19"/>
      <c r="I3800" s="19"/>
      <c r="J3800" s="19"/>
      <c r="K3800" s="6"/>
      <c r="L3800" s="19"/>
    </row>
    <row r="3801" spans="1:12" ht="14" customHeight="1" x14ac:dyDescent="0.2">
      <c r="A3801" s="14"/>
      <c r="B3801" s="15"/>
      <c r="C3801" s="16"/>
      <c r="D3801" s="16"/>
      <c r="E3801" s="16"/>
      <c r="F3801" s="16"/>
      <c r="G3801" s="16"/>
      <c r="H3801" s="16"/>
      <c r="I3801" s="16"/>
      <c r="J3801" s="16"/>
      <c r="K3801" s="6"/>
      <c r="L3801" s="16"/>
    </row>
    <row r="3802" spans="1:12" ht="14" customHeight="1" x14ac:dyDescent="0.2">
      <c r="A3802" s="17"/>
      <c r="B3802" s="18"/>
      <c r="C3802" s="19"/>
      <c r="D3802" s="19"/>
      <c r="E3802" s="19"/>
      <c r="F3802" s="19"/>
      <c r="G3802" s="19"/>
      <c r="H3802" s="19"/>
      <c r="I3802" s="19"/>
      <c r="J3802" s="19"/>
      <c r="K3802" s="6"/>
      <c r="L3802" s="19"/>
    </row>
    <row r="3803" spans="1:12" ht="14" customHeight="1" x14ac:dyDescent="0.2">
      <c r="A3803" s="14"/>
      <c r="B3803" s="15"/>
      <c r="C3803" s="16"/>
      <c r="D3803" s="16"/>
      <c r="E3803" s="16"/>
      <c r="F3803" s="16"/>
      <c r="G3803" s="16"/>
      <c r="H3803" s="16"/>
      <c r="I3803" s="16"/>
      <c r="J3803" s="16"/>
      <c r="K3803" s="6"/>
      <c r="L3803" s="16"/>
    </row>
    <row r="3804" spans="1:12" ht="14" customHeight="1" x14ac:dyDescent="0.2">
      <c r="A3804" s="17"/>
      <c r="B3804" s="18"/>
      <c r="C3804" s="19"/>
      <c r="D3804" s="19"/>
      <c r="E3804" s="19"/>
      <c r="F3804" s="19"/>
      <c r="G3804" s="19"/>
      <c r="H3804" s="19"/>
      <c r="I3804" s="19"/>
      <c r="J3804" s="19"/>
      <c r="K3804" s="6"/>
      <c r="L3804" s="19"/>
    </row>
    <row r="3805" spans="1:12" ht="14" customHeight="1" x14ac:dyDescent="0.2">
      <c r="A3805" s="14"/>
      <c r="B3805" s="15"/>
      <c r="C3805" s="16"/>
      <c r="D3805" s="16"/>
      <c r="E3805" s="16"/>
      <c r="F3805" s="16"/>
      <c r="G3805" s="16"/>
      <c r="H3805" s="16"/>
      <c r="I3805" s="16"/>
      <c r="J3805" s="16"/>
      <c r="K3805" s="6"/>
      <c r="L3805" s="16"/>
    </row>
    <row r="3806" spans="1:12" ht="14" customHeight="1" x14ac:dyDescent="0.2">
      <c r="A3806" s="17"/>
      <c r="B3806" s="18"/>
      <c r="C3806" s="19"/>
      <c r="D3806" s="19"/>
      <c r="E3806" s="19"/>
      <c r="F3806" s="19"/>
      <c r="G3806" s="19"/>
      <c r="H3806" s="19"/>
      <c r="I3806" s="19"/>
      <c r="J3806" s="19"/>
      <c r="K3806" s="6"/>
      <c r="L3806" s="19"/>
    </row>
    <row r="3807" spans="1:12" ht="14" customHeight="1" x14ac:dyDescent="0.2">
      <c r="A3807" s="14"/>
      <c r="B3807" s="15"/>
      <c r="C3807" s="16"/>
      <c r="D3807" s="16"/>
      <c r="E3807" s="16"/>
      <c r="F3807" s="16"/>
      <c r="G3807" s="16"/>
      <c r="H3807" s="16"/>
      <c r="I3807" s="16"/>
      <c r="J3807" s="16"/>
      <c r="K3807" s="6"/>
      <c r="L3807" s="16"/>
    </row>
    <row r="3808" spans="1:12" ht="14" customHeight="1" x14ac:dyDescent="0.2">
      <c r="A3808" s="17"/>
      <c r="B3808" s="18"/>
      <c r="C3808" s="19"/>
      <c r="D3808" s="19"/>
      <c r="E3808" s="19"/>
      <c r="F3808" s="19"/>
      <c r="G3808" s="19"/>
      <c r="H3808" s="19"/>
      <c r="I3808" s="19"/>
      <c r="J3808" s="19"/>
      <c r="K3808" s="6"/>
      <c r="L3808" s="19"/>
    </row>
    <row r="3809" spans="1:12" ht="14" customHeight="1" x14ac:dyDescent="0.2">
      <c r="A3809" s="14"/>
      <c r="B3809" s="15"/>
      <c r="C3809" s="16"/>
      <c r="D3809" s="16"/>
      <c r="E3809" s="16"/>
      <c r="F3809" s="16"/>
      <c r="G3809" s="16"/>
      <c r="H3809" s="16"/>
      <c r="I3809" s="16"/>
      <c r="J3809" s="16"/>
      <c r="K3809" s="6"/>
      <c r="L3809" s="16"/>
    </row>
    <row r="3810" spans="1:12" ht="14" customHeight="1" x14ac:dyDescent="0.2">
      <c r="A3810" s="17"/>
      <c r="B3810" s="18"/>
      <c r="C3810" s="19"/>
      <c r="D3810" s="19"/>
      <c r="E3810" s="19"/>
      <c r="F3810" s="19"/>
      <c r="G3810" s="19"/>
      <c r="H3810" s="19"/>
      <c r="I3810" s="19"/>
      <c r="J3810" s="19"/>
      <c r="K3810" s="6"/>
      <c r="L3810" s="19"/>
    </row>
    <row r="3811" spans="1:12" ht="14" customHeight="1" x14ac:dyDescent="0.2">
      <c r="A3811" s="14"/>
      <c r="B3811" s="15"/>
      <c r="C3811" s="16"/>
      <c r="D3811" s="16"/>
      <c r="E3811" s="16"/>
      <c r="F3811" s="16"/>
      <c r="G3811" s="16"/>
      <c r="H3811" s="16"/>
      <c r="I3811" s="16"/>
      <c r="J3811" s="16"/>
      <c r="K3811" s="6"/>
      <c r="L3811" s="16"/>
    </row>
    <row r="3812" spans="1:12" ht="14" customHeight="1" x14ac:dyDescent="0.2">
      <c r="A3812" s="17"/>
      <c r="B3812" s="18"/>
      <c r="C3812" s="19"/>
      <c r="D3812" s="19"/>
      <c r="E3812" s="19"/>
      <c r="F3812" s="19"/>
      <c r="G3812" s="19"/>
      <c r="H3812" s="19"/>
      <c r="I3812" s="19"/>
      <c r="J3812" s="19"/>
      <c r="K3812" s="6"/>
      <c r="L3812" s="19"/>
    </row>
    <row r="3813" spans="1:12" ht="14" customHeight="1" x14ac:dyDescent="0.2">
      <c r="A3813" s="14"/>
      <c r="B3813" s="15"/>
      <c r="C3813" s="16"/>
      <c r="D3813" s="16"/>
      <c r="E3813" s="16"/>
      <c r="F3813" s="16"/>
      <c r="G3813" s="16"/>
      <c r="H3813" s="16"/>
      <c r="I3813" s="16"/>
      <c r="J3813" s="16"/>
      <c r="K3813" s="6"/>
      <c r="L3813" s="16"/>
    </row>
    <row r="3814" spans="1:12" ht="14" customHeight="1" x14ac:dyDescent="0.2">
      <c r="A3814" s="17"/>
      <c r="B3814" s="18"/>
      <c r="C3814" s="19"/>
      <c r="D3814" s="19"/>
      <c r="E3814" s="19"/>
      <c r="F3814" s="19"/>
      <c r="G3814" s="19"/>
      <c r="H3814" s="19"/>
      <c r="I3814" s="19"/>
      <c r="J3814" s="19"/>
      <c r="K3814" s="6"/>
      <c r="L3814" s="19"/>
    </row>
    <row r="3815" spans="1:12" ht="14" customHeight="1" x14ac:dyDescent="0.2">
      <c r="A3815" s="14"/>
      <c r="B3815" s="15"/>
      <c r="C3815" s="16"/>
      <c r="D3815" s="16"/>
      <c r="E3815" s="16"/>
      <c r="F3815" s="16"/>
      <c r="G3815" s="16"/>
      <c r="H3815" s="16"/>
      <c r="I3815" s="16"/>
      <c r="J3815" s="16"/>
      <c r="K3815" s="6"/>
      <c r="L3815" s="16"/>
    </row>
    <row r="3816" spans="1:12" ht="14" customHeight="1" x14ac:dyDescent="0.2">
      <c r="A3816" s="17"/>
      <c r="B3816" s="18"/>
      <c r="C3816" s="19"/>
      <c r="D3816" s="19"/>
      <c r="E3816" s="19"/>
      <c r="F3816" s="19"/>
      <c r="G3816" s="19"/>
      <c r="H3816" s="19"/>
      <c r="I3816" s="19"/>
      <c r="J3816" s="19"/>
      <c r="K3816" s="6"/>
      <c r="L3816" s="19"/>
    </row>
    <row r="3817" spans="1:12" ht="14" customHeight="1" x14ac:dyDescent="0.2">
      <c r="A3817" s="14"/>
      <c r="B3817" s="15"/>
      <c r="C3817" s="16"/>
      <c r="D3817" s="16"/>
      <c r="E3817" s="16"/>
      <c r="F3817" s="16"/>
      <c r="G3817" s="16"/>
      <c r="H3817" s="16"/>
      <c r="I3817" s="16"/>
      <c r="J3817" s="16"/>
      <c r="K3817" s="6"/>
      <c r="L3817" s="16"/>
    </row>
    <row r="3818" spans="1:12" ht="14" customHeight="1" x14ac:dyDescent="0.2">
      <c r="A3818" s="17"/>
      <c r="B3818" s="18"/>
      <c r="C3818" s="19"/>
      <c r="D3818" s="19"/>
      <c r="E3818" s="19"/>
      <c r="F3818" s="19"/>
      <c r="G3818" s="19"/>
      <c r="H3818" s="19"/>
      <c r="I3818" s="19"/>
      <c r="J3818" s="19"/>
      <c r="K3818" s="6"/>
      <c r="L3818" s="19"/>
    </row>
    <row r="3819" spans="1:12" ht="14" customHeight="1" x14ac:dyDescent="0.2">
      <c r="A3819" s="14"/>
      <c r="B3819" s="15"/>
      <c r="C3819" s="16"/>
      <c r="D3819" s="16"/>
      <c r="E3819" s="16"/>
      <c r="F3819" s="16"/>
      <c r="G3819" s="16"/>
      <c r="H3819" s="16"/>
      <c r="I3819" s="16"/>
      <c r="J3819" s="16"/>
      <c r="K3819" s="6"/>
      <c r="L3819" s="16"/>
    </row>
    <row r="3820" spans="1:12" ht="14" customHeight="1" x14ac:dyDescent="0.2">
      <c r="A3820" s="17"/>
      <c r="B3820" s="18"/>
      <c r="C3820" s="19"/>
      <c r="D3820" s="19"/>
      <c r="E3820" s="19"/>
      <c r="F3820" s="19"/>
      <c r="G3820" s="19"/>
      <c r="H3820" s="19"/>
      <c r="I3820" s="19"/>
      <c r="J3820" s="19"/>
      <c r="K3820" s="6"/>
      <c r="L3820" s="19"/>
    </row>
    <row r="3821" spans="1:12" ht="14" customHeight="1" x14ac:dyDescent="0.2">
      <c r="A3821" s="14"/>
      <c r="B3821" s="15"/>
      <c r="C3821" s="16"/>
      <c r="D3821" s="16"/>
      <c r="E3821" s="16"/>
      <c r="F3821" s="16"/>
      <c r="G3821" s="16"/>
      <c r="H3821" s="16"/>
      <c r="I3821" s="16"/>
      <c r="J3821" s="16"/>
      <c r="K3821" s="6"/>
      <c r="L3821" s="16"/>
    </row>
    <row r="3822" spans="1:12" ht="14" customHeight="1" x14ac:dyDescent="0.2">
      <c r="A3822" s="17"/>
      <c r="B3822" s="18"/>
      <c r="C3822" s="19"/>
      <c r="D3822" s="19"/>
      <c r="E3822" s="19"/>
      <c r="F3822" s="19"/>
      <c r="G3822" s="19"/>
      <c r="H3822" s="19"/>
      <c r="I3822" s="19"/>
      <c r="J3822" s="19"/>
      <c r="K3822" s="6"/>
      <c r="L3822" s="19"/>
    </row>
    <row r="3823" spans="1:12" ht="14" customHeight="1" x14ac:dyDescent="0.2">
      <c r="A3823" s="14"/>
      <c r="B3823" s="15"/>
      <c r="C3823" s="16"/>
      <c r="D3823" s="16"/>
      <c r="E3823" s="16"/>
      <c r="F3823" s="16"/>
      <c r="G3823" s="16"/>
      <c r="H3823" s="16"/>
      <c r="I3823" s="16"/>
      <c r="J3823" s="16"/>
      <c r="K3823" s="6"/>
      <c r="L3823" s="16"/>
    </row>
    <row r="3824" spans="1:12" ht="14" customHeight="1" x14ac:dyDescent="0.2">
      <c r="A3824" s="17"/>
      <c r="B3824" s="18"/>
      <c r="C3824" s="19"/>
      <c r="D3824" s="19"/>
      <c r="E3824" s="19"/>
      <c r="F3824" s="19"/>
      <c r="G3824" s="19"/>
      <c r="H3824" s="19"/>
      <c r="I3824" s="19"/>
      <c r="J3824" s="19"/>
      <c r="K3824" s="6"/>
      <c r="L3824" s="19"/>
    </row>
    <row r="3825" spans="1:12" ht="14" customHeight="1" x14ac:dyDescent="0.2">
      <c r="A3825" s="14"/>
      <c r="B3825" s="15"/>
      <c r="C3825" s="16"/>
      <c r="D3825" s="16"/>
      <c r="E3825" s="16"/>
      <c r="F3825" s="16"/>
      <c r="G3825" s="16"/>
      <c r="H3825" s="16"/>
      <c r="I3825" s="16"/>
      <c r="J3825" s="16"/>
      <c r="K3825" s="6"/>
      <c r="L3825" s="16"/>
    </row>
    <row r="3826" spans="1:12" ht="14" customHeight="1" x14ac:dyDescent="0.2">
      <c r="A3826" s="17"/>
      <c r="B3826" s="18"/>
      <c r="C3826" s="19"/>
      <c r="D3826" s="19"/>
      <c r="E3826" s="19"/>
      <c r="F3826" s="19"/>
      <c r="G3826" s="19"/>
      <c r="H3826" s="19"/>
      <c r="I3826" s="19"/>
      <c r="J3826" s="19"/>
      <c r="K3826" s="6"/>
      <c r="L3826" s="19"/>
    </row>
    <row r="3827" spans="1:12" ht="14" customHeight="1" x14ac:dyDescent="0.2">
      <c r="A3827" s="14"/>
      <c r="B3827" s="15"/>
      <c r="C3827" s="16"/>
      <c r="D3827" s="16"/>
      <c r="E3827" s="16"/>
      <c r="F3827" s="16"/>
      <c r="G3827" s="16"/>
      <c r="H3827" s="16"/>
      <c r="I3827" s="16"/>
      <c r="J3827" s="16"/>
      <c r="K3827" s="6"/>
      <c r="L3827" s="16"/>
    </row>
    <row r="3828" spans="1:12" ht="14" customHeight="1" x14ac:dyDescent="0.2">
      <c r="A3828" s="17"/>
      <c r="B3828" s="18"/>
      <c r="C3828" s="19"/>
      <c r="D3828" s="19"/>
      <c r="E3828" s="19"/>
      <c r="F3828" s="19"/>
      <c r="G3828" s="19"/>
      <c r="H3828" s="19"/>
      <c r="I3828" s="19"/>
      <c r="J3828" s="19"/>
      <c r="K3828" s="6"/>
      <c r="L3828" s="19"/>
    </row>
    <row r="3829" spans="1:12" ht="14" customHeight="1" x14ac:dyDescent="0.2">
      <c r="A3829" s="14"/>
      <c r="B3829" s="15"/>
      <c r="C3829" s="16"/>
      <c r="D3829" s="16"/>
      <c r="E3829" s="16"/>
      <c r="F3829" s="16"/>
      <c r="G3829" s="16"/>
      <c r="H3829" s="16"/>
      <c r="I3829" s="16"/>
      <c r="J3829" s="16"/>
      <c r="K3829" s="6"/>
      <c r="L3829" s="16"/>
    </row>
    <row r="3830" spans="1:12" ht="14" customHeight="1" x14ac:dyDescent="0.2">
      <c r="A3830" s="17"/>
      <c r="B3830" s="18"/>
      <c r="C3830" s="19"/>
      <c r="D3830" s="19"/>
      <c r="E3830" s="19"/>
      <c r="F3830" s="19"/>
      <c r="G3830" s="19"/>
      <c r="H3830" s="19"/>
      <c r="I3830" s="19"/>
      <c r="J3830" s="19"/>
      <c r="K3830" s="6"/>
      <c r="L3830" s="19"/>
    </row>
    <row r="3831" spans="1:12" ht="14" customHeight="1" x14ac:dyDescent="0.2">
      <c r="A3831" s="14"/>
      <c r="B3831" s="15"/>
      <c r="C3831" s="16"/>
      <c r="D3831" s="16"/>
      <c r="E3831" s="16"/>
      <c r="F3831" s="16"/>
      <c r="G3831" s="16"/>
      <c r="H3831" s="16"/>
      <c r="I3831" s="16"/>
      <c r="J3831" s="16"/>
      <c r="K3831" s="6"/>
      <c r="L3831" s="16"/>
    </row>
    <row r="3832" spans="1:12" ht="14" customHeight="1" x14ac:dyDescent="0.2">
      <c r="A3832" s="17"/>
      <c r="B3832" s="18"/>
      <c r="C3832" s="19"/>
      <c r="D3832" s="19"/>
      <c r="E3832" s="19"/>
      <c r="F3832" s="19"/>
      <c r="G3832" s="19"/>
      <c r="H3832" s="19"/>
      <c r="I3832" s="19"/>
      <c r="J3832" s="19"/>
      <c r="K3832" s="6"/>
      <c r="L3832" s="19"/>
    </row>
    <row r="3833" spans="1:12" ht="14" customHeight="1" x14ac:dyDescent="0.2">
      <c r="A3833" s="14"/>
      <c r="B3833" s="15"/>
      <c r="C3833" s="16"/>
      <c r="D3833" s="16"/>
      <c r="E3833" s="16"/>
      <c r="F3833" s="16"/>
      <c r="G3833" s="16"/>
      <c r="H3833" s="16"/>
      <c r="I3833" s="16"/>
      <c r="J3833" s="16"/>
      <c r="K3833" s="6"/>
      <c r="L3833" s="16"/>
    </row>
    <row r="3834" spans="1:12" ht="14" customHeight="1" x14ac:dyDescent="0.2">
      <c r="A3834" s="17"/>
      <c r="B3834" s="18"/>
      <c r="C3834" s="19"/>
      <c r="D3834" s="19"/>
      <c r="E3834" s="19"/>
      <c r="F3834" s="19"/>
      <c r="G3834" s="19"/>
      <c r="H3834" s="19"/>
      <c r="I3834" s="19"/>
      <c r="J3834" s="19"/>
      <c r="K3834" s="6"/>
      <c r="L3834" s="19"/>
    </row>
    <row r="3835" spans="1:12" ht="14" customHeight="1" x14ac:dyDescent="0.2">
      <c r="A3835" s="14"/>
      <c r="B3835" s="15"/>
      <c r="C3835" s="16"/>
      <c r="D3835" s="16"/>
      <c r="E3835" s="16"/>
      <c r="F3835" s="16"/>
      <c r="G3835" s="16"/>
      <c r="H3835" s="16"/>
      <c r="I3835" s="16"/>
      <c r="J3835" s="16"/>
      <c r="K3835" s="6"/>
      <c r="L3835" s="16"/>
    </row>
    <row r="3836" spans="1:12" ht="14" customHeight="1" x14ac:dyDescent="0.2">
      <c r="A3836" s="17"/>
      <c r="B3836" s="18"/>
      <c r="C3836" s="19"/>
      <c r="D3836" s="19"/>
      <c r="E3836" s="19"/>
      <c r="F3836" s="19"/>
      <c r="G3836" s="19"/>
      <c r="H3836" s="19"/>
      <c r="I3836" s="19"/>
      <c r="J3836" s="19"/>
      <c r="K3836" s="6"/>
      <c r="L3836" s="19"/>
    </row>
    <row r="3837" spans="1:12" ht="14" customHeight="1" x14ac:dyDescent="0.2">
      <c r="A3837" s="14"/>
      <c r="B3837" s="15"/>
      <c r="C3837" s="16"/>
      <c r="D3837" s="16"/>
      <c r="E3837" s="16"/>
      <c r="F3837" s="16"/>
      <c r="G3837" s="16"/>
      <c r="H3837" s="16"/>
      <c r="I3837" s="16"/>
      <c r="J3837" s="16"/>
      <c r="K3837" s="6"/>
      <c r="L3837" s="16"/>
    </row>
    <row r="3838" spans="1:12" ht="14" customHeight="1" x14ac:dyDescent="0.2">
      <c r="A3838" s="17"/>
      <c r="B3838" s="18"/>
      <c r="C3838" s="19"/>
      <c r="D3838" s="19"/>
      <c r="E3838" s="19"/>
      <c r="F3838" s="19"/>
      <c r="G3838" s="19"/>
      <c r="H3838" s="19"/>
      <c r="I3838" s="19"/>
      <c r="J3838" s="19"/>
      <c r="K3838" s="6"/>
      <c r="L3838" s="19"/>
    </row>
    <row r="3839" spans="1:12" ht="14" customHeight="1" x14ac:dyDescent="0.2">
      <c r="A3839" s="14"/>
      <c r="B3839" s="15"/>
      <c r="C3839" s="16"/>
      <c r="D3839" s="16"/>
      <c r="E3839" s="16"/>
      <c r="F3839" s="16"/>
      <c r="G3839" s="16"/>
      <c r="H3839" s="16"/>
      <c r="I3839" s="16"/>
      <c r="J3839" s="16"/>
      <c r="K3839" s="6"/>
      <c r="L3839" s="16"/>
    </row>
    <row r="3840" spans="1:12" ht="14" customHeight="1" x14ac:dyDescent="0.2">
      <c r="A3840" s="17"/>
      <c r="B3840" s="18"/>
      <c r="C3840" s="19"/>
      <c r="D3840" s="19"/>
      <c r="E3840" s="19"/>
      <c r="F3840" s="19"/>
      <c r="G3840" s="19"/>
      <c r="H3840" s="19"/>
      <c r="I3840" s="19"/>
      <c r="J3840" s="19"/>
      <c r="K3840" s="6"/>
      <c r="L3840" s="19"/>
    </row>
    <row r="3841" spans="1:12" ht="14" customHeight="1" x14ac:dyDescent="0.2">
      <c r="A3841" s="14"/>
      <c r="B3841" s="15"/>
      <c r="C3841" s="16"/>
      <c r="D3841" s="16"/>
      <c r="E3841" s="16"/>
      <c r="F3841" s="16"/>
      <c r="G3841" s="16"/>
      <c r="H3841" s="16"/>
      <c r="I3841" s="16"/>
      <c r="J3841" s="16"/>
      <c r="K3841" s="6"/>
      <c r="L3841" s="16"/>
    </row>
    <row r="3842" spans="1:12" ht="14" customHeight="1" x14ac:dyDescent="0.2">
      <c r="A3842" s="17"/>
      <c r="B3842" s="18"/>
      <c r="C3842" s="19"/>
      <c r="D3842" s="19"/>
      <c r="E3842" s="19"/>
      <c r="F3842" s="19"/>
      <c r="G3842" s="19"/>
      <c r="H3842" s="19"/>
      <c r="I3842" s="19"/>
      <c r="J3842" s="19"/>
      <c r="K3842" s="6"/>
      <c r="L3842" s="19"/>
    </row>
    <row r="3843" spans="1:12" ht="14" customHeight="1" x14ac:dyDescent="0.2">
      <c r="A3843" s="14"/>
      <c r="B3843" s="15"/>
      <c r="C3843" s="16"/>
      <c r="D3843" s="16"/>
      <c r="E3843" s="16"/>
      <c r="F3843" s="16"/>
      <c r="G3843" s="16"/>
      <c r="H3843" s="16"/>
      <c r="I3843" s="16"/>
      <c r="J3843" s="16"/>
      <c r="K3843" s="6"/>
      <c r="L3843" s="16"/>
    </row>
    <row r="3844" spans="1:12" ht="14" customHeight="1" x14ac:dyDescent="0.2">
      <c r="A3844" s="17"/>
      <c r="B3844" s="18"/>
      <c r="C3844" s="19"/>
      <c r="D3844" s="19"/>
      <c r="E3844" s="19"/>
      <c r="F3844" s="19"/>
      <c r="G3844" s="19"/>
      <c r="H3844" s="19"/>
      <c r="I3844" s="19"/>
      <c r="J3844" s="19"/>
      <c r="K3844" s="6"/>
      <c r="L3844" s="19"/>
    </row>
    <row r="3845" spans="1:12" ht="14" customHeight="1" x14ac:dyDescent="0.2">
      <c r="A3845" s="14"/>
      <c r="B3845" s="15"/>
      <c r="C3845" s="16"/>
      <c r="D3845" s="16"/>
      <c r="E3845" s="16"/>
      <c r="F3845" s="16"/>
      <c r="G3845" s="16"/>
      <c r="H3845" s="16"/>
      <c r="I3845" s="16"/>
      <c r="J3845" s="16"/>
      <c r="K3845" s="6"/>
      <c r="L3845" s="16"/>
    </row>
    <row r="3846" spans="1:12" ht="14" customHeight="1" x14ac:dyDescent="0.2">
      <c r="A3846" s="17"/>
      <c r="B3846" s="18"/>
      <c r="C3846" s="19"/>
      <c r="D3846" s="19"/>
      <c r="E3846" s="19"/>
      <c r="F3846" s="19"/>
      <c r="G3846" s="19"/>
      <c r="H3846" s="19"/>
      <c r="I3846" s="19"/>
      <c r="J3846" s="19"/>
      <c r="K3846" s="6"/>
      <c r="L3846" s="19"/>
    </row>
    <row r="3847" spans="1:12" ht="14" customHeight="1" x14ac:dyDescent="0.2">
      <c r="A3847" s="14"/>
      <c r="B3847" s="15"/>
      <c r="C3847" s="16"/>
      <c r="D3847" s="16"/>
      <c r="E3847" s="16"/>
      <c r="F3847" s="16"/>
      <c r="G3847" s="16"/>
      <c r="H3847" s="16"/>
      <c r="I3847" s="16"/>
      <c r="J3847" s="16"/>
      <c r="K3847" s="6"/>
      <c r="L3847" s="16"/>
    </row>
    <row r="3848" spans="1:12" ht="14" customHeight="1" x14ac:dyDescent="0.2">
      <c r="A3848" s="17"/>
      <c r="B3848" s="18"/>
      <c r="C3848" s="19"/>
      <c r="D3848" s="19"/>
      <c r="E3848" s="19"/>
      <c r="F3848" s="19"/>
      <c r="G3848" s="19"/>
      <c r="H3848" s="19"/>
      <c r="I3848" s="19"/>
      <c r="J3848" s="19"/>
      <c r="K3848" s="6"/>
      <c r="L3848" s="19"/>
    </row>
    <row r="3849" spans="1:12" ht="14" customHeight="1" x14ac:dyDescent="0.2">
      <c r="A3849" s="14"/>
      <c r="B3849" s="15"/>
      <c r="C3849" s="16"/>
      <c r="D3849" s="16"/>
      <c r="E3849" s="16"/>
      <c r="F3849" s="16"/>
      <c r="G3849" s="16"/>
      <c r="H3849" s="16"/>
      <c r="I3849" s="16"/>
      <c r="J3849" s="16"/>
      <c r="K3849" s="6"/>
      <c r="L3849" s="16"/>
    </row>
    <row r="3850" spans="1:12" ht="14" customHeight="1" x14ac:dyDescent="0.2">
      <c r="A3850" s="17"/>
      <c r="B3850" s="18"/>
      <c r="C3850" s="19"/>
      <c r="D3850" s="19"/>
      <c r="E3850" s="19"/>
      <c r="F3850" s="19"/>
      <c r="G3850" s="19"/>
      <c r="H3850" s="19"/>
      <c r="I3850" s="19"/>
      <c r="J3850" s="19"/>
      <c r="K3850" s="6"/>
      <c r="L3850" s="19"/>
    </row>
    <row r="3851" spans="1:12" ht="14" customHeight="1" x14ac:dyDescent="0.2">
      <c r="A3851" s="14"/>
      <c r="B3851" s="15"/>
      <c r="C3851" s="16"/>
      <c r="D3851" s="16"/>
      <c r="E3851" s="16"/>
      <c r="F3851" s="16"/>
      <c r="G3851" s="16"/>
      <c r="H3851" s="16"/>
      <c r="I3851" s="16"/>
      <c r="J3851" s="16"/>
      <c r="K3851" s="6"/>
      <c r="L3851" s="16"/>
    </row>
    <row r="3852" spans="1:12" ht="14" customHeight="1" x14ac:dyDescent="0.2">
      <c r="A3852" s="17"/>
      <c r="B3852" s="18"/>
      <c r="C3852" s="19"/>
      <c r="D3852" s="19"/>
      <c r="E3852" s="19"/>
      <c r="F3852" s="19"/>
      <c r="G3852" s="19"/>
      <c r="H3852" s="19"/>
      <c r="I3852" s="19"/>
      <c r="J3852" s="19"/>
      <c r="K3852" s="6"/>
      <c r="L3852" s="19"/>
    </row>
    <row r="3853" spans="1:12" ht="14" customHeight="1" x14ac:dyDescent="0.2">
      <c r="A3853" s="14"/>
      <c r="B3853" s="15"/>
      <c r="C3853" s="16"/>
      <c r="D3853" s="16"/>
      <c r="E3853" s="16"/>
      <c r="F3853" s="16"/>
      <c r="G3853" s="16"/>
      <c r="H3853" s="16"/>
      <c r="I3853" s="16"/>
      <c r="J3853" s="16"/>
      <c r="K3853" s="6"/>
      <c r="L3853" s="16"/>
    </row>
    <row r="3854" spans="1:12" ht="14" customHeight="1" x14ac:dyDescent="0.2">
      <c r="A3854" s="17"/>
      <c r="B3854" s="18"/>
      <c r="C3854" s="19"/>
      <c r="D3854" s="19"/>
      <c r="E3854" s="19"/>
      <c r="F3854" s="19"/>
      <c r="G3854" s="19"/>
      <c r="H3854" s="19"/>
      <c r="I3854" s="19"/>
      <c r="J3854" s="19"/>
      <c r="K3854" s="6"/>
      <c r="L3854" s="19"/>
    </row>
    <row r="3855" spans="1:12" ht="14" customHeight="1" x14ac:dyDescent="0.2">
      <c r="A3855" s="14"/>
      <c r="B3855" s="15"/>
      <c r="C3855" s="16"/>
      <c r="D3855" s="16"/>
      <c r="E3855" s="16"/>
      <c r="F3855" s="16"/>
      <c r="G3855" s="16"/>
      <c r="H3855" s="16"/>
      <c r="I3855" s="16"/>
      <c r="J3855" s="16"/>
      <c r="K3855" s="6"/>
      <c r="L3855" s="16"/>
    </row>
    <row r="3856" spans="1:12" ht="14" customHeight="1" x14ac:dyDescent="0.2">
      <c r="A3856" s="17"/>
      <c r="B3856" s="18"/>
      <c r="C3856" s="19"/>
      <c r="D3856" s="19"/>
      <c r="E3856" s="19"/>
      <c r="F3856" s="19"/>
      <c r="G3856" s="19"/>
      <c r="H3856" s="19"/>
      <c r="I3856" s="19"/>
      <c r="J3856" s="19"/>
      <c r="K3856" s="6"/>
      <c r="L3856" s="19"/>
    </row>
    <row r="3857" spans="1:12" ht="14" customHeight="1" x14ac:dyDescent="0.2">
      <c r="A3857" s="14"/>
      <c r="B3857" s="15"/>
      <c r="C3857" s="16"/>
      <c r="D3857" s="16"/>
      <c r="E3857" s="16"/>
      <c r="F3857" s="16"/>
      <c r="G3857" s="16"/>
      <c r="H3857" s="16"/>
      <c r="I3857" s="16"/>
      <c r="J3857" s="16"/>
      <c r="K3857" s="6"/>
      <c r="L3857" s="16"/>
    </row>
    <row r="3858" spans="1:12" ht="14" customHeight="1" x14ac:dyDescent="0.2">
      <c r="A3858" s="17"/>
      <c r="B3858" s="18"/>
      <c r="C3858" s="19"/>
      <c r="D3858" s="19"/>
      <c r="E3858" s="19"/>
      <c r="F3858" s="19"/>
      <c r="G3858" s="19"/>
      <c r="H3858" s="19"/>
      <c r="I3858" s="19"/>
      <c r="J3858" s="19"/>
      <c r="K3858" s="6"/>
      <c r="L3858" s="19"/>
    </row>
    <row r="3859" spans="1:12" ht="14" customHeight="1" x14ac:dyDescent="0.2">
      <c r="A3859" s="14"/>
      <c r="B3859" s="15"/>
      <c r="C3859" s="16"/>
      <c r="D3859" s="16"/>
      <c r="E3859" s="16"/>
      <c r="F3859" s="16"/>
      <c r="G3859" s="16"/>
      <c r="H3859" s="16"/>
      <c r="I3859" s="16"/>
      <c r="J3859" s="16"/>
      <c r="K3859" s="6"/>
      <c r="L3859" s="16"/>
    </row>
    <row r="3860" spans="1:12" ht="14" customHeight="1" x14ac:dyDescent="0.2">
      <c r="A3860" s="17"/>
      <c r="B3860" s="18"/>
      <c r="C3860" s="19"/>
      <c r="D3860" s="19"/>
      <c r="E3860" s="19"/>
      <c r="F3860" s="19"/>
      <c r="G3860" s="19"/>
      <c r="H3860" s="19"/>
      <c r="I3860" s="19"/>
      <c r="J3860" s="19"/>
      <c r="K3860" s="6"/>
      <c r="L3860" s="19"/>
    </row>
    <row r="3861" spans="1:12" ht="14" customHeight="1" x14ac:dyDescent="0.2">
      <c r="A3861" s="14"/>
      <c r="B3861" s="15"/>
      <c r="C3861" s="16"/>
      <c r="D3861" s="16"/>
      <c r="E3861" s="16"/>
      <c r="F3861" s="16"/>
      <c r="G3861" s="16"/>
      <c r="H3861" s="16"/>
      <c r="I3861" s="16"/>
      <c r="J3861" s="16"/>
      <c r="K3861" s="6"/>
      <c r="L3861" s="16"/>
    </row>
    <row r="3862" spans="1:12" ht="14" customHeight="1" x14ac:dyDescent="0.2">
      <c r="A3862" s="17"/>
      <c r="B3862" s="18"/>
      <c r="C3862" s="19"/>
      <c r="D3862" s="19"/>
      <c r="E3862" s="19"/>
      <c r="F3862" s="19"/>
      <c r="G3862" s="19"/>
      <c r="H3862" s="19"/>
      <c r="I3862" s="19"/>
      <c r="J3862" s="19"/>
      <c r="K3862" s="6"/>
      <c r="L3862" s="19"/>
    </row>
    <row r="3863" spans="1:12" ht="14" customHeight="1" x14ac:dyDescent="0.2">
      <c r="A3863" s="14"/>
      <c r="B3863" s="15"/>
      <c r="C3863" s="16"/>
      <c r="D3863" s="16"/>
      <c r="E3863" s="16"/>
      <c r="F3863" s="16"/>
      <c r="G3863" s="16"/>
      <c r="H3863" s="16"/>
      <c r="I3863" s="16"/>
      <c r="J3863" s="16"/>
      <c r="K3863" s="6"/>
      <c r="L3863" s="16"/>
    </row>
    <row r="3864" spans="1:12" ht="14" customHeight="1" x14ac:dyDescent="0.2">
      <c r="A3864" s="17"/>
      <c r="B3864" s="18"/>
      <c r="C3864" s="19"/>
      <c r="D3864" s="19"/>
      <c r="E3864" s="19"/>
      <c r="F3864" s="19"/>
      <c r="G3864" s="19"/>
      <c r="H3864" s="19"/>
      <c r="I3864" s="19"/>
      <c r="J3864" s="19"/>
      <c r="K3864" s="6"/>
      <c r="L3864" s="19"/>
    </row>
    <row r="3865" spans="1:12" ht="14" customHeight="1" x14ac:dyDescent="0.2">
      <c r="A3865" s="14"/>
      <c r="B3865" s="15"/>
      <c r="C3865" s="16"/>
      <c r="D3865" s="16"/>
      <c r="E3865" s="16"/>
      <c r="F3865" s="16"/>
      <c r="G3865" s="16"/>
      <c r="H3865" s="16"/>
      <c r="I3865" s="16"/>
      <c r="J3865" s="16"/>
      <c r="K3865" s="6"/>
      <c r="L3865" s="16"/>
    </row>
    <row r="3866" spans="1:12" ht="14" customHeight="1" x14ac:dyDescent="0.2">
      <c r="A3866" s="17"/>
      <c r="B3866" s="18"/>
      <c r="C3866" s="19"/>
      <c r="D3866" s="19"/>
      <c r="E3866" s="19"/>
      <c r="F3866" s="19"/>
      <c r="G3866" s="19"/>
      <c r="H3866" s="19"/>
      <c r="I3866" s="19"/>
      <c r="J3866" s="19"/>
      <c r="K3866" s="6"/>
      <c r="L3866" s="19"/>
    </row>
    <row r="3867" spans="1:12" ht="14" customHeight="1" x14ac:dyDescent="0.2">
      <c r="A3867" s="14"/>
      <c r="B3867" s="15"/>
      <c r="C3867" s="16"/>
      <c r="D3867" s="16"/>
      <c r="E3867" s="16"/>
      <c r="F3867" s="16"/>
      <c r="G3867" s="16"/>
      <c r="H3867" s="16"/>
      <c r="I3867" s="16"/>
      <c r="J3867" s="16"/>
      <c r="K3867" s="6"/>
      <c r="L3867" s="16"/>
    </row>
    <row r="3868" spans="1:12" ht="14" customHeight="1" x14ac:dyDescent="0.2">
      <c r="A3868" s="17"/>
      <c r="B3868" s="18"/>
      <c r="C3868" s="19"/>
      <c r="D3868" s="19"/>
      <c r="E3868" s="19"/>
      <c r="F3868" s="19"/>
      <c r="G3868" s="19"/>
      <c r="H3868" s="19"/>
      <c r="I3868" s="19"/>
      <c r="J3868" s="19"/>
      <c r="K3868" s="6"/>
      <c r="L3868" s="19"/>
    </row>
    <row r="3869" spans="1:12" ht="14" customHeight="1" x14ac:dyDescent="0.2">
      <c r="A3869" s="14"/>
      <c r="B3869" s="15"/>
      <c r="C3869" s="16"/>
      <c r="D3869" s="16"/>
      <c r="E3869" s="16"/>
      <c r="F3869" s="16"/>
      <c r="G3869" s="16"/>
      <c r="H3869" s="16"/>
      <c r="I3869" s="16"/>
      <c r="J3869" s="16"/>
      <c r="K3869" s="6"/>
      <c r="L3869" s="16"/>
    </row>
    <row r="3870" spans="1:12" ht="14" customHeight="1" x14ac:dyDescent="0.2">
      <c r="A3870" s="17"/>
      <c r="B3870" s="18"/>
      <c r="C3870" s="19"/>
      <c r="D3870" s="19"/>
      <c r="E3870" s="19"/>
      <c r="F3870" s="19"/>
      <c r="G3870" s="19"/>
      <c r="H3870" s="19"/>
      <c r="I3870" s="19"/>
      <c r="J3870" s="19"/>
      <c r="K3870" s="6"/>
      <c r="L3870" s="19"/>
    </row>
    <row r="3871" spans="1:12" ht="14" customHeight="1" x14ac:dyDescent="0.2">
      <c r="A3871" s="14"/>
      <c r="B3871" s="15"/>
      <c r="C3871" s="16"/>
      <c r="D3871" s="16"/>
      <c r="E3871" s="16"/>
      <c r="F3871" s="16"/>
      <c r="G3871" s="16"/>
      <c r="H3871" s="16"/>
      <c r="I3871" s="16"/>
      <c r="J3871" s="16"/>
      <c r="K3871" s="6"/>
      <c r="L3871" s="16"/>
    </row>
    <row r="3872" spans="1:12" ht="14" customHeight="1" x14ac:dyDescent="0.2">
      <c r="A3872" s="17"/>
      <c r="B3872" s="18"/>
      <c r="C3872" s="19"/>
      <c r="D3872" s="19"/>
      <c r="E3872" s="19"/>
      <c r="F3872" s="19"/>
      <c r="G3872" s="19"/>
      <c r="H3872" s="19"/>
      <c r="I3872" s="19"/>
      <c r="J3872" s="19"/>
      <c r="K3872" s="6"/>
      <c r="L3872" s="19"/>
    </row>
    <row r="3873" spans="1:12" ht="14" customHeight="1" x14ac:dyDescent="0.2">
      <c r="A3873" s="14"/>
      <c r="B3873" s="15"/>
      <c r="C3873" s="16"/>
      <c r="D3873" s="16"/>
      <c r="E3873" s="16"/>
      <c r="F3873" s="16"/>
      <c r="G3873" s="16"/>
      <c r="H3873" s="16"/>
      <c r="I3873" s="16"/>
      <c r="J3873" s="16"/>
      <c r="K3873" s="6"/>
      <c r="L3873" s="16"/>
    </row>
    <row r="3874" spans="1:12" ht="14" customHeight="1" x14ac:dyDescent="0.2">
      <c r="A3874" s="17"/>
      <c r="B3874" s="18"/>
      <c r="C3874" s="19"/>
      <c r="D3874" s="19"/>
      <c r="E3874" s="19"/>
      <c r="F3874" s="19"/>
      <c r="G3874" s="19"/>
      <c r="H3874" s="19"/>
      <c r="I3874" s="19"/>
      <c r="J3874" s="19"/>
      <c r="K3874" s="6"/>
      <c r="L3874" s="19"/>
    </row>
    <row r="3875" spans="1:12" ht="14" customHeight="1" x14ac:dyDescent="0.2">
      <c r="A3875" s="14"/>
      <c r="B3875" s="15"/>
      <c r="C3875" s="16"/>
      <c r="D3875" s="16"/>
      <c r="E3875" s="16"/>
      <c r="F3875" s="16"/>
      <c r="G3875" s="16"/>
      <c r="H3875" s="16"/>
      <c r="I3875" s="16"/>
      <c r="J3875" s="16"/>
      <c r="K3875" s="6"/>
      <c r="L3875" s="16"/>
    </row>
    <row r="3876" spans="1:12" ht="14" customHeight="1" x14ac:dyDescent="0.2">
      <c r="A3876" s="17"/>
      <c r="B3876" s="18"/>
      <c r="C3876" s="19"/>
      <c r="D3876" s="19"/>
      <c r="E3876" s="19"/>
      <c r="F3876" s="19"/>
      <c r="G3876" s="19"/>
      <c r="H3876" s="19"/>
      <c r="I3876" s="19"/>
      <c r="J3876" s="19"/>
      <c r="K3876" s="6"/>
      <c r="L3876" s="19"/>
    </row>
    <row r="3877" spans="1:12" ht="14" customHeight="1" x14ac:dyDescent="0.2">
      <c r="A3877" s="14"/>
      <c r="B3877" s="15"/>
      <c r="C3877" s="16"/>
      <c r="D3877" s="16"/>
      <c r="E3877" s="16"/>
      <c r="F3877" s="16"/>
      <c r="G3877" s="16"/>
      <c r="H3877" s="16"/>
      <c r="I3877" s="16"/>
      <c r="J3877" s="16"/>
      <c r="K3877" s="6"/>
      <c r="L3877" s="16"/>
    </row>
    <row r="3878" spans="1:12" ht="14" customHeight="1" x14ac:dyDescent="0.2">
      <c r="A3878" s="17"/>
      <c r="B3878" s="18"/>
      <c r="C3878" s="19"/>
      <c r="D3878" s="19"/>
      <c r="E3878" s="19"/>
      <c r="F3878" s="19"/>
      <c r="G3878" s="19"/>
      <c r="H3878" s="19"/>
      <c r="I3878" s="19"/>
      <c r="J3878" s="19"/>
      <c r="K3878" s="6"/>
      <c r="L3878" s="19"/>
    </row>
    <row r="3879" spans="1:12" ht="14" customHeight="1" x14ac:dyDescent="0.2">
      <c r="A3879" s="14"/>
      <c r="B3879" s="15"/>
      <c r="C3879" s="16"/>
      <c r="D3879" s="16"/>
      <c r="E3879" s="16"/>
      <c r="F3879" s="16"/>
      <c r="G3879" s="16"/>
      <c r="H3879" s="16"/>
      <c r="I3879" s="16"/>
      <c r="J3879" s="16"/>
      <c r="K3879" s="6"/>
      <c r="L3879" s="16"/>
    </row>
    <row r="3880" spans="1:12" ht="14" customHeight="1" x14ac:dyDescent="0.2">
      <c r="A3880" s="17"/>
      <c r="B3880" s="18"/>
      <c r="C3880" s="19"/>
      <c r="D3880" s="19"/>
      <c r="E3880" s="19"/>
      <c r="F3880" s="19"/>
      <c r="G3880" s="19"/>
      <c r="H3880" s="19"/>
      <c r="I3880" s="19"/>
      <c r="J3880" s="19"/>
      <c r="K3880" s="6"/>
      <c r="L3880" s="19"/>
    </row>
    <row r="3881" spans="1:12" ht="14" customHeight="1" x14ac:dyDescent="0.2">
      <c r="A3881" s="14"/>
      <c r="B3881" s="15"/>
      <c r="C3881" s="16"/>
      <c r="D3881" s="16"/>
      <c r="E3881" s="16"/>
      <c r="F3881" s="16"/>
      <c r="G3881" s="16"/>
      <c r="H3881" s="16"/>
      <c r="I3881" s="16"/>
      <c r="J3881" s="16"/>
      <c r="K3881" s="6"/>
      <c r="L3881" s="16"/>
    </row>
    <row r="3882" spans="1:12" ht="14" customHeight="1" x14ac:dyDescent="0.2">
      <c r="A3882" s="17"/>
      <c r="B3882" s="18"/>
      <c r="C3882" s="19"/>
      <c r="D3882" s="19"/>
      <c r="E3882" s="19"/>
      <c r="F3882" s="19"/>
      <c r="G3882" s="19"/>
      <c r="H3882" s="19"/>
      <c r="I3882" s="19"/>
      <c r="J3882" s="19"/>
      <c r="K3882" s="6"/>
      <c r="L3882" s="19"/>
    </row>
    <row r="3883" spans="1:12" ht="14" customHeight="1" x14ac:dyDescent="0.2">
      <c r="A3883" s="14"/>
      <c r="B3883" s="15"/>
      <c r="C3883" s="16"/>
      <c r="D3883" s="16"/>
      <c r="E3883" s="16"/>
      <c r="F3883" s="16"/>
      <c r="G3883" s="16"/>
      <c r="H3883" s="16"/>
      <c r="I3883" s="16"/>
      <c r="J3883" s="16"/>
      <c r="K3883" s="6"/>
      <c r="L3883" s="16"/>
    </row>
    <row r="3884" spans="1:12" ht="14" customHeight="1" x14ac:dyDescent="0.2">
      <c r="A3884" s="17"/>
      <c r="B3884" s="18"/>
      <c r="C3884" s="19"/>
      <c r="D3884" s="19"/>
      <c r="E3884" s="19"/>
      <c r="F3884" s="19"/>
      <c r="G3884" s="19"/>
      <c r="H3884" s="19"/>
      <c r="I3884" s="19"/>
      <c r="J3884" s="19"/>
      <c r="K3884" s="6"/>
      <c r="L3884" s="19"/>
    </row>
    <row r="3885" spans="1:12" ht="14" customHeight="1" x14ac:dyDescent="0.2">
      <c r="A3885" s="14"/>
      <c r="B3885" s="15"/>
      <c r="C3885" s="16"/>
      <c r="D3885" s="16"/>
      <c r="E3885" s="16"/>
      <c r="F3885" s="16"/>
      <c r="G3885" s="16"/>
      <c r="H3885" s="16"/>
      <c r="I3885" s="16"/>
      <c r="J3885" s="16"/>
      <c r="K3885" s="6"/>
      <c r="L3885" s="16"/>
    </row>
    <row r="3886" spans="1:12" ht="14" customHeight="1" x14ac:dyDescent="0.2">
      <c r="A3886" s="17"/>
      <c r="B3886" s="18"/>
      <c r="C3886" s="19"/>
      <c r="D3886" s="19"/>
      <c r="E3886" s="19"/>
      <c r="F3886" s="19"/>
      <c r="G3886" s="19"/>
      <c r="H3886" s="19"/>
      <c r="I3886" s="19"/>
      <c r="J3886" s="19"/>
      <c r="K3886" s="6"/>
      <c r="L3886" s="19"/>
    </row>
    <row r="3887" spans="1:12" ht="14" customHeight="1" x14ac:dyDescent="0.2">
      <c r="A3887" s="14"/>
      <c r="B3887" s="15"/>
      <c r="C3887" s="16"/>
      <c r="D3887" s="16"/>
      <c r="E3887" s="16"/>
      <c r="F3887" s="16"/>
      <c r="G3887" s="16"/>
      <c r="H3887" s="16"/>
      <c r="I3887" s="16"/>
      <c r="J3887" s="16"/>
      <c r="K3887" s="6"/>
      <c r="L3887" s="16"/>
    </row>
    <row r="3888" spans="1:12" ht="14" customHeight="1" x14ac:dyDescent="0.2">
      <c r="A3888" s="17"/>
      <c r="B3888" s="18"/>
      <c r="C3888" s="19"/>
      <c r="D3888" s="19"/>
      <c r="E3888" s="19"/>
      <c r="F3888" s="19"/>
      <c r="G3888" s="19"/>
      <c r="H3888" s="19"/>
      <c r="I3888" s="19"/>
      <c r="J3888" s="19"/>
      <c r="K3888" s="6"/>
      <c r="L3888" s="19"/>
    </row>
    <row r="3889" spans="1:12" ht="14" customHeight="1" x14ac:dyDescent="0.2">
      <c r="A3889" s="14"/>
      <c r="B3889" s="15"/>
      <c r="C3889" s="16"/>
      <c r="D3889" s="16"/>
      <c r="E3889" s="16"/>
      <c r="F3889" s="16"/>
      <c r="G3889" s="16"/>
      <c r="H3889" s="16"/>
      <c r="I3889" s="16"/>
      <c r="J3889" s="16"/>
      <c r="K3889" s="6"/>
      <c r="L3889" s="16"/>
    </row>
    <row r="3890" spans="1:12" ht="14" customHeight="1" x14ac:dyDescent="0.2">
      <c r="A3890" s="17"/>
      <c r="B3890" s="18"/>
      <c r="C3890" s="19"/>
      <c r="D3890" s="19"/>
      <c r="E3890" s="19"/>
      <c r="F3890" s="19"/>
      <c r="G3890" s="19"/>
      <c r="H3890" s="19"/>
      <c r="I3890" s="19"/>
      <c r="J3890" s="19"/>
      <c r="K3890" s="6"/>
      <c r="L3890" s="19"/>
    </row>
    <row r="3891" spans="1:12" ht="14" customHeight="1" x14ac:dyDescent="0.2">
      <c r="A3891" s="14"/>
      <c r="B3891" s="15"/>
      <c r="C3891" s="16"/>
      <c r="D3891" s="16"/>
      <c r="E3891" s="16"/>
      <c r="F3891" s="16"/>
      <c r="G3891" s="16"/>
      <c r="H3891" s="16"/>
      <c r="I3891" s="16"/>
      <c r="J3891" s="16"/>
      <c r="K3891" s="6"/>
      <c r="L3891" s="16"/>
    </row>
    <row r="3892" spans="1:12" ht="14" customHeight="1" x14ac:dyDescent="0.2">
      <c r="A3892" s="17"/>
      <c r="B3892" s="18"/>
      <c r="C3892" s="19"/>
      <c r="D3892" s="19"/>
      <c r="E3892" s="19"/>
      <c r="F3892" s="19"/>
      <c r="G3892" s="19"/>
      <c r="H3892" s="19"/>
      <c r="I3892" s="19"/>
      <c r="J3892" s="19"/>
      <c r="K3892" s="6"/>
      <c r="L3892" s="19"/>
    </row>
    <row r="3893" spans="1:12" ht="14" customHeight="1" x14ac:dyDescent="0.2">
      <c r="A3893" s="14"/>
      <c r="B3893" s="15"/>
      <c r="C3893" s="16"/>
      <c r="D3893" s="16"/>
      <c r="E3893" s="16"/>
      <c r="F3893" s="16"/>
      <c r="G3893" s="16"/>
      <c r="H3893" s="16"/>
      <c r="I3893" s="16"/>
      <c r="J3893" s="16"/>
      <c r="K3893" s="6"/>
      <c r="L3893" s="16"/>
    </row>
    <row r="3894" spans="1:12" ht="14" customHeight="1" x14ac:dyDescent="0.2">
      <c r="A3894" s="17"/>
      <c r="B3894" s="18"/>
      <c r="C3894" s="19"/>
      <c r="D3894" s="19"/>
      <c r="E3894" s="19"/>
      <c r="F3894" s="19"/>
      <c r="G3894" s="19"/>
      <c r="H3894" s="19"/>
      <c r="I3894" s="19"/>
      <c r="J3894" s="19"/>
      <c r="K3894" s="6"/>
      <c r="L3894" s="19"/>
    </row>
    <row r="3895" spans="1:12" ht="14" customHeight="1" x14ac:dyDescent="0.2">
      <c r="A3895" s="14"/>
      <c r="B3895" s="15"/>
      <c r="C3895" s="16"/>
      <c r="D3895" s="16"/>
      <c r="E3895" s="16"/>
      <c r="F3895" s="16"/>
      <c r="G3895" s="16"/>
      <c r="H3895" s="16"/>
      <c r="I3895" s="16"/>
      <c r="J3895" s="16"/>
      <c r="K3895" s="6"/>
      <c r="L3895" s="16"/>
    </row>
    <row r="3896" spans="1:12" ht="14" customHeight="1" x14ac:dyDescent="0.2">
      <c r="A3896" s="17"/>
      <c r="B3896" s="18"/>
      <c r="C3896" s="19"/>
      <c r="D3896" s="19"/>
      <c r="E3896" s="19"/>
      <c r="F3896" s="19"/>
      <c r="G3896" s="19"/>
      <c r="H3896" s="19"/>
      <c r="I3896" s="19"/>
      <c r="J3896" s="19"/>
      <c r="K3896" s="6"/>
      <c r="L3896" s="19"/>
    </row>
    <row r="3897" spans="1:12" ht="14" customHeight="1" x14ac:dyDescent="0.2">
      <c r="A3897" s="14"/>
      <c r="B3897" s="15"/>
      <c r="C3897" s="16"/>
      <c r="D3897" s="16"/>
      <c r="E3897" s="16"/>
      <c r="F3897" s="16"/>
      <c r="G3897" s="16"/>
      <c r="H3897" s="16"/>
      <c r="I3897" s="16"/>
      <c r="J3897" s="16"/>
      <c r="K3897" s="6"/>
      <c r="L3897" s="16"/>
    </row>
    <row r="3898" spans="1:12" ht="14" customHeight="1" x14ac:dyDescent="0.2">
      <c r="A3898" s="17"/>
      <c r="B3898" s="18"/>
      <c r="C3898" s="19"/>
      <c r="D3898" s="19"/>
      <c r="E3898" s="19"/>
      <c r="F3898" s="19"/>
      <c r="G3898" s="19"/>
      <c r="H3898" s="19"/>
      <c r="I3898" s="19"/>
      <c r="J3898" s="19"/>
      <c r="K3898" s="6"/>
      <c r="L3898" s="19"/>
    </row>
    <row r="3899" spans="1:12" ht="14" customHeight="1" x14ac:dyDescent="0.2">
      <c r="A3899" s="14"/>
      <c r="B3899" s="15"/>
      <c r="C3899" s="16"/>
      <c r="D3899" s="16"/>
      <c r="E3899" s="16"/>
      <c r="F3899" s="16"/>
      <c r="G3899" s="16"/>
      <c r="H3899" s="16"/>
      <c r="I3899" s="16"/>
      <c r="J3899" s="16"/>
      <c r="K3899" s="6"/>
      <c r="L3899" s="16"/>
    </row>
    <row r="3900" spans="1:12" ht="14" customHeight="1" x14ac:dyDescent="0.2">
      <c r="A3900" s="17"/>
      <c r="B3900" s="18"/>
      <c r="C3900" s="19"/>
      <c r="D3900" s="19"/>
      <c r="E3900" s="19"/>
      <c r="F3900" s="19"/>
      <c r="G3900" s="19"/>
      <c r="H3900" s="19"/>
      <c r="I3900" s="19"/>
      <c r="J3900" s="19"/>
      <c r="K3900" s="6"/>
      <c r="L3900" s="19"/>
    </row>
    <row r="3901" spans="1:12" ht="14" customHeight="1" x14ac:dyDescent="0.2">
      <c r="A3901" s="14"/>
      <c r="B3901" s="15"/>
      <c r="C3901" s="16"/>
      <c r="D3901" s="16"/>
      <c r="E3901" s="16"/>
      <c r="F3901" s="16"/>
      <c r="G3901" s="16"/>
      <c r="H3901" s="16"/>
      <c r="I3901" s="16"/>
      <c r="J3901" s="16"/>
      <c r="K3901" s="6"/>
      <c r="L3901" s="16"/>
    </row>
    <row r="3902" spans="1:12" ht="14" customHeight="1" x14ac:dyDescent="0.2">
      <c r="A3902" s="17"/>
      <c r="B3902" s="18"/>
      <c r="C3902" s="19"/>
      <c r="D3902" s="19"/>
      <c r="E3902" s="19"/>
      <c r="F3902" s="19"/>
      <c r="G3902" s="19"/>
      <c r="H3902" s="19"/>
      <c r="I3902" s="19"/>
      <c r="J3902" s="19"/>
      <c r="K3902" s="6"/>
      <c r="L3902" s="19"/>
    </row>
    <row r="3903" spans="1:12" ht="14" customHeight="1" x14ac:dyDescent="0.2">
      <c r="A3903" s="14"/>
      <c r="B3903" s="15"/>
      <c r="C3903" s="16"/>
      <c r="D3903" s="16"/>
      <c r="E3903" s="16"/>
      <c r="F3903" s="16"/>
      <c r="G3903" s="16"/>
      <c r="H3903" s="16"/>
      <c r="I3903" s="16"/>
      <c r="J3903" s="16"/>
      <c r="K3903" s="6"/>
      <c r="L3903" s="16"/>
    </row>
    <row r="3904" spans="1:12" ht="14" customHeight="1" x14ac:dyDescent="0.2">
      <c r="A3904" s="17"/>
      <c r="B3904" s="18"/>
      <c r="C3904" s="19"/>
      <c r="D3904" s="19"/>
      <c r="E3904" s="19"/>
      <c r="F3904" s="19"/>
      <c r="G3904" s="19"/>
      <c r="H3904" s="19"/>
      <c r="I3904" s="19"/>
      <c r="J3904" s="19"/>
      <c r="K3904" s="6"/>
      <c r="L3904" s="19"/>
    </row>
    <row r="3905" spans="1:12" ht="14" customHeight="1" x14ac:dyDescent="0.2">
      <c r="A3905" s="14"/>
      <c r="B3905" s="15"/>
      <c r="C3905" s="16"/>
      <c r="D3905" s="16"/>
      <c r="E3905" s="16"/>
      <c r="F3905" s="16"/>
      <c r="G3905" s="16"/>
      <c r="H3905" s="16"/>
      <c r="I3905" s="16"/>
      <c r="J3905" s="16"/>
      <c r="K3905" s="6"/>
      <c r="L3905" s="16"/>
    </row>
    <row r="3906" spans="1:12" ht="14" customHeight="1" x14ac:dyDescent="0.2">
      <c r="A3906" s="17"/>
      <c r="B3906" s="18"/>
      <c r="C3906" s="19"/>
      <c r="D3906" s="19"/>
      <c r="E3906" s="19"/>
      <c r="F3906" s="19"/>
      <c r="G3906" s="19"/>
      <c r="H3906" s="19"/>
      <c r="I3906" s="19"/>
      <c r="J3906" s="19"/>
      <c r="K3906" s="6"/>
      <c r="L3906" s="19"/>
    </row>
    <row r="3907" spans="1:12" ht="14" customHeight="1" x14ac:dyDescent="0.2">
      <c r="A3907" s="14"/>
      <c r="B3907" s="15"/>
      <c r="C3907" s="16"/>
      <c r="D3907" s="16"/>
      <c r="E3907" s="16"/>
      <c r="F3907" s="16"/>
      <c r="G3907" s="16"/>
      <c r="H3907" s="16"/>
      <c r="I3907" s="16"/>
      <c r="J3907" s="16"/>
      <c r="K3907" s="6"/>
      <c r="L3907" s="16"/>
    </row>
    <row r="3908" spans="1:12" ht="14" customHeight="1" x14ac:dyDescent="0.2">
      <c r="A3908" s="17"/>
      <c r="B3908" s="18"/>
      <c r="C3908" s="19"/>
      <c r="D3908" s="19"/>
      <c r="E3908" s="19"/>
      <c r="F3908" s="19"/>
      <c r="G3908" s="19"/>
      <c r="H3908" s="19"/>
      <c r="I3908" s="19"/>
      <c r="J3908" s="19"/>
      <c r="K3908" s="6"/>
      <c r="L3908" s="19"/>
    </row>
    <row r="3909" spans="1:12" ht="14" customHeight="1" x14ac:dyDescent="0.2">
      <c r="A3909" s="14"/>
      <c r="B3909" s="15"/>
      <c r="C3909" s="16"/>
      <c r="D3909" s="16"/>
      <c r="E3909" s="16"/>
      <c r="F3909" s="16"/>
      <c r="G3909" s="16"/>
      <c r="H3909" s="16"/>
      <c r="I3909" s="16"/>
      <c r="J3909" s="16"/>
      <c r="K3909" s="6"/>
      <c r="L3909" s="16"/>
    </row>
    <row r="3910" spans="1:12" ht="14" customHeight="1" x14ac:dyDescent="0.2">
      <c r="A3910" s="17"/>
      <c r="B3910" s="18"/>
      <c r="C3910" s="19"/>
      <c r="D3910" s="19"/>
      <c r="E3910" s="19"/>
      <c r="F3910" s="19"/>
      <c r="G3910" s="19"/>
      <c r="H3910" s="19"/>
      <c r="I3910" s="19"/>
      <c r="J3910" s="19"/>
      <c r="K3910" s="6"/>
      <c r="L3910" s="19"/>
    </row>
    <row r="3911" spans="1:12" ht="14" customHeight="1" x14ac:dyDescent="0.2">
      <c r="A3911" s="14"/>
      <c r="B3911" s="15"/>
      <c r="C3911" s="16"/>
      <c r="D3911" s="16"/>
      <c r="E3911" s="16"/>
      <c r="F3911" s="16"/>
      <c r="G3911" s="16"/>
      <c r="H3911" s="16"/>
      <c r="I3911" s="16"/>
      <c r="J3911" s="16"/>
      <c r="K3911" s="6"/>
      <c r="L3911" s="16"/>
    </row>
    <row r="3912" spans="1:12" ht="14" customHeight="1" x14ac:dyDescent="0.2">
      <c r="A3912" s="17"/>
      <c r="B3912" s="18"/>
      <c r="C3912" s="19"/>
      <c r="D3912" s="19"/>
      <c r="E3912" s="19"/>
      <c r="F3912" s="19"/>
      <c r="G3912" s="19"/>
      <c r="H3912" s="19"/>
      <c r="I3912" s="19"/>
      <c r="J3912" s="19"/>
      <c r="K3912" s="6"/>
      <c r="L3912" s="19"/>
    </row>
    <row r="3913" spans="1:12" ht="14" customHeight="1" x14ac:dyDescent="0.2">
      <c r="A3913" s="14"/>
      <c r="B3913" s="15"/>
      <c r="C3913" s="16"/>
      <c r="D3913" s="16"/>
      <c r="E3913" s="16"/>
      <c r="F3913" s="16"/>
      <c r="G3913" s="16"/>
      <c r="H3913" s="16"/>
      <c r="I3913" s="16"/>
      <c r="J3913" s="16"/>
      <c r="K3913" s="6"/>
      <c r="L3913" s="16"/>
    </row>
    <row r="3914" spans="1:12" ht="14" customHeight="1" x14ac:dyDescent="0.2">
      <c r="A3914" s="17"/>
      <c r="B3914" s="18"/>
      <c r="C3914" s="19"/>
      <c r="D3914" s="19"/>
      <c r="E3914" s="19"/>
      <c r="F3914" s="19"/>
      <c r="G3914" s="19"/>
      <c r="H3914" s="19"/>
      <c r="I3914" s="19"/>
      <c r="J3914" s="19"/>
      <c r="K3914" s="6"/>
      <c r="L3914" s="19"/>
    </row>
    <row r="3915" spans="1:12" ht="14" customHeight="1" x14ac:dyDescent="0.2">
      <c r="A3915" s="14"/>
      <c r="B3915" s="15"/>
      <c r="C3915" s="16"/>
      <c r="D3915" s="16"/>
      <c r="E3915" s="16"/>
      <c r="F3915" s="16"/>
      <c r="G3915" s="16"/>
      <c r="H3915" s="16"/>
      <c r="I3915" s="16"/>
      <c r="J3915" s="16"/>
      <c r="K3915" s="6"/>
      <c r="L3915" s="16"/>
    </row>
    <row r="3916" spans="1:12" ht="14" customHeight="1" x14ac:dyDescent="0.2">
      <c r="A3916" s="17"/>
      <c r="B3916" s="18"/>
      <c r="C3916" s="19"/>
      <c r="D3916" s="19"/>
      <c r="E3916" s="19"/>
      <c r="F3916" s="19"/>
      <c r="G3916" s="19"/>
      <c r="H3916" s="19"/>
      <c r="I3916" s="19"/>
      <c r="J3916" s="19"/>
      <c r="K3916" s="6"/>
      <c r="L3916" s="19"/>
    </row>
    <row r="3917" spans="1:12" ht="14" customHeight="1" x14ac:dyDescent="0.2">
      <c r="A3917" s="14"/>
      <c r="B3917" s="15"/>
      <c r="C3917" s="16"/>
      <c r="D3917" s="16"/>
      <c r="E3917" s="16"/>
      <c r="F3917" s="16"/>
      <c r="G3917" s="16"/>
      <c r="H3917" s="16"/>
      <c r="I3917" s="16"/>
      <c r="J3917" s="16"/>
      <c r="K3917" s="6"/>
      <c r="L3917" s="16"/>
    </row>
    <row r="3918" spans="1:12" ht="14" customHeight="1" x14ac:dyDescent="0.2">
      <c r="A3918" s="17"/>
      <c r="B3918" s="18"/>
      <c r="C3918" s="19"/>
      <c r="D3918" s="19"/>
      <c r="E3918" s="19"/>
      <c r="F3918" s="19"/>
      <c r="G3918" s="19"/>
      <c r="H3918" s="19"/>
      <c r="I3918" s="19"/>
      <c r="J3918" s="19"/>
      <c r="K3918" s="6"/>
      <c r="L3918" s="19"/>
    </row>
    <row r="3919" spans="1:12" ht="14" customHeight="1" x14ac:dyDescent="0.2">
      <c r="A3919" s="14"/>
      <c r="B3919" s="15"/>
      <c r="C3919" s="16"/>
      <c r="D3919" s="16"/>
      <c r="E3919" s="16"/>
      <c r="F3919" s="16"/>
      <c r="G3919" s="16"/>
      <c r="H3919" s="16"/>
      <c r="I3919" s="16"/>
      <c r="J3919" s="16"/>
      <c r="K3919" s="6"/>
      <c r="L3919" s="16"/>
    </row>
    <row r="3920" spans="1:12" ht="14" customHeight="1" x14ac:dyDescent="0.2">
      <c r="A3920" s="17"/>
      <c r="B3920" s="18"/>
      <c r="C3920" s="19"/>
      <c r="D3920" s="19"/>
      <c r="E3920" s="19"/>
      <c r="F3920" s="19"/>
      <c r="G3920" s="19"/>
      <c r="H3920" s="19"/>
      <c r="I3920" s="19"/>
      <c r="J3920" s="19"/>
      <c r="K3920" s="6"/>
      <c r="L3920" s="19"/>
    </row>
    <row r="3921" spans="1:12" ht="14" customHeight="1" x14ac:dyDescent="0.2">
      <c r="A3921" s="14"/>
      <c r="B3921" s="15"/>
      <c r="C3921" s="16"/>
      <c r="D3921" s="16"/>
      <c r="E3921" s="16"/>
      <c r="F3921" s="16"/>
      <c r="G3921" s="16"/>
      <c r="H3921" s="16"/>
      <c r="I3921" s="16"/>
      <c r="J3921" s="16"/>
      <c r="K3921" s="6"/>
      <c r="L3921" s="16"/>
    </row>
    <row r="3922" spans="1:12" ht="14" customHeight="1" x14ac:dyDescent="0.2">
      <c r="A3922" s="17"/>
      <c r="B3922" s="18"/>
      <c r="C3922" s="19"/>
      <c r="D3922" s="19"/>
      <c r="E3922" s="19"/>
      <c r="F3922" s="19"/>
      <c r="G3922" s="19"/>
      <c r="H3922" s="19"/>
      <c r="I3922" s="19"/>
      <c r="J3922" s="19"/>
      <c r="K3922" s="6"/>
      <c r="L3922" s="19"/>
    </row>
    <row r="3923" spans="1:12" ht="14" customHeight="1" x14ac:dyDescent="0.2">
      <c r="A3923" s="14"/>
      <c r="B3923" s="15"/>
      <c r="C3923" s="16"/>
      <c r="D3923" s="16"/>
      <c r="E3923" s="16"/>
      <c r="F3923" s="16"/>
      <c r="G3923" s="16"/>
      <c r="H3923" s="16"/>
      <c r="I3923" s="16"/>
      <c r="J3923" s="16"/>
      <c r="K3923" s="6"/>
      <c r="L3923" s="16"/>
    </row>
    <row r="3924" spans="1:12" ht="14" customHeight="1" x14ac:dyDescent="0.2">
      <c r="A3924" s="17"/>
      <c r="B3924" s="18"/>
      <c r="C3924" s="19"/>
      <c r="D3924" s="19"/>
      <c r="E3924" s="19"/>
      <c r="F3924" s="19"/>
      <c r="G3924" s="19"/>
      <c r="H3924" s="19"/>
      <c r="I3924" s="19"/>
      <c r="J3924" s="19"/>
      <c r="K3924" s="6"/>
      <c r="L3924" s="19"/>
    </row>
    <row r="3925" spans="1:12" ht="14" customHeight="1" x14ac:dyDescent="0.2">
      <c r="A3925" s="14"/>
      <c r="B3925" s="15"/>
      <c r="C3925" s="16"/>
      <c r="D3925" s="16"/>
      <c r="E3925" s="16"/>
      <c r="F3925" s="16"/>
      <c r="G3925" s="16"/>
      <c r="H3925" s="16"/>
      <c r="I3925" s="16"/>
      <c r="J3925" s="16"/>
      <c r="K3925" s="6"/>
      <c r="L3925" s="16"/>
    </row>
    <row r="3926" spans="1:12" ht="14" customHeight="1" x14ac:dyDescent="0.2">
      <c r="A3926" s="17"/>
      <c r="B3926" s="18"/>
      <c r="C3926" s="19"/>
      <c r="D3926" s="19"/>
      <c r="E3926" s="19"/>
      <c r="F3926" s="19"/>
      <c r="G3926" s="19"/>
      <c r="H3926" s="19"/>
      <c r="I3926" s="19"/>
      <c r="J3926" s="19"/>
      <c r="K3926" s="6"/>
      <c r="L3926" s="19"/>
    </row>
    <row r="3927" spans="1:12" ht="14" customHeight="1" x14ac:dyDescent="0.2">
      <c r="A3927" s="14"/>
      <c r="B3927" s="15"/>
      <c r="C3927" s="16"/>
      <c r="D3927" s="16"/>
      <c r="E3927" s="16"/>
      <c r="F3927" s="16"/>
      <c r="G3927" s="16"/>
      <c r="H3927" s="16"/>
      <c r="I3927" s="16"/>
      <c r="J3927" s="16"/>
      <c r="K3927" s="6"/>
      <c r="L3927" s="16"/>
    </row>
    <row r="3928" spans="1:12" ht="14" customHeight="1" x14ac:dyDescent="0.2">
      <c r="A3928" s="17"/>
      <c r="B3928" s="18"/>
      <c r="C3928" s="19"/>
      <c r="D3928" s="19"/>
      <c r="E3928" s="19"/>
      <c r="F3928" s="19"/>
      <c r="G3928" s="19"/>
      <c r="H3928" s="19"/>
      <c r="I3928" s="19"/>
      <c r="J3928" s="19"/>
      <c r="K3928" s="6"/>
      <c r="L3928" s="19"/>
    </row>
    <row r="3929" spans="1:12" ht="14" customHeight="1" x14ac:dyDescent="0.2">
      <c r="A3929" s="14"/>
      <c r="B3929" s="15"/>
      <c r="C3929" s="16"/>
      <c r="D3929" s="16"/>
      <c r="E3929" s="16"/>
      <c r="F3929" s="16"/>
      <c r="G3929" s="16"/>
      <c r="H3929" s="16"/>
      <c r="I3929" s="16"/>
      <c r="J3929" s="16"/>
      <c r="K3929" s="6"/>
      <c r="L3929" s="16"/>
    </row>
    <row r="3930" spans="1:12" ht="14" customHeight="1" x14ac:dyDescent="0.2">
      <c r="A3930" s="17"/>
      <c r="B3930" s="18"/>
      <c r="C3930" s="19"/>
      <c r="D3930" s="19"/>
      <c r="E3930" s="19"/>
      <c r="F3930" s="19"/>
      <c r="G3930" s="19"/>
      <c r="H3930" s="19"/>
      <c r="I3930" s="19"/>
      <c r="J3930" s="19"/>
      <c r="K3930" s="6"/>
      <c r="L3930" s="19"/>
    </row>
    <row r="3931" spans="1:12" ht="14" customHeight="1" x14ac:dyDescent="0.2">
      <c r="A3931" s="14"/>
      <c r="B3931" s="15"/>
      <c r="C3931" s="16"/>
      <c r="D3931" s="16"/>
      <c r="E3931" s="16"/>
      <c r="F3931" s="16"/>
      <c r="G3931" s="16"/>
      <c r="H3931" s="16"/>
      <c r="I3931" s="16"/>
      <c r="J3931" s="16"/>
      <c r="K3931" s="6"/>
      <c r="L3931" s="16"/>
    </row>
    <row r="3932" spans="1:12" ht="14" customHeight="1" x14ac:dyDescent="0.2">
      <c r="A3932" s="17"/>
      <c r="B3932" s="18"/>
      <c r="C3932" s="19"/>
      <c r="D3932" s="19"/>
      <c r="E3932" s="19"/>
      <c r="F3932" s="19"/>
      <c r="G3932" s="19"/>
      <c r="H3932" s="19"/>
      <c r="I3932" s="19"/>
      <c r="J3932" s="19"/>
      <c r="K3932" s="6"/>
      <c r="L3932" s="19"/>
    </row>
    <row r="3933" spans="1:12" ht="14" customHeight="1" x14ac:dyDescent="0.2">
      <c r="A3933" s="14"/>
      <c r="B3933" s="15"/>
      <c r="C3933" s="16"/>
      <c r="D3933" s="16"/>
      <c r="E3933" s="16"/>
      <c r="F3933" s="16"/>
      <c r="G3933" s="16"/>
      <c r="H3933" s="16"/>
      <c r="I3933" s="16"/>
      <c r="J3933" s="16"/>
      <c r="K3933" s="6"/>
      <c r="L3933" s="16"/>
    </row>
    <row r="3934" spans="1:12" ht="14" customHeight="1" x14ac:dyDescent="0.2">
      <c r="A3934" s="17"/>
      <c r="B3934" s="18"/>
      <c r="C3934" s="19"/>
      <c r="D3934" s="19"/>
      <c r="E3934" s="19"/>
      <c r="F3934" s="19"/>
      <c r="G3934" s="19"/>
      <c r="H3934" s="19"/>
      <c r="I3934" s="19"/>
      <c r="J3934" s="19"/>
      <c r="K3934" s="6"/>
      <c r="L3934" s="19"/>
    </row>
    <row r="3935" spans="1:12" ht="14" customHeight="1" x14ac:dyDescent="0.2">
      <c r="A3935" s="14"/>
      <c r="B3935" s="15"/>
      <c r="C3935" s="16"/>
      <c r="D3935" s="16"/>
      <c r="E3935" s="16"/>
      <c r="F3935" s="16"/>
      <c r="G3935" s="16"/>
      <c r="H3935" s="16"/>
      <c r="I3935" s="16"/>
      <c r="J3935" s="16"/>
      <c r="K3935" s="6"/>
      <c r="L3935" s="16"/>
    </row>
    <row r="3936" spans="1:12" ht="14" customHeight="1" x14ac:dyDescent="0.2">
      <c r="A3936" s="17"/>
      <c r="B3936" s="18"/>
      <c r="C3936" s="19"/>
      <c r="D3936" s="19"/>
      <c r="E3936" s="19"/>
      <c r="F3936" s="19"/>
      <c r="G3936" s="19"/>
      <c r="H3936" s="19"/>
      <c r="I3936" s="19"/>
      <c r="J3936" s="19"/>
      <c r="K3936" s="6"/>
      <c r="L3936" s="19"/>
    </row>
    <row r="3937" spans="1:12" ht="14" customHeight="1" x14ac:dyDescent="0.2">
      <c r="A3937" s="14"/>
      <c r="B3937" s="15"/>
      <c r="C3937" s="16"/>
      <c r="D3937" s="16"/>
      <c r="E3937" s="16"/>
      <c r="F3937" s="16"/>
      <c r="G3937" s="16"/>
      <c r="H3937" s="16"/>
      <c r="I3937" s="16"/>
      <c r="J3937" s="16"/>
      <c r="K3937" s="6"/>
      <c r="L3937" s="16"/>
    </row>
    <row r="3938" spans="1:12" ht="14" customHeight="1" x14ac:dyDescent="0.2">
      <c r="A3938" s="17"/>
      <c r="B3938" s="18"/>
      <c r="C3938" s="19"/>
      <c r="D3938" s="19"/>
      <c r="E3938" s="19"/>
      <c r="F3938" s="19"/>
      <c r="G3938" s="19"/>
      <c r="H3938" s="19"/>
      <c r="I3938" s="19"/>
      <c r="J3938" s="19"/>
      <c r="K3938" s="6"/>
      <c r="L3938" s="19"/>
    </row>
    <row r="3939" spans="1:12" ht="14" customHeight="1" x14ac:dyDescent="0.2">
      <c r="A3939" s="14"/>
      <c r="B3939" s="15"/>
      <c r="C3939" s="16"/>
      <c r="D3939" s="16"/>
      <c r="E3939" s="16"/>
      <c r="F3939" s="16"/>
      <c r="G3939" s="16"/>
      <c r="H3939" s="16"/>
      <c r="I3939" s="16"/>
      <c r="J3939" s="16"/>
      <c r="K3939" s="6"/>
      <c r="L3939" s="16"/>
    </row>
    <row r="3940" spans="1:12" ht="14" customHeight="1" x14ac:dyDescent="0.2">
      <c r="A3940" s="17"/>
      <c r="B3940" s="18"/>
      <c r="C3940" s="19"/>
      <c r="D3940" s="19"/>
      <c r="E3940" s="19"/>
      <c r="F3940" s="19"/>
      <c r="G3940" s="19"/>
      <c r="H3940" s="19"/>
      <c r="I3940" s="19"/>
      <c r="J3940" s="19"/>
      <c r="K3940" s="6"/>
      <c r="L3940" s="19"/>
    </row>
    <row r="3941" spans="1:12" ht="14" customHeight="1" x14ac:dyDescent="0.2">
      <c r="A3941" s="14"/>
      <c r="B3941" s="15"/>
      <c r="C3941" s="16"/>
      <c r="D3941" s="16"/>
      <c r="E3941" s="16"/>
      <c r="F3941" s="16"/>
      <c r="G3941" s="16"/>
      <c r="H3941" s="16"/>
      <c r="I3941" s="16"/>
      <c r="J3941" s="16"/>
      <c r="K3941" s="6"/>
      <c r="L3941" s="16"/>
    </row>
    <row r="3942" spans="1:12" ht="14" customHeight="1" x14ac:dyDescent="0.2">
      <c r="A3942" s="17"/>
      <c r="B3942" s="18"/>
      <c r="C3942" s="19"/>
      <c r="D3942" s="19"/>
      <c r="E3942" s="19"/>
      <c r="F3942" s="19"/>
      <c r="G3942" s="19"/>
      <c r="H3942" s="19"/>
      <c r="I3942" s="19"/>
      <c r="J3942" s="19"/>
      <c r="K3942" s="6"/>
      <c r="L3942" s="19"/>
    </row>
    <row r="3943" spans="1:12" ht="14" customHeight="1" x14ac:dyDescent="0.2">
      <c r="A3943" s="14"/>
      <c r="B3943" s="15"/>
      <c r="C3943" s="16"/>
      <c r="D3943" s="16"/>
      <c r="E3943" s="16"/>
      <c r="F3943" s="16"/>
      <c r="G3943" s="16"/>
      <c r="H3943" s="16"/>
      <c r="I3943" s="16"/>
      <c r="J3943" s="16"/>
      <c r="K3943" s="6"/>
      <c r="L3943" s="16"/>
    </row>
    <row r="3944" spans="1:12" ht="14" customHeight="1" x14ac:dyDescent="0.2">
      <c r="A3944" s="17"/>
      <c r="B3944" s="18"/>
      <c r="C3944" s="19"/>
      <c r="D3944" s="19"/>
      <c r="E3944" s="19"/>
      <c r="F3944" s="19"/>
      <c r="G3944" s="19"/>
      <c r="H3944" s="19"/>
      <c r="I3944" s="19"/>
      <c r="J3944" s="19"/>
      <c r="K3944" s="6"/>
      <c r="L3944" s="19"/>
    </row>
    <row r="3945" spans="1:12" ht="14" customHeight="1" x14ac:dyDescent="0.2">
      <c r="A3945" s="14"/>
      <c r="B3945" s="15"/>
      <c r="C3945" s="16"/>
      <c r="D3945" s="16"/>
      <c r="E3945" s="16"/>
      <c r="F3945" s="16"/>
      <c r="G3945" s="16"/>
      <c r="H3945" s="16"/>
      <c r="I3945" s="16"/>
      <c r="J3945" s="16"/>
      <c r="K3945" s="6"/>
      <c r="L3945" s="16"/>
    </row>
    <row r="3946" spans="1:12" ht="14" customHeight="1" x14ac:dyDescent="0.2">
      <c r="A3946" s="17"/>
      <c r="B3946" s="18"/>
      <c r="C3946" s="19"/>
      <c r="D3946" s="19"/>
      <c r="E3946" s="19"/>
      <c r="F3946" s="19"/>
      <c r="G3946" s="19"/>
      <c r="H3946" s="19"/>
      <c r="I3946" s="19"/>
      <c r="J3946" s="19"/>
      <c r="K3946" s="6"/>
      <c r="L3946" s="19"/>
    </row>
    <row r="3947" spans="1:12" ht="14" customHeight="1" x14ac:dyDescent="0.2">
      <c r="A3947" s="14"/>
      <c r="B3947" s="15"/>
      <c r="C3947" s="16"/>
      <c r="D3947" s="16"/>
      <c r="E3947" s="16"/>
      <c r="F3947" s="16"/>
      <c r="G3947" s="16"/>
      <c r="H3947" s="16"/>
      <c r="I3947" s="16"/>
      <c r="J3947" s="16"/>
      <c r="K3947" s="6"/>
      <c r="L3947" s="16"/>
    </row>
    <row r="3948" spans="1:12" ht="14" customHeight="1" x14ac:dyDescent="0.2">
      <c r="A3948" s="17"/>
      <c r="B3948" s="18"/>
      <c r="C3948" s="19"/>
      <c r="D3948" s="19"/>
      <c r="E3948" s="19"/>
      <c r="F3948" s="19"/>
      <c r="G3948" s="19"/>
      <c r="H3948" s="19"/>
      <c r="I3948" s="19"/>
      <c r="J3948" s="19"/>
      <c r="K3948" s="6"/>
      <c r="L3948" s="19"/>
    </row>
    <row r="3949" spans="1:12" ht="14" customHeight="1" x14ac:dyDescent="0.2">
      <c r="A3949" s="14"/>
      <c r="B3949" s="15"/>
      <c r="C3949" s="16"/>
      <c r="D3949" s="16"/>
      <c r="E3949" s="16"/>
      <c r="F3949" s="16"/>
      <c r="G3949" s="16"/>
      <c r="H3949" s="16"/>
      <c r="I3949" s="16"/>
      <c r="J3949" s="16"/>
      <c r="K3949" s="6"/>
      <c r="L3949" s="16"/>
    </row>
    <row r="3950" spans="1:12" ht="14" customHeight="1" x14ac:dyDescent="0.2">
      <c r="A3950" s="17"/>
      <c r="B3950" s="18"/>
      <c r="C3950" s="19"/>
      <c r="D3950" s="19"/>
      <c r="E3950" s="19"/>
      <c r="F3950" s="19"/>
      <c r="G3950" s="19"/>
      <c r="H3950" s="19"/>
      <c r="I3950" s="19"/>
      <c r="J3950" s="19"/>
      <c r="K3950" s="6"/>
      <c r="L3950" s="19"/>
    </row>
    <row r="3951" spans="1:12" ht="14" customHeight="1" x14ac:dyDescent="0.2">
      <c r="A3951" s="14"/>
      <c r="B3951" s="15"/>
      <c r="C3951" s="16"/>
      <c r="D3951" s="16"/>
      <c r="E3951" s="16"/>
      <c r="F3951" s="16"/>
      <c r="G3951" s="16"/>
      <c r="H3951" s="16"/>
      <c r="I3951" s="16"/>
      <c r="J3951" s="16"/>
      <c r="K3951" s="6"/>
      <c r="L3951" s="16"/>
    </row>
    <row r="3952" spans="1:12" ht="14" customHeight="1" x14ac:dyDescent="0.2">
      <c r="A3952" s="17"/>
      <c r="B3952" s="18"/>
      <c r="C3952" s="19"/>
      <c r="D3952" s="19"/>
      <c r="E3952" s="19"/>
      <c r="F3952" s="19"/>
      <c r="G3952" s="19"/>
      <c r="H3952" s="19"/>
      <c r="I3952" s="19"/>
      <c r="J3952" s="19"/>
      <c r="K3952" s="6"/>
      <c r="L3952" s="19"/>
    </row>
    <row r="3953" spans="1:12" ht="14" customHeight="1" x14ac:dyDescent="0.2">
      <c r="A3953" s="14"/>
      <c r="B3953" s="15"/>
      <c r="C3953" s="16"/>
      <c r="D3953" s="16"/>
      <c r="E3953" s="16"/>
      <c r="F3953" s="16"/>
      <c r="G3953" s="16"/>
      <c r="H3953" s="16"/>
      <c r="I3953" s="16"/>
      <c r="J3953" s="16"/>
      <c r="K3953" s="6"/>
      <c r="L3953" s="16"/>
    </row>
    <row r="3954" spans="1:12" ht="14" customHeight="1" x14ac:dyDescent="0.2">
      <c r="A3954" s="17"/>
      <c r="B3954" s="18"/>
      <c r="C3954" s="19"/>
      <c r="D3954" s="19"/>
      <c r="E3954" s="19"/>
      <c r="F3954" s="19"/>
      <c r="G3954" s="19"/>
      <c r="H3954" s="19"/>
      <c r="I3954" s="19"/>
      <c r="J3954" s="19"/>
      <c r="K3954" s="6"/>
      <c r="L3954" s="19"/>
    </row>
    <row r="3955" spans="1:12" ht="14" customHeight="1" x14ac:dyDescent="0.2">
      <c r="A3955" s="14"/>
      <c r="B3955" s="15"/>
      <c r="C3955" s="16"/>
      <c r="D3955" s="16"/>
      <c r="E3955" s="16"/>
      <c r="F3955" s="16"/>
      <c r="G3955" s="16"/>
      <c r="H3955" s="16"/>
      <c r="I3955" s="16"/>
      <c r="J3955" s="16"/>
      <c r="K3955" s="6"/>
      <c r="L3955" s="16"/>
    </row>
    <row r="3956" spans="1:12" ht="14" customHeight="1" x14ac:dyDescent="0.2">
      <c r="A3956" s="17"/>
      <c r="B3956" s="18"/>
      <c r="C3956" s="19"/>
      <c r="D3956" s="19"/>
      <c r="E3956" s="19"/>
      <c r="F3956" s="19"/>
      <c r="G3956" s="19"/>
      <c r="H3956" s="19"/>
      <c r="I3956" s="19"/>
      <c r="J3956" s="19"/>
      <c r="K3956" s="6"/>
      <c r="L3956" s="19"/>
    </row>
    <row r="3957" spans="1:12" ht="14" customHeight="1" x14ac:dyDescent="0.2">
      <c r="A3957" s="14"/>
      <c r="B3957" s="15"/>
      <c r="C3957" s="16"/>
      <c r="D3957" s="16"/>
      <c r="E3957" s="16"/>
      <c r="F3957" s="16"/>
      <c r="G3957" s="16"/>
      <c r="H3957" s="16"/>
      <c r="I3957" s="16"/>
      <c r="J3957" s="16"/>
      <c r="K3957" s="6"/>
      <c r="L3957" s="16"/>
    </row>
    <row r="3958" spans="1:12" ht="14" customHeight="1" x14ac:dyDescent="0.2">
      <c r="A3958" s="17"/>
      <c r="B3958" s="18"/>
      <c r="C3958" s="19"/>
      <c r="D3958" s="19"/>
      <c r="E3958" s="19"/>
      <c r="F3958" s="19"/>
      <c r="G3958" s="19"/>
      <c r="H3958" s="19"/>
      <c r="I3958" s="19"/>
      <c r="J3958" s="19"/>
      <c r="K3958" s="6"/>
      <c r="L3958" s="19"/>
    </row>
    <row r="3959" spans="1:12" ht="14" customHeight="1" x14ac:dyDescent="0.2">
      <c r="A3959" s="14"/>
      <c r="B3959" s="15"/>
      <c r="C3959" s="16"/>
      <c r="D3959" s="16"/>
      <c r="E3959" s="16"/>
      <c r="F3959" s="16"/>
      <c r="G3959" s="16"/>
      <c r="H3959" s="16"/>
      <c r="I3959" s="16"/>
      <c r="J3959" s="16"/>
      <c r="K3959" s="6"/>
      <c r="L3959" s="16"/>
    </row>
    <row r="3960" spans="1:12" ht="14" customHeight="1" x14ac:dyDescent="0.2">
      <c r="A3960" s="17"/>
      <c r="B3960" s="18"/>
      <c r="C3960" s="19"/>
      <c r="D3960" s="19"/>
      <c r="E3960" s="19"/>
      <c r="F3960" s="19"/>
      <c r="G3960" s="19"/>
      <c r="H3960" s="19"/>
      <c r="I3960" s="19"/>
      <c r="J3960" s="19"/>
      <c r="K3960" s="6"/>
      <c r="L3960" s="19"/>
    </row>
    <row r="3961" spans="1:12" ht="14" customHeight="1" x14ac:dyDescent="0.2">
      <c r="A3961" s="14"/>
      <c r="B3961" s="15"/>
      <c r="C3961" s="16"/>
      <c r="D3961" s="16"/>
      <c r="E3961" s="16"/>
      <c r="F3961" s="16"/>
      <c r="G3961" s="16"/>
      <c r="H3961" s="16"/>
      <c r="I3961" s="16"/>
      <c r="J3961" s="16"/>
      <c r="K3961" s="6"/>
      <c r="L3961" s="16"/>
    </row>
    <row r="3962" spans="1:12" ht="14" customHeight="1" x14ac:dyDescent="0.2">
      <c r="A3962" s="17"/>
      <c r="B3962" s="18"/>
      <c r="C3962" s="19"/>
      <c r="D3962" s="19"/>
      <c r="E3962" s="19"/>
      <c r="F3962" s="19"/>
      <c r="G3962" s="19"/>
      <c r="H3962" s="19"/>
      <c r="I3962" s="19"/>
      <c r="J3962" s="19"/>
      <c r="K3962" s="6"/>
      <c r="L3962" s="19"/>
    </row>
    <row r="3963" spans="1:12" ht="14" customHeight="1" x14ac:dyDescent="0.2">
      <c r="A3963" s="14"/>
      <c r="B3963" s="15"/>
      <c r="C3963" s="16"/>
      <c r="D3963" s="16"/>
      <c r="E3963" s="16"/>
      <c r="F3963" s="16"/>
      <c r="G3963" s="16"/>
      <c r="H3963" s="16"/>
      <c r="I3963" s="16"/>
      <c r="J3963" s="16"/>
      <c r="K3963" s="6"/>
      <c r="L3963" s="16"/>
    </row>
    <row r="3964" spans="1:12" ht="14" customHeight="1" x14ac:dyDescent="0.2">
      <c r="A3964" s="17"/>
      <c r="B3964" s="18"/>
      <c r="C3964" s="19"/>
      <c r="D3964" s="19"/>
      <c r="E3964" s="19"/>
      <c r="F3964" s="19"/>
      <c r="G3964" s="19"/>
      <c r="H3964" s="19"/>
      <c r="I3964" s="19"/>
      <c r="J3964" s="19"/>
      <c r="K3964" s="6"/>
      <c r="L3964" s="19"/>
    </row>
    <row r="3965" spans="1:12" ht="14" customHeight="1" x14ac:dyDescent="0.2">
      <c r="A3965" s="14"/>
      <c r="B3965" s="15"/>
      <c r="C3965" s="16"/>
      <c r="D3965" s="16"/>
      <c r="E3965" s="16"/>
      <c r="F3965" s="16"/>
      <c r="G3965" s="16"/>
      <c r="H3965" s="16"/>
      <c r="I3965" s="16"/>
      <c r="J3965" s="16"/>
      <c r="K3965" s="6"/>
      <c r="L3965" s="16"/>
    </row>
    <row r="3966" spans="1:12" ht="14" customHeight="1" x14ac:dyDescent="0.2">
      <c r="A3966" s="17"/>
      <c r="B3966" s="18"/>
      <c r="C3966" s="19"/>
      <c r="D3966" s="19"/>
      <c r="E3966" s="19"/>
      <c r="F3966" s="19"/>
      <c r="G3966" s="19"/>
      <c r="H3966" s="19"/>
      <c r="I3966" s="19"/>
      <c r="J3966" s="19"/>
      <c r="K3966" s="6"/>
      <c r="L3966" s="19"/>
    </row>
    <row r="3967" spans="1:12" ht="14" customHeight="1" x14ac:dyDescent="0.2">
      <c r="A3967" s="14"/>
      <c r="B3967" s="15"/>
      <c r="C3967" s="16"/>
      <c r="D3967" s="16"/>
      <c r="E3967" s="16"/>
      <c r="F3967" s="16"/>
      <c r="G3967" s="16"/>
      <c r="H3967" s="16"/>
      <c r="I3967" s="16"/>
      <c r="J3967" s="16"/>
      <c r="K3967" s="6"/>
      <c r="L3967" s="16"/>
    </row>
    <row r="3968" spans="1:12" ht="14" customHeight="1" x14ac:dyDescent="0.2">
      <c r="A3968" s="17"/>
      <c r="B3968" s="18"/>
      <c r="C3968" s="19"/>
      <c r="D3968" s="19"/>
      <c r="E3968" s="19"/>
      <c r="F3968" s="19"/>
      <c r="G3968" s="19"/>
      <c r="H3968" s="19"/>
      <c r="I3968" s="19"/>
      <c r="J3968" s="19"/>
      <c r="K3968" s="6"/>
      <c r="L3968" s="19"/>
    </row>
    <row r="3969" spans="1:12" ht="14" customHeight="1" x14ac:dyDescent="0.2">
      <c r="A3969" s="14"/>
      <c r="B3969" s="15"/>
      <c r="C3969" s="16"/>
      <c r="D3969" s="16"/>
      <c r="E3969" s="16"/>
      <c r="F3969" s="16"/>
      <c r="G3969" s="16"/>
      <c r="H3969" s="16"/>
      <c r="I3969" s="16"/>
      <c r="J3969" s="16"/>
      <c r="K3969" s="6"/>
      <c r="L3969" s="16"/>
    </row>
    <row r="3970" spans="1:12" ht="14" customHeight="1" x14ac:dyDescent="0.2">
      <c r="A3970" s="17"/>
      <c r="B3970" s="18"/>
      <c r="C3970" s="19"/>
      <c r="D3970" s="19"/>
      <c r="E3970" s="19"/>
      <c r="F3970" s="19"/>
      <c r="G3970" s="19"/>
      <c r="H3970" s="19"/>
      <c r="I3970" s="19"/>
      <c r="J3970" s="19"/>
      <c r="K3970" s="6"/>
      <c r="L3970" s="19"/>
    </row>
    <row r="3971" spans="1:12" ht="14" customHeight="1" x14ac:dyDescent="0.2">
      <c r="A3971" s="14"/>
      <c r="B3971" s="15"/>
      <c r="C3971" s="16"/>
      <c r="D3971" s="16"/>
      <c r="E3971" s="16"/>
      <c r="F3971" s="16"/>
      <c r="G3971" s="16"/>
      <c r="H3971" s="16"/>
      <c r="I3971" s="16"/>
      <c r="J3971" s="16"/>
      <c r="K3971" s="6"/>
      <c r="L3971" s="16"/>
    </row>
    <row r="3972" spans="1:12" ht="14" customHeight="1" x14ac:dyDescent="0.2">
      <c r="A3972" s="17"/>
      <c r="B3972" s="18"/>
      <c r="C3972" s="19"/>
      <c r="D3972" s="19"/>
      <c r="E3972" s="19"/>
      <c r="F3972" s="19"/>
      <c r="G3972" s="19"/>
      <c r="H3972" s="19"/>
      <c r="I3972" s="19"/>
      <c r="J3972" s="19"/>
      <c r="K3972" s="6"/>
      <c r="L3972" s="19"/>
    </row>
    <row r="3973" spans="1:12" ht="14" customHeight="1" x14ac:dyDescent="0.2">
      <c r="A3973" s="14"/>
      <c r="B3973" s="15"/>
      <c r="C3973" s="16"/>
      <c r="D3973" s="16"/>
      <c r="E3973" s="16"/>
      <c r="F3973" s="16"/>
      <c r="G3973" s="16"/>
      <c r="H3973" s="16"/>
      <c r="I3973" s="16"/>
      <c r="J3973" s="16"/>
      <c r="K3973" s="6"/>
      <c r="L3973" s="16"/>
    </row>
    <row r="3974" spans="1:12" ht="14" customHeight="1" x14ac:dyDescent="0.2">
      <c r="A3974" s="17"/>
      <c r="B3974" s="18"/>
      <c r="C3974" s="19"/>
      <c r="D3974" s="19"/>
      <c r="E3974" s="19"/>
      <c r="F3974" s="19"/>
      <c r="G3974" s="19"/>
      <c r="H3974" s="19"/>
      <c r="I3974" s="19"/>
      <c r="J3974" s="19"/>
      <c r="K3974" s="6"/>
      <c r="L3974" s="19"/>
    </row>
    <row r="3975" spans="1:12" ht="14" customHeight="1" x14ac:dyDescent="0.2">
      <c r="A3975" s="14"/>
      <c r="B3975" s="15"/>
      <c r="C3975" s="16"/>
      <c r="D3975" s="16"/>
      <c r="E3975" s="16"/>
      <c r="F3975" s="16"/>
      <c r="G3975" s="16"/>
      <c r="H3975" s="16"/>
      <c r="I3975" s="16"/>
      <c r="J3975" s="16"/>
      <c r="K3975" s="6"/>
      <c r="L3975" s="16"/>
    </row>
    <row r="3976" spans="1:12" ht="14" customHeight="1" x14ac:dyDescent="0.2">
      <c r="A3976" s="17"/>
      <c r="B3976" s="18"/>
      <c r="C3976" s="19"/>
      <c r="D3976" s="19"/>
      <c r="E3976" s="19"/>
      <c r="F3976" s="19"/>
      <c r="G3976" s="19"/>
      <c r="H3976" s="19"/>
      <c r="I3976" s="19"/>
      <c r="J3976" s="19"/>
      <c r="K3976" s="6"/>
      <c r="L3976" s="19"/>
    </row>
    <row r="3977" spans="1:12" ht="14" customHeight="1" x14ac:dyDescent="0.2">
      <c r="A3977" s="14"/>
      <c r="B3977" s="15"/>
      <c r="C3977" s="16"/>
      <c r="D3977" s="16"/>
      <c r="E3977" s="16"/>
      <c r="F3977" s="16"/>
      <c r="G3977" s="16"/>
      <c r="H3977" s="16"/>
      <c r="I3977" s="16"/>
      <c r="J3977" s="16"/>
      <c r="K3977" s="6"/>
      <c r="L3977" s="16"/>
    </row>
    <row r="3978" spans="1:12" ht="14" customHeight="1" x14ac:dyDescent="0.2">
      <c r="A3978" s="17"/>
      <c r="B3978" s="18"/>
      <c r="C3978" s="19"/>
      <c r="D3978" s="19"/>
      <c r="E3978" s="19"/>
      <c r="F3978" s="19"/>
      <c r="G3978" s="19"/>
      <c r="H3978" s="19"/>
      <c r="I3978" s="19"/>
      <c r="J3978" s="19"/>
      <c r="K3978" s="6"/>
      <c r="L3978" s="19"/>
    </row>
    <row r="3979" spans="1:12" ht="14" customHeight="1" x14ac:dyDescent="0.2">
      <c r="A3979" s="14"/>
      <c r="B3979" s="15"/>
      <c r="C3979" s="16"/>
      <c r="D3979" s="16"/>
      <c r="E3979" s="16"/>
      <c r="F3979" s="16"/>
      <c r="G3979" s="16"/>
      <c r="H3979" s="16"/>
      <c r="I3979" s="16"/>
      <c r="J3979" s="16"/>
      <c r="K3979" s="6"/>
      <c r="L3979" s="16"/>
    </row>
    <row r="3980" spans="1:12" ht="14" customHeight="1" x14ac:dyDescent="0.2">
      <c r="A3980" s="17"/>
      <c r="B3980" s="18"/>
      <c r="C3980" s="19"/>
      <c r="D3980" s="19"/>
      <c r="E3980" s="19"/>
      <c r="F3980" s="19"/>
      <c r="G3980" s="19"/>
      <c r="H3980" s="19"/>
      <c r="I3980" s="19"/>
      <c r="J3980" s="19"/>
      <c r="K3980" s="6"/>
      <c r="L3980" s="19"/>
    </row>
    <row r="3981" spans="1:12" ht="14" customHeight="1" x14ac:dyDescent="0.2">
      <c r="A3981" s="14"/>
      <c r="B3981" s="15"/>
      <c r="C3981" s="16"/>
      <c r="D3981" s="16"/>
      <c r="E3981" s="16"/>
      <c r="F3981" s="16"/>
      <c r="G3981" s="16"/>
      <c r="H3981" s="16"/>
      <c r="I3981" s="16"/>
      <c r="J3981" s="16"/>
      <c r="K3981" s="6"/>
      <c r="L3981" s="16"/>
    </row>
    <row r="3982" spans="1:12" ht="14" customHeight="1" x14ac:dyDescent="0.2">
      <c r="A3982" s="17"/>
      <c r="B3982" s="18"/>
      <c r="C3982" s="19"/>
      <c r="D3982" s="19"/>
      <c r="E3982" s="19"/>
      <c r="F3982" s="19"/>
      <c r="G3982" s="19"/>
      <c r="H3982" s="19"/>
      <c r="I3982" s="19"/>
      <c r="J3982" s="19"/>
      <c r="K3982" s="6"/>
      <c r="L3982" s="19"/>
    </row>
    <row r="3983" spans="1:12" ht="14" customHeight="1" x14ac:dyDescent="0.2">
      <c r="A3983" s="14"/>
      <c r="B3983" s="15"/>
      <c r="C3983" s="16"/>
      <c r="D3983" s="16"/>
      <c r="E3983" s="16"/>
      <c r="F3983" s="16"/>
      <c r="G3983" s="16"/>
      <c r="H3983" s="16"/>
      <c r="I3983" s="16"/>
      <c r="J3983" s="16"/>
      <c r="K3983" s="6"/>
      <c r="L3983" s="16"/>
    </row>
    <row r="3984" spans="1:12" ht="14" customHeight="1" x14ac:dyDescent="0.2">
      <c r="A3984" s="17"/>
      <c r="B3984" s="18"/>
      <c r="C3984" s="19"/>
      <c r="D3984" s="19"/>
      <c r="E3984" s="19"/>
      <c r="F3984" s="19"/>
      <c r="G3984" s="19"/>
      <c r="H3984" s="19"/>
      <c r="I3984" s="19"/>
      <c r="J3984" s="19"/>
      <c r="K3984" s="6"/>
      <c r="L3984" s="19"/>
    </row>
    <row r="3985" spans="1:12" ht="14" customHeight="1" x14ac:dyDescent="0.2">
      <c r="A3985" s="14"/>
      <c r="B3985" s="15"/>
      <c r="C3985" s="16"/>
      <c r="D3985" s="16"/>
      <c r="E3985" s="16"/>
      <c r="F3985" s="16"/>
      <c r="G3985" s="16"/>
      <c r="H3985" s="16"/>
      <c r="I3985" s="16"/>
      <c r="J3985" s="16"/>
      <c r="K3985" s="6"/>
      <c r="L3985" s="16"/>
    </row>
    <row r="3986" spans="1:12" ht="14" customHeight="1" x14ac:dyDescent="0.2">
      <c r="A3986" s="17"/>
      <c r="B3986" s="18"/>
      <c r="C3986" s="19"/>
      <c r="D3986" s="19"/>
      <c r="E3986" s="19"/>
      <c r="F3986" s="19"/>
      <c r="G3986" s="19"/>
      <c r="H3986" s="19"/>
      <c r="I3986" s="19"/>
      <c r="J3986" s="19"/>
      <c r="K3986" s="6"/>
      <c r="L3986" s="19"/>
    </row>
    <row r="3987" spans="1:12" ht="14" customHeight="1" x14ac:dyDescent="0.2">
      <c r="A3987" s="14"/>
      <c r="B3987" s="15"/>
      <c r="C3987" s="16"/>
      <c r="D3987" s="16"/>
      <c r="E3987" s="16"/>
      <c r="F3987" s="16"/>
      <c r="G3987" s="16"/>
      <c r="H3987" s="16"/>
      <c r="I3987" s="16"/>
      <c r="J3987" s="16"/>
      <c r="K3987" s="6"/>
      <c r="L3987" s="16"/>
    </row>
    <row r="3988" spans="1:12" ht="14" customHeight="1" x14ac:dyDescent="0.2">
      <c r="A3988" s="17"/>
      <c r="B3988" s="18"/>
      <c r="C3988" s="19"/>
      <c r="D3988" s="19"/>
      <c r="E3988" s="19"/>
      <c r="F3988" s="19"/>
      <c r="G3988" s="19"/>
      <c r="H3988" s="19"/>
      <c r="I3988" s="19"/>
      <c r="J3988" s="19"/>
      <c r="K3988" s="6"/>
      <c r="L3988" s="19"/>
    </row>
    <row r="3989" spans="1:12" ht="14" customHeight="1" x14ac:dyDescent="0.2">
      <c r="A3989" s="14"/>
      <c r="B3989" s="15"/>
      <c r="C3989" s="16"/>
      <c r="D3989" s="16"/>
      <c r="E3989" s="16"/>
      <c r="F3989" s="16"/>
      <c r="G3989" s="16"/>
      <c r="H3989" s="16"/>
      <c r="I3989" s="16"/>
      <c r="J3989" s="16"/>
      <c r="K3989" s="6"/>
      <c r="L3989" s="16"/>
    </row>
    <row r="3990" spans="1:12" ht="14" customHeight="1" x14ac:dyDescent="0.2">
      <c r="A3990" s="17"/>
      <c r="B3990" s="18"/>
      <c r="C3990" s="19"/>
      <c r="D3990" s="19"/>
      <c r="E3990" s="19"/>
      <c r="F3990" s="19"/>
      <c r="G3990" s="19"/>
      <c r="H3990" s="19"/>
      <c r="I3990" s="19"/>
      <c r="J3990" s="19"/>
      <c r="K3990" s="6"/>
      <c r="L3990" s="19"/>
    </row>
    <row r="3991" spans="1:12" ht="14" customHeight="1" x14ac:dyDescent="0.2">
      <c r="A3991" s="14"/>
      <c r="B3991" s="15"/>
      <c r="C3991" s="16"/>
      <c r="D3991" s="16"/>
      <c r="E3991" s="16"/>
      <c r="F3991" s="16"/>
      <c r="G3991" s="16"/>
      <c r="H3991" s="16"/>
      <c r="I3991" s="16"/>
      <c r="J3991" s="16"/>
      <c r="K3991" s="6"/>
      <c r="L3991" s="16"/>
    </row>
    <row r="3992" spans="1:12" ht="14" customHeight="1" x14ac:dyDescent="0.2">
      <c r="A3992" s="17"/>
      <c r="B3992" s="18"/>
      <c r="C3992" s="19"/>
      <c r="D3992" s="19"/>
      <c r="E3992" s="19"/>
      <c r="F3992" s="19"/>
      <c r="G3992" s="19"/>
      <c r="H3992" s="19"/>
      <c r="I3992" s="19"/>
      <c r="J3992" s="19"/>
      <c r="K3992" s="6"/>
      <c r="L3992" s="19"/>
    </row>
    <row r="3993" spans="1:12" ht="14" customHeight="1" x14ac:dyDescent="0.2">
      <c r="A3993" s="14"/>
      <c r="B3993" s="15"/>
      <c r="C3993" s="16"/>
      <c r="D3993" s="16"/>
      <c r="E3993" s="16"/>
      <c r="F3993" s="16"/>
      <c r="G3993" s="16"/>
      <c r="H3993" s="16"/>
      <c r="I3993" s="16"/>
      <c r="J3993" s="16"/>
      <c r="K3993" s="6"/>
      <c r="L3993" s="16"/>
    </row>
    <row r="3994" spans="1:12" ht="14" customHeight="1" x14ac:dyDescent="0.2">
      <c r="A3994" s="17"/>
      <c r="B3994" s="18"/>
      <c r="C3994" s="19"/>
      <c r="D3994" s="19"/>
      <c r="E3994" s="19"/>
      <c r="F3994" s="19"/>
      <c r="G3994" s="19"/>
      <c r="H3994" s="19"/>
      <c r="I3994" s="19"/>
      <c r="J3994" s="19"/>
      <c r="K3994" s="6"/>
      <c r="L3994" s="19"/>
    </row>
    <row r="3995" spans="1:12" ht="14" customHeight="1" x14ac:dyDescent="0.2">
      <c r="A3995" s="14"/>
      <c r="B3995" s="15"/>
      <c r="C3995" s="16"/>
      <c r="D3995" s="16"/>
      <c r="E3995" s="16"/>
      <c r="F3995" s="16"/>
      <c r="G3995" s="16"/>
      <c r="H3995" s="16"/>
      <c r="I3995" s="16"/>
      <c r="J3995" s="16"/>
      <c r="K3995" s="6"/>
      <c r="L3995" s="16"/>
    </row>
    <row r="3996" spans="1:12" ht="14" customHeight="1" x14ac:dyDescent="0.2">
      <c r="A3996" s="17"/>
      <c r="B3996" s="18"/>
      <c r="C3996" s="19"/>
      <c r="D3996" s="19"/>
      <c r="E3996" s="19"/>
      <c r="F3996" s="19"/>
      <c r="G3996" s="19"/>
      <c r="H3996" s="19"/>
      <c r="I3996" s="19"/>
      <c r="J3996" s="19"/>
      <c r="K3996" s="6"/>
      <c r="L3996" s="19"/>
    </row>
    <row r="3997" spans="1:12" ht="14" customHeight="1" x14ac:dyDescent="0.2">
      <c r="A3997" s="14"/>
      <c r="B3997" s="15"/>
      <c r="C3997" s="16"/>
      <c r="D3997" s="16"/>
      <c r="E3997" s="16"/>
      <c r="F3997" s="16"/>
      <c r="G3997" s="16"/>
      <c r="H3997" s="16"/>
      <c r="I3997" s="16"/>
      <c r="J3997" s="16"/>
      <c r="K3997" s="6"/>
      <c r="L3997" s="16"/>
    </row>
    <row r="3998" spans="1:12" ht="14" customHeight="1" x14ac:dyDescent="0.2">
      <c r="A3998" s="17"/>
      <c r="B3998" s="18"/>
      <c r="C3998" s="19"/>
      <c r="D3998" s="19"/>
      <c r="E3998" s="19"/>
      <c r="F3998" s="19"/>
      <c r="G3998" s="19"/>
      <c r="H3998" s="19"/>
      <c r="I3998" s="19"/>
      <c r="J3998" s="19"/>
      <c r="K3998" s="6"/>
      <c r="L3998" s="19"/>
    </row>
    <row r="3999" spans="1:12" ht="14" customHeight="1" x14ac:dyDescent="0.2">
      <c r="A3999" s="14"/>
      <c r="B3999" s="15"/>
      <c r="C3999" s="16"/>
      <c r="D3999" s="16"/>
      <c r="E3999" s="16"/>
      <c r="F3999" s="16"/>
      <c r="G3999" s="16"/>
      <c r="H3999" s="16"/>
      <c r="I3999" s="16"/>
      <c r="J3999" s="16"/>
      <c r="K3999" s="6"/>
      <c r="L3999" s="16"/>
    </row>
    <row r="4000" spans="1:12" ht="14" customHeight="1" x14ac:dyDescent="0.2">
      <c r="A4000" s="17"/>
      <c r="B4000" s="18"/>
      <c r="C4000" s="19"/>
      <c r="D4000" s="19"/>
      <c r="E4000" s="19"/>
      <c r="F4000" s="19"/>
      <c r="G4000" s="19"/>
      <c r="H4000" s="19"/>
      <c r="I4000" s="19"/>
      <c r="J4000" s="19"/>
      <c r="K4000" s="6"/>
      <c r="L4000" s="19"/>
    </row>
    <row r="4001" spans="1:12" ht="14" customHeight="1" x14ac:dyDescent="0.2">
      <c r="A4001" s="14"/>
      <c r="B4001" s="15"/>
      <c r="C4001" s="16"/>
      <c r="D4001" s="16"/>
      <c r="E4001" s="16"/>
      <c r="F4001" s="16"/>
      <c r="G4001" s="16"/>
      <c r="H4001" s="16"/>
      <c r="I4001" s="16"/>
      <c r="J4001" s="16"/>
      <c r="K4001" s="6"/>
      <c r="L4001" s="16"/>
    </row>
    <row r="4002" spans="1:12" ht="14" customHeight="1" x14ac:dyDescent="0.2">
      <c r="A4002" s="17"/>
      <c r="B4002" s="18"/>
      <c r="C4002" s="19"/>
      <c r="D4002" s="19"/>
      <c r="E4002" s="19"/>
      <c r="F4002" s="19"/>
      <c r="G4002" s="19"/>
      <c r="H4002" s="19"/>
      <c r="I4002" s="19"/>
      <c r="J4002" s="19"/>
      <c r="K4002" s="6"/>
      <c r="L4002" s="19"/>
    </row>
    <row r="4003" spans="1:12" ht="14" customHeight="1" x14ac:dyDescent="0.2">
      <c r="A4003" s="14"/>
      <c r="B4003" s="15"/>
      <c r="C4003" s="16"/>
      <c r="D4003" s="16"/>
      <c r="E4003" s="16"/>
      <c r="F4003" s="16"/>
      <c r="G4003" s="16"/>
      <c r="H4003" s="16"/>
      <c r="I4003" s="16"/>
      <c r="J4003" s="16"/>
      <c r="K4003" s="6"/>
      <c r="L4003" s="16"/>
    </row>
    <row r="4004" spans="1:12" ht="14" customHeight="1" x14ac:dyDescent="0.2">
      <c r="A4004" s="17"/>
      <c r="B4004" s="18"/>
      <c r="C4004" s="19"/>
      <c r="D4004" s="19"/>
      <c r="E4004" s="19"/>
      <c r="F4004" s="19"/>
      <c r="G4004" s="19"/>
      <c r="H4004" s="19"/>
      <c r="I4004" s="19"/>
      <c r="J4004" s="19"/>
      <c r="K4004" s="6"/>
      <c r="L4004" s="19"/>
    </row>
    <row r="4005" spans="1:12" ht="14" customHeight="1" x14ac:dyDescent="0.2">
      <c r="A4005" s="14"/>
      <c r="B4005" s="15"/>
      <c r="C4005" s="16"/>
      <c r="D4005" s="16"/>
      <c r="E4005" s="16"/>
      <c r="F4005" s="16"/>
      <c r="G4005" s="16"/>
      <c r="H4005" s="16"/>
      <c r="I4005" s="16"/>
      <c r="J4005" s="16"/>
      <c r="K4005" s="6"/>
      <c r="L4005" s="16"/>
    </row>
    <row r="4006" spans="1:12" ht="14" customHeight="1" x14ac:dyDescent="0.2">
      <c r="A4006" s="17"/>
      <c r="B4006" s="18"/>
      <c r="C4006" s="19"/>
      <c r="D4006" s="19"/>
      <c r="E4006" s="19"/>
      <c r="F4006" s="19"/>
      <c r="G4006" s="19"/>
      <c r="H4006" s="19"/>
      <c r="I4006" s="19"/>
      <c r="J4006" s="19"/>
      <c r="K4006" s="6"/>
      <c r="L4006" s="19"/>
    </row>
    <row r="4007" spans="1:12" ht="14" customHeight="1" x14ac:dyDescent="0.2">
      <c r="A4007" s="14"/>
      <c r="B4007" s="15"/>
      <c r="C4007" s="16"/>
      <c r="D4007" s="16"/>
      <c r="E4007" s="16"/>
      <c r="F4007" s="16"/>
      <c r="G4007" s="16"/>
      <c r="H4007" s="16"/>
      <c r="I4007" s="16"/>
      <c r="J4007" s="16"/>
      <c r="K4007" s="6"/>
      <c r="L4007" s="16"/>
    </row>
    <row r="4008" spans="1:12" ht="14" customHeight="1" x14ac:dyDescent="0.2">
      <c r="A4008" s="17"/>
      <c r="B4008" s="18"/>
      <c r="C4008" s="19"/>
      <c r="D4008" s="19"/>
      <c r="E4008" s="19"/>
      <c r="F4008" s="19"/>
      <c r="G4008" s="19"/>
      <c r="H4008" s="19"/>
      <c r="I4008" s="19"/>
      <c r="J4008" s="19"/>
      <c r="K4008" s="6"/>
      <c r="L4008" s="19"/>
    </row>
    <row r="4009" spans="1:12" ht="14" customHeight="1" x14ac:dyDescent="0.2">
      <c r="A4009" s="14"/>
      <c r="B4009" s="15"/>
      <c r="C4009" s="16"/>
      <c r="D4009" s="16"/>
      <c r="E4009" s="16"/>
      <c r="F4009" s="16"/>
      <c r="G4009" s="16"/>
      <c r="H4009" s="16"/>
      <c r="I4009" s="16"/>
      <c r="J4009" s="16"/>
      <c r="K4009" s="6"/>
      <c r="L4009" s="16"/>
    </row>
    <row r="4010" spans="1:12" ht="14" customHeight="1" x14ac:dyDescent="0.2">
      <c r="A4010" s="17"/>
      <c r="B4010" s="18"/>
      <c r="C4010" s="19"/>
      <c r="D4010" s="19"/>
      <c r="E4010" s="19"/>
      <c r="F4010" s="19"/>
      <c r="G4010" s="19"/>
      <c r="H4010" s="19"/>
      <c r="I4010" s="19"/>
      <c r="J4010" s="19"/>
      <c r="K4010" s="6"/>
      <c r="L4010" s="19"/>
    </row>
    <row r="4011" spans="1:12" ht="14" customHeight="1" x14ac:dyDescent="0.2">
      <c r="A4011" s="14"/>
      <c r="B4011" s="15"/>
      <c r="C4011" s="16"/>
      <c r="D4011" s="16"/>
      <c r="E4011" s="16"/>
      <c r="F4011" s="16"/>
      <c r="G4011" s="16"/>
      <c r="H4011" s="16"/>
      <c r="I4011" s="16"/>
      <c r="J4011" s="16"/>
      <c r="K4011" s="6"/>
      <c r="L4011" s="16"/>
    </row>
    <row r="4012" spans="1:12" ht="14" customHeight="1" x14ac:dyDescent="0.2">
      <c r="A4012" s="17"/>
      <c r="B4012" s="18"/>
      <c r="C4012" s="19"/>
      <c r="D4012" s="19"/>
      <c r="E4012" s="19"/>
      <c r="F4012" s="19"/>
      <c r="G4012" s="19"/>
      <c r="H4012" s="19"/>
      <c r="I4012" s="19"/>
      <c r="J4012" s="19"/>
      <c r="K4012" s="6"/>
      <c r="L4012" s="19"/>
    </row>
    <row r="4013" spans="1:12" ht="14" customHeight="1" x14ac:dyDescent="0.2">
      <c r="A4013" s="14"/>
      <c r="B4013" s="15"/>
      <c r="C4013" s="16"/>
      <c r="D4013" s="16"/>
      <c r="E4013" s="16"/>
      <c r="F4013" s="16"/>
      <c r="G4013" s="16"/>
      <c r="H4013" s="16"/>
      <c r="I4013" s="16"/>
      <c r="J4013" s="16"/>
      <c r="K4013" s="6"/>
      <c r="L4013" s="16"/>
    </row>
    <row r="4014" spans="1:12" ht="14" customHeight="1" x14ac:dyDescent="0.2">
      <c r="A4014" s="17"/>
      <c r="B4014" s="18"/>
      <c r="C4014" s="19"/>
      <c r="D4014" s="19"/>
      <c r="E4014" s="19"/>
      <c r="F4014" s="19"/>
      <c r="G4014" s="19"/>
      <c r="H4014" s="19"/>
      <c r="I4014" s="19"/>
      <c r="J4014" s="19"/>
      <c r="K4014" s="6"/>
      <c r="L4014" s="19"/>
    </row>
    <row r="4015" spans="1:12" ht="14" customHeight="1" x14ac:dyDescent="0.2">
      <c r="A4015" s="14"/>
      <c r="B4015" s="15"/>
      <c r="C4015" s="16"/>
      <c r="D4015" s="16"/>
      <c r="E4015" s="16"/>
      <c r="F4015" s="16"/>
      <c r="G4015" s="16"/>
      <c r="H4015" s="16"/>
      <c r="I4015" s="16"/>
      <c r="J4015" s="16"/>
      <c r="K4015" s="6"/>
      <c r="L4015" s="16"/>
    </row>
    <row r="4016" spans="1:12" ht="14" customHeight="1" x14ac:dyDescent="0.2">
      <c r="A4016" s="17"/>
      <c r="B4016" s="18"/>
      <c r="C4016" s="19"/>
      <c r="D4016" s="19"/>
      <c r="E4016" s="19"/>
      <c r="F4016" s="19"/>
      <c r="G4016" s="19"/>
      <c r="H4016" s="19"/>
      <c r="I4016" s="19"/>
      <c r="J4016" s="19"/>
      <c r="K4016" s="6"/>
      <c r="L4016" s="19"/>
    </row>
    <row r="4017" spans="1:12" ht="14" customHeight="1" x14ac:dyDescent="0.2">
      <c r="A4017" s="14"/>
      <c r="B4017" s="15"/>
      <c r="C4017" s="16"/>
      <c r="D4017" s="16"/>
      <c r="E4017" s="16"/>
      <c r="F4017" s="16"/>
      <c r="G4017" s="16"/>
      <c r="H4017" s="16"/>
      <c r="I4017" s="16"/>
      <c r="J4017" s="16"/>
      <c r="K4017" s="6"/>
      <c r="L4017" s="16"/>
    </row>
    <row r="4018" spans="1:12" ht="14" customHeight="1" x14ac:dyDescent="0.2">
      <c r="A4018" s="17"/>
      <c r="B4018" s="18"/>
      <c r="C4018" s="19"/>
      <c r="D4018" s="19"/>
      <c r="E4018" s="19"/>
      <c r="F4018" s="19"/>
      <c r="G4018" s="19"/>
      <c r="H4018" s="19"/>
      <c r="I4018" s="19"/>
      <c r="J4018" s="19"/>
      <c r="K4018" s="6"/>
      <c r="L4018" s="19"/>
    </row>
    <row r="4019" spans="1:12" ht="14" customHeight="1" x14ac:dyDescent="0.2">
      <c r="A4019" s="14"/>
      <c r="B4019" s="15"/>
      <c r="C4019" s="16"/>
      <c r="D4019" s="16"/>
      <c r="E4019" s="16"/>
      <c r="F4019" s="16"/>
      <c r="G4019" s="16"/>
      <c r="H4019" s="16"/>
      <c r="I4019" s="16"/>
      <c r="J4019" s="16"/>
      <c r="K4019" s="6"/>
      <c r="L4019" s="16"/>
    </row>
    <row r="4020" spans="1:12" ht="14" customHeight="1" x14ac:dyDescent="0.2">
      <c r="A4020" s="17"/>
      <c r="B4020" s="18"/>
      <c r="C4020" s="19"/>
      <c r="D4020" s="19"/>
      <c r="E4020" s="19"/>
      <c r="F4020" s="19"/>
      <c r="G4020" s="19"/>
      <c r="H4020" s="19"/>
      <c r="I4020" s="19"/>
      <c r="J4020" s="19"/>
      <c r="K4020" s="6"/>
      <c r="L4020" s="19"/>
    </row>
    <row r="4021" spans="1:12" ht="14" customHeight="1" x14ac:dyDescent="0.2">
      <c r="A4021" s="14"/>
      <c r="B4021" s="15"/>
      <c r="C4021" s="16"/>
      <c r="D4021" s="16"/>
      <c r="E4021" s="16"/>
      <c r="F4021" s="16"/>
      <c r="G4021" s="16"/>
      <c r="H4021" s="16"/>
      <c r="I4021" s="16"/>
      <c r="J4021" s="16"/>
      <c r="K4021" s="6"/>
      <c r="L4021" s="16"/>
    </row>
    <row r="4022" spans="1:12" ht="14" customHeight="1" x14ac:dyDescent="0.2">
      <c r="A4022" s="17"/>
      <c r="B4022" s="18"/>
      <c r="C4022" s="19"/>
      <c r="D4022" s="19"/>
      <c r="E4022" s="19"/>
      <c r="F4022" s="19"/>
      <c r="G4022" s="19"/>
      <c r="H4022" s="19"/>
      <c r="I4022" s="19"/>
      <c r="J4022" s="19"/>
      <c r="K4022" s="6"/>
      <c r="L4022" s="19"/>
    </row>
    <row r="4023" spans="1:12" ht="14" customHeight="1" x14ac:dyDescent="0.2">
      <c r="A4023" s="14"/>
      <c r="B4023" s="15"/>
      <c r="C4023" s="16"/>
      <c r="D4023" s="16"/>
      <c r="E4023" s="16"/>
      <c r="F4023" s="16"/>
      <c r="G4023" s="16"/>
      <c r="H4023" s="16"/>
      <c r="I4023" s="16"/>
      <c r="J4023" s="16"/>
      <c r="K4023" s="6"/>
      <c r="L4023" s="16"/>
    </row>
    <row r="4024" spans="1:12" ht="14" customHeight="1" x14ac:dyDescent="0.2">
      <c r="A4024" s="17"/>
      <c r="B4024" s="18"/>
      <c r="C4024" s="19"/>
      <c r="D4024" s="19"/>
      <c r="E4024" s="19"/>
      <c r="F4024" s="19"/>
      <c r="G4024" s="19"/>
      <c r="H4024" s="19"/>
      <c r="I4024" s="19"/>
      <c r="J4024" s="19"/>
      <c r="K4024" s="6"/>
      <c r="L4024" s="19"/>
    </row>
    <row r="4025" spans="1:12" ht="14" customHeight="1" x14ac:dyDescent="0.2">
      <c r="A4025" s="14"/>
      <c r="B4025" s="15"/>
      <c r="C4025" s="16"/>
      <c r="D4025" s="16"/>
      <c r="E4025" s="16"/>
      <c r="F4025" s="16"/>
      <c r="G4025" s="16"/>
      <c r="H4025" s="16"/>
      <c r="I4025" s="16"/>
      <c r="J4025" s="16"/>
      <c r="K4025" s="6"/>
      <c r="L4025" s="16"/>
    </row>
    <row r="4026" spans="1:12" ht="14" customHeight="1" x14ac:dyDescent="0.2">
      <c r="A4026" s="17"/>
      <c r="B4026" s="18"/>
      <c r="C4026" s="19"/>
      <c r="D4026" s="19"/>
      <c r="E4026" s="19"/>
      <c r="F4026" s="19"/>
      <c r="G4026" s="19"/>
      <c r="H4026" s="19"/>
      <c r="I4026" s="19"/>
      <c r="J4026" s="19"/>
      <c r="K4026" s="6"/>
      <c r="L4026" s="19"/>
    </row>
    <row r="4027" spans="1:12" ht="14" customHeight="1" x14ac:dyDescent="0.2">
      <c r="A4027" s="14"/>
      <c r="B4027" s="15"/>
      <c r="C4027" s="16"/>
      <c r="D4027" s="16"/>
      <c r="E4027" s="16"/>
      <c r="F4027" s="16"/>
      <c r="G4027" s="16"/>
      <c r="H4027" s="16"/>
      <c r="I4027" s="16"/>
      <c r="J4027" s="16"/>
      <c r="K4027" s="6"/>
      <c r="L4027" s="16"/>
    </row>
    <row r="4028" spans="1:12" ht="14" customHeight="1" x14ac:dyDescent="0.2">
      <c r="A4028" s="17"/>
      <c r="B4028" s="18"/>
      <c r="C4028" s="19"/>
      <c r="D4028" s="19"/>
      <c r="E4028" s="19"/>
      <c r="F4028" s="19"/>
      <c r="G4028" s="19"/>
      <c r="H4028" s="19"/>
      <c r="I4028" s="19"/>
      <c r="J4028" s="19"/>
      <c r="K4028" s="6"/>
      <c r="L4028" s="19"/>
    </row>
    <row r="4029" spans="1:12" ht="14" customHeight="1" x14ac:dyDescent="0.2">
      <c r="A4029" s="14"/>
      <c r="B4029" s="15"/>
      <c r="C4029" s="16"/>
      <c r="D4029" s="16"/>
      <c r="E4029" s="16"/>
      <c r="F4029" s="16"/>
      <c r="G4029" s="16"/>
      <c r="H4029" s="16"/>
      <c r="I4029" s="16"/>
      <c r="J4029" s="16"/>
      <c r="K4029" s="6"/>
      <c r="L4029" s="16"/>
    </row>
    <row r="4030" spans="1:12" ht="14" customHeight="1" x14ac:dyDescent="0.2">
      <c r="A4030" s="17"/>
      <c r="B4030" s="18"/>
      <c r="C4030" s="19"/>
      <c r="D4030" s="19"/>
      <c r="E4030" s="19"/>
      <c r="F4030" s="19"/>
      <c r="G4030" s="19"/>
      <c r="H4030" s="19"/>
      <c r="I4030" s="19"/>
      <c r="J4030" s="19"/>
      <c r="K4030" s="6"/>
      <c r="L4030" s="19"/>
    </row>
    <row r="4031" spans="1:12" ht="14" customHeight="1" x14ac:dyDescent="0.2">
      <c r="A4031" s="14"/>
      <c r="B4031" s="15"/>
      <c r="C4031" s="16"/>
      <c r="D4031" s="16"/>
      <c r="E4031" s="16"/>
      <c r="F4031" s="16"/>
      <c r="G4031" s="16"/>
      <c r="H4031" s="16"/>
      <c r="I4031" s="16"/>
      <c r="J4031" s="16"/>
      <c r="K4031" s="6"/>
      <c r="L4031" s="16"/>
    </row>
    <row r="4032" spans="1:12" ht="14" customHeight="1" x14ac:dyDescent="0.2">
      <c r="A4032" s="17"/>
      <c r="B4032" s="18"/>
      <c r="C4032" s="19"/>
      <c r="D4032" s="19"/>
      <c r="E4032" s="19"/>
      <c r="F4032" s="19"/>
      <c r="G4032" s="19"/>
      <c r="H4032" s="19"/>
      <c r="I4032" s="19"/>
      <c r="J4032" s="19"/>
      <c r="K4032" s="6"/>
      <c r="L4032" s="19"/>
    </row>
    <row r="4033" spans="1:12" ht="14" customHeight="1" x14ac:dyDescent="0.2">
      <c r="A4033" s="14"/>
      <c r="B4033" s="15"/>
      <c r="C4033" s="16"/>
      <c r="D4033" s="16"/>
      <c r="E4033" s="16"/>
      <c r="F4033" s="16"/>
      <c r="G4033" s="16"/>
      <c r="H4033" s="16"/>
      <c r="I4033" s="16"/>
      <c r="J4033" s="16"/>
      <c r="K4033" s="6"/>
      <c r="L4033" s="16"/>
    </row>
    <row r="4034" spans="1:12" ht="14" customHeight="1" x14ac:dyDescent="0.2">
      <c r="A4034" s="17"/>
      <c r="B4034" s="18"/>
      <c r="C4034" s="19"/>
      <c r="D4034" s="19"/>
      <c r="E4034" s="19"/>
      <c r="F4034" s="19"/>
      <c r="G4034" s="19"/>
      <c r="H4034" s="19"/>
      <c r="I4034" s="19"/>
      <c r="J4034" s="19"/>
      <c r="K4034" s="6"/>
      <c r="L4034" s="19"/>
    </row>
    <row r="4035" spans="1:12" ht="14" customHeight="1" x14ac:dyDescent="0.2">
      <c r="A4035" s="14"/>
      <c r="B4035" s="15"/>
      <c r="C4035" s="16"/>
      <c r="D4035" s="16"/>
      <c r="E4035" s="16"/>
      <c r="F4035" s="16"/>
      <c r="G4035" s="16"/>
      <c r="H4035" s="16"/>
      <c r="I4035" s="16"/>
      <c r="J4035" s="16"/>
      <c r="K4035" s="6"/>
      <c r="L4035" s="16"/>
    </row>
    <row r="4036" spans="1:12" ht="14" customHeight="1" x14ac:dyDescent="0.2">
      <c r="A4036" s="17"/>
      <c r="B4036" s="18"/>
      <c r="C4036" s="19"/>
      <c r="D4036" s="19"/>
      <c r="E4036" s="19"/>
      <c r="F4036" s="19"/>
      <c r="G4036" s="19"/>
      <c r="H4036" s="19"/>
      <c r="I4036" s="19"/>
      <c r="J4036" s="19"/>
      <c r="K4036" s="6"/>
      <c r="L4036" s="19"/>
    </row>
    <row r="4037" spans="1:12" ht="14" customHeight="1" x14ac:dyDescent="0.2">
      <c r="A4037" s="14"/>
      <c r="B4037" s="15"/>
      <c r="C4037" s="16"/>
      <c r="D4037" s="16"/>
      <c r="E4037" s="16"/>
      <c r="F4037" s="16"/>
      <c r="G4037" s="16"/>
      <c r="H4037" s="16"/>
      <c r="I4037" s="16"/>
      <c r="J4037" s="16"/>
      <c r="K4037" s="6"/>
      <c r="L4037" s="16"/>
    </row>
    <row r="4038" spans="1:12" ht="14" customHeight="1" x14ac:dyDescent="0.2">
      <c r="A4038" s="17"/>
      <c r="B4038" s="18"/>
      <c r="C4038" s="19"/>
      <c r="D4038" s="19"/>
      <c r="E4038" s="19"/>
      <c r="F4038" s="19"/>
      <c r="G4038" s="19"/>
      <c r="H4038" s="19"/>
      <c r="I4038" s="19"/>
      <c r="J4038" s="19"/>
      <c r="K4038" s="6"/>
      <c r="L4038" s="19"/>
    </row>
    <row r="4039" spans="1:12" ht="14" customHeight="1" x14ac:dyDescent="0.2">
      <c r="A4039" s="14"/>
      <c r="B4039" s="15"/>
      <c r="C4039" s="16"/>
      <c r="D4039" s="16"/>
      <c r="E4039" s="16"/>
      <c r="F4039" s="16"/>
      <c r="G4039" s="16"/>
      <c r="H4039" s="16"/>
      <c r="I4039" s="16"/>
      <c r="J4039" s="16"/>
      <c r="K4039" s="6"/>
      <c r="L4039" s="16"/>
    </row>
    <row r="4040" spans="1:12" ht="14" customHeight="1" x14ac:dyDescent="0.2">
      <c r="A4040" s="17"/>
      <c r="B4040" s="18"/>
      <c r="C4040" s="19"/>
      <c r="D4040" s="19"/>
      <c r="E4040" s="19"/>
      <c r="F4040" s="19"/>
      <c r="G4040" s="19"/>
      <c r="H4040" s="19"/>
      <c r="I4040" s="19"/>
      <c r="J4040" s="19"/>
      <c r="K4040" s="6"/>
      <c r="L4040" s="19"/>
    </row>
    <row r="4041" spans="1:12" ht="14" customHeight="1" x14ac:dyDescent="0.2">
      <c r="A4041" s="14"/>
      <c r="B4041" s="15"/>
      <c r="C4041" s="16"/>
      <c r="D4041" s="16"/>
      <c r="E4041" s="16"/>
      <c r="F4041" s="16"/>
      <c r="G4041" s="16"/>
      <c r="H4041" s="16"/>
      <c r="I4041" s="16"/>
      <c r="J4041" s="16"/>
      <c r="K4041" s="6"/>
      <c r="L4041" s="16"/>
    </row>
    <row r="4042" spans="1:12" ht="14" customHeight="1" x14ac:dyDescent="0.2">
      <c r="A4042" s="17"/>
      <c r="B4042" s="18"/>
      <c r="C4042" s="19"/>
      <c r="D4042" s="19"/>
      <c r="E4042" s="19"/>
      <c r="F4042" s="19"/>
      <c r="G4042" s="19"/>
      <c r="H4042" s="19"/>
      <c r="I4042" s="19"/>
      <c r="J4042" s="19"/>
      <c r="K4042" s="6"/>
      <c r="L4042" s="19"/>
    </row>
    <row r="4043" spans="1:12" ht="14" customHeight="1" x14ac:dyDescent="0.2">
      <c r="A4043" s="14"/>
      <c r="B4043" s="15"/>
      <c r="C4043" s="16"/>
      <c r="D4043" s="16"/>
      <c r="E4043" s="16"/>
      <c r="F4043" s="16"/>
      <c r="G4043" s="16"/>
      <c r="H4043" s="16"/>
      <c r="I4043" s="16"/>
      <c r="J4043" s="16"/>
      <c r="K4043" s="6"/>
      <c r="L4043" s="16"/>
    </row>
    <row r="4044" spans="1:12" ht="14" customHeight="1" x14ac:dyDescent="0.2">
      <c r="A4044" s="17"/>
      <c r="B4044" s="18"/>
      <c r="C4044" s="19"/>
      <c r="D4044" s="19"/>
      <c r="E4044" s="19"/>
      <c r="F4044" s="19"/>
      <c r="G4044" s="19"/>
      <c r="H4044" s="19"/>
      <c r="I4044" s="19"/>
      <c r="J4044" s="19"/>
      <c r="K4044" s="6"/>
      <c r="L4044" s="19"/>
    </row>
    <row r="4045" spans="1:12" ht="14" customHeight="1" x14ac:dyDescent="0.2">
      <c r="A4045" s="14"/>
      <c r="B4045" s="15"/>
      <c r="C4045" s="16"/>
      <c r="D4045" s="16"/>
      <c r="E4045" s="16"/>
      <c r="F4045" s="16"/>
      <c r="G4045" s="16"/>
      <c r="H4045" s="16"/>
      <c r="I4045" s="16"/>
      <c r="J4045" s="16"/>
      <c r="K4045" s="6"/>
      <c r="L4045" s="16"/>
    </row>
    <row r="4046" spans="1:12" ht="14" customHeight="1" x14ac:dyDescent="0.2">
      <c r="A4046" s="17"/>
      <c r="B4046" s="18"/>
      <c r="C4046" s="19"/>
      <c r="D4046" s="19"/>
      <c r="E4046" s="19"/>
      <c r="F4046" s="19"/>
      <c r="G4046" s="19"/>
      <c r="H4046" s="19"/>
      <c r="I4046" s="19"/>
      <c r="J4046" s="19"/>
      <c r="K4046" s="6"/>
      <c r="L4046" s="19"/>
    </row>
    <row r="4047" spans="1:12" ht="14" customHeight="1" x14ac:dyDescent="0.2">
      <c r="A4047" s="14"/>
      <c r="B4047" s="15"/>
      <c r="C4047" s="16"/>
      <c r="D4047" s="16"/>
      <c r="E4047" s="16"/>
      <c r="F4047" s="16"/>
      <c r="G4047" s="16"/>
      <c r="H4047" s="16"/>
      <c r="I4047" s="16"/>
      <c r="J4047" s="16"/>
      <c r="K4047" s="6"/>
      <c r="L4047" s="16"/>
    </row>
    <row r="4048" spans="1:12" ht="14" customHeight="1" x14ac:dyDescent="0.2">
      <c r="A4048" s="17"/>
      <c r="B4048" s="18"/>
      <c r="C4048" s="19"/>
      <c r="D4048" s="19"/>
      <c r="E4048" s="19"/>
      <c r="F4048" s="19"/>
      <c r="G4048" s="19"/>
      <c r="H4048" s="19"/>
      <c r="I4048" s="19"/>
      <c r="J4048" s="19"/>
      <c r="K4048" s="6"/>
      <c r="L4048" s="19"/>
    </row>
    <row r="4049" spans="1:12" ht="14" customHeight="1" x14ac:dyDescent="0.2">
      <c r="A4049" s="14"/>
      <c r="B4049" s="15"/>
      <c r="C4049" s="16"/>
      <c r="D4049" s="16"/>
      <c r="E4049" s="16"/>
      <c r="F4049" s="16"/>
      <c r="G4049" s="16"/>
      <c r="H4049" s="16"/>
      <c r="I4049" s="16"/>
      <c r="J4049" s="16"/>
      <c r="K4049" s="6"/>
      <c r="L4049" s="16"/>
    </row>
    <row r="4050" spans="1:12" ht="14" customHeight="1" x14ac:dyDescent="0.2">
      <c r="A4050" s="17"/>
      <c r="B4050" s="18"/>
      <c r="C4050" s="19"/>
      <c r="D4050" s="19"/>
      <c r="E4050" s="19"/>
      <c r="F4050" s="19"/>
      <c r="G4050" s="19"/>
      <c r="H4050" s="19"/>
      <c r="I4050" s="19"/>
      <c r="J4050" s="19"/>
      <c r="K4050" s="6"/>
      <c r="L4050" s="19"/>
    </row>
    <row r="4051" spans="1:12" ht="14" customHeight="1" x14ac:dyDescent="0.2">
      <c r="A4051" s="14"/>
      <c r="B4051" s="15"/>
      <c r="C4051" s="16"/>
      <c r="D4051" s="16"/>
      <c r="E4051" s="16"/>
      <c r="F4051" s="16"/>
      <c r="G4051" s="16"/>
      <c r="H4051" s="16"/>
      <c r="I4051" s="16"/>
      <c r="J4051" s="16"/>
      <c r="K4051" s="6"/>
      <c r="L4051" s="16"/>
    </row>
    <row r="4052" spans="1:12" ht="14" customHeight="1" x14ac:dyDescent="0.2">
      <c r="A4052" s="17"/>
      <c r="B4052" s="18"/>
      <c r="C4052" s="19"/>
      <c r="D4052" s="19"/>
      <c r="E4052" s="19"/>
      <c r="F4052" s="19"/>
      <c r="G4052" s="19"/>
      <c r="H4052" s="19"/>
      <c r="I4052" s="19"/>
      <c r="J4052" s="19"/>
      <c r="K4052" s="6"/>
      <c r="L4052" s="19"/>
    </row>
    <row r="4053" spans="1:12" ht="14" customHeight="1" x14ac:dyDescent="0.2">
      <c r="A4053" s="14"/>
      <c r="B4053" s="15"/>
      <c r="C4053" s="16"/>
      <c r="D4053" s="16"/>
      <c r="E4053" s="16"/>
      <c r="F4053" s="16"/>
      <c r="G4053" s="16"/>
      <c r="H4053" s="16"/>
      <c r="I4053" s="16"/>
      <c r="J4053" s="16"/>
      <c r="K4053" s="6"/>
      <c r="L4053" s="16"/>
    </row>
    <row r="4054" spans="1:12" ht="14" customHeight="1" x14ac:dyDescent="0.2">
      <c r="A4054" s="17"/>
      <c r="B4054" s="18"/>
      <c r="C4054" s="19"/>
      <c r="D4054" s="19"/>
      <c r="E4054" s="19"/>
      <c r="F4054" s="19"/>
      <c r="G4054" s="19"/>
      <c r="H4054" s="19"/>
      <c r="I4054" s="19"/>
      <c r="J4054" s="19"/>
      <c r="K4054" s="6"/>
      <c r="L4054" s="19"/>
    </row>
    <row r="4055" spans="1:12" ht="14" customHeight="1" x14ac:dyDescent="0.2">
      <c r="A4055" s="14"/>
      <c r="B4055" s="15"/>
      <c r="C4055" s="16"/>
      <c r="D4055" s="16"/>
      <c r="E4055" s="16"/>
      <c r="F4055" s="16"/>
      <c r="G4055" s="16"/>
      <c r="H4055" s="16"/>
      <c r="I4055" s="16"/>
      <c r="J4055" s="16"/>
      <c r="K4055" s="6"/>
      <c r="L4055" s="16"/>
    </row>
    <row r="4056" spans="1:12" ht="14" customHeight="1" x14ac:dyDescent="0.2">
      <c r="A4056" s="17"/>
      <c r="B4056" s="18"/>
      <c r="C4056" s="19"/>
      <c r="D4056" s="19"/>
      <c r="E4056" s="19"/>
      <c r="F4056" s="19"/>
      <c r="G4056" s="19"/>
      <c r="H4056" s="19"/>
      <c r="I4056" s="19"/>
      <c r="J4056" s="19"/>
      <c r="K4056" s="6"/>
      <c r="L4056" s="19"/>
    </row>
    <row r="4057" spans="1:12" ht="14" customHeight="1" x14ac:dyDescent="0.2">
      <c r="A4057" s="14"/>
      <c r="B4057" s="15"/>
      <c r="C4057" s="16"/>
      <c r="D4057" s="16"/>
      <c r="E4057" s="16"/>
      <c r="F4057" s="16"/>
      <c r="G4057" s="16"/>
      <c r="H4057" s="16"/>
      <c r="I4057" s="16"/>
      <c r="J4057" s="16"/>
      <c r="K4057" s="6"/>
      <c r="L4057" s="16"/>
    </row>
    <row r="4058" spans="1:12" ht="14" customHeight="1" x14ac:dyDescent="0.2">
      <c r="A4058" s="17"/>
      <c r="B4058" s="18"/>
      <c r="C4058" s="19"/>
      <c r="D4058" s="19"/>
      <c r="E4058" s="19"/>
      <c r="F4058" s="19"/>
      <c r="G4058" s="19"/>
      <c r="H4058" s="19"/>
      <c r="I4058" s="19"/>
      <c r="J4058" s="19"/>
      <c r="K4058" s="6"/>
      <c r="L4058" s="19"/>
    </row>
    <row r="4059" spans="1:12" ht="14" customHeight="1" x14ac:dyDescent="0.2">
      <c r="A4059" s="14"/>
      <c r="B4059" s="15"/>
      <c r="C4059" s="16"/>
      <c r="D4059" s="16"/>
      <c r="E4059" s="16"/>
      <c r="F4059" s="16"/>
      <c r="G4059" s="16"/>
      <c r="H4059" s="16"/>
      <c r="I4059" s="16"/>
      <c r="J4059" s="16"/>
      <c r="K4059" s="6"/>
      <c r="L4059" s="16"/>
    </row>
    <row r="4060" spans="1:12" ht="14" customHeight="1" x14ac:dyDescent="0.2">
      <c r="A4060" s="17"/>
      <c r="B4060" s="18"/>
      <c r="C4060" s="19"/>
      <c r="D4060" s="19"/>
      <c r="E4060" s="19"/>
      <c r="F4060" s="19"/>
      <c r="G4060" s="19"/>
      <c r="H4060" s="19"/>
      <c r="I4060" s="19"/>
      <c r="J4060" s="19"/>
      <c r="K4060" s="6"/>
      <c r="L4060" s="19"/>
    </row>
    <row r="4061" spans="1:12" ht="14" customHeight="1" x14ac:dyDescent="0.2">
      <c r="A4061" s="14"/>
      <c r="B4061" s="15"/>
      <c r="C4061" s="16"/>
      <c r="D4061" s="16"/>
      <c r="E4061" s="16"/>
      <c r="F4061" s="16"/>
      <c r="G4061" s="16"/>
      <c r="H4061" s="16"/>
      <c r="I4061" s="16"/>
      <c r="J4061" s="16"/>
      <c r="K4061" s="6"/>
      <c r="L4061" s="16"/>
    </row>
    <row r="4062" spans="1:12" ht="14" customHeight="1" x14ac:dyDescent="0.2">
      <c r="A4062" s="17"/>
      <c r="B4062" s="18"/>
      <c r="C4062" s="19"/>
      <c r="D4062" s="19"/>
      <c r="E4062" s="19"/>
      <c r="F4062" s="19"/>
      <c r="G4062" s="19"/>
      <c r="H4062" s="19"/>
      <c r="I4062" s="19"/>
      <c r="J4062" s="19"/>
      <c r="K4062" s="6"/>
      <c r="L4062" s="19"/>
    </row>
    <row r="4063" spans="1:12" ht="14" customHeight="1" x14ac:dyDescent="0.2">
      <c r="A4063" s="14"/>
      <c r="B4063" s="15"/>
      <c r="C4063" s="16"/>
      <c r="D4063" s="16"/>
      <c r="E4063" s="16"/>
      <c r="F4063" s="16"/>
      <c r="G4063" s="16"/>
      <c r="H4063" s="16"/>
      <c r="I4063" s="16"/>
      <c r="J4063" s="16"/>
      <c r="K4063" s="6"/>
      <c r="L4063" s="16"/>
    </row>
    <row r="4064" spans="1:12" ht="14" customHeight="1" x14ac:dyDescent="0.2">
      <c r="A4064" s="17"/>
      <c r="B4064" s="18"/>
      <c r="C4064" s="19"/>
      <c r="D4064" s="19"/>
      <c r="E4064" s="19"/>
      <c r="F4064" s="19"/>
      <c r="G4064" s="19"/>
      <c r="H4064" s="19"/>
      <c r="I4064" s="19"/>
      <c r="J4064" s="19"/>
      <c r="K4064" s="6"/>
      <c r="L4064" s="19"/>
    </row>
    <row r="4065" spans="1:12" ht="14" customHeight="1" x14ac:dyDescent="0.2">
      <c r="A4065" s="14"/>
      <c r="B4065" s="15"/>
      <c r="C4065" s="16"/>
      <c r="D4065" s="16"/>
      <c r="E4065" s="16"/>
      <c r="F4065" s="16"/>
      <c r="G4065" s="16"/>
      <c r="H4065" s="16"/>
      <c r="I4065" s="16"/>
      <c r="J4065" s="16"/>
      <c r="K4065" s="6"/>
      <c r="L4065" s="16"/>
    </row>
    <row r="4066" spans="1:12" ht="14" customHeight="1" x14ac:dyDescent="0.2">
      <c r="A4066" s="17"/>
      <c r="B4066" s="18"/>
      <c r="C4066" s="19"/>
      <c r="D4066" s="19"/>
      <c r="E4066" s="19"/>
      <c r="F4066" s="19"/>
      <c r="G4066" s="19"/>
      <c r="H4066" s="19"/>
      <c r="I4066" s="19"/>
      <c r="J4066" s="19"/>
      <c r="K4066" s="6"/>
      <c r="L4066" s="19"/>
    </row>
    <row r="4067" spans="1:12" ht="14" customHeight="1" x14ac:dyDescent="0.2">
      <c r="A4067" s="14"/>
      <c r="B4067" s="15"/>
      <c r="C4067" s="16"/>
      <c r="D4067" s="16"/>
      <c r="E4067" s="16"/>
      <c r="F4067" s="16"/>
      <c r="G4067" s="16"/>
      <c r="H4067" s="16"/>
      <c r="I4067" s="16"/>
      <c r="J4067" s="16"/>
      <c r="K4067" s="6"/>
      <c r="L4067" s="16"/>
    </row>
    <row r="4068" spans="1:12" ht="14" customHeight="1" x14ac:dyDescent="0.2">
      <c r="A4068" s="17"/>
      <c r="B4068" s="18"/>
      <c r="C4068" s="19"/>
      <c r="D4068" s="19"/>
      <c r="E4068" s="19"/>
      <c r="F4068" s="19"/>
      <c r="G4068" s="19"/>
      <c r="H4068" s="19"/>
      <c r="I4068" s="19"/>
      <c r="J4068" s="19"/>
      <c r="K4068" s="6"/>
      <c r="L4068" s="19"/>
    </row>
    <row r="4069" spans="1:12" ht="14" customHeight="1" x14ac:dyDescent="0.2">
      <c r="A4069" s="14"/>
      <c r="B4069" s="15"/>
      <c r="C4069" s="16"/>
      <c r="D4069" s="16"/>
      <c r="E4069" s="16"/>
      <c r="F4069" s="16"/>
      <c r="G4069" s="16"/>
      <c r="H4069" s="16"/>
      <c r="I4069" s="16"/>
      <c r="J4069" s="16"/>
      <c r="K4069" s="6"/>
      <c r="L4069" s="16"/>
    </row>
    <row r="4070" spans="1:12" ht="14" customHeight="1" x14ac:dyDescent="0.2">
      <c r="A4070" s="17"/>
      <c r="B4070" s="18"/>
      <c r="C4070" s="19"/>
      <c r="D4070" s="19"/>
      <c r="E4070" s="19"/>
      <c r="F4070" s="19"/>
      <c r="G4070" s="19"/>
      <c r="H4070" s="19"/>
      <c r="I4070" s="19"/>
      <c r="J4070" s="19"/>
      <c r="K4070" s="6"/>
      <c r="L4070" s="19"/>
    </row>
    <row r="4071" spans="1:12" ht="14" customHeight="1" x14ac:dyDescent="0.2">
      <c r="A4071" s="14"/>
      <c r="B4071" s="15"/>
      <c r="C4071" s="16"/>
      <c r="D4071" s="16"/>
      <c r="E4071" s="16"/>
      <c r="F4071" s="16"/>
      <c r="G4071" s="16"/>
      <c r="H4071" s="16"/>
      <c r="I4071" s="16"/>
      <c r="J4071" s="16"/>
      <c r="K4071" s="6"/>
      <c r="L4071" s="16"/>
    </row>
    <row r="4072" spans="1:12" ht="14" customHeight="1" x14ac:dyDescent="0.2">
      <c r="A4072" s="17"/>
      <c r="B4072" s="18"/>
      <c r="C4072" s="19"/>
      <c r="D4072" s="19"/>
      <c r="E4072" s="19"/>
      <c r="F4072" s="19"/>
      <c r="G4072" s="19"/>
      <c r="H4072" s="19"/>
      <c r="I4072" s="19"/>
      <c r="J4072" s="19"/>
      <c r="K4072" s="6"/>
      <c r="L4072" s="19"/>
    </row>
    <row r="4073" spans="1:12" ht="14" customHeight="1" x14ac:dyDescent="0.2">
      <c r="A4073" s="14"/>
      <c r="B4073" s="15"/>
      <c r="C4073" s="16"/>
      <c r="D4073" s="16"/>
      <c r="E4073" s="16"/>
      <c r="F4073" s="16"/>
      <c r="G4073" s="16"/>
      <c r="H4073" s="16"/>
      <c r="I4073" s="16"/>
      <c r="J4073" s="16"/>
      <c r="K4073" s="6"/>
      <c r="L4073" s="16"/>
    </row>
    <row r="4074" spans="1:12" ht="14" customHeight="1" x14ac:dyDescent="0.2">
      <c r="A4074" s="17"/>
      <c r="B4074" s="18"/>
      <c r="C4074" s="19"/>
      <c r="D4074" s="19"/>
      <c r="E4074" s="19"/>
      <c r="F4074" s="19"/>
      <c r="G4074" s="19"/>
      <c r="H4074" s="19"/>
      <c r="I4074" s="19"/>
      <c r="J4074" s="19"/>
      <c r="K4074" s="6"/>
      <c r="L4074" s="19"/>
    </row>
    <row r="4075" spans="1:12" ht="14" customHeight="1" x14ac:dyDescent="0.2">
      <c r="A4075" s="14"/>
      <c r="B4075" s="15"/>
      <c r="C4075" s="16"/>
      <c r="D4075" s="16"/>
      <c r="E4075" s="16"/>
      <c r="F4075" s="16"/>
      <c r="G4075" s="16"/>
      <c r="H4075" s="16"/>
      <c r="I4075" s="16"/>
      <c r="J4075" s="16"/>
      <c r="K4075" s="6"/>
      <c r="L4075" s="16"/>
    </row>
    <row r="4076" spans="1:12" ht="14" customHeight="1" x14ac:dyDescent="0.2">
      <c r="A4076" s="17"/>
      <c r="B4076" s="18"/>
      <c r="C4076" s="19"/>
      <c r="D4076" s="19"/>
      <c r="E4076" s="19"/>
      <c r="F4076" s="19"/>
      <c r="G4076" s="19"/>
      <c r="H4076" s="19"/>
      <c r="I4076" s="19"/>
      <c r="J4076" s="19"/>
      <c r="K4076" s="6"/>
      <c r="L4076" s="19"/>
    </row>
    <row r="4077" spans="1:12" ht="14" customHeight="1" x14ac:dyDescent="0.2">
      <c r="A4077" s="14"/>
      <c r="B4077" s="15"/>
      <c r="C4077" s="16"/>
      <c r="D4077" s="16"/>
      <c r="E4077" s="16"/>
      <c r="F4077" s="16"/>
      <c r="G4077" s="16"/>
      <c r="H4077" s="16"/>
      <c r="I4077" s="16"/>
      <c r="J4077" s="16"/>
      <c r="K4077" s="6"/>
      <c r="L4077" s="16"/>
    </row>
    <row r="4078" spans="1:12" ht="14" customHeight="1" x14ac:dyDescent="0.2">
      <c r="A4078" s="17"/>
      <c r="B4078" s="18"/>
      <c r="C4078" s="19"/>
      <c r="D4078" s="19"/>
      <c r="E4078" s="19"/>
      <c r="F4078" s="19"/>
      <c r="G4078" s="19"/>
      <c r="H4078" s="19"/>
      <c r="I4078" s="19"/>
      <c r="J4078" s="19"/>
      <c r="K4078" s="6"/>
      <c r="L4078" s="19"/>
    </row>
    <row r="4079" spans="1:12" ht="14" customHeight="1" x14ac:dyDescent="0.2">
      <c r="A4079" s="14"/>
      <c r="B4079" s="15"/>
      <c r="C4079" s="16"/>
      <c r="D4079" s="16"/>
      <c r="E4079" s="16"/>
      <c r="F4079" s="16"/>
      <c r="G4079" s="16"/>
      <c r="H4079" s="16"/>
      <c r="I4079" s="16"/>
      <c r="J4079" s="16"/>
      <c r="K4079" s="6"/>
      <c r="L4079" s="16"/>
    </row>
    <row r="4080" spans="1:12" ht="14" customHeight="1" x14ac:dyDescent="0.2">
      <c r="A4080" s="17"/>
      <c r="B4080" s="18"/>
      <c r="C4080" s="19"/>
      <c r="D4080" s="19"/>
      <c r="E4080" s="19"/>
      <c r="F4080" s="19"/>
      <c r="G4080" s="19"/>
      <c r="H4080" s="19"/>
      <c r="I4080" s="19"/>
      <c r="J4080" s="19"/>
      <c r="K4080" s="6"/>
      <c r="L4080" s="19"/>
    </row>
    <row r="4081" spans="1:12" ht="14" customHeight="1" x14ac:dyDescent="0.2">
      <c r="A4081" s="14"/>
      <c r="B4081" s="15"/>
      <c r="C4081" s="16"/>
      <c r="D4081" s="16"/>
      <c r="E4081" s="16"/>
      <c r="F4081" s="16"/>
      <c r="G4081" s="16"/>
      <c r="H4081" s="16"/>
      <c r="I4081" s="16"/>
      <c r="J4081" s="16"/>
      <c r="K4081" s="6"/>
      <c r="L4081" s="16"/>
    </row>
    <row r="4082" spans="1:12" ht="14" customHeight="1" x14ac:dyDescent="0.2">
      <c r="A4082" s="17"/>
      <c r="B4082" s="18"/>
      <c r="C4082" s="19"/>
      <c r="D4082" s="19"/>
      <c r="E4082" s="19"/>
      <c r="F4082" s="19"/>
      <c r="G4082" s="19"/>
      <c r="H4082" s="19"/>
      <c r="I4082" s="19"/>
      <c r="J4082" s="19"/>
      <c r="K4082" s="6"/>
      <c r="L4082" s="19"/>
    </row>
    <row r="4083" spans="1:12" ht="14" customHeight="1" x14ac:dyDescent="0.2">
      <c r="A4083" s="14"/>
      <c r="B4083" s="15"/>
      <c r="C4083" s="16"/>
      <c r="D4083" s="16"/>
      <c r="E4083" s="16"/>
      <c r="F4083" s="16"/>
      <c r="G4083" s="16"/>
      <c r="H4083" s="16"/>
      <c r="I4083" s="16"/>
      <c r="J4083" s="16"/>
      <c r="K4083" s="6"/>
      <c r="L4083" s="16"/>
    </row>
    <row r="4084" spans="1:12" ht="14" customHeight="1" x14ac:dyDescent="0.2">
      <c r="A4084" s="17"/>
      <c r="B4084" s="18"/>
      <c r="C4084" s="19"/>
      <c r="D4084" s="19"/>
      <c r="E4084" s="19"/>
      <c r="F4084" s="19"/>
      <c r="G4084" s="19"/>
      <c r="H4084" s="19"/>
      <c r="I4084" s="19"/>
      <c r="J4084" s="19"/>
      <c r="K4084" s="6"/>
      <c r="L4084" s="19"/>
    </row>
    <row r="4085" spans="1:12" ht="14" customHeight="1" x14ac:dyDescent="0.2">
      <c r="A4085" s="14"/>
      <c r="B4085" s="15"/>
      <c r="C4085" s="16"/>
      <c r="D4085" s="16"/>
      <c r="E4085" s="16"/>
      <c r="F4085" s="16"/>
      <c r="G4085" s="16"/>
      <c r="H4085" s="16"/>
      <c r="I4085" s="16"/>
      <c r="J4085" s="16"/>
      <c r="K4085" s="6"/>
      <c r="L4085" s="16"/>
    </row>
    <row r="4086" spans="1:12" ht="14" customHeight="1" x14ac:dyDescent="0.2">
      <c r="A4086" s="17"/>
      <c r="B4086" s="18"/>
      <c r="C4086" s="19"/>
      <c r="D4086" s="19"/>
      <c r="E4086" s="19"/>
      <c r="F4086" s="19"/>
      <c r="G4086" s="19"/>
      <c r="H4086" s="19"/>
      <c r="I4086" s="19"/>
      <c r="J4086" s="19"/>
      <c r="K4086" s="6"/>
      <c r="L4086" s="19"/>
    </row>
    <row r="4087" spans="1:12" ht="14" customHeight="1" x14ac:dyDescent="0.2">
      <c r="A4087" s="14"/>
      <c r="B4087" s="15"/>
      <c r="C4087" s="16"/>
      <c r="D4087" s="16"/>
      <c r="E4087" s="16"/>
      <c r="F4087" s="16"/>
      <c r="G4087" s="16"/>
      <c r="H4087" s="16"/>
      <c r="I4087" s="16"/>
      <c r="J4087" s="16"/>
      <c r="K4087" s="6"/>
      <c r="L4087" s="16"/>
    </row>
    <row r="4088" spans="1:12" ht="14" customHeight="1" x14ac:dyDescent="0.2">
      <c r="A4088" s="17"/>
      <c r="B4088" s="18"/>
      <c r="C4088" s="19"/>
      <c r="D4088" s="19"/>
      <c r="E4088" s="19"/>
      <c r="F4088" s="19"/>
      <c r="G4088" s="19"/>
      <c r="H4088" s="19"/>
      <c r="I4088" s="19"/>
      <c r="J4088" s="19"/>
      <c r="K4088" s="6"/>
      <c r="L4088" s="19"/>
    </row>
    <row r="4089" spans="1:12" ht="14" customHeight="1" x14ac:dyDescent="0.2">
      <c r="A4089" s="14"/>
      <c r="B4089" s="15"/>
      <c r="C4089" s="16"/>
      <c r="D4089" s="16"/>
      <c r="E4089" s="16"/>
      <c r="F4089" s="16"/>
      <c r="G4089" s="16"/>
      <c r="H4089" s="16"/>
      <c r="I4089" s="16"/>
      <c r="J4089" s="16"/>
      <c r="K4089" s="6"/>
      <c r="L4089" s="16"/>
    </row>
    <row r="4090" spans="1:12" ht="14" customHeight="1" x14ac:dyDescent="0.2">
      <c r="A4090" s="17"/>
      <c r="B4090" s="18"/>
      <c r="C4090" s="19"/>
      <c r="D4090" s="19"/>
      <c r="E4090" s="19"/>
      <c r="F4090" s="19"/>
      <c r="G4090" s="19"/>
      <c r="H4090" s="19"/>
      <c r="I4090" s="19"/>
      <c r="J4090" s="19"/>
      <c r="K4090" s="6"/>
      <c r="L4090" s="19"/>
    </row>
    <row r="4091" spans="1:12" ht="14" customHeight="1" x14ac:dyDescent="0.2">
      <c r="A4091" s="14"/>
      <c r="B4091" s="15"/>
      <c r="C4091" s="16"/>
      <c r="D4091" s="16"/>
      <c r="E4091" s="16"/>
      <c r="F4091" s="16"/>
      <c r="G4091" s="16"/>
      <c r="H4091" s="16"/>
      <c r="I4091" s="16"/>
      <c r="J4091" s="16"/>
      <c r="K4091" s="6"/>
      <c r="L4091" s="16"/>
    </row>
    <row r="4092" spans="1:12" ht="14" customHeight="1" x14ac:dyDescent="0.2">
      <c r="A4092" s="17"/>
      <c r="B4092" s="18"/>
      <c r="C4092" s="19"/>
      <c r="D4092" s="19"/>
      <c r="E4092" s="19"/>
      <c r="F4092" s="19"/>
      <c r="G4092" s="19"/>
      <c r="H4092" s="19"/>
      <c r="I4092" s="19"/>
      <c r="J4092" s="19"/>
      <c r="K4092" s="6"/>
      <c r="L4092" s="19"/>
    </row>
    <row r="4093" spans="1:12" ht="14" customHeight="1" x14ac:dyDescent="0.2">
      <c r="A4093" s="14"/>
      <c r="B4093" s="15"/>
      <c r="C4093" s="16"/>
      <c r="D4093" s="16"/>
      <c r="E4093" s="16"/>
      <c r="F4093" s="16"/>
      <c r="G4093" s="16"/>
      <c r="H4093" s="16"/>
      <c r="I4093" s="16"/>
      <c r="J4093" s="16"/>
      <c r="K4093" s="6"/>
      <c r="L4093" s="16"/>
    </row>
    <row r="4094" spans="1:12" ht="14" customHeight="1" x14ac:dyDescent="0.2">
      <c r="A4094" s="17"/>
      <c r="B4094" s="18"/>
      <c r="C4094" s="19"/>
      <c r="D4094" s="19"/>
      <c r="E4094" s="19"/>
      <c r="F4094" s="19"/>
      <c r="G4094" s="19"/>
      <c r="H4094" s="19"/>
      <c r="I4094" s="19"/>
      <c r="J4094" s="19"/>
      <c r="K4094" s="6"/>
      <c r="L4094" s="19"/>
    </row>
    <row r="4095" spans="1:12" ht="14" customHeight="1" x14ac:dyDescent="0.2">
      <c r="A4095" s="14"/>
      <c r="B4095" s="15"/>
      <c r="C4095" s="16"/>
      <c r="D4095" s="16"/>
      <c r="E4095" s="16"/>
      <c r="F4095" s="16"/>
      <c r="G4095" s="16"/>
      <c r="H4095" s="16"/>
      <c r="I4095" s="16"/>
      <c r="J4095" s="16"/>
      <c r="K4095" s="6"/>
      <c r="L4095" s="16"/>
    </row>
    <row r="4096" spans="1:12" ht="14" customHeight="1" x14ac:dyDescent="0.2">
      <c r="A4096" s="17"/>
      <c r="B4096" s="18"/>
      <c r="C4096" s="19"/>
      <c r="D4096" s="19"/>
      <c r="E4096" s="19"/>
      <c r="F4096" s="19"/>
      <c r="G4096" s="19"/>
      <c r="H4096" s="19"/>
      <c r="I4096" s="19"/>
      <c r="J4096" s="19"/>
      <c r="K4096" s="6"/>
      <c r="L4096" s="19"/>
    </row>
    <row r="4097" spans="1:12" ht="14" customHeight="1" x14ac:dyDescent="0.2">
      <c r="A4097" s="14"/>
      <c r="B4097" s="15"/>
      <c r="C4097" s="16"/>
      <c r="D4097" s="16"/>
      <c r="E4097" s="16"/>
      <c r="F4097" s="16"/>
      <c r="G4097" s="16"/>
      <c r="H4097" s="16"/>
      <c r="I4097" s="16"/>
      <c r="J4097" s="16"/>
      <c r="K4097" s="6"/>
      <c r="L4097" s="16"/>
    </row>
    <row r="4098" spans="1:12" ht="14" customHeight="1" x14ac:dyDescent="0.2">
      <c r="A4098" s="17"/>
      <c r="B4098" s="18"/>
      <c r="C4098" s="19"/>
      <c r="D4098" s="19"/>
      <c r="E4098" s="19"/>
      <c r="F4098" s="19"/>
      <c r="G4098" s="19"/>
      <c r="H4098" s="19"/>
      <c r="I4098" s="19"/>
      <c r="J4098" s="19"/>
      <c r="K4098" s="6"/>
      <c r="L4098" s="19"/>
    </row>
    <row r="4099" spans="1:12" ht="14" customHeight="1" x14ac:dyDescent="0.2">
      <c r="A4099" s="14"/>
      <c r="B4099" s="15"/>
      <c r="C4099" s="16"/>
      <c r="D4099" s="16"/>
      <c r="E4099" s="16"/>
      <c r="F4099" s="16"/>
      <c r="G4099" s="16"/>
      <c r="H4099" s="16"/>
      <c r="I4099" s="16"/>
      <c r="J4099" s="16"/>
      <c r="K4099" s="6"/>
      <c r="L4099" s="16"/>
    </row>
    <row r="4100" spans="1:12" ht="14" customHeight="1" x14ac:dyDescent="0.2">
      <c r="A4100" s="17"/>
      <c r="B4100" s="18"/>
      <c r="C4100" s="19"/>
      <c r="D4100" s="19"/>
      <c r="E4100" s="19"/>
      <c r="F4100" s="19"/>
      <c r="G4100" s="19"/>
      <c r="H4100" s="19"/>
      <c r="I4100" s="19"/>
      <c r="J4100" s="19"/>
      <c r="K4100" s="6"/>
      <c r="L4100" s="19"/>
    </row>
    <row r="4101" spans="1:12" ht="14" customHeight="1" x14ac:dyDescent="0.2">
      <c r="A4101" s="14"/>
      <c r="B4101" s="15"/>
      <c r="C4101" s="16"/>
      <c r="D4101" s="16"/>
      <c r="E4101" s="16"/>
      <c r="F4101" s="16"/>
      <c r="G4101" s="16"/>
      <c r="H4101" s="16"/>
      <c r="I4101" s="16"/>
      <c r="J4101" s="16"/>
      <c r="K4101" s="6"/>
      <c r="L4101" s="16"/>
    </row>
    <row r="4102" spans="1:12" ht="14" customHeight="1" x14ac:dyDescent="0.2">
      <c r="A4102" s="17"/>
      <c r="B4102" s="18"/>
      <c r="C4102" s="19"/>
      <c r="D4102" s="19"/>
      <c r="E4102" s="19"/>
      <c r="F4102" s="19"/>
      <c r="G4102" s="19"/>
      <c r="H4102" s="19"/>
      <c r="I4102" s="19"/>
      <c r="J4102" s="19"/>
      <c r="K4102" s="6"/>
      <c r="L4102" s="19"/>
    </row>
    <row r="4103" spans="1:12" ht="14" customHeight="1" x14ac:dyDescent="0.2">
      <c r="A4103" s="14"/>
      <c r="B4103" s="15"/>
      <c r="C4103" s="16"/>
      <c r="D4103" s="16"/>
      <c r="E4103" s="16"/>
      <c r="F4103" s="16"/>
      <c r="G4103" s="16"/>
      <c r="H4103" s="16"/>
      <c r="I4103" s="16"/>
      <c r="J4103" s="16"/>
      <c r="K4103" s="6"/>
      <c r="L4103" s="16"/>
    </row>
    <row r="4104" spans="1:12" ht="14" customHeight="1" x14ac:dyDescent="0.2">
      <c r="A4104" s="17"/>
      <c r="B4104" s="18"/>
      <c r="C4104" s="19"/>
      <c r="D4104" s="19"/>
      <c r="E4104" s="19"/>
      <c r="F4104" s="19"/>
      <c r="G4104" s="19"/>
      <c r="H4104" s="19"/>
      <c r="I4104" s="19"/>
      <c r="J4104" s="19"/>
      <c r="K4104" s="6"/>
      <c r="L4104" s="19"/>
    </row>
    <row r="4105" spans="1:12" ht="14" customHeight="1" x14ac:dyDescent="0.2">
      <c r="A4105" s="14"/>
      <c r="B4105" s="15"/>
      <c r="C4105" s="16"/>
      <c r="D4105" s="16"/>
      <c r="E4105" s="16"/>
      <c r="F4105" s="16"/>
      <c r="G4105" s="16"/>
      <c r="H4105" s="16"/>
      <c r="I4105" s="16"/>
      <c r="J4105" s="16"/>
      <c r="K4105" s="6"/>
      <c r="L4105" s="16"/>
    </row>
    <row r="4106" spans="1:12" ht="14" customHeight="1" x14ac:dyDescent="0.2">
      <c r="A4106" s="17"/>
      <c r="B4106" s="18"/>
      <c r="C4106" s="19"/>
      <c r="D4106" s="19"/>
      <c r="E4106" s="19"/>
      <c r="F4106" s="19"/>
      <c r="G4106" s="19"/>
      <c r="H4106" s="19"/>
      <c r="I4106" s="19"/>
      <c r="J4106" s="19"/>
      <c r="K4106" s="6"/>
      <c r="L4106" s="19"/>
    </row>
    <row r="4107" spans="1:12" ht="14" customHeight="1" x14ac:dyDescent="0.2">
      <c r="A4107" s="14"/>
      <c r="B4107" s="15"/>
      <c r="C4107" s="16"/>
      <c r="D4107" s="16"/>
      <c r="E4107" s="16"/>
      <c r="F4107" s="16"/>
      <c r="G4107" s="16"/>
      <c r="H4107" s="16"/>
      <c r="I4107" s="16"/>
      <c r="J4107" s="16"/>
      <c r="K4107" s="6"/>
      <c r="L4107" s="16"/>
    </row>
    <row r="4108" spans="1:12" ht="14" customHeight="1" x14ac:dyDescent="0.2">
      <c r="A4108" s="17"/>
      <c r="B4108" s="18"/>
      <c r="C4108" s="19"/>
      <c r="D4108" s="19"/>
      <c r="E4108" s="19"/>
      <c r="F4108" s="19"/>
      <c r="G4108" s="19"/>
      <c r="H4108" s="19"/>
      <c r="I4108" s="19"/>
      <c r="J4108" s="19"/>
      <c r="K4108" s="6"/>
      <c r="L4108" s="19"/>
    </row>
    <row r="4109" spans="1:12" ht="14" customHeight="1" x14ac:dyDescent="0.2">
      <c r="A4109" s="14"/>
      <c r="B4109" s="15"/>
      <c r="C4109" s="16"/>
      <c r="D4109" s="16"/>
      <c r="E4109" s="16"/>
      <c r="F4109" s="16"/>
      <c r="G4109" s="16"/>
      <c r="H4109" s="16"/>
      <c r="I4109" s="16"/>
      <c r="J4109" s="16"/>
      <c r="K4109" s="6"/>
      <c r="L4109" s="16"/>
    </row>
    <row r="4110" spans="1:12" ht="14" customHeight="1" x14ac:dyDescent="0.2">
      <c r="A4110" s="17"/>
      <c r="B4110" s="18"/>
      <c r="C4110" s="19"/>
      <c r="D4110" s="19"/>
      <c r="E4110" s="19"/>
      <c r="F4110" s="19"/>
      <c r="G4110" s="19"/>
      <c r="H4110" s="19"/>
      <c r="I4110" s="19"/>
      <c r="J4110" s="19"/>
      <c r="K4110" s="6"/>
      <c r="L4110" s="19"/>
    </row>
    <row r="4111" spans="1:12" ht="14" customHeight="1" x14ac:dyDescent="0.2">
      <c r="A4111" s="14"/>
      <c r="B4111" s="15"/>
      <c r="C4111" s="16"/>
      <c r="D4111" s="16"/>
      <c r="E4111" s="16"/>
      <c r="F4111" s="16"/>
      <c r="G4111" s="16"/>
      <c r="H4111" s="16"/>
      <c r="I4111" s="16"/>
      <c r="J4111" s="16"/>
      <c r="K4111" s="6"/>
      <c r="L4111" s="16"/>
    </row>
    <row r="4112" spans="1:12" ht="14" customHeight="1" x14ac:dyDescent="0.2">
      <c r="A4112" s="17"/>
      <c r="B4112" s="18"/>
      <c r="C4112" s="19"/>
      <c r="D4112" s="19"/>
      <c r="E4112" s="19"/>
      <c r="F4112" s="19"/>
      <c r="G4112" s="19"/>
      <c r="H4112" s="19"/>
      <c r="I4112" s="19"/>
      <c r="J4112" s="19"/>
      <c r="K4112" s="6"/>
      <c r="L4112" s="19"/>
    </row>
    <row r="4113" spans="1:12" ht="14" customHeight="1" x14ac:dyDescent="0.2">
      <c r="A4113" s="14"/>
      <c r="B4113" s="15"/>
      <c r="C4113" s="16"/>
      <c r="D4113" s="16"/>
      <c r="E4113" s="16"/>
      <c r="F4113" s="16"/>
      <c r="G4113" s="16"/>
      <c r="H4113" s="16"/>
      <c r="I4113" s="16"/>
      <c r="J4113" s="16"/>
      <c r="K4113" s="6"/>
      <c r="L4113" s="16"/>
    </row>
    <row r="4114" spans="1:12" ht="14" customHeight="1" x14ac:dyDescent="0.2">
      <c r="A4114" s="17"/>
      <c r="B4114" s="18"/>
      <c r="C4114" s="19"/>
      <c r="D4114" s="19"/>
      <c r="E4114" s="19"/>
      <c r="F4114" s="19"/>
      <c r="G4114" s="19"/>
      <c r="H4114" s="19"/>
      <c r="I4114" s="19"/>
      <c r="J4114" s="19"/>
      <c r="K4114" s="6"/>
      <c r="L4114" s="19"/>
    </row>
    <row r="4115" spans="1:12" ht="14" customHeight="1" x14ac:dyDescent="0.2">
      <c r="A4115" s="14"/>
      <c r="B4115" s="15"/>
      <c r="C4115" s="16"/>
      <c r="D4115" s="16"/>
      <c r="E4115" s="16"/>
      <c r="F4115" s="16"/>
      <c r="G4115" s="16"/>
      <c r="H4115" s="16"/>
      <c r="I4115" s="16"/>
      <c r="J4115" s="16"/>
      <c r="K4115" s="6"/>
      <c r="L4115" s="16"/>
    </row>
    <row r="4116" spans="1:12" ht="14" customHeight="1" x14ac:dyDescent="0.2">
      <c r="A4116" s="17"/>
      <c r="B4116" s="18"/>
      <c r="C4116" s="19"/>
      <c r="D4116" s="19"/>
      <c r="E4116" s="19"/>
      <c r="F4116" s="19"/>
      <c r="G4116" s="19"/>
      <c r="H4116" s="19"/>
      <c r="I4116" s="19"/>
      <c r="J4116" s="19"/>
      <c r="K4116" s="6"/>
      <c r="L4116" s="19"/>
    </row>
    <row r="4117" spans="1:12" ht="14" customHeight="1" x14ac:dyDescent="0.2">
      <c r="A4117" s="14"/>
      <c r="B4117" s="15"/>
      <c r="C4117" s="16"/>
      <c r="D4117" s="16"/>
      <c r="E4117" s="16"/>
      <c r="F4117" s="16"/>
      <c r="G4117" s="16"/>
      <c r="H4117" s="16"/>
      <c r="I4117" s="16"/>
      <c r="J4117" s="16"/>
      <c r="K4117" s="6"/>
      <c r="L4117" s="16"/>
    </row>
    <row r="4118" spans="1:12" ht="14" customHeight="1" x14ac:dyDescent="0.2">
      <c r="A4118" s="17"/>
      <c r="B4118" s="18"/>
      <c r="C4118" s="19"/>
      <c r="D4118" s="19"/>
      <c r="E4118" s="19"/>
      <c r="F4118" s="19"/>
      <c r="G4118" s="19"/>
      <c r="H4118" s="19"/>
      <c r="I4118" s="19"/>
      <c r="J4118" s="19"/>
      <c r="K4118" s="6"/>
      <c r="L4118" s="19"/>
    </row>
    <row r="4119" spans="1:12" ht="14" customHeight="1" x14ac:dyDescent="0.2">
      <c r="A4119" s="14"/>
      <c r="B4119" s="15"/>
      <c r="C4119" s="16"/>
      <c r="D4119" s="16"/>
      <c r="E4119" s="16"/>
      <c r="F4119" s="16"/>
      <c r="G4119" s="16"/>
      <c r="H4119" s="16"/>
      <c r="I4119" s="16"/>
      <c r="J4119" s="16"/>
      <c r="K4119" s="6"/>
      <c r="L4119" s="16"/>
    </row>
    <row r="4120" spans="1:12" ht="14" customHeight="1" x14ac:dyDescent="0.2">
      <c r="A4120" s="17"/>
      <c r="B4120" s="18"/>
      <c r="C4120" s="19"/>
      <c r="D4120" s="19"/>
      <c r="E4120" s="19"/>
      <c r="F4120" s="19"/>
      <c r="G4120" s="19"/>
      <c r="H4120" s="19"/>
      <c r="I4120" s="19"/>
      <c r="J4120" s="19"/>
      <c r="K4120" s="6"/>
      <c r="L4120" s="19"/>
    </row>
    <row r="4121" spans="1:12" ht="14" customHeight="1" x14ac:dyDescent="0.2">
      <c r="A4121" s="14"/>
      <c r="B4121" s="15"/>
      <c r="C4121" s="16"/>
      <c r="D4121" s="16"/>
      <c r="E4121" s="16"/>
      <c r="F4121" s="16"/>
      <c r="G4121" s="16"/>
      <c r="H4121" s="16"/>
      <c r="I4121" s="16"/>
      <c r="J4121" s="16"/>
      <c r="K4121" s="6"/>
      <c r="L4121" s="16"/>
    </row>
    <row r="4122" spans="1:12" ht="14" customHeight="1" x14ac:dyDescent="0.2">
      <c r="A4122" s="17"/>
      <c r="B4122" s="18"/>
      <c r="C4122" s="19"/>
      <c r="D4122" s="19"/>
      <c r="E4122" s="19"/>
      <c r="F4122" s="19"/>
      <c r="G4122" s="19"/>
      <c r="H4122" s="19"/>
      <c r="I4122" s="19"/>
      <c r="J4122" s="19"/>
      <c r="K4122" s="6"/>
      <c r="L4122" s="19"/>
    </row>
    <row r="4123" spans="1:12" ht="14" customHeight="1" x14ac:dyDescent="0.2">
      <c r="A4123" s="14"/>
      <c r="B4123" s="15"/>
      <c r="C4123" s="16"/>
      <c r="D4123" s="16"/>
      <c r="E4123" s="16"/>
      <c r="F4123" s="16"/>
      <c r="G4123" s="16"/>
      <c r="H4123" s="16"/>
      <c r="I4123" s="16"/>
      <c r="J4123" s="16"/>
      <c r="K4123" s="6"/>
      <c r="L4123" s="16"/>
    </row>
    <row r="4124" spans="1:12" ht="14" customHeight="1" x14ac:dyDescent="0.2">
      <c r="A4124" s="17"/>
      <c r="B4124" s="18"/>
      <c r="C4124" s="19"/>
      <c r="D4124" s="19"/>
      <c r="E4124" s="19"/>
      <c r="F4124" s="19"/>
      <c r="G4124" s="19"/>
      <c r="H4124" s="19"/>
      <c r="I4124" s="19"/>
      <c r="J4124" s="19"/>
      <c r="K4124" s="6"/>
      <c r="L4124" s="19"/>
    </row>
    <row r="4125" spans="1:12" ht="14" customHeight="1" x14ac:dyDescent="0.2">
      <c r="A4125" s="14"/>
      <c r="B4125" s="15"/>
      <c r="C4125" s="16"/>
      <c r="D4125" s="16"/>
      <c r="E4125" s="16"/>
      <c r="F4125" s="16"/>
      <c r="G4125" s="16"/>
      <c r="H4125" s="16"/>
      <c r="I4125" s="16"/>
      <c r="J4125" s="16"/>
      <c r="K4125" s="6"/>
      <c r="L4125" s="16"/>
    </row>
    <row r="4126" spans="1:12" ht="14" customHeight="1" x14ac:dyDescent="0.2">
      <c r="A4126" s="17"/>
      <c r="B4126" s="18"/>
      <c r="C4126" s="19"/>
      <c r="D4126" s="19"/>
      <c r="E4126" s="19"/>
      <c r="F4126" s="19"/>
      <c r="G4126" s="19"/>
      <c r="H4126" s="19"/>
      <c r="I4126" s="19"/>
      <c r="J4126" s="19"/>
      <c r="K4126" s="6"/>
      <c r="L4126" s="19"/>
    </row>
    <row r="4127" spans="1:12" ht="14" customHeight="1" x14ac:dyDescent="0.2">
      <c r="A4127" s="14"/>
      <c r="B4127" s="15"/>
      <c r="C4127" s="16"/>
      <c r="D4127" s="16"/>
      <c r="E4127" s="16"/>
      <c r="F4127" s="16"/>
      <c r="G4127" s="16"/>
      <c r="H4127" s="16"/>
      <c r="I4127" s="16"/>
      <c r="J4127" s="16"/>
      <c r="K4127" s="6"/>
      <c r="L4127" s="16"/>
    </row>
    <row r="4128" spans="1:12" ht="14" customHeight="1" x14ac:dyDescent="0.2">
      <c r="A4128" s="17"/>
      <c r="B4128" s="18"/>
      <c r="C4128" s="19"/>
      <c r="D4128" s="19"/>
      <c r="E4128" s="19"/>
      <c r="F4128" s="19"/>
      <c r="G4128" s="19"/>
      <c r="H4128" s="19"/>
      <c r="I4128" s="19"/>
      <c r="J4128" s="19"/>
      <c r="K4128" s="6"/>
      <c r="L4128" s="19"/>
    </row>
    <row r="4129" spans="1:12" ht="14" customHeight="1" x14ac:dyDescent="0.2">
      <c r="A4129" s="14"/>
      <c r="B4129" s="15"/>
      <c r="C4129" s="16"/>
      <c r="D4129" s="16"/>
      <c r="E4129" s="16"/>
      <c r="F4129" s="16"/>
      <c r="G4129" s="16"/>
      <c r="H4129" s="16"/>
      <c r="I4129" s="16"/>
      <c r="J4129" s="16"/>
      <c r="K4129" s="6"/>
      <c r="L4129" s="16"/>
    </row>
    <row r="4130" spans="1:12" ht="14" customHeight="1" x14ac:dyDescent="0.2">
      <c r="A4130" s="17"/>
      <c r="B4130" s="18"/>
      <c r="C4130" s="19"/>
      <c r="D4130" s="19"/>
      <c r="E4130" s="19"/>
      <c r="F4130" s="19"/>
      <c r="G4130" s="19"/>
      <c r="H4130" s="19"/>
      <c r="I4130" s="19"/>
      <c r="J4130" s="19"/>
      <c r="K4130" s="6"/>
      <c r="L4130" s="19"/>
    </row>
    <row r="4131" spans="1:12" ht="14" customHeight="1" x14ac:dyDescent="0.2">
      <c r="A4131" s="14"/>
      <c r="B4131" s="15"/>
      <c r="C4131" s="16"/>
      <c r="D4131" s="16"/>
      <c r="E4131" s="16"/>
      <c r="F4131" s="16"/>
      <c r="G4131" s="16"/>
      <c r="H4131" s="16"/>
      <c r="I4131" s="16"/>
      <c r="J4131" s="16"/>
      <c r="K4131" s="6"/>
      <c r="L4131" s="16"/>
    </row>
    <row r="4132" spans="1:12" ht="14" customHeight="1" x14ac:dyDescent="0.2">
      <c r="A4132" s="17"/>
      <c r="B4132" s="18"/>
      <c r="C4132" s="19"/>
      <c r="D4132" s="19"/>
      <c r="E4132" s="19"/>
      <c r="F4132" s="19"/>
      <c r="G4132" s="19"/>
      <c r="H4132" s="19"/>
      <c r="I4132" s="19"/>
      <c r="J4132" s="19"/>
      <c r="K4132" s="6"/>
      <c r="L4132" s="19"/>
    </row>
    <row r="4133" spans="1:12" ht="14" customHeight="1" x14ac:dyDescent="0.2">
      <c r="A4133" s="14"/>
      <c r="B4133" s="15"/>
      <c r="C4133" s="16"/>
      <c r="D4133" s="16"/>
      <c r="E4133" s="16"/>
      <c r="F4133" s="16"/>
      <c r="G4133" s="16"/>
      <c r="H4133" s="16"/>
      <c r="I4133" s="16"/>
      <c r="J4133" s="16"/>
      <c r="K4133" s="6"/>
      <c r="L4133" s="16"/>
    </row>
    <row r="4134" spans="1:12" ht="14" customHeight="1" x14ac:dyDescent="0.2">
      <c r="A4134" s="17"/>
      <c r="B4134" s="18"/>
      <c r="C4134" s="19"/>
      <c r="D4134" s="19"/>
      <c r="E4134" s="19"/>
      <c r="F4134" s="19"/>
      <c r="G4134" s="19"/>
      <c r="H4134" s="19"/>
      <c r="I4134" s="19"/>
      <c r="J4134" s="19"/>
      <c r="K4134" s="6"/>
      <c r="L4134" s="19"/>
    </row>
    <row r="4135" spans="1:12" ht="14" customHeight="1" x14ac:dyDescent="0.2">
      <c r="A4135" s="14"/>
      <c r="B4135" s="15"/>
      <c r="C4135" s="16"/>
      <c r="D4135" s="16"/>
      <c r="E4135" s="16"/>
      <c r="F4135" s="16"/>
      <c r="G4135" s="16"/>
      <c r="H4135" s="16"/>
      <c r="I4135" s="16"/>
      <c r="J4135" s="16"/>
      <c r="K4135" s="6"/>
      <c r="L4135" s="16"/>
    </row>
    <row r="4136" spans="1:12" ht="14" customHeight="1" x14ac:dyDescent="0.2">
      <c r="A4136" s="17"/>
      <c r="B4136" s="18"/>
      <c r="C4136" s="19"/>
      <c r="D4136" s="19"/>
      <c r="E4136" s="19"/>
      <c r="F4136" s="19"/>
      <c r="G4136" s="19"/>
      <c r="H4136" s="19"/>
      <c r="I4136" s="19"/>
      <c r="J4136" s="19"/>
      <c r="K4136" s="6"/>
      <c r="L4136" s="19"/>
    </row>
    <row r="4137" spans="1:12" ht="14" customHeight="1" x14ac:dyDescent="0.2">
      <c r="A4137" s="14"/>
      <c r="B4137" s="15"/>
      <c r="C4137" s="16"/>
      <c r="D4137" s="16"/>
      <c r="E4137" s="16"/>
      <c r="F4137" s="16"/>
      <c r="G4137" s="16"/>
      <c r="H4137" s="16"/>
      <c r="I4137" s="16"/>
      <c r="J4137" s="16"/>
      <c r="K4137" s="6"/>
      <c r="L4137" s="16"/>
    </row>
    <row r="4138" spans="1:12" ht="14" customHeight="1" x14ac:dyDescent="0.2">
      <c r="A4138" s="17"/>
      <c r="B4138" s="18"/>
      <c r="C4138" s="19"/>
      <c r="D4138" s="19"/>
      <c r="E4138" s="19"/>
      <c r="F4138" s="19"/>
      <c r="G4138" s="19"/>
      <c r="H4138" s="19"/>
      <c r="I4138" s="19"/>
      <c r="J4138" s="19"/>
      <c r="K4138" s="6"/>
      <c r="L4138" s="19"/>
    </row>
    <row r="4139" spans="1:12" ht="14" customHeight="1" x14ac:dyDescent="0.2">
      <c r="A4139" s="14"/>
      <c r="B4139" s="15"/>
      <c r="C4139" s="16"/>
      <c r="D4139" s="16"/>
      <c r="E4139" s="16"/>
      <c r="F4139" s="16"/>
      <c r="G4139" s="16"/>
      <c r="H4139" s="16"/>
      <c r="I4139" s="16"/>
      <c r="J4139" s="16"/>
      <c r="K4139" s="6"/>
      <c r="L4139" s="16"/>
    </row>
    <row r="4140" spans="1:12" ht="14" customHeight="1" x14ac:dyDescent="0.2">
      <c r="A4140" s="17"/>
      <c r="B4140" s="18"/>
      <c r="C4140" s="19"/>
      <c r="D4140" s="19"/>
      <c r="E4140" s="19"/>
      <c r="F4140" s="19"/>
      <c r="G4140" s="19"/>
      <c r="H4140" s="19"/>
      <c r="I4140" s="19"/>
      <c r="J4140" s="19"/>
      <c r="K4140" s="6"/>
      <c r="L4140" s="19"/>
    </row>
    <row r="4141" spans="1:12" ht="14" customHeight="1" x14ac:dyDescent="0.2">
      <c r="A4141" s="14"/>
      <c r="B4141" s="15"/>
      <c r="C4141" s="16"/>
      <c r="D4141" s="16"/>
      <c r="E4141" s="16"/>
      <c r="F4141" s="16"/>
      <c r="G4141" s="16"/>
      <c r="H4141" s="16"/>
      <c r="I4141" s="16"/>
      <c r="J4141" s="16"/>
      <c r="K4141" s="6"/>
      <c r="L4141" s="16"/>
    </row>
    <row r="4142" spans="1:12" ht="14" customHeight="1" x14ac:dyDescent="0.2">
      <c r="A4142" s="17"/>
      <c r="B4142" s="18"/>
      <c r="C4142" s="19"/>
      <c r="D4142" s="19"/>
      <c r="E4142" s="19"/>
      <c r="F4142" s="19"/>
      <c r="G4142" s="19"/>
      <c r="H4142" s="19"/>
      <c r="I4142" s="19"/>
      <c r="J4142" s="19"/>
      <c r="K4142" s="6"/>
      <c r="L4142" s="19"/>
    </row>
    <row r="4143" spans="1:12" ht="14" customHeight="1" x14ac:dyDescent="0.2">
      <c r="A4143" s="14"/>
      <c r="B4143" s="15"/>
      <c r="C4143" s="16"/>
      <c r="D4143" s="16"/>
      <c r="E4143" s="16"/>
      <c r="F4143" s="16"/>
      <c r="G4143" s="16"/>
      <c r="H4143" s="16"/>
      <c r="I4143" s="16"/>
      <c r="J4143" s="16"/>
      <c r="K4143" s="6"/>
      <c r="L4143" s="16"/>
    </row>
    <row r="4144" spans="1:12" ht="14" customHeight="1" x14ac:dyDescent="0.2">
      <c r="A4144" s="17"/>
      <c r="B4144" s="18"/>
      <c r="C4144" s="19"/>
      <c r="D4144" s="19"/>
      <c r="E4144" s="19"/>
      <c r="F4144" s="19"/>
      <c r="G4144" s="19"/>
      <c r="H4144" s="19"/>
      <c r="I4144" s="19"/>
      <c r="J4144" s="19"/>
      <c r="K4144" s="6"/>
      <c r="L4144" s="19"/>
    </row>
    <row r="4145" spans="1:12" ht="14" customHeight="1" x14ac:dyDescent="0.2">
      <c r="A4145" s="14"/>
      <c r="B4145" s="15"/>
      <c r="C4145" s="16"/>
      <c r="D4145" s="16"/>
      <c r="E4145" s="16"/>
      <c r="F4145" s="16"/>
      <c r="G4145" s="16"/>
      <c r="H4145" s="16"/>
      <c r="I4145" s="16"/>
      <c r="J4145" s="16"/>
      <c r="K4145" s="6"/>
      <c r="L4145" s="16"/>
    </row>
    <row r="4146" spans="1:12" ht="14" customHeight="1" x14ac:dyDescent="0.2">
      <c r="A4146" s="17"/>
      <c r="B4146" s="18"/>
      <c r="C4146" s="19"/>
      <c r="D4146" s="19"/>
      <c r="E4146" s="19"/>
      <c r="F4146" s="19"/>
      <c r="G4146" s="19"/>
      <c r="H4146" s="19"/>
      <c r="I4146" s="19"/>
      <c r="J4146" s="19"/>
      <c r="K4146" s="6"/>
      <c r="L4146" s="19"/>
    </row>
    <row r="4147" spans="1:12" ht="14" customHeight="1" x14ac:dyDescent="0.2">
      <c r="A4147" s="14"/>
      <c r="B4147" s="15"/>
      <c r="C4147" s="16"/>
      <c r="D4147" s="16"/>
      <c r="E4147" s="16"/>
      <c r="F4147" s="16"/>
      <c r="G4147" s="16"/>
      <c r="H4147" s="16"/>
      <c r="I4147" s="16"/>
      <c r="J4147" s="16"/>
      <c r="K4147" s="6"/>
      <c r="L4147" s="16"/>
    </row>
    <row r="4148" spans="1:12" ht="14" customHeight="1" x14ac:dyDescent="0.2">
      <c r="A4148" s="17"/>
      <c r="B4148" s="18"/>
      <c r="C4148" s="19"/>
      <c r="D4148" s="19"/>
      <c r="E4148" s="19"/>
      <c r="F4148" s="19"/>
      <c r="G4148" s="19"/>
      <c r="H4148" s="19"/>
      <c r="I4148" s="19"/>
      <c r="J4148" s="19"/>
      <c r="K4148" s="6"/>
      <c r="L4148" s="19"/>
    </row>
    <row r="4149" spans="1:12" ht="14" customHeight="1" x14ac:dyDescent="0.2">
      <c r="A4149" s="14"/>
      <c r="B4149" s="15"/>
      <c r="C4149" s="16"/>
      <c r="D4149" s="16"/>
      <c r="E4149" s="16"/>
      <c r="F4149" s="16"/>
      <c r="G4149" s="16"/>
      <c r="H4149" s="16"/>
      <c r="I4149" s="16"/>
      <c r="J4149" s="16"/>
      <c r="K4149" s="6"/>
      <c r="L4149" s="16"/>
    </row>
    <row r="4150" spans="1:12" ht="14" customHeight="1" x14ac:dyDescent="0.2">
      <c r="A4150" s="17"/>
      <c r="B4150" s="18"/>
      <c r="C4150" s="19"/>
      <c r="D4150" s="19"/>
      <c r="E4150" s="19"/>
      <c r="F4150" s="19"/>
      <c r="G4150" s="19"/>
      <c r="H4150" s="19"/>
      <c r="I4150" s="19"/>
      <c r="J4150" s="19"/>
      <c r="K4150" s="6"/>
      <c r="L4150" s="19"/>
    </row>
    <row r="4151" spans="1:12" ht="14" customHeight="1" x14ac:dyDescent="0.2">
      <c r="A4151" s="14"/>
      <c r="B4151" s="15"/>
      <c r="C4151" s="16"/>
      <c r="D4151" s="16"/>
      <c r="E4151" s="16"/>
      <c r="F4151" s="16"/>
      <c r="G4151" s="16"/>
      <c r="H4151" s="16"/>
      <c r="I4151" s="16"/>
      <c r="J4151" s="16"/>
      <c r="K4151" s="6"/>
      <c r="L4151" s="16"/>
    </row>
    <row r="4152" spans="1:12" ht="14" customHeight="1" x14ac:dyDescent="0.2">
      <c r="A4152" s="17"/>
      <c r="B4152" s="18"/>
      <c r="C4152" s="19"/>
      <c r="D4152" s="19"/>
      <c r="E4152" s="19"/>
      <c r="F4152" s="19"/>
      <c r="G4152" s="19"/>
      <c r="H4152" s="19"/>
      <c r="I4152" s="19"/>
      <c r="J4152" s="19"/>
      <c r="K4152" s="6"/>
      <c r="L4152" s="19"/>
    </row>
    <row r="4153" spans="1:12" ht="14" customHeight="1" x14ac:dyDescent="0.2">
      <c r="A4153" s="14"/>
      <c r="B4153" s="15"/>
      <c r="C4153" s="16"/>
      <c r="D4153" s="16"/>
      <c r="E4153" s="16"/>
      <c r="F4153" s="16"/>
      <c r="G4153" s="16"/>
      <c r="H4153" s="16"/>
      <c r="I4153" s="16"/>
      <c r="J4153" s="16"/>
      <c r="K4153" s="6"/>
      <c r="L4153" s="16"/>
    </row>
    <row r="4154" spans="1:12" ht="14" customHeight="1" x14ac:dyDescent="0.2">
      <c r="A4154" s="17"/>
      <c r="B4154" s="18"/>
      <c r="C4154" s="19"/>
      <c r="D4154" s="19"/>
      <c r="E4154" s="19"/>
      <c r="F4154" s="19"/>
      <c r="G4154" s="19"/>
      <c r="H4154" s="19"/>
      <c r="I4154" s="19"/>
      <c r="J4154" s="19"/>
      <c r="K4154" s="6"/>
      <c r="L4154" s="19"/>
    </row>
    <row r="4155" spans="1:12" ht="14" customHeight="1" x14ac:dyDescent="0.2">
      <c r="A4155" s="14"/>
      <c r="B4155" s="15"/>
      <c r="C4155" s="16"/>
      <c r="D4155" s="16"/>
      <c r="E4155" s="16"/>
      <c r="F4155" s="16"/>
      <c r="G4155" s="16"/>
      <c r="H4155" s="16"/>
      <c r="I4155" s="16"/>
      <c r="J4155" s="16"/>
      <c r="K4155" s="6"/>
      <c r="L4155" s="16"/>
    </row>
    <row r="4156" spans="1:12" ht="14" customHeight="1" x14ac:dyDescent="0.2">
      <c r="A4156" s="17"/>
      <c r="B4156" s="18"/>
      <c r="C4156" s="19"/>
      <c r="D4156" s="19"/>
      <c r="E4156" s="19"/>
      <c r="F4156" s="19"/>
      <c r="G4156" s="19"/>
      <c r="H4156" s="19"/>
      <c r="I4156" s="19"/>
      <c r="J4156" s="19"/>
      <c r="K4156" s="6"/>
      <c r="L4156" s="19"/>
    </row>
    <row r="4157" spans="1:12" ht="14" customHeight="1" x14ac:dyDescent="0.2">
      <c r="A4157" s="14"/>
      <c r="B4157" s="15"/>
      <c r="C4157" s="16"/>
      <c r="D4157" s="16"/>
      <c r="E4157" s="16"/>
      <c r="F4157" s="16"/>
      <c r="G4157" s="16"/>
      <c r="H4157" s="16"/>
      <c r="I4157" s="16"/>
      <c r="J4157" s="16"/>
      <c r="K4157" s="6"/>
      <c r="L4157" s="16"/>
    </row>
    <row r="4158" spans="1:12" ht="14" customHeight="1" x14ac:dyDescent="0.2">
      <c r="A4158" s="17"/>
      <c r="B4158" s="18"/>
      <c r="C4158" s="19"/>
      <c r="D4158" s="19"/>
      <c r="E4158" s="19"/>
      <c r="F4158" s="19"/>
      <c r="G4158" s="19"/>
      <c r="H4158" s="19"/>
      <c r="I4158" s="19"/>
      <c r="J4158" s="19"/>
      <c r="K4158" s="6"/>
      <c r="L4158" s="19"/>
    </row>
    <row r="4159" spans="1:12" ht="14" customHeight="1" x14ac:dyDescent="0.2">
      <c r="A4159" s="14"/>
      <c r="B4159" s="15"/>
      <c r="C4159" s="16"/>
      <c r="D4159" s="16"/>
      <c r="E4159" s="16"/>
      <c r="F4159" s="16"/>
      <c r="G4159" s="16"/>
      <c r="H4159" s="16"/>
      <c r="I4159" s="16"/>
      <c r="J4159" s="16"/>
      <c r="K4159" s="6"/>
      <c r="L4159" s="16"/>
    </row>
    <row r="4160" spans="1:12" ht="14" customHeight="1" x14ac:dyDescent="0.2">
      <c r="A4160" s="17"/>
      <c r="B4160" s="18"/>
      <c r="C4160" s="19"/>
      <c r="D4160" s="19"/>
      <c r="E4160" s="19"/>
      <c r="F4160" s="19"/>
      <c r="G4160" s="19"/>
      <c r="H4160" s="19"/>
      <c r="I4160" s="19"/>
      <c r="J4160" s="19"/>
      <c r="K4160" s="6"/>
      <c r="L4160" s="19"/>
    </row>
    <row r="4161" spans="1:12" ht="14" customHeight="1" x14ac:dyDescent="0.2">
      <c r="A4161" s="14"/>
      <c r="B4161" s="15"/>
      <c r="C4161" s="16"/>
      <c r="D4161" s="16"/>
      <c r="E4161" s="16"/>
      <c r="F4161" s="16"/>
      <c r="G4161" s="16"/>
      <c r="H4161" s="16"/>
      <c r="I4161" s="16"/>
      <c r="J4161" s="16"/>
      <c r="K4161" s="6"/>
      <c r="L4161" s="16"/>
    </row>
    <row r="4162" spans="1:12" ht="14" customHeight="1" x14ac:dyDescent="0.2">
      <c r="A4162" s="17"/>
      <c r="B4162" s="18"/>
      <c r="C4162" s="19"/>
      <c r="D4162" s="19"/>
      <c r="E4162" s="19"/>
      <c r="F4162" s="19"/>
      <c r="G4162" s="19"/>
      <c r="H4162" s="19"/>
      <c r="I4162" s="19"/>
      <c r="J4162" s="19"/>
      <c r="K4162" s="6"/>
      <c r="L4162" s="19"/>
    </row>
    <row r="4163" spans="1:12" ht="14" customHeight="1" x14ac:dyDescent="0.2">
      <c r="A4163" s="14"/>
      <c r="B4163" s="15"/>
      <c r="C4163" s="16"/>
      <c r="D4163" s="16"/>
      <c r="E4163" s="16"/>
      <c r="F4163" s="16"/>
      <c r="G4163" s="16"/>
      <c r="H4163" s="16"/>
      <c r="I4163" s="16"/>
      <c r="J4163" s="16"/>
      <c r="K4163" s="6"/>
      <c r="L4163" s="16"/>
    </row>
    <row r="4164" spans="1:12" ht="14" customHeight="1" x14ac:dyDescent="0.2">
      <c r="A4164" s="17"/>
      <c r="B4164" s="18"/>
      <c r="C4164" s="19"/>
      <c r="D4164" s="19"/>
      <c r="E4164" s="19"/>
      <c r="F4164" s="19"/>
      <c r="G4164" s="19"/>
      <c r="H4164" s="19"/>
      <c r="I4164" s="19"/>
      <c r="J4164" s="19"/>
      <c r="K4164" s="6"/>
      <c r="L4164" s="19"/>
    </row>
    <row r="4165" spans="1:12" ht="14" customHeight="1" x14ac:dyDescent="0.2">
      <c r="A4165" s="14"/>
      <c r="B4165" s="15"/>
      <c r="C4165" s="16"/>
      <c r="D4165" s="16"/>
      <c r="E4165" s="16"/>
      <c r="F4165" s="16"/>
      <c r="G4165" s="16"/>
      <c r="H4165" s="16"/>
      <c r="I4165" s="16"/>
      <c r="J4165" s="16"/>
      <c r="K4165" s="6"/>
      <c r="L4165" s="16"/>
    </row>
    <row r="4166" spans="1:12" ht="14" customHeight="1" x14ac:dyDescent="0.2">
      <c r="A4166" s="17"/>
      <c r="B4166" s="18"/>
      <c r="C4166" s="19"/>
      <c r="D4166" s="19"/>
      <c r="E4166" s="19"/>
      <c r="F4166" s="19"/>
      <c r="G4166" s="19"/>
      <c r="H4166" s="19"/>
      <c r="I4166" s="19"/>
      <c r="J4166" s="19"/>
      <c r="K4166" s="6"/>
      <c r="L4166" s="19"/>
    </row>
    <row r="4167" spans="1:12" ht="14" customHeight="1" x14ac:dyDescent="0.2">
      <c r="A4167" s="14"/>
      <c r="B4167" s="15"/>
      <c r="C4167" s="16"/>
      <c r="D4167" s="16"/>
      <c r="E4167" s="16"/>
      <c r="F4167" s="16"/>
      <c r="G4167" s="16"/>
      <c r="H4167" s="16"/>
      <c r="I4167" s="16"/>
      <c r="J4167" s="16"/>
      <c r="K4167" s="6"/>
      <c r="L4167" s="16"/>
    </row>
    <row r="4168" spans="1:12" ht="14" customHeight="1" x14ac:dyDescent="0.2">
      <c r="A4168" s="17"/>
      <c r="B4168" s="18"/>
      <c r="C4168" s="19"/>
      <c r="D4168" s="19"/>
      <c r="E4168" s="19"/>
      <c r="F4168" s="19"/>
      <c r="G4168" s="19"/>
      <c r="H4168" s="19"/>
      <c r="I4168" s="19"/>
      <c r="J4168" s="19"/>
      <c r="K4168" s="6"/>
      <c r="L4168" s="19"/>
    </row>
    <row r="4169" spans="1:12" ht="14" customHeight="1" x14ac:dyDescent="0.2">
      <c r="A4169" s="14"/>
      <c r="B4169" s="15"/>
      <c r="C4169" s="16"/>
      <c r="D4169" s="16"/>
      <c r="E4169" s="16"/>
      <c r="F4169" s="16"/>
      <c r="G4169" s="16"/>
      <c r="H4169" s="16"/>
      <c r="I4169" s="16"/>
      <c r="J4169" s="16"/>
      <c r="K4169" s="6"/>
      <c r="L4169" s="16"/>
    </row>
    <row r="4170" spans="1:12" ht="14" customHeight="1" x14ac:dyDescent="0.2">
      <c r="A4170" s="17"/>
      <c r="B4170" s="18"/>
      <c r="C4170" s="19"/>
      <c r="D4170" s="19"/>
      <c r="E4170" s="19"/>
      <c r="F4170" s="19"/>
      <c r="G4170" s="19"/>
      <c r="H4170" s="19"/>
      <c r="I4170" s="19"/>
      <c r="J4170" s="19"/>
      <c r="K4170" s="6"/>
      <c r="L4170" s="19"/>
    </row>
    <row r="4171" spans="1:12" ht="14" customHeight="1" x14ac:dyDescent="0.2">
      <c r="A4171" s="14"/>
      <c r="B4171" s="15"/>
      <c r="C4171" s="16"/>
      <c r="D4171" s="16"/>
      <c r="E4171" s="16"/>
      <c r="F4171" s="16"/>
      <c r="G4171" s="16"/>
      <c r="H4171" s="16"/>
      <c r="I4171" s="16"/>
      <c r="J4171" s="16"/>
      <c r="K4171" s="6"/>
      <c r="L4171" s="16"/>
    </row>
    <row r="4172" spans="1:12" ht="14" customHeight="1" x14ac:dyDescent="0.2">
      <c r="A4172" s="17"/>
      <c r="B4172" s="18"/>
      <c r="C4172" s="19"/>
      <c r="D4172" s="19"/>
      <c r="E4172" s="19"/>
      <c r="F4172" s="19"/>
      <c r="G4172" s="19"/>
      <c r="H4172" s="19"/>
      <c r="I4172" s="19"/>
      <c r="J4172" s="19"/>
      <c r="K4172" s="6"/>
      <c r="L4172" s="19"/>
    </row>
    <row r="4173" spans="1:12" ht="14" customHeight="1" x14ac:dyDescent="0.2">
      <c r="A4173" s="14"/>
      <c r="B4173" s="15"/>
      <c r="C4173" s="16"/>
      <c r="D4173" s="16"/>
      <c r="E4173" s="16"/>
      <c r="F4173" s="16"/>
      <c r="G4173" s="16"/>
      <c r="H4173" s="16"/>
      <c r="I4173" s="16"/>
      <c r="J4173" s="16"/>
      <c r="K4173" s="6"/>
      <c r="L4173" s="16"/>
    </row>
    <row r="4174" spans="1:12" ht="14" customHeight="1" x14ac:dyDescent="0.2">
      <c r="A4174" s="17"/>
      <c r="B4174" s="18"/>
      <c r="C4174" s="19"/>
      <c r="D4174" s="19"/>
      <c r="E4174" s="19"/>
      <c r="F4174" s="19"/>
      <c r="G4174" s="19"/>
      <c r="H4174" s="19"/>
      <c r="I4174" s="19"/>
      <c r="J4174" s="19"/>
      <c r="K4174" s="6"/>
      <c r="L4174" s="19"/>
    </row>
    <row r="4175" spans="1:12" ht="14" customHeight="1" x14ac:dyDescent="0.2">
      <c r="A4175" s="14"/>
      <c r="B4175" s="15"/>
      <c r="C4175" s="16"/>
      <c r="D4175" s="16"/>
      <c r="E4175" s="16"/>
      <c r="F4175" s="16"/>
      <c r="G4175" s="16"/>
      <c r="H4175" s="16"/>
      <c r="I4175" s="16"/>
      <c r="J4175" s="16"/>
      <c r="K4175" s="6"/>
      <c r="L4175" s="16"/>
    </row>
    <row r="4176" spans="1:12" ht="14" customHeight="1" x14ac:dyDescent="0.2">
      <c r="A4176" s="17"/>
      <c r="B4176" s="18"/>
      <c r="C4176" s="19"/>
      <c r="D4176" s="19"/>
      <c r="E4176" s="19"/>
      <c r="F4176" s="19"/>
      <c r="G4176" s="19"/>
      <c r="H4176" s="19"/>
      <c r="I4176" s="19"/>
      <c r="J4176" s="19"/>
      <c r="K4176" s="6"/>
      <c r="L4176" s="19"/>
    </row>
    <row r="4177" spans="1:12" ht="14" customHeight="1" x14ac:dyDescent="0.2">
      <c r="A4177" s="14"/>
      <c r="B4177" s="15"/>
      <c r="C4177" s="16"/>
      <c r="D4177" s="16"/>
      <c r="E4177" s="16"/>
      <c r="F4177" s="16"/>
      <c r="G4177" s="16"/>
      <c r="H4177" s="16"/>
      <c r="I4177" s="16"/>
      <c r="J4177" s="16"/>
      <c r="K4177" s="6"/>
      <c r="L4177" s="16"/>
    </row>
    <row r="4178" spans="1:12" ht="14" customHeight="1" x14ac:dyDescent="0.2">
      <c r="A4178" s="17"/>
      <c r="B4178" s="18"/>
      <c r="C4178" s="19"/>
      <c r="D4178" s="19"/>
      <c r="E4178" s="19"/>
      <c r="F4178" s="19"/>
      <c r="G4178" s="19"/>
      <c r="H4178" s="19"/>
      <c r="I4178" s="19"/>
      <c r="J4178" s="19"/>
      <c r="K4178" s="6"/>
      <c r="L4178" s="19"/>
    </row>
    <row r="4179" spans="1:12" ht="14" customHeight="1" x14ac:dyDescent="0.2">
      <c r="A4179" s="14"/>
      <c r="B4179" s="15"/>
      <c r="C4179" s="16"/>
      <c r="D4179" s="16"/>
      <c r="E4179" s="16"/>
      <c r="F4179" s="16"/>
      <c r="G4179" s="16"/>
      <c r="H4179" s="16"/>
      <c r="I4179" s="16"/>
      <c r="J4179" s="16"/>
      <c r="K4179" s="6"/>
      <c r="L4179" s="16"/>
    </row>
    <row r="4180" spans="1:12" ht="14" customHeight="1" x14ac:dyDescent="0.2">
      <c r="A4180" s="17"/>
      <c r="B4180" s="18"/>
      <c r="C4180" s="19"/>
      <c r="D4180" s="19"/>
      <c r="E4180" s="19"/>
      <c r="F4180" s="19"/>
      <c r="G4180" s="19"/>
      <c r="H4180" s="19"/>
      <c r="I4180" s="19"/>
      <c r="J4180" s="19"/>
      <c r="K4180" s="6"/>
      <c r="L4180" s="19"/>
    </row>
    <row r="4181" spans="1:12" ht="14" customHeight="1" x14ac:dyDescent="0.2">
      <c r="A4181" s="14"/>
      <c r="B4181" s="15"/>
      <c r="C4181" s="16"/>
      <c r="D4181" s="16"/>
      <c r="E4181" s="16"/>
      <c r="F4181" s="16"/>
      <c r="G4181" s="16"/>
      <c r="H4181" s="16"/>
      <c r="I4181" s="16"/>
      <c r="J4181" s="16"/>
      <c r="K4181" s="6"/>
      <c r="L4181" s="16"/>
    </row>
    <row r="4182" spans="1:12" ht="14" customHeight="1" x14ac:dyDescent="0.2">
      <c r="A4182" s="17"/>
      <c r="B4182" s="18"/>
      <c r="C4182" s="19"/>
      <c r="D4182" s="19"/>
      <c r="E4182" s="19"/>
      <c r="F4182" s="19"/>
      <c r="G4182" s="19"/>
      <c r="H4182" s="19"/>
      <c r="I4182" s="19"/>
      <c r="J4182" s="19"/>
      <c r="K4182" s="6"/>
      <c r="L4182" s="19"/>
    </row>
    <row r="4183" spans="1:12" ht="14" customHeight="1" x14ac:dyDescent="0.2">
      <c r="A4183" s="14"/>
      <c r="B4183" s="15"/>
      <c r="C4183" s="16"/>
      <c r="D4183" s="16"/>
      <c r="E4183" s="16"/>
      <c r="F4183" s="16"/>
      <c r="G4183" s="16"/>
      <c r="H4183" s="16"/>
      <c r="I4183" s="16"/>
      <c r="J4183" s="16"/>
      <c r="K4183" s="6"/>
      <c r="L4183" s="16"/>
    </row>
    <row r="4184" spans="1:12" ht="14" customHeight="1" x14ac:dyDescent="0.2">
      <c r="A4184" s="17"/>
      <c r="B4184" s="18"/>
      <c r="C4184" s="19"/>
      <c r="D4184" s="19"/>
      <c r="E4184" s="19"/>
      <c r="F4184" s="19"/>
      <c r="G4184" s="19"/>
      <c r="H4184" s="19"/>
      <c r="I4184" s="19"/>
      <c r="J4184" s="19"/>
      <c r="K4184" s="6"/>
      <c r="L4184" s="19"/>
    </row>
    <row r="4185" spans="1:12" ht="14" customHeight="1" x14ac:dyDescent="0.2">
      <c r="A4185" s="14"/>
      <c r="B4185" s="15"/>
      <c r="C4185" s="16"/>
      <c r="D4185" s="16"/>
      <c r="E4185" s="16"/>
      <c r="F4185" s="16"/>
      <c r="G4185" s="16"/>
      <c r="H4185" s="16"/>
      <c r="I4185" s="16"/>
      <c r="J4185" s="16"/>
      <c r="K4185" s="6"/>
      <c r="L4185" s="16"/>
    </row>
    <row r="4186" spans="1:12" ht="14" customHeight="1" x14ac:dyDescent="0.2">
      <c r="A4186" s="17"/>
      <c r="B4186" s="18"/>
      <c r="C4186" s="19"/>
      <c r="D4186" s="19"/>
      <c r="E4186" s="19"/>
      <c r="F4186" s="19"/>
      <c r="G4186" s="19"/>
      <c r="H4186" s="19"/>
      <c r="I4186" s="19"/>
      <c r="J4186" s="19"/>
      <c r="K4186" s="6"/>
      <c r="L4186" s="19"/>
    </row>
    <row r="4187" spans="1:12" ht="14" customHeight="1" x14ac:dyDescent="0.2">
      <c r="A4187" s="14"/>
      <c r="B4187" s="15"/>
      <c r="C4187" s="16"/>
      <c r="D4187" s="16"/>
      <c r="E4187" s="16"/>
      <c r="F4187" s="16"/>
      <c r="G4187" s="16"/>
      <c r="H4187" s="16"/>
      <c r="I4187" s="16"/>
      <c r="J4187" s="16"/>
      <c r="K4187" s="6"/>
      <c r="L4187" s="16"/>
    </row>
    <row r="4188" spans="1:12" ht="14" customHeight="1" x14ac:dyDescent="0.2">
      <c r="A4188" s="17"/>
      <c r="B4188" s="18"/>
      <c r="C4188" s="19"/>
      <c r="D4188" s="19"/>
      <c r="E4188" s="19"/>
      <c r="F4188" s="19"/>
      <c r="G4188" s="19"/>
      <c r="H4188" s="19"/>
      <c r="I4188" s="19"/>
      <c r="J4188" s="19"/>
      <c r="K4188" s="6"/>
      <c r="L4188" s="19"/>
    </row>
    <row r="4189" spans="1:12" ht="14" customHeight="1" x14ac:dyDescent="0.2">
      <c r="A4189" s="14"/>
      <c r="B4189" s="15"/>
      <c r="C4189" s="16"/>
      <c r="D4189" s="16"/>
      <c r="E4189" s="16"/>
      <c r="F4189" s="16"/>
      <c r="G4189" s="16"/>
      <c r="H4189" s="16"/>
      <c r="I4189" s="16"/>
      <c r="J4189" s="16"/>
      <c r="K4189" s="6"/>
      <c r="L4189" s="16"/>
    </row>
    <row r="4190" spans="1:12" ht="14" customHeight="1" x14ac:dyDescent="0.2">
      <c r="A4190" s="17"/>
      <c r="B4190" s="18"/>
      <c r="C4190" s="19"/>
      <c r="D4190" s="19"/>
      <c r="E4190" s="19"/>
      <c r="F4190" s="19"/>
      <c r="G4190" s="19"/>
      <c r="H4190" s="19"/>
      <c r="I4190" s="19"/>
      <c r="J4190" s="19"/>
      <c r="K4190" s="6"/>
      <c r="L4190" s="19"/>
    </row>
    <row r="4191" spans="1:12" ht="14" customHeight="1" x14ac:dyDescent="0.2">
      <c r="A4191" s="14"/>
      <c r="B4191" s="15"/>
      <c r="C4191" s="16"/>
      <c r="D4191" s="16"/>
      <c r="E4191" s="16"/>
      <c r="F4191" s="16"/>
      <c r="G4191" s="16"/>
      <c r="H4191" s="16"/>
      <c r="I4191" s="16"/>
      <c r="J4191" s="16"/>
      <c r="K4191" s="6"/>
      <c r="L4191" s="16"/>
    </row>
    <row r="4192" spans="1:12" ht="14" customHeight="1" x14ac:dyDescent="0.2">
      <c r="A4192" s="17"/>
      <c r="B4192" s="18"/>
      <c r="C4192" s="19"/>
      <c r="D4192" s="19"/>
      <c r="E4192" s="19"/>
      <c r="F4192" s="19"/>
      <c r="G4192" s="19"/>
      <c r="H4192" s="19"/>
      <c r="I4192" s="19"/>
      <c r="J4192" s="19"/>
      <c r="K4192" s="6"/>
      <c r="L4192" s="19"/>
    </row>
    <row r="4193" spans="1:12" ht="14" customHeight="1" x14ac:dyDescent="0.2">
      <c r="A4193" s="14"/>
      <c r="B4193" s="15"/>
      <c r="C4193" s="16"/>
      <c r="D4193" s="16"/>
      <c r="E4193" s="16"/>
      <c r="F4193" s="16"/>
      <c r="G4193" s="16"/>
      <c r="H4193" s="16"/>
      <c r="I4193" s="16"/>
      <c r="J4193" s="16"/>
      <c r="K4193" s="6"/>
      <c r="L4193" s="16"/>
    </row>
    <row r="4194" spans="1:12" ht="14" customHeight="1" x14ac:dyDescent="0.2">
      <c r="A4194" s="17"/>
      <c r="B4194" s="18"/>
      <c r="C4194" s="19"/>
      <c r="D4194" s="19"/>
      <c r="E4194" s="19"/>
      <c r="F4194" s="19"/>
      <c r="G4194" s="19"/>
      <c r="H4194" s="19"/>
      <c r="I4194" s="19"/>
      <c r="J4194" s="19"/>
      <c r="K4194" s="6"/>
      <c r="L4194" s="19"/>
    </row>
    <row r="4195" spans="1:12" ht="14" customHeight="1" x14ac:dyDescent="0.2">
      <c r="A4195" s="14"/>
      <c r="B4195" s="15"/>
      <c r="C4195" s="16"/>
      <c r="D4195" s="16"/>
      <c r="E4195" s="16"/>
      <c r="F4195" s="16"/>
      <c r="G4195" s="16"/>
      <c r="H4195" s="16"/>
      <c r="I4195" s="16"/>
      <c r="J4195" s="16"/>
      <c r="K4195" s="6"/>
      <c r="L4195" s="16"/>
    </row>
    <row r="4196" spans="1:12" ht="14" customHeight="1" x14ac:dyDescent="0.2">
      <c r="A4196" s="17"/>
      <c r="B4196" s="18"/>
      <c r="C4196" s="19"/>
      <c r="D4196" s="19"/>
      <c r="E4196" s="19"/>
      <c r="F4196" s="19"/>
      <c r="G4196" s="19"/>
      <c r="H4196" s="19"/>
      <c r="I4196" s="19"/>
      <c r="J4196" s="19"/>
      <c r="K4196" s="6"/>
      <c r="L4196" s="19"/>
    </row>
    <row r="4197" spans="1:12" ht="14" customHeight="1" x14ac:dyDescent="0.2">
      <c r="A4197" s="14"/>
      <c r="B4197" s="15"/>
      <c r="C4197" s="16"/>
      <c r="D4197" s="16"/>
      <c r="E4197" s="16"/>
      <c r="F4197" s="16"/>
      <c r="G4197" s="16"/>
      <c r="H4197" s="16"/>
      <c r="I4197" s="16"/>
      <c r="J4197" s="16"/>
      <c r="K4197" s="6"/>
      <c r="L4197" s="16"/>
    </row>
    <row r="4198" spans="1:12" ht="14" customHeight="1" x14ac:dyDescent="0.2">
      <c r="A4198" s="17"/>
      <c r="B4198" s="18"/>
      <c r="C4198" s="19"/>
      <c r="D4198" s="19"/>
      <c r="E4198" s="19"/>
      <c r="F4198" s="19"/>
      <c r="G4198" s="19"/>
      <c r="H4198" s="19"/>
      <c r="I4198" s="19"/>
      <c r="J4198" s="19"/>
      <c r="K4198" s="6"/>
      <c r="L4198" s="19"/>
    </row>
    <row r="4199" spans="1:12" ht="14" customHeight="1" x14ac:dyDescent="0.2">
      <c r="A4199" s="14"/>
      <c r="B4199" s="15"/>
      <c r="C4199" s="16"/>
      <c r="D4199" s="16"/>
      <c r="E4199" s="16"/>
      <c r="F4199" s="16"/>
      <c r="G4199" s="16"/>
      <c r="H4199" s="16"/>
      <c r="I4199" s="16"/>
      <c r="J4199" s="16"/>
      <c r="K4199" s="6"/>
      <c r="L4199" s="16"/>
    </row>
    <row r="4200" spans="1:12" ht="14" customHeight="1" x14ac:dyDescent="0.2">
      <c r="A4200" s="17"/>
      <c r="B4200" s="18"/>
      <c r="C4200" s="19"/>
      <c r="D4200" s="19"/>
      <c r="E4200" s="19"/>
      <c r="F4200" s="19"/>
      <c r="G4200" s="19"/>
      <c r="H4200" s="19"/>
      <c r="I4200" s="19"/>
      <c r="J4200" s="19"/>
      <c r="K4200" s="6"/>
      <c r="L4200" s="19"/>
    </row>
    <row r="4201" spans="1:12" ht="14" customHeight="1" x14ac:dyDescent="0.2">
      <c r="A4201" s="14"/>
      <c r="B4201" s="15"/>
      <c r="C4201" s="16"/>
      <c r="D4201" s="16"/>
      <c r="E4201" s="16"/>
      <c r="F4201" s="16"/>
      <c r="G4201" s="16"/>
      <c r="H4201" s="16"/>
      <c r="I4201" s="16"/>
      <c r="J4201" s="16"/>
      <c r="K4201" s="6"/>
      <c r="L4201" s="16"/>
    </row>
    <row r="4202" spans="1:12" ht="14" customHeight="1" x14ac:dyDescent="0.2">
      <c r="A4202" s="17"/>
      <c r="B4202" s="18"/>
      <c r="C4202" s="19"/>
      <c r="D4202" s="19"/>
      <c r="E4202" s="19"/>
      <c r="F4202" s="19"/>
      <c r="G4202" s="19"/>
      <c r="H4202" s="19"/>
      <c r="I4202" s="19"/>
      <c r="J4202" s="19"/>
      <c r="K4202" s="6"/>
      <c r="L4202" s="19"/>
    </row>
    <row r="4203" spans="1:12" ht="14" customHeight="1" x14ac:dyDescent="0.2">
      <c r="A4203" s="14"/>
      <c r="B4203" s="15"/>
      <c r="C4203" s="16"/>
      <c r="D4203" s="16"/>
      <c r="E4203" s="16"/>
      <c r="F4203" s="16"/>
      <c r="G4203" s="16"/>
      <c r="H4203" s="16"/>
      <c r="I4203" s="16"/>
      <c r="J4203" s="16"/>
      <c r="K4203" s="6"/>
      <c r="L4203" s="16"/>
    </row>
    <row r="4204" spans="1:12" ht="14" customHeight="1" x14ac:dyDescent="0.2">
      <c r="A4204" s="17"/>
      <c r="B4204" s="18"/>
      <c r="C4204" s="19"/>
      <c r="D4204" s="19"/>
      <c r="E4204" s="19"/>
      <c r="F4204" s="19"/>
      <c r="G4204" s="19"/>
      <c r="H4204" s="19"/>
      <c r="I4204" s="19"/>
      <c r="J4204" s="19"/>
      <c r="K4204" s="6"/>
      <c r="L4204" s="19"/>
    </row>
    <row r="4205" spans="1:12" ht="14" customHeight="1" x14ac:dyDescent="0.2">
      <c r="A4205" s="14"/>
      <c r="B4205" s="15"/>
      <c r="C4205" s="16"/>
      <c r="D4205" s="16"/>
      <c r="E4205" s="16"/>
      <c r="F4205" s="16"/>
      <c r="G4205" s="16"/>
      <c r="H4205" s="16"/>
      <c r="I4205" s="16"/>
      <c r="J4205" s="16"/>
      <c r="K4205" s="6"/>
      <c r="L4205" s="16"/>
    </row>
    <row r="4206" spans="1:12" ht="14" customHeight="1" x14ac:dyDescent="0.2">
      <c r="A4206" s="17"/>
      <c r="B4206" s="18"/>
      <c r="C4206" s="19"/>
      <c r="D4206" s="19"/>
      <c r="E4206" s="19"/>
      <c r="F4206" s="19"/>
      <c r="G4206" s="19"/>
      <c r="H4206" s="19"/>
      <c r="I4206" s="19"/>
      <c r="J4206" s="19"/>
      <c r="K4206" s="6"/>
      <c r="L4206" s="19"/>
    </row>
    <row r="4207" spans="1:12" ht="14" customHeight="1" x14ac:dyDescent="0.2">
      <c r="A4207" s="14"/>
      <c r="B4207" s="15"/>
      <c r="C4207" s="16"/>
      <c r="D4207" s="16"/>
      <c r="E4207" s="16"/>
      <c r="F4207" s="16"/>
      <c r="G4207" s="16"/>
      <c r="H4207" s="16"/>
      <c r="I4207" s="16"/>
      <c r="J4207" s="16"/>
      <c r="K4207" s="6"/>
      <c r="L4207" s="16"/>
    </row>
    <row r="4208" spans="1:12" ht="14" customHeight="1" x14ac:dyDescent="0.2">
      <c r="A4208" s="17"/>
      <c r="B4208" s="18"/>
      <c r="C4208" s="19"/>
      <c r="D4208" s="19"/>
      <c r="E4208" s="19"/>
      <c r="F4208" s="19"/>
      <c r="G4208" s="19"/>
      <c r="H4208" s="19"/>
      <c r="I4208" s="19"/>
      <c r="J4208" s="19"/>
      <c r="K4208" s="6"/>
      <c r="L4208" s="19"/>
    </row>
    <row r="4209" spans="1:12" ht="14" customHeight="1" x14ac:dyDescent="0.2">
      <c r="A4209" s="14"/>
      <c r="B4209" s="15"/>
      <c r="C4209" s="16"/>
      <c r="D4209" s="16"/>
      <c r="E4209" s="16"/>
      <c r="F4209" s="16"/>
      <c r="G4209" s="16"/>
      <c r="H4209" s="16"/>
      <c r="I4209" s="16"/>
      <c r="J4209" s="16"/>
      <c r="K4209" s="6"/>
      <c r="L4209" s="16"/>
    </row>
    <row r="4210" spans="1:12" ht="14" customHeight="1" x14ac:dyDescent="0.2">
      <c r="A4210" s="17"/>
      <c r="B4210" s="18"/>
      <c r="C4210" s="19"/>
      <c r="D4210" s="19"/>
      <c r="E4210" s="19"/>
      <c r="F4210" s="19"/>
      <c r="G4210" s="19"/>
      <c r="H4210" s="19"/>
      <c r="I4210" s="19"/>
      <c r="J4210" s="19"/>
      <c r="K4210" s="6"/>
      <c r="L4210" s="19"/>
    </row>
    <row r="4211" spans="1:12" ht="14" customHeight="1" x14ac:dyDescent="0.2">
      <c r="A4211" s="14"/>
      <c r="B4211" s="15"/>
      <c r="C4211" s="16"/>
      <c r="D4211" s="16"/>
      <c r="E4211" s="16"/>
      <c r="F4211" s="16"/>
      <c r="G4211" s="16"/>
      <c r="H4211" s="16"/>
      <c r="I4211" s="16"/>
      <c r="J4211" s="16"/>
      <c r="K4211" s="6"/>
      <c r="L4211" s="16"/>
    </row>
    <row r="4212" spans="1:12" ht="14" customHeight="1" x14ac:dyDescent="0.2">
      <c r="A4212" s="17"/>
      <c r="B4212" s="18"/>
      <c r="C4212" s="19"/>
      <c r="D4212" s="19"/>
      <c r="E4212" s="19"/>
      <c r="F4212" s="19"/>
      <c r="G4212" s="19"/>
      <c r="H4212" s="19"/>
      <c r="I4212" s="19"/>
      <c r="J4212" s="19"/>
      <c r="K4212" s="6"/>
      <c r="L4212" s="19"/>
    </row>
    <row r="4213" spans="1:12" ht="14" customHeight="1" x14ac:dyDescent="0.2">
      <c r="A4213" s="14"/>
      <c r="B4213" s="15"/>
      <c r="C4213" s="16"/>
      <c r="D4213" s="16"/>
      <c r="E4213" s="16"/>
      <c r="F4213" s="16"/>
      <c r="G4213" s="16"/>
      <c r="H4213" s="16"/>
      <c r="I4213" s="16"/>
      <c r="J4213" s="16"/>
      <c r="K4213" s="6"/>
      <c r="L4213" s="16"/>
    </row>
    <row r="4214" spans="1:12" ht="14" customHeight="1" x14ac:dyDescent="0.2">
      <c r="A4214" s="17"/>
      <c r="B4214" s="18"/>
      <c r="C4214" s="19"/>
      <c r="D4214" s="19"/>
      <c r="E4214" s="19"/>
      <c r="F4214" s="19"/>
      <c r="G4214" s="19"/>
      <c r="H4214" s="19"/>
      <c r="I4214" s="19"/>
      <c r="J4214" s="19"/>
      <c r="K4214" s="6"/>
      <c r="L4214" s="19"/>
    </row>
    <row r="4215" spans="1:12" ht="14" customHeight="1" x14ac:dyDescent="0.2">
      <c r="A4215" s="14"/>
      <c r="B4215" s="15"/>
      <c r="C4215" s="16"/>
      <c r="D4215" s="16"/>
      <c r="E4215" s="16"/>
      <c r="F4215" s="16"/>
      <c r="G4215" s="16"/>
      <c r="H4215" s="16"/>
      <c r="I4215" s="16"/>
      <c r="J4215" s="16"/>
      <c r="K4215" s="6"/>
      <c r="L4215" s="16"/>
    </row>
    <row r="4216" spans="1:12" ht="14" customHeight="1" x14ac:dyDescent="0.2">
      <c r="A4216" s="17"/>
      <c r="B4216" s="18"/>
      <c r="C4216" s="19"/>
      <c r="D4216" s="19"/>
      <c r="E4216" s="19"/>
      <c r="F4216" s="19"/>
      <c r="G4216" s="19"/>
      <c r="H4216" s="19"/>
      <c r="I4216" s="19"/>
      <c r="J4216" s="19"/>
      <c r="K4216" s="6"/>
      <c r="L4216" s="19"/>
    </row>
    <row r="4217" spans="1:12" ht="14" customHeight="1" x14ac:dyDescent="0.2">
      <c r="A4217" s="14"/>
      <c r="B4217" s="15"/>
      <c r="C4217" s="16"/>
      <c r="D4217" s="16"/>
      <c r="E4217" s="16"/>
      <c r="F4217" s="16"/>
      <c r="G4217" s="16"/>
      <c r="H4217" s="16"/>
      <c r="I4217" s="16"/>
      <c r="J4217" s="16"/>
      <c r="K4217" s="6"/>
      <c r="L4217" s="16"/>
    </row>
    <row r="4218" spans="1:12" ht="14" customHeight="1" x14ac:dyDescent="0.2">
      <c r="A4218" s="17"/>
      <c r="B4218" s="18"/>
      <c r="C4218" s="19"/>
      <c r="D4218" s="19"/>
      <c r="E4218" s="19"/>
      <c r="F4218" s="19"/>
      <c r="G4218" s="19"/>
      <c r="H4218" s="19"/>
      <c r="I4218" s="19"/>
      <c r="J4218" s="19"/>
      <c r="K4218" s="6"/>
      <c r="L4218" s="19"/>
    </row>
    <row r="4219" spans="1:12" ht="14" customHeight="1" x14ac:dyDescent="0.2">
      <c r="A4219" s="14"/>
      <c r="B4219" s="15"/>
      <c r="C4219" s="16"/>
      <c r="D4219" s="16"/>
      <c r="E4219" s="16"/>
      <c r="F4219" s="16"/>
      <c r="G4219" s="16"/>
      <c r="H4219" s="16"/>
      <c r="I4219" s="16"/>
      <c r="J4219" s="16"/>
      <c r="K4219" s="6"/>
      <c r="L4219" s="16"/>
    </row>
    <row r="4220" spans="1:12" ht="14" customHeight="1" x14ac:dyDescent="0.2">
      <c r="A4220" s="17"/>
      <c r="B4220" s="18"/>
      <c r="C4220" s="19"/>
      <c r="D4220" s="19"/>
      <c r="E4220" s="19"/>
      <c r="F4220" s="19"/>
      <c r="G4220" s="19"/>
      <c r="H4220" s="19"/>
      <c r="I4220" s="19"/>
      <c r="J4220" s="19"/>
      <c r="K4220" s="6"/>
      <c r="L4220" s="19"/>
    </row>
    <row r="4221" spans="1:12" ht="14" customHeight="1" x14ac:dyDescent="0.2">
      <c r="A4221" s="14"/>
      <c r="B4221" s="15"/>
      <c r="C4221" s="16"/>
      <c r="D4221" s="16"/>
      <c r="E4221" s="16"/>
      <c r="F4221" s="16"/>
      <c r="G4221" s="16"/>
      <c r="H4221" s="16"/>
      <c r="I4221" s="16"/>
      <c r="J4221" s="16"/>
      <c r="K4221" s="6"/>
      <c r="L4221" s="16"/>
    </row>
    <row r="4222" spans="1:12" ht="14" customHeight="1" x14ac:dyDescent="0.2">
      <c r="A4222" s="17"/>
      <c r="B4222" s="18"/>
      <c r="C4222" s="19"/>
      <c r="D4222" s="19"/>
      <c r="E4222" s="19"/>
      <c r="F4222" s="19"/>
      <c r="G4222" s="19"/>
      <c r="H4222" s="19"/>
      <c r="I4222" s="19"/>
      <c r="J4222" s="19"/>
      <c r="K4222" s="6"/>
      <c r="L4222" s="19"/>
    </row>
    <row r="4223" spans="1:12" ht="14" customHeight="1" x14ac:dyDescent="0.2">
      <c r="A4223" s="14"/>
      <c r="B4223" s="15"/>
      <c r="C4223" s="16"/>
      <c r="D4223" s="16"/>
      <c r="E4223" s="16"/>
      <c r="F4223" s="16"/>
      <c r="G4223" s="16"/>
      <c r="H4223" s="16"/>
      <c r="I4223" s="16"/>
      <c r="J4223" s="16"/>
      <c r="K4223" s="6"/>
      <c r="L4223" s="16"/>
    </row>
    <row r="4224" spans="1:12" ht="14" customHeight="1" x14ac:dyDescent="0.2">
      <c r="A4224" s="17"/>
      <c r="B4224" s="18"/>
      <c r="C4224" s="19"/>
      <c r="D4224" s="19"/>
      <c r="E4224" s="19"/>
      <c r="F4224" s="19"/>
      <c r="G4224" s="19"/>
      <c r="H4224" s="19"/>
      <c r="I4224" s="19"/>
      <c r="J4224" s="19"/>
      <c r="K4224" s="6"/>
      <c r="L4224" s="19"/>
    </row>
    <row r="4225" spans="1:12" ht="14" customHeight="1" x14ac:dyDescent="0.2">
      <c r="A4225" s="14"/>
      <c r="B4225" s="15"/>
      <c r="C4225" s="16"/>
      <c r="D4225" s="16"/>
      <c r="E4225" s="16"/>
      <c r="F4225" s="16"/>
      <c r="G4225" s="16"/>
      <c r="H4225" s="16"/>
      <c r="I4225" s="16"/>
      <c r="J4225" s="16"/>
      <c r="K4225" s="6"/>
      <c r="L4225" s="16"/>
    </row>
    <row r="4226" spans="1:12" ht="14" customHeight="1" x14ac:dyDescent="0.2">
      <c r="A4226" s="17"/>
      <c r="B4226" s="18"/>
      <c r="C4226" s="19"/>
      <c r="D4226" s="19"/>
      <c r="E4226" s="19"/>
      <c r="F4226" s="19"/>
      <c r="G4226" s="19"/>
      <c r="H4226" s="19"/>
      <c r="I4226" s="19"/>
      <c r="J4226" s="19"/>
      <c r="K4226" s="6"/>
      <c r="L4226" s="19"/>
    </row>
    <row r="4227" spans="1:12" ht="14" customHeight="1" x14ac:dyDescent="0.2">
      <c r="A4227" s="14"/>
      <c r="B4227" s="15"/>
      <c r="C4227" s="16"/>
      <c r="D4227" s="16"/>
      <c r="E4227" s="16"/>
      <c r="F4227" s="16"/>
      <c r="G4227" s="16"/>
      <c r="H4227" s="16"/>
      <c r="I4227" s="16"/>
      <c r="J4227" s="16"/>
      <c r="K4227" s="6"/>
      <c r="L4227" s="16"/>
    </row>
    <row r="4228" spans="1:12" ht="14" customHeight="1" x14ac:dyDescent="0.2">
      <c r="A4228" s="17"/>
      <c r="B4228" s="18"/>
      <c r="C4228" s="19"/>
      <c r="D4228" s="19"/>
      <c r="E4228" s="19"/>
      <c r="F4228" s="19"/>
      <c r="G4228" s="19"/>
      <c r="H4228" s="19"/>
      <c r="I4228" s="19"/>
      <c r="J4228" s="19"/>
      <c r="K4228" s="6"/>
      <c r="L4228" s="19"/>
    </row>
    <row r="4229" spans="1:12" ht="14" customHeight="1" x14ac:dyDescent="0.2">
      <c r="A4229" s="14"/>
      <c r="B4229" s="15"/>
      <c r="C4229" s="16"/>
      <c r="D4229" s="16"/>
      <c r="E4229" s="16"/>
      <c r="F4229" s="16"/>
      <c r="G4229" s="16"/>
      <c r="H4229" s="16"/>
      <c r="I4229" s="16"/>
      <c r="J4229" s="16"/>
      <c r="K4229" s="6"/>
      <c r="L4229" s="16"/>
    </row>
    <row r="4230" spans="1:12" ht="14" customHeight="1" x14ac:dyDescent="0.2">
      <c r="A4230" s="17"/>
      <c r="B4230" s="18"/>
      <c r="C4230" s="19"/>
      <c r="D4230" s="19"/>
      <c r="E4230" s="19"/>
      <c r="F4230" s="19"/>
      <c r="G4230" s="19"/>
      <c r="H4230" s="19"/>
      <c r="I4230" s="19"/>
      <c r="J4230" s="19"/>
      <c r="K4230" s="6"/>
      <c r="L4230" s="19"/>
    </row>
    <row r="4231" spans="1:12" ht="14" customHeight="1" x14ac:dyDescent="0.2">
      <c r="A4231" s="14"/>
      <c r="B4231" s="15"/>
      <c r="C4231" s="16"/>
      <c r="D4231" s="16"/>
      <c r="E4231" s="16"/>
      <c r="F4231" s="16"/>
      <c r="G4231" s="16"/>
      <c r="H4231" s="16"/>
      <c r="I4231" s="16"/>
      <c r="J4231" s="16"/>
      <c r="K4231" s="6"/>
      <c r="L4231" s="16"/>
    </row>
    <row r="4232" spans="1:12" ht="14" customHeight="1" x14ac:dyDescent="0.2">
      <c r="A4232" s="17"/>
      <c r="B4232" s="18"/>
      <c r="C4232" s="19"/>
      <c r="D4232" s="19"/>
      <c r="E4232" s="19"/>
      <c r="F4232" s="19"/>
      <c r="G4232" s="19"/>
      <c r="H4232" s="19"/>
      <c r="I4232" s="19"/>
      <c r="J4232" s="19"/>
      <c r="K4232" s="6"/>
      <c r="L4232" s="19"/>
    </row>
    <row r="4233" spans="1:12" ht="14" customHeight="1" x14ac:dyDescent="0.2">
      <c r="A4233" s="14"/>
      <c r="B4233" s="15"/>
      <c r="C4233" s="16"/>
      <c r="D4233" s="16"/>
      <c r="E4233" s="16"/>
      <c r="F4233" s="16"/>
      <c r="G4233" s="16"/>
      <c r="H4233" s="16"/>
      <c r="I4233" s="16"/>
      <c r="J4233" s="16"/>
      <c r="K4233" s="6"/>
      <c r="L4233" s="16"/>
    </row>
    <row r="4234" spans="1:12" ht="14" customHeight="1" x14ac:dyDescent="0.2">
      <c r="A4234" s="17"/>
      <c r="B4234" s="18"/>
      <c r="C4234" s="19"/>
      <c r="D4234" s="19"/>
      <c r="E4234" s="19"/>
      <c r="F4234" s="19"/>
      <c r="G4234" s="19"/>
      <c r="H4234" s="19"/>
      <c r="I4234" s="19"/>
      <c r="J4234" s="19"/>
      <c r="K4234" s="6"/>
      <c r="L4234" s="19"/>
    </row>
    <row r="4235" spans="1:12" ht="14" customHeight="1" x14ac:dyDescent="0.2">
      <c r="A4235" s="14"/>
      <c r="B4235" s="15"/>
      <c r="C4235" s="16"/>
      <c r="D4235" s="16"/>
      <c r="E4235" s="16"/>
      <c r="F4235" s="16"/>
      <c r="G4235" s="16"/>
      <c r="H4235" s="16"/>
      <c r="I4235" s="16"/>
      <c r="J4235" s="16"/>
      <c r="K4235" s="6"/>
      <c r="L4235" s="16"/>
    </row>
    <row r="4236" spans="1:12" ht="14" customHeight="1" x14ac:dyDescent="0.2">
      <c r="A4236" s="17"/>
      <c r="B4236" s="18"/>
      <c r="C4236" s="19"/>
      <c r="D4236" s="19"/>
      <c r="E4236" s="19"/>
      <c r="F4236" s="19"/>
      <c r="G4236" s="19"/>
      <c r="H4236" s="19"/>
      <c r="I4236" s="19"/>
      <c r="J4236" s="19"/>
      <c r="K4236" s="6"/>
      <c r="L4236" s="19"/>
    </row>
    <row r="4237" spans="1:12" ht="14" customHeight="1" x14ac:dyDescent="0.2">
      <c r="A4237" s="14"/>
      <c r="B4237" s="15"/>
      <c r="C4237" s="16"/>
      <c r="D4237" s="16"/>
      <c r="E4237" s="16"/>
      <c r="F4237" s="16"/>
      <c r="G4237" s="16"/>
      <c r="H4237" s="16"/>
      <c r="I4237" s="16"/>
      <c r="J4237" s="16"/>
      <c r="K4237" s="6"/>
      <c r="L4237" s="16"/>
    </row>
    <row r="4238" spans="1:12" ht="14" customHeight="1" x14ac:dyDescent="0.2">
      <c r="A4238" s="17"/>
      <c r="B4238" s="18"/>
      <c r="C4238" s="19"/>
      <c r="D4238" s="19"/>
      <c r="E4238" s="19"/>
      <c r="F4238" s="19"/>
      <c r="G4238" s="19"/>
      <c r="H4238" s="19"/>
      <c r="I4238" s="19"/>
      <c r="J4238" s="19"/>
      <c r="K4238" s="6"/>
      <c r="L4238" s="19"/>
    </row>
    <row r="4239" spans="1:12" ht="14" customHeight="1" x14ac:dyDescent="0.2">
      <c r="A4239" s="14"/>
      <c r="B4239" s="15"/>
      <c r="C4239" s="16"/>
      <c r="D4239" s="16"/>
      <c r="E4239" s="16"/>
      <c r="F4239" s="16"/>
      <c r="G4239" s="16"/>
      <c r="H4239" s="16"/>
      <c r="I4239" s="16"/>
      <c r="J4239" s="16"/>
      <c r="K4239" s="6"/>
      <c r="L4239" s="16"/>
    </row>
    <row r="4240" spans="1:12" ht="14" customHeight="1" x14ac:dyDescent="0.2">
      <c r="A4240" s="17"/>
      <c r="B4240" s="18"/>
      <c r="C4240" s="19"/>
      <c r="D4240" s="19"/>
      <c r="E4240" s="19"/>
      <c r="F4240" s="19"/>
      <c r="G4240" s="19"/>
      <c r="H4240" s="19"/>
      <c r="I4240" s="19"/>
      <c r="J4240" s="19"/>
      <c r="K4240" s="6"/>
      <c r="L4240" s="19"/>
    </row>
    <row r="4241" spans="1:12" ht="14" customHeight="1" x14ac:dyDescent="0.2">
      <c r="A4241" s="14"/>
      <c r="B4241" s="15"/>
      <c r="C4241" s="16"/>
      <c r="D4241" s="16"/>
      <c r="E4241" s="16"/>
      <c r="F4241" s="16"/>
      <c r="G4241" s="16"/>
      <c r="H4241" s="16"/>
      <c r="I4241" s="16"/>
      <c r="J4241" s="16"/>
      <c r="K4241" s="6"/>
      <c r="L4241" s="16"/>
    </row>
    <row r="4242" spans="1:12" ht="14" customHeight="1" x14ac:dyDescent="0.2">
      <c r="A4242" s="17"/>
      <c r="B4242" s="18"/>
      <c r="C4242" s="19"/>
      <c r="D4242" s="19"/>
      <c r="E4242" s="19"/>
      <c r="F4242" s="19"/>
      <c r="G4242" s="19"/>
      <c r="H4242" s="19"/>
      <c r="I4242" s="19"/>
      <c r="J4242" s="19"/>
      <c r="K4242" s="6"/>
      <c r="L4242" s="19"/>
    </row>
    <row r="4243" spans="1:12" ht="14" customHeight="1" x14ac:dyDescent="0.2">
      <c r="A4243" s="14"/>
      <c r="B4243" s="15"/>
      <c r="C4243" s="16"/>
      <c r="D4243" s="16"/>
      <c r="E4243" s="16"/>
      <c r="F4243" s="16"/>
      <c r="G4243" s="16"/>
      <c r="H4243" s="16"/>
      <c r="I4243" s="16"/>
      <c r="J4243" s="16"/>
      <c r="K4243" s="6"/>
      <c r="L4243" s="16"/>
    </row>
    <row r="4244" spans="1:12" ht="14" customHeight="1" x14ac:dyDescent="0.2">
      <c r="A4244" s="17"/>
      <c r="B4244" s="18"/>
      <c r="C4244" s="19"/>
      <c r="D4244" s="19"/>
      <c r="E4244" s="19"/>
      <c r="F4244" s="19"/>
      <c r="G4244" s="19"/>
      <c r="H4244" s="19"/>
      <c r="I4244" s="19"/>
      <c r="J4244" s="19"/>
      <c r="K4244" s="6"/>
      <c r="L4244" s="19"/>
    </row>
    <row r="4245" spans="1:12" ht="14" customHeight="1" x14ac:dyDescent="0.2">
      <c r="A4245" s="14"/>
      <c r="B4245" s="15"/>
      <c r="C4245" s="16"/>
      <c r="D4245" s="16"/>
      <c r="E4245" s="16"/>
      <c r="F4245" s="16"/>
      <c r="G4245" s="16"/>
      <c r="H4245" s="16"/>
      <c r="I4245" s="16"/>
      <c r="J4245" s="16"/>
      <c r="K4245" s="6"/>
      <c r="L4245" s="16"/>
    </row>
    <row r="4246" spans="1:12" ht="14" customHeight="1" x14ac:dyDescent="0.2">
      <c r="A4246" s="17"/>
      <c r="B4246" s="18"/>
      <c r="C4246" s="19"/>
      <c r="D4246" s="19"/>
      <c r="E4246" s="19"/>
      <c r="F4246" s="19"/>
      <c r="G4246" s="19"/>
      <c r="H4246" s="19"/>
      <c r="I4246" s="19"/>
      <c r="J4246" s="19"/>
      <c r="K4246" s="6"/>
      <c r="L4246" s="19"/>
    </row>
    <row r="4247" spans="1:12" ht="14" customHeight="1" x14ac:dyDescent="0.2">
      <c r="A4247" s="14"/>
      <c r="B4247" s="15"/>
      <c r="C4247" s="16"/>
      <c r="D4247" s="16"/>
      <c r="E4247" s="16"/>
      <c r="F4247" s="16"/>
      <c r="G4247" s="16"/>
      <c r="H4247" s="16"/>
      <c r="I4247" s="16"/>
      <c r="J4247" s="16"/>
      <c r="K4247" s="6"/>
      <c r="L4247" s="16"/>
    </row>
    <row r="4248" spans="1:12" ht="14" customHeight="1" x14ac:dyDescent="0.2">
      <c r="A4248" s="17"/>
      <c r="B4248" s="18"/>
      <c r="C4248" s="19"/>
      <c r="D4248" s="19"/>
      <c r="E4248" s="19"/>
      <c r="F4248" s="19"/>
      <c r="G4248" s="19"/>
      <c r="H4248" s="19"/>
      <c r="I4248" s="19"/>
      <c r="J4248" s="19"/>
      <c r="K4248" s="6"/>
      <c r="L4248" s="19"/>
    </row>
    <row r="4249" spans="1:12" ht="14" customHeight="1" x14ac:dyDescent="0.2">
      <c r="A4249" s="14"/>
      <c r="B4249" s="15"/>
      <c r="C4249" s="16"/>
      <c r="D4249" s="16"/>
      <c r="E4249" s="16"/>
      <c r="F4249" s="16"/>
      <c r="G4249" s="16"/>
      <c r="H4249" s="16"/>
      <c r="I4249" s="16"/>
      <c r="J4249" s="16"/>
      <c r="K4249" s="6"/>
      <c r="L4249" s="16"/>
    </row>
    <row r="4250" spans="1:12" ht="14" customHeight="1" x14ac:dyDescent="0.2">
      <c r="A4250" s="17"/>
      <c r="B4250" s="18"/>
      <c r="C4250" s="19"/>
      <c r="D4250" s="19"/>
      <c r="E4250" s="19"/>
      <c r="F4250" s="19"/>
      <c r="G4250" s="19"/>
      <c r="H4250" s="19"/>
      <c r="I4250" s="19"/>
      <c r="J4250" s="19"/>
      <c r="K4250" s="6"/>
      <c r="L4250" s="19"/>
    </row>
    <row r="4251" spans="1:12" ht="14" customHeight="1" x14ac:dyDescent="0.2">
      <c r="A4251" s="14"/>
      <c r="B4251" s="15"/>
      <c r="C4251" s="16"/>
      <c r="D4251" s="16"/>
      <c r="E4251" s="16"/>
      <c r="F4251" s="16"/>
      <c r="G4251" s="16"/>
      <c r="H4251" s="16"/>
      <c r="I4251" s="16"/>
      <c r="J4251" s="16"/>
      <c r="K4251" s="6"/>
      <c r="L4251" s="16"/>
    </row>
    <row r="4252" spans="1:12" ht="14" customHeight="1" x14ac:dyDescent="0.2">
      <c r="A4252" s="17"/>
      <c r="B4252" s="18"/>
      <c r="C4252" s="19"/>
      <c r="D4252" s="19"/>
      <c r="E4252" s="19"/>
      <c r="F4252" s="19"/>
      <c r="G4252" s="19"/>
      <c r="H4252" s="19"/>
      <c r="I4252" s="19"/>
      <c r="J4252" s="19"/>
      <c r="K4252" s="6"/>
      <c r="L4252" s="19"/>
    </row>
    <row r="4253" spans="1:12" ht="14" customHeight="1" x14ac:dyDescent="0.2">
      <c r="A4253" s="14"/>
      <c r="B4253" s="15"/>
      <c r="C4253" s="16"/>
      <c r="D4253" s="16"/>
      <c r="E4253" s="16"/>
      <c r="F4253" s="16"/>
      <c r="G4253" s="16"/>
      <c r="H4253" s="16"/>
      <c r="I4253" s="16"/>
      <c r="J4253" s="16"/>
      <c r="K4253" s="6"/>
      <c r="L4253" s="16"/>
    </row>
    <row r="4254" spans="1:12" ht="14" customHeight="1" x14ac:dyDescent="0.2">
      <c r="A4254" s="17"/>
      <c r="B4254" s="18"/>
      <c r="C4254" s="19"/>
      <c r="D4254" s="19"/>
      <c r="E4254" s="19"/>
      <c r="F4254" s="19"/>
      <c r="G4254" s="19"/>
      <c r="H4254" s="19"/>
      <c r="I4254" s="19"/>
      <c r="J4254" s="19"/>
      <c r="K4254" s="6"/>
      <c r="L4254" s="19"/>
    </row>
    <row r="4255" spans="1:12" ht="14" customHeight="1" x14ac:dyDescent="0.2">
      <c r="A4255" s="14"/>
      <c r="B4255" s="15"/>
      <c r="C4255" s="16"/>
      <c r="D4255" s="16"/>
      <c r="E4255" s="16"/>
      <c r="F4255" s="16"/>
      <c r="G4255" s="16"/>
      <c r="H4255" s="16"/>
      <c r="I4255" s="16"/>
      <c r="J4255" s="16"/>
      <c r="K4255" s="6"/>
      <c r="L4255" s="16"/>
    </row>
    <row r="4256" spans="1:12" ht="14" customHeight="1" x14ac:dyDescent="0.2">
      <c r="A4256" s="17"/>
      <c r="B4256" s="18"/>
      <c r="C4256" s="19"/>
      <c r="D4256" s="19"/>
      <c r="E4256" s="19"/>
      <c r="F4256" s="19"/>
      <c r="G4256" s="19"/>
      <c r="H4256" s="19"/>
      <c r="I4256" s="19"/>
      <c r="J4256" s="19"/>
      <c r="K4256" s="6"/>
      <c r="L4256" s="19"/>
    </row>
    <row r="4257" spans="1:12" ht="14" customHeight="1" x14ac:dyDescent="0.2">
      <c r="A4257" s="14"/>
      <c r="B4257" s="15"/>
      <c r="C4257" s="16"/>
      <c r="D4257" s="16"/>
      <c r="E4257" s="16"/>
      <c r="F4257" s="16"/>
      <c r="G4257" s="16"/>
      <c r="H4257" s="16"/>
      <c r="I4257" s="16"/>
      <c r="J4257" s="16"/>
      <c r="K4257" s="6"/>
      <c r="L4257" s="16"/>
    </row>
    <row r="4258" spans="1:12" ht="14" customHeight="1" x14ac:dyDescent="0.2">
      <c r="A4258" s="17"/>
      <c r="B4258" s="18"/>
      <c r="C4258" s="19"/>
      <c r="D4258" s="19"/>
      <c r="E4258" s="19"/>
      <c r="F4258" s="19"/>
      <c r="G4258" s="19"/>
      <c r="H4258" s="19"/>
      <c r="I4258" s="19"/>
      <c r="J4258" s="19"/>
      <c r="K4258" s="6"/>
      <c r="L4258" s="19"/>
    </row>
    <row r="4259" spans="1:12" ht="14" customHeight="1" x14ac:dyDescent="0.2">
      <c r="A4259" s="14"/>
      <c r="B4259" s="15"/>
      <c r="C4259" s="16"/>
      <c r="D4259" s="16"/>
      <c r="E4259" s="16"/>
      <c r="F4259" s="16"/>
      <c r="G4259" s="16"/>
      <c r="H4259" s="16"/>
      <c r="I4259" s="16"/>
      <c r="J4259" s="16"/>
      <c r="K4259" s="6"/>
      <c r="L4259" s="16"/>
    </row>
    <row r="4260" spans="1:12" ht="14" customHeight="1" x14ac:dyDescent="0.2">
      <c r="A4260" s="17"/>
      <c r="B4260" s="18"/>
      <c r="C4260" s="19"/>
      <c r="D4260" s="19"/>
      <c r="E4260" s="19"/>
      <c r="F4260" s="19"/>
      <c r="G4260" s="19"/>
      <c r="H4260" s="19"/>
      <c r="I4260" s="19"/>
      <c r="J4260" s="19"/>
      <c r="K4260" s="6"/>
      <c r="L4260" s="19"/>
    </row>
    <row r="4261" spans="1:12" ht="14" customHeight="1" x14ac:dyDescent="0.2">
      <c r="A4261" s="14"/>
      <c r="B4261" s="15"/>
      <c r="C4261" s="16"/>
      <c r="D4261" s="16"/>
      <c r="E4261" s="16"/>
      <c r="F4261" s="16"/>
      <c r="G4261" s="16"/>
      <c r="H4261" s="16"/>
      <c r="I4261" s="16"/>
      <c r="J4261" s="16"/>
      <c r="K4261" s="6"/>
      <c r="L4261" s="16"/>
    </row>
    <row r="4262" spans="1:12" ht="14" customHeight="1" x14ac:dyDescent="0.2">
      <c r="A4262" s="17"/>
      <c r="B4262" s="18"/>
      <c r="C4262" s="19"/>
      <c r="D4262" s="19"/>
      <c r="E4262" s="19"/>
      <c r="F4262" s="19"/>
      <c r="G4262" s="19"/>
      <c r="H4262" s="19"/>
      <c r="I4262" s="19"/>
      <c r="J4262" s="19"/>
      <c r="K4262" s="6"/>
      <c r="L4262" s="19"/>
    </row>
    <row r="4263" spans="1:12" ht="14" customHeight="1" x14ac:dyDescent="0.2">
      <c r="A4263" s="14"/>
      <c r="B4263" s="15"/>
      <c r="C4263" s="16"/>
      <c r="D4263" s="16"/>
      <c r="E4263" s="16"/>
      <c r="F4263" s="16"/>
      <c r="G4263" s="16"/>
      <c r="H4263" s="16"/>
      <c r="I4263" s="16"/>
      <c r="J4263" s="16"/>
      <c r="K4263" s="6"/>
      <c r="L4263" s="16"/>
    </row>
    <row r="4264" spans="1:12" ht="14" customHeight="1" x14ac:dyDescent="0.2">
      <c r="A4264" s="17"/>
      <c r="B4264" s="18"/>
      <c r="C4264" s="19"/>
      <c r="D4264" s="19"/>
      <c r="E4264" s="19"/>
      <c r="F4264" s="19"/>
      <c r="G4264" s="19"/>
      <c r="H4264" s="19"/>
      <c r="I4264" s="19"/>
      <c r="J4264" s="19"/>
      <c r="K4264" s="6"/>
      <c r="L4264" s="19"/>
    </row>
    <row r="4265" spans="1:12" ht="14" customHeight="1" x14ac:dyDescent="0.2">
      <c r="A4265" s="14"/>
      <c r="B4265" s="15"/>
      <c r="C4265" s="16"/>
      <c r="D4265" s="16"/>
      <c r="E4265" s="16"/>
      <c r="F4265" s="16"/>
      <c r="G4265" s="16"/>
      <c r="H4265" s="16"/>
      <c r="I4265" s="16"/>
      <c r="J4265" s="16"/>
      <c r="K4265" s="6"/>
      <c r="L4265" s="16"/>
    </row>
    <row r="4266" spans="1:12" ht="14" customHeight="1" x14ac:dyDescent="0.2">
      <c r="A4266" s="17"/>
      <c r="B4266" s="18"/>
      <c r="C4266" s="19"/>
      <c r="D4266" s="19"/>
      <c r="E4266" s="19"/>
      <c r="F4266" s="19"/>
      <c r="G4266" s="19"/>
      <c r="H4266" s="19"/>
      <c r="I4266" s="19"/>
      <c r="J4266" s="19"/>
      <c r="K4266" s="6"/>
      <c r="L4266" s="19"/>
    </row>
    <row r="4267" spans="1:12" ht="14" customHeight="1" x14ac:dyDescent="0.2">
      <c r="A4267" s="14"/>
      <c r="B4267" s="15"/>
      <c r="C4267" s="16"/>
      <c r="D4267" s="16"/>
      <c r="E4267" s="16"/>
      <c r="F4267" s="16"/>
      <c r="G4267" s="16"/>
      <c r="H4267" s="16"/>
      <c r="I4267" s="16"/>
      <c r="J4267" s="16"/>
      <c r="K4267" s="6"/>
      <c r="L4267" s="16"/>
    </row>
    <row r="4268" spans="1:12" ht="14" customHeight="1" x14ac:dyDescent="0.2">
      <c r="A4268" s="17"/>
      <c r="B4268" s="18"/>
      <c r="C4268" s="19"/>
      <c r="D4268" s="19"/>
      <c r="E4268" s="19"/>
      <c r="F4268" s="19"/>
      <c r="G4268" s="19"/>
      <c r="H4268" s="19"/>
      <c r="I4268" s="19"/>
      <c r="J4268" s="19"/>
      <c r="K4268" s="6"/>
      <c r="L4268" s="19"/>
    </row>
    <row r="4269" spans="1:12" ht="14" customHeight="1" x14ac:dyDescent="0.2">
      <c r="A4269" s="14"/>
      <c r="B4269" s="15"/>
      <c r="C4269" s="16"/>
      <c r="D4269" s="16"/>
      <c r="E4269" s="16"/>
      <c r="F4269" s="16"/>
      <c r="G4269" s="16"/>
      <c r="H4269" s="16"/>
      <c r="I4269" s="16"/>
      <c r="J4269" s="16"/>
      <c r="K4269" s="6"/>
      <c r="L4269" s="16"/>
    </row>
    <row r="4270" spans="1:12" ht="14" customHeight="1" x14ac:dyDescent="0.2">
      <c r="A4270" s="17"/>
      <c r="B4270" s="18"/>
      <c r="C4270" s="19"/>
      <c r="D4270" s="19"/>
      <c r="E4270" s="19"/>
      <c r="F4270" s="19"/>
      <c r="G4270" s="19"/>
      <c r="H4270" s="19"/>
      <c r="I4270" s="19"/>
      <c r="J4270" s="19"/>
      <c r="K4270" s="6"/>
      <c r="L4270" s="19"/>
    </row>
    <row r="4271" spans="1:12" ht="14" customHeight="1" x14ac:dyDescent="0.2">
      <c r="A4271" s="14"/>
      <c r="B4271" s="15"/>
      <c r="C4271" s="16"/>
      <c r="D4271" s="16"/>
      <c r="E4271" s="16"/>
      <c r="F4271" s="16"/>
      <c r="G4271" s="16"/>
      <c r="H4271" s="16"/>
      <c r="I4271" s="16"/>
      <c r="J4271" s="16"/>
      <c r="K4271" s="6"/>
      <c r="L4271" s="16"/>
    </row>
    <row r="4272" spans="1:12" ht="14" customHeight="1" x14ac:dyDescent="0.2">
      <c r="A4272" s="17"/>
      <c r="B4272" s="18"/>
      <c r="C4272" s="19"/>
      <c r="D4272" s="19"/>
      <c r="E4272" s="19"/>
      <c r="F4272" s="19"/>
      <c r="G4272" s="19"/>
      <c r="H4272" s="19"/>
      <c r="I4272" s="19"/>
      <c r="J4272" s="19"/>
      <c r="K4272" s="6"/>
      <c r="L4272" s="19"/>
    </row>
    <row r="4273" spans="1:12" ht="14" customHeight="1" x14ac:dyDescent="0.2">
      <c r="A4273" s="14"/>
      <c r="B4273" s="15"/>
      <c r="C4273" s="16"/>
      <c r="D4273" s="16"/>
      <c r="E4273" s="16"/>
      <c r="F4273" s="16"/>
      <c r="G4273" s="16"/>
      <c r="H4273" s="16"/>
      <c r="I4273" s="16"/>
      <c r="J4273" s="16"/>
      <c r="K4273" s="6"/>
      <c r="L4273" s="16"/>
    </row>
    <row r="4274" spans="1:12" ht="14" customHeight="1" x14ac:dyDescent="0.2">
      <c r="A4274" s="17"/>
      <c r="B4274" s="18"/>
      <c r="C4274" s="19"/>
      <c r="D4274" s="19"/>
      <c r="E4274" s="19"/>
      <c r="F4274" s="19"/>
      <c r="G4274" s="19"/>
      <c r="H4274" s="19"/>
      <c r="I4274" s="19"/>
      <c r="J4274" s="19"/>
      <c r="K4274" s="6"/>
      <c r="L4274" s="19"/>
    </row>
    <row r="4275" spans="1:12" ht="14" customHeight="1" x14ac:dyDescent="0.2">
      <c r="A4275" s="14"/>
      <c r="B4275" s="15"/>
      <c r="C4275" s="16"/>
      <c r="D4275" s="16"/>
      <c r="E4275" s="16"/>
      <c r="F4275" s="16"/>
      <c r="G4275" s="16"/>
      <c r="H4275" s="16"/>
      <c r="I4275" s="16"/>
      <c r="J4275" s="16"/>
      <c r="K4275" s="6"/>
      <c r="L4275" s="16"/>
    </row>
    <row r="4276" spans="1:12" ht="14" customHeight="1" x14ac:dyDescent="0.2">
      <c r="A4276" s="17"/>
      <c r="B4276" s="18"/>
      <c r="C4276" s="19"/>
      <c r="D4276" s="19"/>
      <c r="E4276" s="19"/>
      <c r="F4276" s="19"/>
      <c r="G4276" s="19"/>
      <c r="H4276" s="19"/>
      <c r="I4276" s="19"/>
      <c r="J4276" s="19"/>
      <c r="K4276" s="6"/>
      <c r="L4276" s="19"/>
    </row>
    <row r="4277" spans="1:12" ht="14" customHeight="1" x14ac:dyDescent="0.2">
      <c r="A4277" s="14"/>
      <c r="B4277" s="15"/>
      <c r="C4277" s="16"/>
      <c r="D4277" s="16"/>
      <c r="E4277" s="16"/>
      <c r="F4277" s="16"/>
      <c r="G4277" s="16"/>
      <c r="H4277" s="16"/>
      <c r="I4277" s="16"/>
      <c r="J4277" s="16"/>
      <c r="K4277" s="6"/>
      <c r="L4277" s="16"/>
    </row>
    <row r="4278" spans="1:12" ht="14" customHeight="1" x14ac:dyDescent="0.2">
      <c r="A4278" s="17"/>
      <c r="B4278" s="18"/>
      <c r="C4278" s="19"/>
      <c r="D4278" s="19"/>
      <c r="E4278" s="19"/>
      <c r="F4278" s="19"/>
      <c r="G4278" s="19"/>
      <c r="H4278" s="19"/>
      <c r="I4278" s="19"/>
      <c r="J4278" s="19"/>
      <c r="K4278" s="6"/>
      <c r="L4278" s="19"/>
    </row>
    <row r="4279" spans="1:12" ht="14" customHeight="1" x14ac:dyDescent="0.2">
      <c r="A4279" s="14"/>
      <c r="B4279" s="15"/>
      <c r="C4279" s="16"/>
      <c r="D4279" s="16"/>
      <c r="E4279" s="16"/>
      <c r="F4279" s="16"/>
      <c r="G4279" s="16"/>
      <c r="H4279" s="16"/>
      <c r="I4279" s="16"/>
      <c r="J4279" s="16"/>
      <c r="K4279" s="6"/>
      <c r="L4279" s="16"/>
    </row>
    <row r="4280" spans="1:12" ht="14" customHeight="1" x14ac:dyDescent="0.2">
      <c r="A4280" s="17"/>
      <c r="B4280" s="18"/>
      <c r="C4280" s="19"/>
      <c r="D4280" s="19"/>
      <c r="E4280" s="19"/>
      <c r="F4280" s="19"/>
      <c r="G4280" s="19"/>
      <c r="H4280" s="19"/>
      <c r="I4280" s="19"/>
      <c r="J4280" s="19"/>
      <c r="K4280" s="6"/>
      <c r="L4280" s="19"/>
    </row>
    <row r="4281" spans="1:12" ht="14" customHeight="1" x14ac:dyDescent="0.2">
      <c r="A4281" s="14"/>
      <c r="B4281" s="15"/>
      <c r="C4281" s="16"/>
      <c r="D4281" s="16"/>
      <c r="E4281" s="16"/>
      <c r="F4281" s="16"/>
      <c r="G4281" s="16"/>
      <c r="H4281" s="16"/>
      <c r="I4281" s="16"/>
      <c r="J4281" s="16"/>
      <c r="K4281" s="6"/>
      <c r="L4281" s="16"/>
    </row>
    <row r="4282" spans="1:12" ht="14" customHeight="1" x14ac:dyDescent="0.2">
      <c r="A4282" s="17"/>
      <c r="B4282" s="18"/>
      <c r="C4282" s="19"/>
      <c r="D4282" s="19"/>
      <c r="E4282" s="19"/>
      <c r="F4282" s="19"/>
      <c r="G4282" s="19"/>
      <c r="H4282" s="19"/>
      <c r="I4282" s="19"/>
      <c r="J4282" s="19"/>
      <c r="K4282" s="6"/>
      <c r="L4282" s="19"/>
    </row>
    <row r="4283" spans="1:12" ht="14" customHeight="1" x14ac:dyDescent="0.2">
      <c r="A4283" s="14"/>
      <c r="B4283" s="15"/>
      <c r="C4283" s="16"/>
      <c r="D4283" s="16"/>
      <c r="E4283" s="16"/>
      <c r="F4283" s="16"/>
      <c r="G4283" s="16"/>
      <c r="H4283" s="16"/>
      <c r="I4283" s="16"/>
      <c r="J4283" s="16"/>
      <c r="K4283" s="6"/>
      <c r="L4283" s="16"/>
    </row>
    <row r="4284" spans="1:12" ht="14" customHeight="1" x14ac:dyDescent="0.2">
      <c r="A4284" s="17"/>
      <c r="B4284" s="18"/>
      <c r="C4284" s="19"/>
      <c r="D4284" s="19"/>
      <c r="E4284" s="19"/>
      <c r="F4284" s="19"/>
      <c r="G4284" s="19"/>
      <c r="H4284" s="19"/>
      <c r="I4284" s="19"/>
      <c r="J4284" s="19"/>
      <c r="K4284" s="6"/>
      <c r="L4284" s="19"/>
    </row>
    <row r="4285" spans="1:12" ht="14" customHeight="1" x14ac:dyDescent="0.2">
      <c r="A4285" s="14"/>
      <c r="B4285" s="15"/>
      <c r="C4285" s="16"/>
      <c r="D4285" s="16"/>
      <c r="E4285" s="16"/>
      <c r="F4285" s="16"/>
      <c r="G4285" s="16"/>
      <c r="H4285" s="16"/>
      <c r="I4285" s="16"/>
      <c r="J4285" s="16"/>
      <c r="K4285" s="6"/>
      <c r="L4285" s="16"/>
    </row>
    <row r="4286" spans="1:12" ht="14" customHeight="1" x14ac:dyDescent="0.2">
      <c r="A4286" s="17"/>
      <c r="B4286" s="18"/>
      <c r="C4286" s="19"/>
      <c r="D4286" s="19"/>
      <c r="E4286" s="19"/>
      <c r="F4286" s="19"/>
      <c r="G4286" s="19"/>
      <c r="H4286" s="19"/>
      <c r="I4286" s="19"/>
      <c r="J4286" s="19"/>
      <c r="K4286" s="6"/>
      <c r="L4286" s="19"/>
    </row>
    <row r="4287" spans="1:12" ht="14" customHeight="1" x14ac:dyDescent="0.2">
      <c r="A4287" s="14"/>
      <c r="B4287" s="15"/>
      <c r="C4287" s="16"/>
      <c r="D4287" s="16"/>
      <c r="E4287" s="16"/>
      <c r="F4287" s="16"/>
      <c r="G4287" s="16"/>
      <c r="H4287" s="16"/>
      <c r="I4287" s="16"/>
      <c r="J4287" s="16"/>
      <c r="K4287" s="6"/>
      <c r="L4287" s="16"/>
    </row>
    <row r="4288" spans="1:12" ht="14" customHeight="1" x14ac:dyDescent="0.2">
      <c r="A4288" s="17"/>
      <c r="B4288" s="18"/>
      <c r="C4288" s="19"/>
      <c r="D4288" s="19"/>
      <c r="E4288" s="19"/>
      <c r="F4288" s="19"/>
      <c r="G4288" s="19"/>
      <c r="H4288" s="19"/>
      <c r="I4288" s="19"/>
      <c r="J4288" s="19"/>
      <c r="K4288" s="6"/>
      <c r="L4288" s="19"/>
    </row>
    <row r="4289" spans="1:12" ht="14" customHeight="1" x14ac:dyDescent="0.2">
      <c r="A4289" s="14"/>
      <c r="B4289" s="15"/>
      <c r="C4289" s="16"/>
      <c r="D4289" s="16"/>
      <c r="E4289" s="16"/>
      <c r="F4289" s="16"/>
      <c r="G4289" s="16"/>
      <c r="H4289" s="16"/>
      <c r="I4289" s="16"/>
      <c r="J4289" s="16"/>
      <c r="K4289" s="6"/>
      <c r="L4289" s="16"/>
    </row>
    <row r="4290" spans="1:12" ht="14" customHeight="1" x14ac:dyDescent="0.2">
      <c r="A4290" s="17"/>
      <c r="B4290" s="18"/>
      <c r="C4290" s="19"/>
      <c r="D4290" s="19"/>
      <c r="E4290" s="19"/>
      <c r="F4290" s="19"/>
      <c r="G4290" s="19"/>
      <c r="H4290" s="19"/>
      <c r="I4290" s="19"/>
      <c r="J4290" s="19"/>
      <c r="K4290" s="6"/>
      <c r="L4290" s="19"/>
    </row>
    <row r="4291" spans="1:12" ht="14" customHeight="1" x14ac:dyDescent="0.2">
      <c r="A4291" s="14"/>
      <c r="B4291" s="15"/>
      <c r="C4291" s="16"/>
      <c r="D4291" s="16"/>
      <c r="E4291" s="16"/>
      <c r="F4291" s="16"/>
      <c r="G4291" s="16"/>
      <c r="H4291" s="16"/>
      <c r="I4291" s="16"/>
      <c r="J4291" s="16"/>
      <c r="K4291" s="6"/>
      <c r="L4291" s="16"/>
    </row>
    <row r="4292" spans="1:12" ht="14" customHeight="1" x14ac:dyDescent="0.2">
      <c r="A4292" s="17"/>
      <c r="B4292" s="18"/>
      <c r="C4292" s="19"/>
      <c r="D4292" s="19"/>
      <c r="E4292" s="19"/>
      <c r="F4292" s="19"/>
      <c r="G4292" s="19"/>
      <c r="H4292" s="19"/>
      <c r="I4292" s="19"/>
      <c r="J4292" s="19"/>
      <c r="K4292" s="6"/>
      <c r="L4292" s="19"/>
    </row>
    <row r="4293" spans="1:12" ht="14" customHeight="1" x14ac:dyDescent="0.2">
      <c r="A4293" s="14"/>
      <c r="B4293" s="15"/>
      <c r="C4293" s="16"/>
      <c r="D4293" s="16"/>
      <c r="E4293" s="16"/>
      <c r="F4293" s="16"/>
      <c r="G4293" s="16"/>
      <c r="H4293" s="16"/>
      <c r="I4293" s="16"/>
      <c r="J4293" s="16"/>
      <c r="K4293" s="6"/>
      <c r="L4293" s="16"/>
    </row>
    <row r="4294" spans="1:12" ht="14" customHeight="1" x14ac:dyDescent="0.2">
      <c r="A4294" s="17"/>
      <c r="B4294" s="18"/>
      <c r="C4294" s="19"/>
      <c r="D4294" s="19"/>
      <c r="E4294" s="19"/>
      <c r="F4294" s="19"/>
      <c r="G4294" s="19"/>
      <c r="H4294" s="19"/>
      <c r="I4294" s="19"/>
      <c r="J4294" s="19"/>
      <c r="K4294" s="6"/>
      <c r="L4294" s="19"/>
    </row>
    <row r="4295" spans="1:12" ht="14" customHeight="1" x14ac:dyDescent="0.2">
      <c r="A4295" s="14"/>
      <c r="B4295" s="15"/>
      <c r="C4295" s="16"/>
      <c r="D4295" s="16"/>
      <c r="E4295" s="16"/>
      <c r="F4295" s="16"/>
      <c r="G4295" s="16"/>
      <c r="H4295" s="16"/>
      <c r="I4295" s="16"/>
      <c r="J4295" s="16"/>
      <c r="K4295" s="6"/>
      <c r="L4295" s="16"/>
    </row>
    <row r="4296" spans="1:12" ht="14" customHeight="1" x14ac:dyDescent="0.2">
      <c r="A4296" s="17"/>
      <c r="B4296" s="18"/>
      <c r="C4296" s="19"/>
      <c r="D4296" s="19"/>
      <c r="E4296" s="19"/>
      <c r="F4296" s="19"/>
      <c r="G4296" s="19"/>
      <c r="H4296" s="19"/>
      <c r="I4296" s="19"/>
      <c r="J4296" s="19"/>
      <c r="K4296" s="6"/>
      <c r="L4296" s="19"/>
    </row>
    <row r="4297" spans="1:12" ht="14" customHeight="1" x14ac:dyDescent="0.2">
      <c r="A4297" s="14"/>
      <c r="B4297" s="15"/>
      <c r="C4297" s="16"/>
      <c r="D4297" s="16"/>
      <c r="E4297" s="16"/>
      <c r="F4297" s="16"/>
      <c r="G4297" s="16"/>
      <c r="H4297" s="16"/>
      <c r="I4297" s="16"/>
      <c r="J4297" s="16"/>
      <c r="K4297" s="6"/>
      <c r="L4297" s="16"/>
    </row>
    <row r="4298" spans="1:12" ht="14" customHeight="1" x14ac:dyDescent="0.2">
      <c r="A4298" s="17"/>
      <c r="B4298" s="18"/>
      <c r="C4298" s="19"/>
      <c r="D4298" s="19"/>
      <c r="E4298" s="19"/>
      <c r="F4298" s="19"/>
      <c r="G4298" s="19"/>
      <c r="H4298" s="19"/>
      <c r="I4298" s="19"/>
      <c r="J4298" s="19"/>
      <c r="K4298" s="6"/>
      <c r="L4298" s="19"/>
    </row>
    <row r="4299" spans="1:12" ht="14" customHeight="1" x14ac:dyDescent="0.2">
      <c r="A4299" s="14"/>
      <c r="B4299" s="15"/>
      <c r="C4299" s="16"/>
      <c r="D4299" s="16"/>
      <c r="E4299" s="16"/>
      <c r="F4299" s="16"/>
      <c r="G4299" s="16"/>
      <c r="H4299" s="16"/>
      <c r="I4299" s="16"/>
      <c r="J4299" s="16"/>
      <c r="K4299" s="6"/>
      <c r="L4299" s="16"/>
    </row>
    <row r="4300" spans="1:12" ht="14" customHeight="1" x14ac:dyDescent="0.2">
      <c r="A4300" s="17"/>
      <c r="B4300" s="18"/>
      <c r="C4300" s="19"/>
      <c r="D4300" s="19"/>
      <c r="E4300" s="19"/>
      <c r="F4300" s="19"/>
      <c r="G4300" s="19"/>
      <c r="H4300" s="19"/>
      <c r="I4300" s="19"/>
      <c r="J4300" s="19"/>
      <c r="K4300" s="6"/>
      <c r="L4300" s="19"/>
    </row>
    <row r="4301" spans="1:12" ht="14" customHeight="1" x14ac:dyDescent="0.2">
      <c r="A4301" s="14"/>
      <c r="B4301" s="15"/>
      <c r="C4301" s="16"/>
      <c r="D4301" s="16"/>
      <c r="E4301" s="16"/>
      <c r="F4301" s="16"/>
      <c r="G4301" s="16"/>
      <c r="H4301" s="16"/>
      <c r="I4301" s="16"/>
      <c r="J4301" s="16"/>
      <c r="K4301" s="6"/>
      <c r="L4301" s="16"/>
    </row>
    <row r="4302" spans="1:12" ht="14" customHeight="1" x14ac:dyDescent="0.2">
      <c r="A4302" s="17"/>
      <c r="B4302" s="18"/>
      <c r="C4302" s="19"/>
      <c r="D4302" s="19"/>
      <c r="E4302" s="19"/>
      <c r="F4302" s="19"/>
      <c r="G4302" s="19"/>
      <c r="H4302" s="19"/>
      <c r="I4302" s="19"/>
      <c r="J4302" s="19"/>
      <c r="K4302" s="6"/>
      <c r="L4302" s="19"/>
    </row>
    <row r="4303" spans="1:12" ht="14" customHeight="1" x14ac:dyDescent="0.2">
      <c r="A4303" s="14"/>
      <c r="B4303" s="15"/>
      <c r="C4303" s="16"/>
      <c r="D4303" s="16"/>
      <c r="E4303" s="16"/>
      <c r="F4303" s="16"/>
      <c r="G4303" s="16"/>
      <c r="H4303" s="16"/>
      <c r="I4303" s="16"/>
      <c r="J4303" s="16"/>
      <c r="K4303" s="6"/>
      <c r="L4303" s="16"/>
    </row>
    <row r="4304" spans="1:12" ht="14" customHeight="1" x14ac:dyDescent="0.2">
      <c r="A4304" s="17"/>
      <c r="B4304" s="18"/>
      <c r="C4304" s="19"/>
      <c r="D4304" s="19"/>
      <c r="E4304" s="19"/>
      <c r="F4304" s="19"/>
      <c r="G4304" s="19"/>
      <c r="H4304" s="19"/>
      <c r="I4304" s="19"/>
      <c r="J4304" s="19"/>
      <c r="K4304" s="6"/>
      <c r="L4304" s="19"/>
    </row>
    <row r="4305" spans="1:12" ht="14" customHeight="1" x14ac:dyDescent="0.2">
      <c r="A4305" s="14"/>
      <c r="B4305" s="15"/>
      <c r="C4305" s="16"/>
      <c r="D4305" s="16"/>
      <c r="E4305" s="16"/>
      <c r="F4305" s="16"/>
      <c r="G4305" s="16"/>
      <c r="H4305" s="16"/>
      <c r="I4305" s="16"/>
      <c r="J4305" s="16"/>
      <c r="K4305" s="6"/>
      <c r="L4305" s="16"/>
    </row>
    <row r="4306" spans="1:12" ht="14" customHeight="1" x14ac:dyDescent="0.2">
      <c r="A4306" s="17"/>
      <c r="B4306" s="18"/>
      <c r="C4306" s="19"/>
      <c r="D4306" s="19"/>
      <c r="E4306" s="19"/>
      <c r="F4306" s="19"/>
      <c r="G4306" s="19"/>
      <c r="H4306" s="19"/>
      <c r="I4306" s="19"/>
      <c r="J4306" s="19"/>
      <c r="K4306" s="6"/>
      <c r="L4306" s="19"/>
    </row>
    <row r="4307" spans="1:12" ht="14" customHeight="1" x14ac:dyDescent="0.2">
      <c r="A4307" s="14"/>
      <c r="B4307" s="15"/>
      <c r="C4307" s="16"/>
      <c r="D4307" s="16"/>
      <c r="E4307" s="16"/>
      <c r="F4307" s="16"/>
      <c r="G4307" s="16"/>
      <c r="H4307" s="16"/>
      <c r="I4307" s="16"/>
      <c r="J4307" s="16"/>
      <c r="K4307" s="6"/>
      <c r="L4307" s="16"/>
    </row>
    <row r="4308" spans="1:12" ht="14" customHeight="1" x14ac:dyDescent="0.2">
      <c r="A4308" s="17"/>
      <c r="B4308" s="18"/>
      <c r="C4308" s="19"/>
      <c r="D4308" s="19"/>
      <c r="E4308" s="19"/>
      <c r="F4308" s="19"/>
      <c r="G4308" s="19"/>
      <c r="H4308" s="19"/>
      <c r="I4308" s="19"/>
      <c r="J4308" s="19"/>
      <c r="K4308" s="6"/>
      <c r="L4308" s="19"/>
    </row>
    <row r="4309" spans="1:12" ht="14" customHeight="1" x14ac:dyDescent="0.2">
      <c r="A4309" s="14"/>
      <c r="B4309" s="15"/>
      <c r="C4309" s="16"/>
      <c r="D4309" s="16"/>
      <c r="E4309" s="16"/>
      <c r="F4309" s="16"/>
      <c r="G4309" s="16"/>
      <c r="H4309" s="16"/>
      <c r="I4309" s="16"/>
      <c r="J4309" s="16"/>
      <c r="K4309" s="6"/>
      <c r="L4309" s="16"/>
    </row>
    <row r="4310" spans="1:12" ht="14" customHeight="1" x14ac:dyDescent="0.2">
      <c r="A4310" s="17"/>
      <c r="B4310" s="18"/>
      <c r="C4310" s="19"/>
      <c r="D4310" s="19"/>
      <c r="E4310" s="19"/>
      <c r="F4310" s="19"/>
      <c r="G4310" s="19"/>
      <c r="H4310" s="19"/>
      <c r="I4310" s="19"/>
      <c r="J4310" s="19"/>
      <c r="K4310" s="6"/>
      <c r="L4310" s="19"/>
    </row>
    <row r="4311" spans="1:12" ht="14" customHeight="1" x14ac:dyDescent="0.2">
      <c r="A4311" s="14"/>
      <c r="B4311" s="15"/>
      <c r="C4311" s="16"/>
      <c r="D4311" s="16"/>
      <c r="E4311" s="16"/>
      <c r="F4311" s="16"/>
      <c r="G4311" s="16"/>
      <c r="H4311" s="16"/>
      <c r="I4311" s="16"/>
      <c r="J4311" s="16"/>
      <c r="K4311" s="6"/>
      <c r="L4311" s="16"/>
    </row>
    <row r="4312" spans="1:12" ht="14" customHeight="1" x14ac:dyDescent="0.2">
      <c r="A4312" s="17"/>
      <c r="B4312" s="18"/>
      <c r="C4312" s="19"/>
      <c r="D4312" s="19"/>
      <c r="E4312" s="19"/>
      <c r="F4312" s="19"/>
      <c r="G4312" s="19"/>
      <c r="H4312" s="19"/>
      <c r="I4312" s="19"/>
      <c r="J4312" s="19"/>
      <c r="K4312" s="6"/>
      <c r="L4312" s="19"/>
    </row>
    <row r="4313" spans="1:12" ht="14" customHeight="1" x14ac:dyDescent="0.2">
      <c r="A4313" s="14"/>
      <c r="B4313" s="15"/>
      <c r="C4313" s="16"/>
      <c r="D4313" s="16"/>
      <c r="E4313" s="16"/>
      <c r="F4313" s="16"/>
      <c r="G4313" s="16"/>
      <c r="H4313" s="16"/>
      <c r="I4313" s="16"/>
      <c r="J4313" s="16"/>
      <c r="K4313" s="6"/>
      <c r="L4313" s="16"/>
    </row>
    <row r="4314" spans="1:12" ht="14" customHeight="1" x14ac:dyDescent="0.2">
      <c r="A4314" s="17"/>
      <c r="B4314" s="18"/>
      <c r="C4314" s="19"/>
      <c r="D4314" s="19"/>
      <c r="E4314" s="19"/>
      <c r="F4314" s="19"/>
      <c r="G4314" s="19"/>
      <c r="H4314" s="19"/>
      <c r="I4314" s="19"/>
      <c r="J4314" s="19"/>
      <c r="K4314" s="6"/>
      <c r="L4314" s="19"/>
    </row>
    <row r="4315" spans="1:12" ht="14" customHeight="1" x14ac:dyDescent="0.2">
      <c r="A4315" s="14"/>
      <c r="B4315" s="15"/>
      <c r="C4315" s="16"/>
      <c r="D4315" s="16"/>
      <c r="E4315" s="16"/>
      <c r="F4315" s="16"/>
      <c r="G4315" s="16"/>
      <c r="H4315" s="16"/>
      <c r="I4315" s="16"/>
      <c r="J4315" s="16"/>
      <c r="K4315" s="6"/>
      <c r="L4315" s="16"/>
    </row>
    <row r="4316" spans="1:12" ht="14" customHeight="1" x14ac:dyDescent="0.2">
      <c r="A4316" s="17"/>
      <c r="B4316" s="18"/>
      <c r="C4316" s="19"/>
      <c r="D4316" s="19"/>
      <c r="E4316" s="19"/>
      <c r="F4316" s="19"/>
      <c r="G4316" s="19"/>
      <c r="H4316" s="19"/>
      <c r="I4316" s="19"/>
      <c r="J4316" s="19"/>
      <c r="K4316" s="6"/>
      <c r="L4316" s="19"/>
    </row>
    <row r="4317" spans="1:12" ht="14" customHeight="1" x14ac:dyDescent="0.2">
      <c r="A4317" s="14"/>
      <c r="B4317" s="15"/>
      <c r="C4317" s="16"/>
      <c r="D4317" s="16"/>
      <c r="E4317" s="16"/>
      <c r="F4317" s="16"/>
      <c r="G4317" s="16"/>
      <c r="H4317" s="16"/>
      <c r="I4317" s="16"/>
      <c r="J4317" s="16"/>
      <c r="K4317" s="6"/>
      <c r="L4317" s="16"/>
    </row>
    <row r="4318" spans="1:12" ht="14" customHeight="1" x14ac:dyDescent="0.2">
      <c r="A4318" s="17"/>
      <c r="B4318" s="18"/>
      <c r="C4318" s="19"/>
      <c r="D4318" s="19"/>
      <c r="E4318" s="19"/>
      <c r="F4318" s="19"/>
      <c r="G4318" s="19"/>
      <c r="H4318" s="19"/>
      <c r="I4318" s="19"/>
      <c r="J4318" s="19"/>
      <c r="K4318" s="6"/>
      <c r="L4318" s="19"/>
    </row>
    <row r="4319" spans="1:12" ht="14" customHeight="1" x14ac:dyDescent="0.2">
      <c r="A4319" s="14"/>
      <c r="B4319" s="15"/>
      <c r="C4319" s="16"/>
      <c r="D4319" s="16"/>
      <c r="E4319" s="16"/>
      <c r="F4319" s="16"/>
      <c r="G4319" s="16"/>
      <c r="H4319" s="16"/>
      <c r="I4319" s="16"/>
      <c r="J4319" s="16"/>
      <c r="K4319" s="6"/>
      <c r="L4319" s="16"/>
    </row>
    <row r="4320" spans="1:12" ht="14" customHeight="1" x14ac:dyDescent="0.2">
      <c r="A4320" s="17"/>
      <c r="B4320" s="18"/>
      <c r="C4320" s="19"/>
      <c r="D4320" s="19"/>
      <c r="E4320" s="19"/>
      <c r="F4320" s="19"/>
      <c r="G4320" s="19"/>
      <c r="H4320" s="19"/>
      <c r="I4320" s="19"/>
      <c r="J4320" s="19"/>
      <c r="K4320" s="6"/>
      <c r="L4320" s="19"/>
    </row>
    <row r="4321" spans="1:12" ht="14" customHeight="1" x14ac:dyDescent="0.2">
      <c r="A4321" s="14"/>
      <c r="B4321" s="15"/>
      <c r="C4321" s="16"/>
      <c r="D4321" s="16"/>
      <c r="E4321" s="16"/>
      <c r="F4321" s="16"/>
      <c r="G4321" s="16"/>
      <c r="H4321" s="16"/>
      <c r="I4321" s="16"/>
      <c r="J4321" s="16"/>
      <c r="K4321" s="6"/>
      <c r="L4321" s="16"/>
    </row>
    <row r="4322" spans="1:12" ht="14" customHeight="1" x14ac:dyDescent="0.2">
      <c r="A4322" s="17"/>
      <c r="B4322" s="18"/>
      <c r="C4322" s="19"/>
      <c r="D4322" s="19"/>
      <c r="E4322" s="19"/>
      <c r="F4322" s="19"/>
      <c r="G4322" s="19"/>
      <c r="H4322" s="19"/>
      <c r="I4322" s="19"/>
      <c r="J4322" s="19"/>
      <c r="K4322" s="6"/>
      <c r="L4322" s="19"/>
    </row>
    <row r="4323" spans="1:12" ht="14" customHeight="1" x14ac:dyDescent="0.2">
      <c r="A4323" s="14"/>
      <c r="B4323" s="15"/>
      <c r="C4323" s="16"/>
      <c r="D4323" s="16"/>
      <c r="E4323" s="16"/>
      <c r="F4323" s="16"/>
      <c r="G4323" s="16"/>
      <c r="H4323" s="16"/>
      <c r="I4323" s="16"/>
      <c r="J4323" s="16"/>
      <c r="K4323" s="6"/>
      <c r="L4323" s="16"/>
    </row>
    <row r="4324" spans="1:12" ht="14" customHeight="1" x14ac:dyDescent="0.2">
      <c r="A4324" s="17"/>
      <c r="B4324" s="18"/>
      <c r="C4324" s="19"/>
      <c r="D4324" s="19"/>
      <c r="E4324" s="19"/>
      <c r="F4324" s="19"/>
      <c r="G4324" s="19"/>
      <c r="H4324" s="19"/>
      <c r="I4324" s="19"/>
      <c r="J4324" s="19"/>
      <c r="K4324" s="6"/>
      <c r="L4324" s="19"/>
    </row>
    <row r="4325" spans="1:12" ht="14" customHeight="1" x14ac:dyDescent="0.2">
      <c r="A4325" s="14"/>
      <c r="B4325" s="15"/>
      <c r="C4325" s="16"/>
      <c r="D4325" s="16"/>
      <c r="E4325" s="16"/>
      <c r="F4325" s="16"/>
      <c r="G4325" s="16"/>
      <c r="H4325" s="16"/>
      <c r="I4325" s="16"/>
      <c r="J4325" s="16"/>
      <c r="K4325" s="6"/>
      <c r="L4325" s="16"/>
    </row>
    <row r="4326" spans="1:12" ht="14" customHeight="1" x14ac:dyDescent="0.2">
      <c r="A4326" s="17"/>
      <c r="B4326" s="18"/>
      <c r="C4326" s="19"/>
      <c r="D4326" s="19"/>
      <c r="E4326" s="19"/>
      <c r="F4326" s="19"/>
      <c r="G4326" s="19"/>
      <c r="H4326" s="19"/>
      <c r="I4326" s="19"/>
      <c r="J4326" s="19"/>
      <c r="K4326" s="6"/>
      <c r="L4326" s="19"/>
    </row>
    <row r="4327" spans="1:12" ht="14" customHeight="1" x14ac:dyDescent="0.2">
      <c r="A4327" s="14"/>
      <c r="B4327" s="15"/>
      <c r="C4327" s="16"/>
      <c r="D4327" s="16"/>
      <c r="E4327" s="16"/>
      <c r="F4327" s="16"/>
      <c r="G4327" s="16"/>
      <c r="H4327" s="16"/>
      <c r="I4327" s="16"/>
      <c r="J4327" s="16"/>
      <c r="K4327" s="6"/>
      <c r="L4327" s="16"/>
    </row>
    <row r="4328" spans="1:12" ht="14" customHeight="1" x14ac:dyDescent="0.2">
      <c r="A4328" s="17"/>
      <c r="B4328" s="18"/>
      <c r="C4328" s="19"/>
      <c r="D4328" s="19"/>
      <c r="E4328" s="19"/>
      <c r="F4328" s="19"/>
      <c r="G4328" s="19"/>
      <c r="H4328" s="19"/>
      <c r="I4328" s="19"/>
      <c r="J4328" s="19"/>
      <c r="K4328" s="6"/>
      <c r="L4328" s="19"/>
    </row>
    <row r="4329" spans="1:12" ht="14" customHeight="1" x14ac:dyDescent="0.2">
      <c r="A4329" s="14"/>
      <c r="B4329" s="15"/>
      <c r="C4329" s="16"/>
      <c r="D4329" s="16"/>
      <c r="E4329" s="16"/>
      <c r="F4329" s="16"/>
      <c r="G4329" s="16"/>
      <c r="H4329" s="16"/>
      <c r="I4329" s="16"/>
      <c r="J4329" s="16"/>
      <c r="K4329" s="6"/>
      <c r="L4329" s="16"/>
    </row>
    <row r="4330" spans="1:12" ht="14" customHeight="1" x14ac:dyDescent="0.2">
      <c r="A4330" s="17"/>
      <c r="B4330" s="18"/>
      <c r="C4330" s="19"/>
      <c r="D4330" s="19"/>
      <c r="E4330" s="19"/>
      <c r="F4330" s="19"/>
      <c r="G4330" s="19"/>
      <c r="H4330" s="19"/>
      <c r="I4330" s="19"/>
      <c r="J4330" s="19"/>
      <c r="K4330" s="6"/>
      <c r="L4330" s="19"/>
    </row>
    <row r="4331" spans="1:12" ht="14" customHeight="1" x14ac:dyDescent="0.2">
      <c r="A4331" s="14"/>
      <c r="B4331" s="15"/>
      <c r="C4331" s="16"/>
      <c r="D4331" s="16"/>
      <c r="E4331" s="16"/>
      <c r="F4331" s="16"/>
      <c r="G4331" s="16"/>
      <c r="H4331" s="16"/>
      <c r="I4331" s="16"/>
      <c r="J4331" s="16"/>
      <c r="K4331" s="6"/>
      <c r="L4331" s="16"/>
    </row>
    <row r="4332" spans="1:12" ht="14" customHeight="1" x14ac:dyDescent="0.2">
      <c r="A4332" s="17"/>
      <c r="B4332" s="18"/>
      <c r="C4332" s="19"/>
      <c r="D4332" s="19"/>
      <c r="E4332" s="19"/>
      <c r="F4332" s="19"/>
      <c r="G4332" s="19"/>
      <c r="H4332" s="19"/>
      <c r="I4332" s="19"/>
      <c r="J4332" s="19"/>
      <c r="K4332" s="6"/>
      <c r="L4332" s="19"/>
    </row>
    <row r="4333" spans="1:12" ht="14" customHeight="1" x14ac:dyDescent="0.2">
      <c r="A4333" s="14"/>
      <c r="B4333" s="15"/>
      <c r="C4333" s="16"/>
      <c r="D4333" s="16"/>
      <c r="E4333" s="16"/>
      <c r="F4333" s="16"/>
      <c r="G4333" s="16"/>
      <c r="H4333" s="16"/>
      <c r="I4333" s="16"/>
      <c r="J4333" s="16"/>
      <c r="K4333" s="6"/>
      <c r="L4333" s="16"/>
    </row>
    <row r="4334" spans="1:12" ht="14" customHeight="1" x14ac:dyDescent="0.2">
      <c r="A4334" s="17"/>
      <c r="B4334" s="18"/>
      <c r="C4334" s="19"/>
      <c r="D4334" s="19"/>
      <c r="E4334" s="19"/>
      <c r="F4334" s="19"/>
      <c r="G4334" s="19"/>
      <c r="H4334" s="19"/>
      <c r="I4334" s="19"/>
      <c r="J4334" s="19"/>
      <c r="K4334" s="6"/>
      <c r="L4334" s="19"/>
    </row>
    <row r="4335" spans="1:12" ht="14" customHeight="1" x14ac:dyDescent="0.2">
      <c r="A4335" s="14"/>
      <c r="B4335" s="15"/>
      <c r="C4335" s="16"/>
      <c r="D4335" s="16"/>
      <c r="E4335" s="16"/>
      <c r="F4335" s="16"/>
      <c r="G4335" s="16"/>
      <c r="H4335" s="16"/>
      <c r="I4335" s="16"/>
      <c r="J4335" s="16"/>
      <c r="K4335" s="6"/>
      <c r="L4335" s="16"/>
    </row>
    <row r="4336" spans="1:12" ht="14" customHeight="1" x14ac:dyDescent="0.2">
      <c r="A4336" s="17"/>
      <c r="B4336" s="18"/>
      <c r="C4336" s="19"/>
      <c r="D4336" s="19"/>
      <c r="E4336" s="19"/>
      <c r="F4336" s="19"/>
      <c r="G4336" s="19"/>
      <c r="H4336" s="19"/>
      <c r="I4336" s="19"/>
      <c r="J4336" s="19"/>
      <c r="K4336" s="6"/>
      <c r="L4336" s="19"/>
    </row>
    <row r="4337" spans="1:12" ht="14" customHeight="1" x14ac:dyDescent="0.2">
      <c r="A4337" s="14"/>
      <c r="B4337" s="15"/>
      <c r="C4337" s="16"/>
      <c r="D4337" s="16"/>
      <c r="E4337" s="16"/>
      <c r="F4337" s="16"/>
      <c r="G4337" s="16"/>
      <c r="H4337" s="16"/>
      <c r="I4337" s="16"/>
      <c r="J4337" s="16"/>
      <c r="K4337" s="6"/>
      <c r="L4337" s="16"/>
    </row>
    <row r="4338" spans="1:12" ht="14" customHeight="1" x14ac:dyDescent="0.2">
      <c r="A4338" s="17"/>
      <c r="B4338" s="18"/>
      <c r="C4338" s="19"/>
      <c r="D4338" s="19"/>
      <c r="E4338" s="19"/>
      <c r="F4338" s="19"/>
      <c r="G4338" s="19"/>
      <c r="H4338" s="19"/>
      <c r="I4338" s="19"/>
      <c r="J4338" s="19"/>
      <c r="K4338" s="6"/>
      <c r="L4338" s="19"/>
    </row>
    <row r="4339" spans="1:12" ht="14" customHeight="1" x14ac:dyDescent="0.2">
      <c r="A4339" s="14"/>
      <c r="B4339" s="15"/>
      <c r="C4339" s="16"/>
      <c r="D4339" s="16"/>
      <c r="E4339" s="16"/>
      <c r="F4339" s="16"/>
      <c r="G4339" s="16"/>
      <c r="H4339" s="16"/>
      <c r="I4339" s="16"/>
      <c r="J4339" s="16"/>
      <c r="K4339" s="6"/>
      <c r="L4339" s="16"/>
    </row>
    <row r="4340" spans="1:12" ht="14" customHeight="1" x14ac:dyDescent="0.2">
      <c r="A4340" s="17"/>
      <c r="B4340" s="18"/>
      <c r="C4340" s="19"/>
      <c r="D4340" s="19"/>
      <c r="E4340" s="19"/>
      <c r="F4340" s="19"/>
      <c r="G4340" s="19"/>
      <c r="H4340" s="19"/>
      <c r="I4340" s="19"/>
      <c r="J4340" s="19"/>
      <c r="K4340" s="6"/>
      <c r="L4340" s="19"/>
    </row>
    <row r="4341" spans="1:12" ht="14" customHeight="1" x14ac:dyDescent="0.2">
      <c r="A4341" s="14"/>
      <c r="B4341" s="15"/>
      <c r="C4341" s="16"/>
      <c r="D4341" s="16"/>
      <c r="E4341" s="16"/>
      <c r="F4341" s="16"/>
      <c r="G4341" s="16"/>
      <c r="H4341" s="16"/>
      <c r="I4341" s="16"/>
      <c r="J4341" s="16"/>
      <c r="K4341" s="6"/>
      <c r="L4341" s="16"/>
    </row>
    <row r="4342" spans="1:12" ht="14" customHeight="1" x14ac:dyDescent="0.2">
      <c r="A4342" s="17"/>
      <c r="B4342" s="18"/>
      <c r="C4342" s="19"/>
      <c r="D4342" s="19"/>
      <c r="E4342" s="19"/>
      <c r="F4342" s="19"/>
      <c r="G4342" s="19"/>
      <c r="H4342" s="19"/>
      <c r="I4342" s="19"/>
      <c r="J4342" s="19"/>
      <c r="K4342" s="6"/>
      <c r="L4342" s="19"/>
    </row>
    <row r="4343" spans="1:12" ht="14" customHeight="1" x14ac:dyDescent="0.2">
      <c r="A4343" s="14"/>
      <c r="B4343" s="15"/>
      <c r="C4343" s="16"/>
      <c r="D4343" s="16"/>
      <c r="E4343" s="16"/>
      <c r="F4343" s="16"/>
      <c r="G4343" s="16"/>
      <c r="H4343" s="16"/>
      <c r="I4343" s="16"/>
      <c r="J4343" s="16"/>
      <c r="K4343" s="6"/>
      <c r="L4343" s="16"/>
    </row>
    <row r="4344" spans="1:12" ht="14" customHeight="1" x14ac:dyDescent="0.2">
      <c r="A4344" s="17"/>
      <c r="B4344" s="18"/>
      <c r="C4344" s="19"/>
      <c r="D4344" s="19"/>
      <c r="E4344" s="19"/>
      <c r="F4344" s="19"/>
      <c r="G4344" s="19"/>
      <c r="H4344" s="19"/>
      <c r="I4344" s="19"/>
      <c r="J4344" s="19"/>
      <c r="K4344" s="6"/>
      <c r="L4344" s="19"/>
    </row>
    <row r="4345" spans="1:12" ht="14" customHeight="1" x14ac:dyDescent="0.2">
      <c r="A4345" s="14"/>
      <c r="B4345" s="15"/>
      <c r="C4345" s="16"/>
      <c r="D4345" s="16"/>
      <c r="E4345" s="16"/>
      <c r="F4345" s="16"/>
      <c r="G4345" s="16"/>
      <c r="H4345" s="16"/>
      <c r="I4345" s="16"/>
      <c r="J4345" s="16"/>
      <c r="K4345" s="6"/>
      <c r="L4345" s="16"/>
    </row>
    <row r="4346" spans="1:12" ht="14" customHeight="1" x14ac:dyDescent="0.2">
      <c r="A4346" s="17"/>
      <c r="B4346" s="18"/>
      <c r="C4346" s="19"/>
      <c r="D4346" s="19"/>
      <c r="E4346" s="19"/>
      <c r="F4346" s="19"/>
      <c r="G4346" s="19"/>
      <c r="H4346" s="19"/>
      <c r="I4346" s="19"/>
      <c r="J4346" s="19"/>
      <c r="K4346" s="6"/>
      <c r="L4346" s="19"/>
    </row>
    <row r="4347" spans="1:12" ht="14" customHeight="1" x14ac:dyDescent="0.2">
      <c r="A4347" s="14"/>
      <c r="B4347" s="15"/>
      <c r="C4347" s="16"/>
      <c r="D4347" s="16"/>
      <c r="E4347" s="16"/>
      <c r="F4347" s="16"/>
      <c r="G4347" s="16"/>
      <c r="H4347" s="16"/>
      <c r="I4347" s="16"/>
      <c r="J4347" s="16"/>
      <c r="K4347" s="6"/>
      <c r="L4347" s="16"/>
    </row>
    <row r="4348" spans="1:12" ht="14" customHeight="1" x14ac:dyDescent="0.2">
      <c r="A4348" s="17"/>
      <c r="B4348" s="18"/>
      <c r="C4348" s="19"/>
      <c r="D4348" s="19"/>
      <c r="E4348" s="19"/>
      <c r="F4348" s="19"/>
      <c r="G4348" s="19"/>
      <c r="H4348" s="19"/>
      <c r="I4348" s="19"/>
      <c r="J4348" s="19"/>
      <c r="K4348" s="6"/>
      <c r="L4348" s="19"/>
    </row>
    <row r="4349" spans="1:12" ht="14" customHeight="1" x14ac:dyDescent="0.2">
      <c r="A4349" s="14"/>
      <c r="B4349" s="15"/>
      <c r="C4349" s="16"/>
      <c r="D4349" s="16"/>
      <c r="E4349" s="16"/>
      <c r="F4349" s="16"/>
      <c r="G4349" s="16"/>
      <c r="H4349" s="16"/>
      <c r="I4349" s="16"/>
      <c r="J4349" s="16"/>
      <c r="K4349" s="6"/>
      <c r="L4349" s="16"/>
    </row>
    <row r="4350" spans="1:12" ht="14" customHeight="1" x14ac:dyDescent="0.2">
      <c r="A4350" s="17"/>
      <c r="B4350" s="18"/>
      <c r="C4350" s="19"/>
      <c r="D4350" s="19"/>
      <c r="E4350" s="19"/>
      <c r="F4350" s="19"/>
      <c r="G4350" s="19"/>
      <c r="H4350" s="19"/>
      <c r="I4350" s="19"/>
      <c r="J4350" s="19"/>
      <c r="K4350" s="6"/>
      <c r="L4350" s="19"/>
    </row>
    <row r="4351" spans="1:12" ht="14" customHeight="1" x14ac:dyDescent="0.2">
      <c r="A4351" s="14"/>
      <c r="B4351" s="15"/>
      <c r="C4351" s="16"/>
      <c r="D4351" s="16"/>
      <c r="E4351" s="16"/>
      <c r="F4351" s="16"/>
      <c r="G4351" s="16"/>
      <c r="H4351" s="16"/>
      <c r="I4351" s="16"/>
      <c r="J4351" s="16"/>
      <c r="K4351" s="6"/>
      <c r="L4351" s="16"/>
    </row>
    <row r="4352" spans="1:12" ht="14" customHeight="1" x14ac:dyDescent="0.2">
      <c r="A4352" s="17"/>
      <c r="B4352" s="18"/>
      <c r="C4352" s="19"/>
      <c r="D4352" s="19"/>
      <c r="E4352" s="19"/>
      <c r="F4352" s="19"/>
      <c r="G4352" s="19"/>
      <c r="H4352" s="19"/>
      <c r="I4352" s="19"/>
      <c r="J4352" s="19"/>
      <c r="K4352" s="6"/>
      <c r="L4352" s="19"/>
    </row>
    <row r="4353" spans="1:12" ht="14" customHeight="1" x14ac:dyDescent="0.2">
      <c r="A4353" s="14"/>
      <c r="B4353" s="15"/>
      <c r="C4353" s="16"/>
      <c r="D4353" s="16"/>
      <c r="E4353" s="16"/>
      <c r="F4353" s="16"/>
      <c r="G4353" s="16"/>
      <c r="H4353" s="16"/>
      <c r="I4353" s="16"/>
      <c r="J4353" s="16"/>
      <c r="K4353" s="6"/>
      <c r="L4353" s="16"/>
    </row>
    <row r="4354" spans="1:12" ht="14" customHeight="1" x14ac:dyDescent="0.2">
      <c r="A4354" s="17"/>
      <c r="B4354" s="18"/>
      <c r="C4354" s="19"/>
      <c r="D4354" s="19"/>
      <c r="E4354" s="19"/>
      <c r="F4354" s="19"/>
      <c r="G4354" s="19"/>
      <c r="H4354" s="19"/>
      <c r="I4354" s="19"/>
      <c r="J4354" s="19"/>
      <c r="K4354" s="6"/>
      <c r="L4354" s="19"/>
    </row>
    <row r="4355" spans="1:12" ht="14" customHeight="1" x14ac:dyDescent="0.2">
      <c r="A4355" s="14"/>
      <c r="B4355" s="15"/>
      <c r="C4355" s="16"/>
      <c r="D4355" s="16"/>
      <c r="E4355" s="16"/>
      <c r="F4355" s="16"/>
      <c r="G4355" s="16"/>
      <c r="H4355" s="16"/>
      <c r="I4355" s="16"/>
      <c r="J4355" s="16"/>
      <c r="K4355" s="6"/>
      <c r="L4355" s="16"/>
    </row>
    <row r="4356" spans="1:12" ht="14" customHeight="1" x14ac:dyDescent="0.2">
      <c r="A4356" s="17"/>
      <c r="B4356" s="18"/>
      <c r="C4356" s="19"/>
      <c r="D4356" s="19"/>
      <c r="E4356" s="19"/>
      <c r="F4356" s="19"/>
      <c r="G4356" s="19"/>
      <c r="H4356" s="19"/>
      <c r="I4356" s="19"/>
      <c r="J4356" s="19"/>
      <c r="K4356" s="6"/>
      <c r="L4356" s="19"/>
    </row>
    <row r="4357" spans="1:12" ht="14" customHeight="1" x14ac:dyDescent="0.2">
      <c r="A4357" s="14"/>
      <c r="B4357" s="15"/>
      <c r="C4357" s="16"/>
      <c r="D4357" s="16"/>
      <c r="E4357" s="16"/>
      <c r="F4357" s="16"/>
      <c r="G4357" s="16"/>
      <c r="H4357" s="16"/>
      <c r="I4357" s="16"/>
      <c r="J4357" s="16"/>
      <c r="K4357" s="6"/>
      <c r="L4357" s="16"/>
    </row>
    <row r="4358" spans="1:12" ht="14" customHeight="1" x14ac:dyDescent="0.2">
      <c r="A4358" s="17"/>
      <c r="B4358" s="18"/>
      <c r="C4358" s="19"/>
      <c r="D4358" s="19"/>
      <c r="E4358" s="19"/>
      <c r="F4358" s="19"/>
      <c r="G4358" s="19"/>
      <c r="H4358" s="19"/>
      <c r="I4358" s="19"/>
      <c r="J4358" s="19"/>
      <c r="K4358" s="6"/>
      <c r="L4358" s="19"/>
    </row>
    <row r="4359" spans="1:12" ht="14" customHeight="1" x14ac:dyDescent="0.2">
      <c r="A4359" s="14"/>
      <c r="B4359" s="15"/>
      <c r="C4359" s="16"/>
      <c r="D4359" s="16"/>
      <c r="E4359" s="16"/>
      <c r="F4359" s="16"/>
      <c r="G4359" s="16"/>
      <c r="H4359" s="16"/>
      <c r="I4359" s="16"/>
      <c r="J4359" s="16"/>
      <c r="K4359" s="6"/>
      <c r="L4359" s="16"/>
    </row>
    <row r="4360" spans="1:12" ht="14" customHeight="1" x14ac:dyDescent="0.2">
      <c r="A4360" s="17"/>
      <c r="B4360" s="18"/>
      <c r="C4360" s="19"/>
      <c r="D4360" s="19"/>
      <c r="E4360" s="19"/>
      <c r="F4360" s="19"/>
      <c r="G4360" s="19"/>
      <c r="H4360" s="19"/>
      <c r="I4360" s="19"/>
      <c r="J4360" s="19"/>
      <c r="K4360" s="6"/>
      <c r="L4360" s="19"/>
    </row>
    <row r="4361" spans="1:12" ht="14" customHeight="1" x14ac:dyDescent="0.2">
      <c r="A4361" s="14"/>
      <c r="B4361" s="15"/>
      <c r="C4361" s="16"/>
      <c r="D4361" s="16"/>
      <c r="E4361" s="16"/>
      <c r="F4361" s="16"/>
      <c r="G4361" s="16"/>
      <c r="H4361" s="16"/>
      <c r="I4361" s="16"/>
      <c r="J4361" s="16"/>
      <c r="K4361" s="6"/>
      <c r="L4361" s="16"/>
    </row>
    <row r="4362" spans="1:12" ht="14" customHeight="1" x14ac:dyDescent="0.2">
      <c r="A4362" s="17"/>
      <c r="B4362" s="18"/>
      <c r="C4362" s="19"/>
      <c r="D4362" s="19"/>
      <c r="E4362" s="19"/>
      <c r="F4362" s="19"/>
      <c r="G4362" s="19"/>
      <c r="H4362" s="19"/>
      <c r="I4362" s="19"/>
      <c r="J4362" s="19"/>
      <c r="K4362" s="6"/>
      <c r="L4362" s="19"/>
    </row>
    <row r="4363" spans="1:12" ht="14" customHeight="1" x14ac:dyDescent="0.2">
      <c r="A4363" s="14"/>
      <c r="B4363" s="15"/>
      <c r="C4363" s="16"/>
      <c r="D4363" s="16"/>
      <c r="E4363" s="16"/>
      <c r="F4363" s="16"/>
      <c r="G4363" s="16"/>
      <c r="H4363" s="16"/>
      <c r="I4363" s="16"/>
      <c r="J4363" s="16"/>
      <c r="K4363" s="6"/>
      <c r="L4363" s="16"/>
    </row>
    <row r="4364" spans="1:12" ht="14" customHeight="1" x14ac:dyDescent="0.2">
      <c r="A4364" s="17"/>
      <c r="B4364" s="18"/>
      <c r="C4364" s="19"/>
      <c r="D4364" s="19"/>
      <c r="E4364" s="19"/>
      <c r="F4364" s="19"/>
      <c r="G4364" s="19"/>
      <c r="H4364" s="19"/>
      <c r="I4364" s="19"/>
      <c r="J4364" s="19"/>
      <c r="K4364" s="6"/>
      <c r="L4364" s="19"/>
    </row>
    <row r="4365" spans="1:12" ht="14" customHeight="1" x14ac:dyDescent="0.2">
      <c r="A4365" s="14"/>
      <c r="B4365" s="15"/>
      <c r="C4365" s="16"/>
      <c r="D4365" s="16"/>
      <c r="E4365" s="16"/>
      <c r="F4365" s="16"/>
      <c r="G4365" s="16"/>
      <c r="H4365" s="16"/>
      <c r="I4365" s="16"/>
      <c r="J4365" s="16"/>
      <c r="K4365" s="6"/>
      <c r="L4365" s="16"/>
    </row>
    <row r="4366" spans="1:12" ht="14" customHeight="1" x14ac:dyDescent="0.2">
      <c r="A4366" s="17"/>
      <c r="B4366" s="18"/>
      <c r="C4366" s="19"/>
      <c r="D4366" s="19"/>
      <c r="E4366" s="19"/>
      <c r="F4366" s="19"/>
      <c r="G4366" s="19"/>
      <c r="H4366" s="19"/>
      <c r="I4366" s="19"/>
      <c r="J4366" s="19"/>
      <c r="K4366" s="6"/>
      <c r="L4366" s="19"/>
    </row>
    <row r="4367" spans="1:12" ht="14" customHeight="1" x14ac:dyDescent="0.2">
      <c r="A4367" s="14"/>
      <c r="B4367" s="15"/>
      <c r="C4367" s="16"/>
      <c r="D4367" s="16"/>
      <c r="E4367" s="16"/>
      <c r="F4367" s="16"/>
      <c r="G4367" s="16"/>
      <c r="H4367" s="16"/>
      <c r="I4367" s="16"/>
      <c r="J4367" s="16"/>
      <c r="K4367" s="6"/>
      <c r="L4367" s="16"/>
    </row>
    <row r="4368" spans="1:12" ht="14" customHeight="1" x14ac:dyDescent="0.2">
      <c r="A4368" s="17"/>
      <c r="B4368" s="18"/>
      <c r="C4368" s="19"/>
      <c r="D4368" s="19"/>
      <c r="E4368" s="19"/>
      <c r="F4368" s="19"/>
      <c r="G4368" s="19"/>
      <c r="H4368" s="19"/>
      <c r="I4368" s="19"/>
      <c r="J4368" s="19"/>
      <c r="K4368" s="6"/>
      <c r="L4368" s="19"/>
    </row>
    <row r="4369" spans="1:12" ht="14" customHeight="1" x14ac:dyDescent="0.2">
      <c r="A4369" s="14"/>
      <c r="B4369" s="15"/>
      <c r="C4369" s="16"/>
      <c r="D4369" s="16"/>
      <c r="E4369" s="16"/>
      <c r="F4369" s="16"/>
      <c r="G4369" s="16"/>
      <c r="H4369" s="16"/>
      <c r="I4369" s="16"/>
      <c r="J4369" s="16"/>
      <c r="K4369" s="6"/>
      <c r="L4369" s="16"/>
    </row>
    <row r="4370" spans="1:12" ht="14" customHeight="1" x14ac:dyDescent="0.2">
      <c r="A4370" s="17"/>
      <c r="B4370" s="18"/>
      <c r="C4370" s="19"/>
      <c r="D4370" s="19"/>
      <c r="E4370" s="19"/>
      <c r="F4370" s="19"/>
      <c r="G4370" s="19"/>
      <c r="H4370" s="19"/>
      <c r="I4370" s="19"/>
      <c r="J4370" s="19"/>
      <c r="K4370" s="6"/>
      <c r="L4370" s="19"/>
    </row>
    <row r="4371" spans="1:12" ht="14" customHeight="1" x14ac:dyDescent="0.2">
      <c r="A4371" s="14"/>
      <c r="B4371" s="15"/>
      <c r="C4371" s="16"/>
      <c r="D4371" s="16"/>
      <c r="E4371" s="16"/>
      <c r="F4371" s="16"/>
      <c r="G4371" s="16"/>
      <c r="H4371" s="16"/>
      <c r="I4371" s="16"/>
      <c r="J4371" s="16"/>
      <c r="K4371" s="6"/>
      <c r="L4371" s="16"/>
    </row>
    <row r="4372" spans="1:12" ht="14" customHeight="1" x14ac:dyDescent="0.2">
      <c r="A4372" s="17"/>
      <c r="B4372" s="18"/>
      <c r="C4372" s="19"/>
      <c r="D4372" s="19"/>
      <c r="E4372" s="19"/>
      <c r="F4372" s="19"/>
      <c r="G4372" s="19"/>
      <c r="H4372" s="19"/>
      <c r="I4372" s="19"/>
      <c r="J4372" s="19"/>
      <c r="K4372" s="6"/>
      <c r="L4372" s="19"/>
    </row>
    <row r="4373" spans="1:12" ht="14" customHeight="1" x14ac:dyDescent="0.2">
      <c r="A4373" s="14"/>
      <c r="B4373" s="15"/>
      <c r="C4373" s="16"/>
      <c r="D4373" s="16"/>
      <c r="E4373" s="16"/>
      <c r="F4373" s="16"/>
      <c r="G4373" s="16"/>
      <c r="H4373" s="16"/>
      <c r="I4373" s="16"/>
      <c r="J4373" s="16"/>
      <c r="K4373" s="6"/>
      <c r="L4373" s="16"/>
    </row>
    <row r="4374" spans="1:12" ht="14" customHeight="1" x14ac:dyDescent="0.2">
      <c r="A4374" s="17"/>
      <c r="B4374" s="18"/>
      <c r="C4374" s="19"/>
      <c r="D4374" s="19"/>
      <c r="E4374" s="19"/>
      <c r="F4374" s="19"/>
      <c r="G4374" s="19"/>
      <c r="H4374" s="19"/>
      <c r="I4374" s="19"/>
      <c r="J4374" s="19"/>
      <c r="K4374" s="6"/>
      <c r="L4374" s="19"/>
    </row>
    <row r="4375" spans="1:12" ht="14" customHeight="1" x14ac:dyDescent="0.2">
      <c r="A4375" s="14"/>
      <c r="B4375" s="15"/>
      <c r="C4375" s="16"/>
      <c r="D4375" s="16"/>
      <c r="E4375" s="16"/>
      <c r="F4375" s="16"/>
      <c r="G4375" s="16"/>
      <c r="H4375" s="16"/>
      <c r="I4375" s="16"/>
      <c r="J4375" s="16"/>
      <c r="K4375" s="6"/>
      <c r="L4375" s="16"/>
    </row>
    <row r="4376" spans="1:12" ht="14" customHeight="1" x14ac:dyDescent="0.2">
      <c r="A4376" s="17"/>
      <c r="B4376" s="18"/>
      <c r="C4376" s="19"/>
      <c r="D4376" s="19"/>
      <c r="E4376" s="19"/>
      <c r="F4376" s="19"/>
      <c r="G4376" s="19"/>
      <c r="H4376" s="19"/>
      <c r="I4376" s="19"/>
      <c r="J4376" s="19"/>
      <c r="K4376" s="6"/>
      <c r="L4376" s="19"/>
    </row>
    <row r="4377" spans="1:12" ht="14" customHeight="1" x14ac:dyDescent="0.2">
      <c r="A4377" s="14"/>
      <c r="B4377" s="15"/>
      <c r="C4377" s="16"/>
      <c r="D4377" s="16"/>
      <c r="E4377" s="16"/>
      <c r="F4377" s="16"/>
      <c r="G4377" s="16"/>
      <c r="H4377" s="16"/>
      <c r="I4377" s="16"/>
      <c r="J4377" s="16"/>
      <c r="K4377" s="6"/>
      <c r="L4377" s="16"/>
    </row>
    <row r="4378" spans="1:12" ht="14" customHeight="1" x14ac:dyDescent="0.2">
      <c r="A4378" s="17"/>
      <c r="B4378" s="18"/>
      <c r="C4378" s="19"/>
      <c r="D4378" s="19"/>
      <c r="E4378" s="19"/>
      <c r="F4378" s="19"/>
      <c r="G4378" s="19"/>
      <c r="H4378" s="19"/>
      <c r="I4378" s="19"/>
      <c r="J4378" s="19"/>
      <c r="K4378" s="6"/>
      <c r="L4378" s="19"/>
    </row>
    <row r="4379" spans="1:12" ht="14" customHeight="1" x14ac:dyDescent="0.2">
      <c r="A4379" s="14"/>
      <c r="B4379" s="15"/>
      <c r="C4379" s="16"/>
      <c r="D4379" s="16"/>
      <c r="E4379" s="16"/>
      <c r="F4379" s="16"/>
      <c r="G4379" s="16"/>
      <c r="H4379" s="16"/>
      <c r="I4379" s="16"/>
      <c r="J4379" s="16"/>
      <c r="K4379" s="6"/>
      <c r="L4379" s="16"/>
    </row>
    <row r="4380" spans="1:12" ht="14" customHeight="1" x14ac:dyDescent="0.2">
      <c r="A4380" s="17"/>
      <c r="B4380" s="18"/>
      <c r="C4380" s="19"/>
      <c r="D4380" s="19"/>
      <c r="E4380" s="19"/>
      <c r="F4380" s="19"/>
      <c r="G4380" s="19"/>
      <c r="H4380" s="19"/>
      <c r="I4380" s="19"/>
      <c r="J4380" s="19"/>
      <c r="K4380" s="6"/>
      <c r="L4380" s="19"/>
    </row>
    <row r="4381" spans="1:12" ht="14" customHeight="1" x14ac:dyDescent="0.2">
      <c r="A4381" s="14"/>
      <c r="B4381" s="15"/>
      <c r="C4381" s="16"/>
      <c r="D4381" s="16"/>
      <c r="E4381" s="16"/>
      <c r="F4381" s="16"/>
      <c r="G4381" s="16"/>
      <c r="H4381" s="16"/>
      <c r="I4381" s="16"/>
      <c r="J4381" s="16"/>
      <c r="K4381" s="6"/>
      <c r="L4381" s="16"/>
    </row>
    <row r="4382" spans="1:12" ht="14" customHeight="1" x14ac:dyDescent="0.2">
      <c r="A4382" s="17"/>
      <c r="B4382" s="18"/>
      <c r="C4382" s="19"/>
      <c r="D4382" s="19"/>
      <c r="E4382" s="19"/>
      <c r="F4382" s="19"/>
      <c r="G4382" s="19"/>
      <c r="H4382" s="19"/>
      <c r="I4382" s="19"/>
      <c r="J4382" s="19"/>
      <c r="K4382" s="6"/>
      <c r="L4382" s="19"/>
    </row>
    <row r="4383" spans="1:12" ht="14" customHeight="1" x14ac:dyDescent="0.2">
      <c r="A4383" s="14"/>
      <c r="B4383" s="15"/>
      <c r="C4383" s="16"/>
      <c r="D4383" s="16"/>
      <c r="E4383" s="16"/>
      <c r="F4383" s="16"/>
      <c r="G4383" s="16"/>
      <c r="H4383" s="16"/>
      <c r="I4383" s="16"/>
      <c r="J4383" s="16"/>
      <c r="K4383" s="6"/>
      <c r="L4383" s="16"/>
    </row>
    <row r="4384" spans="1:12" ht="14" customHeight="1" x14ac:dyDescent="0.2">
      <c r="A4384" s="17"/>
      <c r="B4384" s="18"/>
      <c r="C4384" s="19"/>
      <c r="D4384" s="19"/>
      <c r="E4384" s="19"/>
      <c r="F4384" s="19"/>
      <c r="G4384" s="19"/>
      <c r="H4384" s="19"/>
      <c r="I4384" s="19"/>
      <c r="J4384" s="19"/>
      <c r="K4384" s="6"/>
      <c r="L4384" s="19"/>
    </row>
    <row r="4385" spans="1:12" ht="14" customHeight="1" x14ac:dyDescent="0.2">
      <c r="A4385" s="14"/>
      <c r="B4385" s="15"/>
      <c r="C4385" s="16"/>
      <c r="D4385" s="16"/>
      <c r="E4385" s="16"/>
      <c r="F4385" s="16"/>
      <c r="G4385" s="16"/>
      <c r="H4385" s="16"/>
      <c r="I4385" s="16"/>
      <c r="J4385" s="16"/>
      <c r="K4385" s="6"/>
      <c r="L4385" s="16"/>
    </row>
    <row r="4386" spans="1:12" ht="14" customHeight="1" x14ac:dyDescent="0.2">
      <c r="A4386" s="17"/>
      <c r="B4386" s="18"/>
      <c r="C4386" s="19"/>
      <c r="D4386" s="19"/>
      <c r="E4386" s="19"/>
      <c r="F4386" s="19"/>
      <c r="G4386" s="19"/>
      <c r="H4386" s="19"/>
      <c r="I4386" s="19"/>
      <c r="J4386" s="19"/>
      <c r="K4386" s="6"/>
      <c r="L4386" s="19"/>
    </row>
    <row r="4387" spans="1:12" ht="14" customHeight="1" x14ac:dyDescent="0.2">
      <c r="A4387" s="14"/>
      <c r="B4387" s="15"/>
      <c r="C4387" s="16"/>
      <c r="D4387" s="16"/>
      <c r="E4387" s="16"/>
      <c r="F4387" s="16"/>
      <c r="G4387" s="16"/>
      <c r="H4387" s="16"/>
      <c r="I4387" s="16"/>
      <c r="J4387" s="16"/>
      <c r="K4387" s="6"/>
      <c r="L4387" s="16"/>
    </row>
    <row r="4388" spans="1:12" ht="14" customHeight="1" x14ac:dyDescent="0.2">
      <c r="A4388" s="17"/>
      <c r="B4388" s="18"/>
      <c r="C4388" s="19"/>
      <c r="D4388" s="19"/>
      <c r="E4388" s="19"/>
      <c r="F4388" s="19"/>
      <c r="G4388" s="19"/>
      <c r="H4388" s="19"/>
      <c r="I4388" s="19"/>
      <c r="J4388" s="19"/>
      <c r="K4388" s="6"/>
      <c r="L4388" s="19"/>
    </row>
    <row r="4389" spans="1:12" ht="14" customHeight="1" x14ac:dyDescent="0.2">
      <c r="A4389" s="14"/>
      <c r="B4389" s="15"/>
      <c r="C4389" s="16"/>
      <c r="D4389" s="16"/>
      <c r="E4389" s="16"/>
      <c r="F4389" s="16"/>
      <c r="G4389" s="16"/>
      <c r="H4389" s="16"/>
      <c r="I4389" s="16"/>
      <c r="J4389" s="16"/>
      <c r="K4389" s="6"/>
      <c r="L4389" s="16"/>
    </row>
    <row r="4390" spans="1:12" ht="14" customHeight="1" x14ac:dyDescent="0.2">
      <c r="A4390" s="17"/>
      <c r="B4390" s="18"/>
      <c r="C4390" s="19"/>
      <c r="D4390" s="19"/>
      <c r="E4390" s="19"/>
      <c r="F4390" s="19"/>
      <c r="G4390" s="19"/>
      <c r="H4390" s="19"/>
      <c r="I4390" s="19"/>
      <c r="J4390" s="19"/>
      <c r="K4390" s="6"/>
      <c r="L4390" s="19"/>
    </row>
    <row r="4391" spans="1:12" ht="14" customHeight="1" x14ac:dyDescent="0.2">
      <c r="A4391" s="14"/>
      <c r="B4391" s="15"/>
      <c r="C4391" s="16"/>
      <c r="D4391" s="16"/>
      <c r="E4391" s="16"/>
      <c r="F4391" s="16"/>
      <c r="G4391" s="16"/>
      <c r="H4391" s="16"/>
      <c r="I4391" s="16"/>
      <c r="J4391" s="16"/>
      <c r="K4391" s="6"/>
      <c r="L4391" s="16"/>
    </row>
    <row r="4392" spans="1:12" ht="14" customHeight="1" x14ac:dyDescent="0.2">
      <c r="A4392" s="17"/>
      <c r="B4392" s="18"/>
      <c r="C4392" s="19"/>
      <c r="D4392" s="19"/>
      <c r="E4392" s="19"/>
      <c r="F4392" s="19"/>
      <c r="G4392" s="19"/>
      <c r="H4392" s="19"/>
      <c r="I4392" s="19"/>
      <c r="J4392" s="19"/>
      <c r="K4392" s="6"/>
      <c r="L4392" s="19"/>
    </row>
    <row r="4393" spans="1:12" ht="14" customHeight="1" x14ac:dyDescent="0.2">
      <c r="A4393" s="14"/>
      <c r="B4393" s="15"/>
      <c r="C4393" s="16"/>
      <c r="D4393" s="16"/>
      <c r="E4393" s="16"/>
      <c r="F4393" s="16"/>
      <c r="G4393" s="16"/>
      <c r="H4393" s="16"/>
      <c r="I4393" s="16"/>
      <c r="J4393" s="16"/>
      <c r="K4393" s="6"/>
      <c r="L4393" s="16"/>
    </row>
    <row r="4394" spans="1:12" ht="14" customHeight="1" x14ac:dyDescent="0.2">
      <c r="A4394" s="17"/>
      <c r="B4394" s="18"/>
      <c r="C4394" s="19"/>
      <c r="D4394" s="19"/>
      <c r="E4394" s="19"/>
      <c r="F4394" s="19"/>
      <c r="G4394" s="19"/>
      <c r="H4394" s="19"/>
      <c r="I4394" s="19"/>
      <c r="J4394" s="19"/>
      <c r="K4394" s="6"/>
      <c r="L4394" s="19"/>
    </row>
    <row r="4395" spans="1:12" ht="14" customHeight="1" x14ac:dyDescent="0.2">
      <c r="A4395" s="14"/>
      <c r="B4395" s="15"/>
      <c r="C4395" s="16"/>
      <c r="D4395" s="16"/>
      <c r="E4395" s="16"/>
      <c r="F4395" s="16"/>
      <c r="G4395" s="16"/>
      <c r="H4395" s="16"/>
      <c r="I4395" s="16"/>
      <c r="J4395" s="16"/>
      <c r="K4395" s="6"/>
      <c r="L4395" s="16"/>
    </row>
    <row r="4396" spans="1:12" ht="14" customHeight="1" x14ac:dyDescent="0.2">
      <c r="A4396" s="17"/>
      <c r="B4396" s="18"/>
      <c r="C4396" s="19"/>
      <c r="D4396" s="19"/>
      <c r="E4396" s="19"/>
      <c r="F4396" s="19"/>
      <c r="G4396" s="19"/>
      <c r="H4396" s="19"/>
      <c r="I4396" s="19"/>
      <c r="J4396" s="19"/>
      <c r="K4396" s="6"/>
      <c r="L4396" s="19"/>
    </row>
    <row r="4397" spans="1:12" ht="14" customHeight="1" x14ac:dyDescent="0.2">
      <c r="A4397" s="14"/>
      <c r="B4397" s="15"/>
      <c r="C4397" s="16"/>
      <c r="D4397" s="16"/>
      <c r="E4397" s="16"/>
      <c r="F4397" s="16"/>
      <c r="G4397" s="16"/>
      <c r="H4397" s="16"/>
      <c r="I4397" s="16"/>
      <c r="J4397" s="16"/>
      <c r="K4397" s="6"/>
      <c r="L4397" s="16"/>
    </row>
    <row r="4398" spans="1:12" ht="14" customHeight="1" x14ac:dyDescent="0.2">
      <c r="A4398" s="17"/>
      <c r="B4398" s="18"/>
      <c r="C4398" s="19"/>
      <c r="D4398" s="19"/>
      <c r="E4398" s="19"/>
      <c r="F4398" s="19"/>
      <c r="G4398" s="19"/>
      <c r="H4398" s="19"/>
      <c r="I4398" s="19"/>
      <c r="J4398" s="19"/>
      <c r="K4398" s="6"/>
      <c r="L4398" s="19"/>
    </row>
    <row r="4399" spans="1:12" ht="14" customHeight="1" x14ac:dyDescent="0.2">
      <c r="A4399" s="14"/>
      <c r="B4399" s="15"/>
      <c r="C4399" s="16"/>
      <c r="D4399" s="16"/>
      <c r="E4399" s="16"/>
      <c r="F4399" s="16"/>
      <c r="G4399" s="16"/>
      <c r="H4399" s="16"/>
      <c r="I4399" s="16"/>
      <c r="J4399" s="16"/>
      <c r="K4399" s="6"/>
      <c r="L4399" s="16"/>
    </row>
    <row r="4400" spans="1:12" ht="14" customHeight="1" x14ac:dyDescent="0.2">
      <c r="A4400" s="17"/>
      <c r="B4400" s="18"/>
      <c r="C4400" s="19"/>
      <c r="D4400" s="19"/>
      <c r="E4400" s="19"/>
      <c r="F4400" s="19"/>
      <c r="G4400" s="19"/>
      <c r="H4400" s="19"/>
      <c r="I4400" s="19"/>
      <c r="J4400" s="19"/>
      <c r="K4400" s="6"/>
      <c r="L4400" s="19"/>
    </row>
    <row r="4401" spans="1:12" ht="14" customHeight="1" x14ac:dyDescent="0.2">
      <c r="A4401" s="14"/>
      <c r="B4401" s="15"/>
      <c r="C4401" s="16"/>
      <c r="D4401" s="16"/>
      <c r="E4401" s="16"/>
      <c r="F4401" s="16"/>
      <c r="G4401" s="16"/>
      <c r="H4401" s="16"/>
      <c r="I4401" s="16"/>
      <c r="J4401" s="16"/>
      <c r="K4401" s="6"/>
      <c r="L4401" s="16"/>
    </row>
    <row r="4402" spans="1:12" ht="14" customHeight="1" x14ac:dyDescent="0.2">
      <c r="A4402" s="17"/>
      <c r="B4402" s="18"/>
      <c r="C4402" s="19"/>
      <c r="D4402" s="19"/>
      <c r="E4402" s="19"/>
      <c r="F4402" s="19"/>
      <c r="G4402" s="19"/>
      <c r="H4402" s="19"/>
      <c r="I4402" s="19"/>
      <c r="J4402" s="19"/>
      <c r="K4402" s="6"/>
      <c r="L4402" s="19"/>
    </row>
    <row r="4403" spans="1:12" ht="14" customHeight="1" x14ac:dyDescent="0.2">
      <c r="A4403" s="14"/>
      <c r="B4403" s="15"/>
      <c r="C4403" s="16"/>
      <c r="D4403" s="16"/>
      <c r="E4403" s="16"/>
      <c r="F4403" s="16"/>
      <c r="G4403" s="16"/>
      <c r="H4403" s="16"/>
      <c r="I4403" s="16"/>
      <c r="J4403" s="16"/>
      <c r="K4403" s="6"/>
      <c r="L4403" s="16"/>
    </row>
    <row r="4404" spans="1:12" ht="14" customHeight="1" x14ac:dyDescent="0.2">
      <c r="A4404" s="17"/>
      <c r="B4404" s="18"/>
      <c r="C4404" s="19"/>
      <c r="D4404" s="19"/>
      <c r="E4404" s="19"/>
      <c r="F4404" s="19"/>
      <c r="G4404" s="19"/>
      <c r="H4404" s="19"/>
      <c r="I4404" s="19"/>
      <c r="J4404" s="19"/>
      <c r="K4404" s="6"/>
      <c r="L4404" s="19"/>
    </row>
    <row r="4405" spans="1:12" ht="14" customHeight="1" x14ac:dyDescent="0.2">
      <c r="A4405" s="14"/>
      <c r="B4405" s="15"/>
      <c r="C4405" s="16"/>
      <c r="D4405" s="16"/>
      <c r="E4405" s="16"/>
      <c r="F4405" s="16"/>
      <c r="G4405" s="16"/>
      <c r="H4405" s="16"/>
      <c r="I4405" s="16"/>
      <c r="J4405" s="16"/>
      <c r="K4405" s="6"/>
      <c r="L4405" s="16"/>
    </row>
    <row r="4406" spans="1:12" ht="14" customHeight="1" x14ac:dyDescent="0.2">
      <c r="A4406" s="17"/>
      <c r="B4406" s="18"/>
      <c r="C4406" s="19"/>
      <c r="D4406" s="19"/>
      <c r="E4406" s="19"/>
      <c r="F4406" s="19"/>
      <c r="G4406" s="19"/>
      <c r="H4406" s="19"/>
      <c r="I4406" s="19"/>
      <c r="J4406" s="19"/>
      <c r="K4406" s="6"/>
      <c r="L4406" s="19"/>
    </row>
    <row r="4407" spans="1:12" ht="14" customHeight="1" x14ac:dyDescent="0.2">
      <c r="A4407" s="14"/>
      <c r="B4407" s="15"/>
      <c r="C4407" s="16"/>
      <c r="D4407" s="16"/>
      <c r="E4407" s="16"/>
      <c r="F4407" s="16"/>
      <c r="G4407" s="16"/>
      <c r="H4407" s="16"/>
      <c r="I4407" s="16"/>
      <c r="J4407" s="16"/>
      <c r="K4407" s="6"/>
      <c r="L4407" s="16"/>
    </row>
    <row r="4408" spans="1:12" ht="14" customHeight="1" x14ac:dyDescent="0.2">
      <c r="A4408" s="17"/>
      <c r="B4408" s="18"/>
      <c r="C4408" s="19"/>
      <c r="D4408" s="19"/>
      <c r="E4408" s="19"/>
      <c r="F4408" s="19"/>
      <c r="G4408" s="19"/>
      <c r="H4408" s="19"/>
      <c r="I4408" s="19"/>
      <c r="J4408" s="19"/>
      <c r="K4408" s="6"/>
      <c r="L4408" s="19"/>
    </row>
    <row r="4409" spans="1:12" ht="14" customHeight="1" x14ac:dyDescent="0.2">
      <c r="A4409" s="14"/>
      <c r="B4409" s="15"/>
      <c r="C4409" s="16"/>
      <c r="D4409" s="16"/>
      <c r="E4409" s="16"/>
      <c r="F4409" s="16"/>
      <c r="G4409" s="16"/>
      <c r="H4409" s="16"/>
      <c r="I4409" s="16"/>
      <c r="J4409" s="16"/>
      <c r="K4409" s="6"/>
      <c r="L4409" s="16"/>
    </row>
    <row r="4410" spans="1:12" ht="14" customHeight="1" x14ac:dyDescent="0.2">
      <c r="A4410" s="17"/>
      <c r="B4410" s="18"/>
      <c r="C4410" s="19"/>
      <c r="D4410" s="19"/>
      <c r="E4410" s="19"/>
      <c r="F4410" s="19"/>
      <c r="G4410" s="19"/>
      <c r="H4410" s="19"/>
      <c r="I4410" s="19"/>
      <c r="J4410" s="19"/>
      <c r="K4410" s="6"/>
      <c r="L4410" s="19"/>
    </row>
    <row r="4411" spans="1:12" ht="14" customHeight="1" x14ac:dyDescent="0.2">
      <c r="A4411" s="14"/>
      <c r="B4411" s="15"/>
      <c r="C4411" s="16"/>
      <c r="D4411" s="16"/>
      <c r="E4411" s="16"/>
      <c r="F4411" s="16"/>
      <c r="G4411" s="16"/>
      <c r="H4411" s="16"/>
      <c r="I4411" s="16"/>
      <c r="J4411" s="16"/>
      <c r="K4411" s="6"/>
      <c r="L4411" s="16"/>
    </row>
    <row r="4412" spans="1:12" ht="14" customHeight="1" x14ac:dyDescent="0.2">
      <c r="A4412" s="17"/>
      <c r="B4412" s="18"/>
      <c r="C4412" s="19"/>
      <c r="D4412" s="19"/>
      <c r="E4412" s="19"/>
      <c r="F4412" s="19"/>
      <c r="G4412" s="19"/>
      <c r="H4412" s="19"/>
      <c r="I4412" s="19"/>
      <c r="J4412" s="19"/>
      <c r="K4412" s="6"/>
      <c r="L4412" s="19"/>
    </row>
    <row r="4413" spans="1:12" ht="14" customHeight="1" x14ac:dyDescent="0.2">
      <c r="A4413" s="14"/>
      <c r="B4413" s="15"/>
      <c r="C4413" s="16"/>
      <c r="D4413" s="16"/>
      <c r="E4413" s="16"/>
      <c r="F4413" s="16"/>
      <c r="G4413" s="16"/>
      <c r="H4413" s="16"/>
      <c r="I4413" s="16"/>
      <c r="J4413" s="16"/>
      <c r="K4413" s="6"/>
      <c r="L4413" s="16"/>
    </row>
    <row r="4414" spans="1:12" ht="14" customHeight="1" x14ac:dyDescent="0.2">
      <c r="A4414" s="17"/>
      <c r="B4414" s="18"/>
      <c r="C4414" s="19"/>
      <c r="D4414" s="19"/>
      <c r="E4414" s="19"/>
      <c r="F4414" s="19"/>
      <c r="G4414" s="19"/>
      <c r="H4414" s="19"/>
      <c r="I4414" s="19"/>
      <c r="J4414" s="19"/>
      <c r="K4414" s="6"/>
      <c r="L4414" s="19"/>
    </row>
    <row r="4415" spans="1:12" ht="14" customHeight="1" x14ac:dyDescent="0.2">
      <c r="A4415" s="14"/>
      <c r="B4415" s="15"/>
      <c r="C4415" s="16"/>
      <c r="D4415" s="16"/>
      <c r="E4415" s="16"/>
      <c r="F4415" s="16"/>
      <c r="G4415" s="16"/>
      <c r="H4415" s="16"/>
      <c r="I4415" s="16"/>
      <c r="J4415" s="16"/>
      <c r="K4415" s="6"/>
      <c r="L4415" s="16"/>
    </row>
    <row r="4416" spans="1:12" ht="14" customHeight="1" x14ac:dyDescent="0.2">
      <c r="A4416" s="17"/>
      <c r="B4416" s="18"/>
      <c r="C4416" s="19"/>
      <c r="D4416" s="19"/>
      <c r="E4416" s="19"/>
      <c r="F4416" s="19"/>
      <c r="G4416" s="19"/>
      <c r="H4416" s="19"/>
      <c r="I4416" s="19"/>
      <c r="J4416" s="19"/>
      <c r="K4416" s="6"/>
      <c r="L4416" s="19"/>
    </row>
    <row r="4417" spans="1:12" ht="14" customHeight="1" x14ac:dyDescent="0.2">
      <c r="A4417" s="14"/>
      <c r="B4417" s="15"/>
      <c r="C4417" s="16"/>
      <c r="D4417" s="16"/>
      <c r="E4417" s="16"/>
      <c r="F4417" s="16"/>
      <c r="G4417" s="16"/>
      <c r="H4417" s="16"/>
      <c r="I4417" s="16"/>
      <c r="J4417" s="16"/>
      <c r="K4417" s="6"/>
      <c r="L4417" s="16"/>
    </row>
    <row r="4418" spans="1:12" ht="14" customHeight="1" x14ac:dyDescent="0.2">
      <c r="A4418" s="17"/>
      <c r="B4418" s="18"/>
      <c r="C4418" s="19"/>
      <c r="D4418" s="19"/>
      <c r="E4418" s="19"/>
      <c r="F4418" s="19"/>
      <c r="G4418" s="19"/>
      <c r="H4418" s="19"/>
      <c r="I4418" s="19"/>
      <c r="J4418" s="19"/>
      <c r="K4418" s="6"/>
      <c r="L4418" s="19"/>
    </row>
    <row r="4419" spans="1:12" ht="14" customHeight="1" x14ac:dyDescent="0.2">
      <c r="A4419" s="14"/>
      <c r="B4419" s="15"/>
      <c r="C4419" s="16"/>
      <c r="D4419" s="16"/>
      <c r="E4419" s="16"/>
      <c r="F4419" s="16"/>
      <c r="G4419" s="16"/>
      <c r="H4419" s="16"/>
      <c r="I4419" s="16"/>
      <c r="J4419" s="16"/>
      <c r="K4419" s="6"/>
      <c r="L4419" s="16"/>
    </row>
    <row r="4420" spans="1:12" ht="14" customHeight="1" x14ac:dyDescent="0.2">
      <c r="A4420" s="17"/>
      <c r="B4420" s="18"/>
      <c r="C4420" s="19"/>
      <c r="D4420" s="19"/>
      <c r="E4420" s="19"/>
      <c r="F4420" s="19"/>
      <c r="G4420" s="19"/>
      <c r="H4420" s="19"/>
      <c r="I4420" s="19"/>
      <c r="J4420" s="19"/>
      <c r="K4420" s="6"/>
      <c r="L4420" s="19"/>
    </row>
    <row r="4421" spans="1:12" ht="14" customHeight="1" x14ac:dyDescent="0.2">
      <c r="A4421" s="14"/>
      <c r="B4421" s="15"/>
      <c r="C4421" s="16"/>
      <c r="D4421" s="16"/>
      <c r="E4421" s="16"/>
      <c r="F4421" s="16"/>
      <c r="G4421" s="16"/>
      <c r="H4421" s="16"/>
      <c r="I4421" s="16"/>
      <c r="J4421" s="16"/>
      <c r="K4421" s="6"/>
      <c r="L4421" s="16"/>
    </row>
    <row r="4422" spans="1:12" ht="14" customHeight="1" x14ac:dyDescent="0.2">
      <c r="A4422" s="17"/>
      <c r="B4422" s="18"/>
      <c r="C4422" s="19"/>
      <c r="D4422" s="19"/>
      <c r="E4422" s="19"/>
      <c r="F4422" s="19"/>
      <c r="G4422" s="19"/>
      <c r="H4422" s="19"/>
      <c r="I4422" s="19"/>
      <c r="J4422" s="19"/>
      <c r="K4422" s="6"/>
      <c r="L4422" s="19"/>
    </row>
    <row r="4423" spans="1:12" ht="14" customHeight="1" x14ac:dyDescent="0.2">
      <c r="A4423" s="14"/>
      <c r="B4423" s="15"/>
      <c r="C4423" s="16"/>
      <c r="D4423" s="16"/>
      <c r="E4423" s="16"/>
      <c r="F4423" s="16"/>
      <c r="G4423" s="16"/>
      <c r="H4423" s="16"/>
      <c r="I4423" s="16"/>
      <c r="J4423" s="16"/>
      <c r="K4423" s="6"/>
      <c r="L4423" s="16"/>
    </row>
    <row r="4424" spans="1:12" ht="14" customHeight="1" x14ac:dyDescent="0.2">
      <c r="A4424" s="17"/>
      <c r="B4424" s="18"/>
      <c r="C4424" s="19"/>
      <c r="D4424" s="19"/>
      <c r="E4424" s="19"/>
      <c r="F4424" s="19"/>
      <c r="G4424" s="19"/>
      <c r="H4424" s="19"/>
      <c r="I4424" s="19"/>
      <c r="J4424" s="19"/>
      <c r="K4424" s="6"/>
      <c r="L4424" s="19"/>
    </row>
    <row r="4425" spans="1:12" ht="14" customHeight="1" x14ac:dyDescent="0.2">
      <c r="A4425" s="14"/>
      <c r="B4425" s="15"/>
      <c r="C4425" s="16"/>
      <c r="D4425" s="16"/>
      <c r="E4425" s="16"/>
      <c r="F4425" s="16"/>
      <c r="G4425" s="16"/>
      <c r="H4425" s="16"/>
      <c r="I4425" s="16"/>
      <c r="J4425" s="16"/>
      <c r="K4425" s="6"/>
      <c r="L4425" s="16"/>
    </row>
    <row r="4426" spans="1:12" ht="14" customHeight="1" x14ac:dyDescent="0.2">
      <c r="A4426" s="17"/>
      <c r="B4426" s="18"/>
      <c r="C4426" s="19"/>
      <c r="D4426" s="19"/>
      <c r="E4426" s="19"/>
      <c r="F4426" s="19"/>
      <c r="G4426" s="19"/>
      <c r="H4426" s="19"/>
      <c r="I4426" s="19"/>
      <c r="J4426" s="19"/>
      <c r="K4426" s="6"/>
      <c r="L4426" s="19"/>
    </row>
    <row r="4427" spans="1:12" ht="14" customHeight="1" x14ac:dyDescent="0.2">
      <c r="A4427" s="14"/>
      <c r="B4427" s="15"/>
      <c r="C4427" s="16"/>
      <c r="D4427" s="16"/>
      <c r="E4427" s="16"/>
      <c r="F4427" s="16"/>
      <c r="G4427" s="16"/>
      <c r="H4427" s="16"/>
      <c r="I4427" s="16"/>
      <c r="J4427" s="16"/>
      <c r="K4427" s="6"/>
      <c r="L4427" s="16"/>
    </row>
    <row r="4428" spans="1:12" ht="14" customHeight="1" x14ac:dyDescent="0.2">
      <c r="A4428" s="17"/>
      <c r="B4428" s="18"/>
      <c r="C4428" s="19"/>
      <c r="D4428" s="19"/>
      <c r="E4428" s="19"/>
      <c r="F4428" s="19"/>
      <c r="G4428" s="19"/>
      <c r="H4428" s="19"/>
      <c r="I4428" s="19"/>
      <c r="J4428" s="19"/>
      <c r="K4428" s="6"/>
      <c r="L4428" s="19"/>
    </row>
    <row r="4429" spans="1:12" ht="14" customHeight="1" x14ac:dyDescent="0.2">
      <c r="A4429" s="14"/>
      <c r="B4429" s="15"/>
      <c r="C4429" s="16"/>
      <c r="D4429" s="16"/>
      <c r="E4429" s="16"/>
      <c r="F4429" s="16"/>
      <c r="G4429" s="16"/>
      <c r="H4429" s="16"/>
      <c r="I4429" s="16"/>
      <c r="J4429" s="16"/>
      <c r="K4429" s="6"/>
      <c r="L4429" s="16"/>
    </row>
    <row r="4430" spans="1:12" ht="14" customHeight="1" x14ac:dyDescent="0.2">
      <c r="A4430" s="17"/>
      <c r="B4430" s="18"/>
      <c r="C4430" s="19"/>
      <c r="D4430" s="19"/>
      <c r="E4430" s="19"/>
      <c r="F4430" s="19"/>
      <c r="G4430" s="19"/>
      <c r="H4430" s="19"/>
      <c r="I4430" s="19"/>
      <c r="J4430" s="19"/>
      <c r="K4430" s="6"/>
      <c r="L4430" s="19"/>
    </row>
    <row r="4431" spans="1:12" ht="14" customHeight="1" x14ac:dyDescent="0.2">
      <c r="A4431" s="14"/>
      <c r="B4431" s="15"/>
      <c r="C4431" s="16"/>
      <c r="D4431" s="16"/>
      <c r="E4431" s="16"/>
      <c r="F4431" s="16"/>
      <c r="G4431" s="16"/>
      <c r="H4431" s="16"/>
      <c r="I4431" s="16"/>
      <c r="J4431" s="16"/>
      <c r="K4431" s="6"/>
      <c r="L4431" s="16"/>
    </row>
    <row r="4432" spans="1:12" ht="14" customHeight="1" x14ac:dyDescent="0.2">
      <c r="A4432" s="17"/>
      <c r="B4432" s="18"/>
      <c r="C4432" s="19"/>
      <c r="D4432" s="19"/>
      <c r="E4432" s="19"/>
      <c r="F4432" s="19"/>
      <c r="G4432" s="19"/>
      <c r="H4432" s="19"/>
      <c r="I4432" s="19"/>
      <c r="J4432" s="19"/>
      <c r="K4432" s="6"/>
      <c r="L4432" s="19"/>
    </row>
    <row r="4433" spans="1:12" ht="14" customHeight="1" x14ac:dyDescent="0.2">
      <c r="A4433" s="14"/>
      <c r="B4433" s="15"/>
      <c r="C4433" s="16"/>
      <c r="D4433" s="16"/>
      <c r="E4433" s="16"/>
      <c r="F4433" s="16"/>
      <c r="G4433" s="16"/>
      <c r="H4433" s="16"/>
      <c r="I4433" s="16"/>
      <c r="J4433" s="16"/>
      <c r="K4433" s="6"/>
      <c r="L4433" s="16"/>
    </row>
    <row r="4434" spans="1:12" ht="14" customHeight="1" x14ac:dyDescent="0.2">
      <c r="A4434" s="17"/>
      <c r="B4434" s="18"/>
      <c r="C4434" s="19"/>
      <c r="D4434" s="19"/>
      <c r="E4434" s="19"/>
      <c r="F4434" s="19"/>
      <c r="G4434" s="19"/>
      <c r="H4434" s="19"/>
      <c r="I4434" s="19"/>
      <c r="J4434" s="19"/>
      <c r="K4434" s="6"/>
      <c r="L4434" s="19"/>
    </row>
    <row r="4435" spans="1:12" ht="14" customHeight="1" x14ac:dyDescent="0.2">
      <c r="A4435" s="14"/>
      <c r="B4435" s="15"/>
      <c r="C4435" s="16"/>
      <c r="D4435" s="16"/>
      <c r="E4435" s="16"/>
      <c r="F4435" s="16"/>
      <c r="G4435" s="16"/>
      <c r="H4435" s="16"/>
      <c r="I4435" s="16"/>
      <c r="J4435" s="16"/>
      <c r="K4435" s="6"/>
      <c r="L4435" s="16"/>
    </row>
    <row r="4436" spans="1:12" ht="14" customHeight="1" x14ac:dyDescent="0.2">
      <c r="A4436" s="17"/>
      <c r="B4436" s="18"/>
      <c r="C4436" s="19"/>
      <c r="D4436" s="19"/>
      <c r="E4436" s="19"/>
      <c r="F4436" s="19"/>
      <c r="G4436" s="19"/>
      <c r="H4436" s="19"/>
      <c r="I4436" s="19"/>
      <c r="J4436" s="19"/>
      <c r="K4436" s="6"/>
      <c r="L4436" s="19"/>
    </row>
    <row r="4437" spans="1:12" ht="14" customHeight="1" x14ac:dyDescent="0.2">
      <c r="A4437" s="14"/>
      <c r="B4437" s="15"/>
      <c r="C4437" s="16"/>
      <c r="D4437" s="16"/>
      <c r="E4437" s="16"/>
      <c r="F4437" s="16"/>
      <c r="G4437" s="16"/>
      <c r="H4437" s="16"/>
      <c r="I4437" s="16"/>
      <c r="J4437" s="16"/>
      <c r="K4437" s="6"/>
      <c r="L4437" s="16"/>
    </row>
    <row r="4438" spans="1:12" ht="14" customHeight="1" x14ac:dyDescent="0.2">
      <c r="A4438" s="17"/>
      <c r="B4438" s="18"/>
      <c r="C4438" s="19"/>
      <c r="D4438" s="19"/>
      <c r="E4438" s="19"/>
      <c r="F4438" s="19"/>
      <c r="G4438" s="19"/>
      <c r="H4438" s="19"/>
      <c r="I4438" s="19"/>
      <c r="J4438" s="19"/>
      <c r="K4438" s="6"/>
      <c r="L4438" s="19"/>
    </row>
    <row r="4439" spans="1:12" ht="14" customHeight="1" x14ac:dyDescent="0.2">
      <c r="A4439" s="14"/>
      <c r="B4439" s="15"/>
      <c r="C4439" s="16"/>
      <c r="D4439" s="16"/>
      <c r="E4439" s="16"/>
      <c r="F4439" s="16"/>
      <c r="G4439" s="16"/>
      <c r="H4439" s="16"/>
      <c r="I4439" s="16"/>
      <c r="J4439" s="16"/>
      <c r="K4439" s="6"/>
      <c r="L4439" s="16"/>
    </row>
    <row r="4440" spans="1:12" ht="14" customHeight="1" x14ac:dyDescent="0.2">
      <c r="A4440" s="17"/>
      <c r="B4440" s="18"/>
      <c r="C4440" s="19"/>
      <c r="D4440" s="19"/>
      <c r="E4440" s="19"/>
      <c r="F4440" s="19"/>
      <c r="G4440" s="19"/>
      <c r="H4440" s="19"/>
      <c r="I4440" s="19"/>
      <c r="J4440" s="19"/>
      <c r="K4440" s="6"/>
      <c r="L4440" s="19"/>
    </row>
    <row r="4441" spans="1:12" ht="14" customHeight="1" x14ac:dyDescent="0.2">
      <c r="A4441" s="14"/>
      <c r="B4441" s="15"/>
      <c r="C4441" s="16"/>
      <c r="D4441" s="16"/>
      <c r="E4441" s="16"/>
      <c r="F4441" s="16"/>
      <c r="G4441" s="16"/>
      <c r="H4441" s="16"/>
      <c r="I4441" s="16"/>
      <c r="J4441" s="16"/>
      <c r="K4441" s="6"/>
      <c r="L4441" s="16"/>
    </row>
    <row r="4442" spans="1:12" ht="14" customHeight="1" x14ac:dyDescent="0.2">
      <c r="A4442" s="17"/>
      <c r="B4442" s="18"/>
      <c r="C4442" s="19"/>
      <c r="D4442" s="19"/>
      <c r="E4442" s="19"/>
      <c r="F4442" s="19"/>
      <c r="G4442" s="19"/>
      <c r="H4442" s="19"/>
      <c r="I4442" s="19"/>
      <c r="J4442" s="19"/>
      <c r="K4442" s="6"/>
      <c r="L4442" s="19"/>
    </row>
    <row r="4443" spans="1:12" ht="14" customHeight="1" x14ac:dyDescent="0.2">
      <c r="A4443" s="14"/>
      <c r="B4443" s="15"/>
      <c r="C4443" s="16"/>
      <c r="D4443" s="16"/>
      <c r="E4443" s="16"/>
      <c r="F4443" s="16"/>
      <c r="G4443" s="16"/>
      <c r="H4443" s="16"/>
      <c r="I4443" s="16"/>
      <c r="J4443" s="16"/>
      <c r="K4443" s="6"/>
      <c r="L4443" s="16"/>
    </row>
    <row r="4444" spans="1:12" ht="14" customHeight="1" x14ac:dyDescent="0.2">
      <c r="A4444" s="17"/>
      <c r="B4444" s="18"/>
      <c r="C4444" s="19"/>
      <c r="D4444" s="19"/>
      <c r="E4444" s="19"/>
      <c r="F4444" s="19"/>
      <c r="G4444" s="19"/>
      <c r="H4444" s="19"/>
      <c r="I4444" s="19"/>
      <c r="J4444" s="19"/>
      <c r="K4444" s="6"/>
      <c r="L4444" s="19"/>
    </row>
    <row r="4445" spans="1:12" ht="14" customHeight="1" x14ac:dyDescent="0.2">
      <c r="A4445" s="14"/>
      <c r="B4445" s="15"/>
      <c r="C4445" s="16"/>
      <c r="D4445" s="16"/>
      <c r="E4445" s="16"/>
      <c r="F4445" s="16"/>
      <c r="G4445" s="16"/>
      <c r="H4445" s="16"/>
      <c r="I4445" s="16"/>
      <c r="J4445" s="16"/>
      <c r="K4445" s="6"/>
      <c r="L4445" s="16"/>
    </row>
    <row r="4446" spans="1:12" ht="14" customHeight="1" x14ac:dyDescent="0.2">
      <c r="A4446" s="17"/>
      <c r="B4446" s="18"/>
      <c r="C4446" s="19"/>
      <c r="D4446" s="19"/>
      <c r="E4446" s="19"/>
      <c r="F4446" s="19"/>
      <c r="G4446" s="19"/>
      <c r="H4446" s="19"/>
      <c r="I4446" s="19"/>
      <c r="J4446" s="19"/>
      <c r="K4446" s="6"/>
      <c r="L4446" s="19"/>
    </row>
    <row r="4447" spans="1:12" ht="14" customHeight="1" x14ac:dyDescent="0.2">
      <c r="A4447" s="14"/>
      <c r="B4447" s="15"/>
      <c r="C4447" s="16"/>
      <c r="D4447" s="16"/>
      <c r="E4447" s="16"/>
      <c r="F4447" s="16"/>
      <c r="G4447" s="16"/>
      <c r="H4447" s="16"/>
      <c r="I4447" s="16"/>
      <c r="J4447" s="16"/>
      <c r="K4447" s="6"/>
      <c r="L4447" s="16"/>
    </row>
    <row r="4448" spans="1:12" ht="14" customHeight="1" x14ac:dyDescent="0.2">
      <c r="A4448" s="17"/>
      <c r="B4448" s="18"/>
      <c r="C4448" s="19"/>
      <c r="D4448" s="19"/>
      <c r="E4448" s="19"/>
      <c r="F4448" s="19"/>
      <c r="G4448" s="19"/>
      <c r="H4448" s="19"/>
      <c r="I4448" s="19"/>
      <c r="J4448" s="19"/>
      <c r="K4448" s="6"/>
      <c r="L4448" s="19"/>
    </row>
    <row r="4449" spans="1:12" ht="14" customHeight="1" x14ac:dyDescent="0.2">
      <c r="A4449" s="14"/>
      <c r="B4449" s="15"/>
      <c r="C4449" s="16"/>
      <c r="D4449" s="16"/>
      <c r="E4449" s="16"/>
      <c r="F4449" s="16"/>
      <c r="G4449" s="16"/>
      <c r="H4449" s="16"/>
      <c r="I4449" s="16"/>
      <c r="J4449" s="16"/>
      <c r="K4449" s="6"/>
      <c r="L4449" s="16"/>
    </row>
    <row r="4450" spans="1:12" ht="14" customHeight="1" x14ac:dyDescent="0.2">
      <c r="A4450" s="17"/>
      <c r="B4450" s="18"/>
      <c r="C4450" s="19"/>
      <c r="D4450" s="19"/>
      <c r="E4450" s="19"/>
      <c r="F4450" s="19"/>
      <c r="G4450" s="19"/>
      <c r="H4450" s="19"/>
      <c r="I4450" s="19"/>
      <c r="J4450" s="19"/>
      <c r="K4450" s="6"/>
      <c r="L4450" s="19"/>
    </row>
    <row r="4451" spans="1:12" ht="14" customHeight="1" x14ac:dyDescent="0.2">
      <c r="A4451" s="14"/>
      <c r="B4451" s="15"/>
      <c r="C4451" s="16"/>
      <c r="D4451" s="16"/>
      <c r="E4451" s="16"/>
      <c r="F4451" s="16"/>
      <c r="G4451" s="16"/>
      <c r="H4451" s="16"/>
      <c r="I4451" s="16"/>
      <c r="J4451" s="16"/>
      <c r="K4451" s="6"/>
      <c r="L4451" s="16"/>
    </row>
    <row r="4452" spans="1:12" ht="14" customHeight="1" x14ac:dyDescent="0.2">
      <c r="A4452" s="17"/>
      <c r="B4452" s="18"/>
      <c r="C4452" s="19"/>
      <c r="D4452" s="19"/>
      <c r="E4452" s="19"/>
      <c r="F4452" s="19"/>
      <c r="G4452" s="19"/>
      <c r="H4452" s="19"/>
      <c r="I4452" s="19"/>
      <c r="J4452" s="19"/>
      <c r="K4452" s="6"/>
      <c r="L4452" s="19"/>
    </row>
    <row r="4453" spans="1:12" ht="14" customHeight="1" x14ac:dyDescent="0.2">
      <c r="A4453" s="14"/>
      <c r="B4453" s="15"/>
      <c r="C4453" s="16"/>
      <c r="D4453" s="16"/>
      <c r="E4453" s="16"/>
      <c r="F4453" s="16"/>
      <c r="G4453" s="16"/>
      <c r="H4453" s="16"/>
      <c r="I4453" s="16"/>
      <c r="J4453" s="16"/>
      <c r="K4453" s="6"/>
      <c r="L4453" s="16"/>
    </row>
    <row r="4454" spans="1:12" ht="14" customHeight="1" x14ac:dyDescent="0.2">
      <c r="A4454" s="17"/>
      <c r="B4454" s="18"/>
      <c r="C4454" s="19"/>
      <c r="D4454" s="19"/>
      <c r="E4454" s="19"/>
      <c r="F4454" s="19"/>
      <c r="G4454" s="19"/>
      <c r="H4454" s="19"/>
      <c r="I4454" s="19"/>
      <c r="J4454" s="19"/>
      <c r="K4454" s="6"/>
      <c r="L4454" s="19"/>
    </row>
    <row r="4455" spans="1:12" ht="14" customHeight="1" x14ac:dyDescent="0.2">
      <c r="A4455" s="14"/>
      <c r="B4455" s="15"/>
      <c r="C4455" s="16"/>
      <c r="D4455" s="16"/>
      <c r="E4455" s="16"/>
      <c r="F4455" s="16"/>
      <c r="G4455" s="16"/>
      <c r="H4455" s="16"/>
      <c r="I4455" s="16"/>
      <c r="J4455" s="16"/>
      <c r="K4455" s="6"/>
      <c r="L4455" s="16"/>
    </row>
    <row r="4456" spans="1:12" ht="14" customHeight="1" x14ac:dyDescent="0.2">
      <c r="A4456" s="17"/>
      <c r="B4456" s="18"/>
      <c r="C4456" s="19"/>
      <c r="D4456" s="19"/>
      <c r="E4456" s="19"/>
      <c r="F4456" s="19"/>
      <c r="G4456" s="19"/>
      <c r="H4456" s="19"/>
      <c r="I4456" s="19"/>
      <c r="J4456" s="19"/>
      <c r="K4456" s="6"/>
      <c r="L4456" s="19"/>
    </row>
    <row r="4457" spans="1:12" ht="14" customHeight="1" x14ac:dyDescent="0.2">
      <c r="A4457" s="14"/>
      <c r="B4457" s="15"/>
      <c r="C4457" s="16"/>
      <c r="D4457" s="16"/>
      <c r="E4457" s="16"/>
      <c r="F4457" s="16"/>
      <c r="G4457" s="16"/>
      <c r="H4457" s="16"/>
      <c r="I4457" s="16"/>
      <c r="J4457" s="16"/>
      <c r="K4457" s="6"/>
      <c r="L4457" s="16"/>
    </row>
    <row r="4458" spans="1:12" ht="14" customHeight="1" x14ac:dyDescent="0.2">
      <c r="A4458" s="17"/>
      <c r="B4458" s="18"/>
      <c r="C4458" s="19"/>
      <c r="D4458" s="19"/>
      <c r="E4458" s="19"/>
      <c r="F4458" s="19"/>
      <c r="G4458" s="19"/>
      <c r="H4458" s="19"/>
      <c r="I4458" s="19"/>
      <c r="J4458" s="19"/>
      <c r="K4458" s="6"/>
      <c r="L4458" s="19"/>
    </row>
    <row r="4459" spans="1:12" ht="14" customHeight="1" x14ac:dyDescent="0.2">
      <c r="A4459" s="14"/>
      <c r="B4459" s="15"/>
      <c r="C4459" s="16"/>
      <c r="D4459" s="16"/>
      <c r="E4459" s="16"/>
      <c r="F4459" s="16"/>
      <c r="G4459" s="16"/>
      <c r="H4459" s="16"/>
      <c r="I4459" s="16"/>
      <c r="J4459" s="16"/>
      <c r="K4459" s="6"/>
      <c r="L4459" s="16"/>
    </row>
    <row r="4460" spans="1:12" ht="14" customHeight="1" x14ac:dyDescent="0.2">
      <c r="A4460" s="17"/>
      <c r="B4460" s="18"/>
      <c r="C4460" s="19"/>
      <c r="D4460" s="19"/>
      <c r="E4460" s="19"/>
      <c r="F4460" s="19"/>
      <c r="G4460" s="19"/>
      <c r="H4460" s="19"/>
      <c r="I4460" s="19"/>
      <c r="J4460" s="19"/>
      <c r="K4460" s="6"/>
      <c r="L4460" s="19"/>
    </row>
    <row r="4461" spans="1:12" ht="14" customHeight="1" x14ac:dyDescent="0.2">
      <c r="A4461" s="14"/>
      <c r="B4461" s="15"/>
      <c r="C4461" s="16"/>
      <c r="D4461" s="16"/>
      <c r="E4461" s="16"/>
      <c r="F4461" s="16"/>
      <c r="G4461" s="16"/>
      <c r="H4461" s="16"/>
      <c r="I4461" s="16"/>
      <c r="J4461" s="16"/>
      <c r="K4461" s="6"/>
      <c r="L4461" s="16"/>
    </row>
    <row r="4462" spans="1:12" ht="14" customHeight="1" x14ac:dyDescent="0.2">
      <c r="A4462" s="17"/>
      <c r="B4462" s="18"/>
      <c r="C4462" s="19"/>
      <c r="D4462" s="19"/>
      <c r="E4462" s="19"/>
      <c r="F4462" s="19"/>
      <c r="G4462" s="19"/>
      <c r="H4462" s="19"/>
      <c r="I4462" s="19"/>
      <c r="J4462" s="19"/>
      <c r="K4462" s="6"/>
      <c r="L4462" s="19"/>
    </row>
    <row r="4463" spans="1:12" ht="14" customHeight="1" x14ac:dyDescent="0.2">
      <c r="A4463" s="14"/>
      <c r="B4463" s="15"/>
      <c r="C4463" s="16"/>
      <c r="D4463" s="16"/>
      <c r="E4463" s="16"/>
      <c r="F4463" s="16"/>
      <c r="G4463" s="16"/>
      <c r="H4463" s="16"/>
      <c r="I4463" s="16"/>
      <c r="J4463" s="16"/>
      <c r="K4463" s="6"/>
      <c r="L4463" s="16"/>
    </row>
    <row r="4464" spans="1:12" ht="14" customHeight="1" x14ac:dyDescent="0.2">
      <c r="A4464" s="17"/>
      <c r="B4464" s="18"/>
      <c r="C4464" s="19"/>
      <c r="D4464" s="19"/>
      <c r="E4464" s="19"/>
      <c r="F4464" s="19"/>
      <c r="G4464" s="19"/>
      <c r="H4464" s="19"/>
      <c r="I4464" s="19"/>
      <c r="J4464" s="19"/>
      <c r="K4464" s="6"/>
      <c r="L4464" s="19"/>
    </row>
    <row r="4465" spans="1:12" ht="14" customHeight="1" x14ac:dyDescent="0.2">
      <c r="A4465" s="14"/>
      <c r="B4465" s="15"/>
      <c r="C4465" s="16"/>
      <c r="D4465" s="16"/>
      <c r="E4465" s="16"/>
      <c r="F4465" s="16"/>
      <c r="G4465" s="16"/>
      <c r="H4465" s="16"/>
      <c r="I4465" s="16"/>
      <c r="J4465" s="16"/>
      <c r="K4465" s="6"/>
      <c r="L4465" s="16"/>
    </row>
    <row r="4466" spans="1:12" ht="14" customHeight="1" x14ac:dyDescent="0.2">
      <c r="A4466" s="17"/>
      <c r="B4466" s="18"/>
      <c r="C4466" s="19"/>
      <c r="D4466" s="19"/>
      <c r="E4466" s="19"/>
      <c r="F4466" s="19"/>
      <c r="G4466" s="19"/>
      <c r="H4466" s="19"/>
      <c r="I4466" s="19"/>
      <c r="J4466" s="19"/>
      <c r="K4466" s="6"/>
      <c r="L4466" s="19"/>
    </row>
    <row r="4467" spans="1:12" ht="14" customHeight="1" x14ac:dyDescent="0.2">
      <c r="A4467" s="14"/>
      <c r="B4467" s="15"/>
      <c r="C4467" s="16"/>
      <c r="D4467" s="16"/>
      <c r="E4467" s="16"/>
      <c r="F4467" s="16"/>
      <c r="G4467" s="16"/>
      <c r="H4467" s="16"/>
      <c r="I4467" s="16"/>
      <c r="J4467" s="16"/>
      <c r="K4467" s="6"/>
      <c r="L4467" s="16"/>
    </row>
    <row r="4468" spans="1:12" ht="14" customHeight="1" x14ac:dyDescent="0.2">
      <c r="A4468" s="17"/>
      <c r="B4468" s="18"/>
      <c r="C4468" s="19"/>
      <c r="D4468" s="19"/>
      <c r="E4468" s="19"/>
      <c r="F4468" s="19"/>
      <c r="G4468" s="19"/>
      <c r="H4468" s="19"/>
      <c r="I4468" s="19"/>
      <c r="J4468" s="19"/>
      <c r="K4468" s="6"/>
      <c r="L4468" s="19"/>
    </row>
    <row r="4469" spans="1:12" ht="14" customHeight="1" x14ac:dyDescent="0.2">
      <c r="A4469" s="14"/>
      <c r="B4469" s="15"/>
      <c r="C4469" s="16"/>
      <c r="D4469" s="16"/>
      <c r="E4469" s="16"/>
      <c r="F4469" s="16"/>
      <c r="G4469" s="16"/>
      <c r="H4469" s="16"/>
      <c r="I4469" s="16"/>
      <c r="J4469" s="16"/>
      <c r="K4469" s="6"/>
      <c r="L4469" s="16"/>
    </row>
    <row r="4470" spans="1:12" ht="14" customHeight="1" x14ac:dyDescent="0.2">
      <c r="A4470" s="17"/>
      <c r="B4470" s="18"/>
      <c r="C4470" s="19"/>
      <c r="D4470" s="19"/>
      <c r="E4470" s="19"/>
      <c r="F4470" s="19"/>
      <c r="G4470" s="19"/>
      <c r="H4470" s="19"/>
      <c r="I4470" s="19"/>
      <c r="J4470" s="19"/>
      <c r="K4470" s="6"/>
      <c r="L4470" s="19"/>
    </row>
    <row r="4471" spans="1:12" ht="14" customHeight="1" x14ac:dyDescent="0.2">
      <c r="A4471" s="14"/>
      <c r="B4471" s="15"/>
      <c r="C4471" s="16"/>
      <c r="D4471" s="16"/>
      <c r="E4471" s="16"/>
      <c r="F4471" s="16"/>
      <c r="G4471" s="16"/>
      <c r="H4471" s="16"/>
      <c r="I4471" s="16"/>
      <c r="J4471" s="16"/>
      <c r="K4471" s="6"/>
      <c r="L4471" s="16"/>
    </row>
    <row r="4472" spans="1:12" ht="14" customHeight="1" x14ac:dyDescent="0.2">
      <c r="A4472" s="17"/>
      <c r="B4472" s="18"/>
      <c r="C4472" s="19"/>
      <c r="D4472" s="19"/>
      <c r="E4472" s="19"/>
      <c r="F4472" s="19"/>
      <c r="G4472" s="19"/>
      <c r="H4472" s="19"/>
      <c r="I4472" s="19"/>
      <c r="J4472" s="19"/>
      <c r="K4472" s="6"/>
      <c r="L4472" s="19"/>
    </row>
    <row r="4473" spans="1:12" ht="14" customHeight="1" x14ac:dyDescent="0.2">
      <c r="A4473" s="14"/>
      <c r="B4473" s="15"/>
      <c r="C4473" s="16"/>
      <c r="D4473" s="16"/>
      <c r="E4473" s="16"/>
      <c r="F4473" s="16"/>
      <c r="G4473" s="16"/>
      <c r="H4473" s="16"/>
      <c r="I4473" s="16"/>
      <c r="J4473" s="16"/>
      <c r="K4473" s="6"/>
      <c r="L4473" s="16"/>
    </row>
    <row r="4474" spans="1:12" ht="14" customHeight="1" x14ac:dyDescent="0.2">
      <c r="A4474" s="17"/>
      <c r="B4474" s="18"/>
      <c r="C4474" s="19"/>
      <c r="D4474" s="19"/>
      <c r="E4474" s="19"/>
      <c r="F4474" s="19"/>
      <c r="G4474" s="19"/>
      <c r="H4474" s="19"/>
      <c r="I4474" s="19"/>
      <c r="J4474" s="19"/>
      <c r="K4474" s="6"/>
      <c r="L4474" s="19"/>
    </row>
    <row r="4475" spans="1:12" ht="14" customHeight="1" x14ac:dyDescent="0.2">
      <c r="A4475" s="14"/>
      <c r="B4475" s="15"/>
      <c r="C4475" s="16"/>
      <c r="D4475" s="16"/>
      <c r="E4475" s="16"/>
      <c r="F4475" s="16"/>
      <c r="G4475" s="16"/>
      <c r="H4475" s="16"/>
      <c r="I4475" s="16"/>
      <c r="J4475" s="16"/>
      <c r="K4475" s="6"/>
      <c r="L4475" s="16"/>
    </row>
    <row r="4476" spans="1:12" ht="14" customHeight="1" x14ac:dyDescent="0.2">
      <c r="A4476" s="17"/>
      <c r="B4476" s="18"/>
      <c r="C4476" s="19"/>
      <c r="D4476" s="19"/>
      <c r="E4476" s="19"/>
      <c r="F4476" s="19"/>
      <c r="G4476" s="19"/>
      <c r="H4476" s="19"/>
      <c r="I4476" s="19"/>
      <c r="J4476" s="19"/>
      <c r="K4476" s="6"/>
      <c r="L4476" s="19"/>
    </row>
    <row r="4477" spans="1:12" ht="14" customHeight="1" x14ac:dyDescent="0.2">
      <c r="A4477" s="14"/>
      <c r="B4477" s="15"/>
      <c r="C4477" s="16"/>
      <c r="D4477" s="16"/>
      <c r="E4477" s="16"/>
      <c r="F4477" s="16"/>
      <c r="G4477" s="16"/>
      <c r="H4477" s="16"/>
      <c r="I4477" s="16"/>
      <c r="J4477" s="16"/>
      <c r="K4477" s="6"/>
      <c r="L4477" s="16"/>
    </row>
    <row r="4478" spans="1:12" ht="14" customHeight="1" x14ac:dyDescent="0.2">
      <c r="A4478" s="17"/>
      <c r="B4478" s="18"/>
      <c r="C4478" s="19"/>
      <c r="D4478" s="19"/>
      <c r="E4478" s="19"/>
      <c r="F4478" s="19"/>
      <c r="G4478" s="19"/>
      <c r="H4478" s="19"/>
      <c r="I4478" s="19"/>
      <c r="J4478" s="19"/>
      <c r="K4478" s="6"/>
      <c r="L4478" s="19"/>
    </row>
    <row r="4479" spans="1:12" ht="14" customHeight="1" x14ac:dyDescent="0.2">
      <c r="A4479" s="14"/>
      <c r="B4479" s="15"/>
      <c r="C4479" s="16"/>
      <c r="D4479" s="16"/>
      <c r="E4479" s="16"/>
      <c r="F4479" s="16"/>
      <c r="G4479" s="16"/>
      <c r="H4479" s="16"/>
      <c r="I4479" s="16"/>
      <c r="J4479" s="16"/>
      <c r="K4479" s="6"/>
      <c r="L4479" s="16"/>
    </row>
    <row r="4480" spans="1:12" ht="14" customHeight="1" x14ac:dyDescent="0.2">
      <c r="A4480" s="17"/>
      <c r="B4480" s="18"/>
      <c r="C4480" s="19"/>
      <c r="D4480" s="19"/>
      <c r="E4480" s="19"/>
      <c r="F4480" s="19"/>
      <c r="G4480" s="19"/>
      <c r="H4480" s="19"/>
      <c r="I4480" s="19"/>
      <c r="J4480" s="19"/>
      <c r="K4480" s="6"/>
      <c r="L4480" s="19"/>
    </row>
    <row r="4481" spans="1:12" ht="14" customHeight="1" x14ac:dyDescent="0.2">
      <c r="A4481" s="14"/>
      <c r="B4481" s="15"/>
      <c r="C4481" s="16"/>
      <c r="D4481" s="16"/>
      <c r="E4481" s="16"/>
      <c r="F4481" s="16"/>
      <c r="G4481" s="16"/>
      <c r="H4481" s="16"/>
      <c r="I4481" s="16"/>
      <c r="J4481" s="16"/>
      <c r="K4481" s="6"/>
      <c r="L4481" s="16"/>
    </row>
    <row r="4482" spans="1:12" ht="14" customHeight="1" x14ac:dyDescent="0.2">
      <c r="A4482" s="17"/>
      <c r="B4482" s="18"/>
      <c r="C4482" s="19"/>
      <c r="D4482" s="19"/>
      <c r="E4482" s="19"/>
      <c r="F4482" s="19"/>
      <c r="G4482" s="19"/>
      <c r="H4482" s="19"/>
      <c r="I4482" s="19"/>
      <c r="J4482" s="19"/>
      <c r="K4482" s="6"/>
      <c r="L4482" s="19"/>
    </row>
    <row r="4483" spans="1:12" ht="14" customHeight="1" x14ac:dyDescent="0.2">
      <c r="A4483" s="14"/>
      <c r="B4483" s="15"/>
      <c r="C4483" s="16"/>
      <c r="D4483" s="16"/>
      <c r="E4483" s="16"/>
      <c r="F4483" s="16"/>
      <c r="G4483" s="16"/>
      <c r="H4483" s="16"/>
      <c r="I4483" s="16"/>
      <c r="J4483" s="16"/>
      <c r="K4483" s="6"/>
      <c r="L4483" s="16"/>
    </row>
    <row r="4484" spans="1:12" ht="14" customHeight="1" x14ac:dyDescent="0.2">
      <c r="A4484" s="17"/>
      <c r="B4484" s="18"/>
      <c r="C4484" s="19"/>
      <c r="D4484" s="19"/>
      <c r="E4484" s="19"/>
      <c r="F4484" s="19"/>
      <c r="G4484" s="19"/>
      <c r="H4484" s="19"/>
      <c r="I4484" s="19"/>
      <c r="J4484" s="19"/>
      <c r="K4484" s="6"/>
      <c r="L4484" s="19"/>
    </row>
    <row r="4485" spans="1:12" ht="14" customHeight="1" x14ac:dyDescent="0.2">
      <c r="A4485" s="14"/>
      <c r="B4485" s="15"/>
      <c r="C4485" s="16"/>
      <c r="D4485" s="16"/>
      <c r="E4485" s="16"/>
      <c r="F4485" s="16"/>
      <c r="G4485" s="16"/>
      <c r="H4485" s="16"/>
      <c r="I4485" s="16"/>
      <c r="J4485" s="16"/>
      <c r="K4485" s="6"/>
      <c r="L4485" s="16"/>
    </row>
    <row r="4486" spans="1:12" ht="14" customHeight="1" x14ac:dyDescent="0.2">
      <c r="A4486" s="17"/>
      <c r="B4486" s="18"/>
      <c r="C4486" s="19"/>
      <c r="D4486" s="19"/>
      <c r="E4486" s="19"/>
      <c r="F4486" s="19"/>
      <c r="G4486" s="19"/>
      <c r="H4486" s="19"/>
      <c r="I4486" s="19"/>
      <c r="J4486" s="19"/>
      <c r="K4486" s="6"/>
      <c r="L4486" s="19"/>
    </row>
    <row r="4487" spans="1:12" ht="14" customHeight="1" x14ac:dyDescent="0.2">
      <c r="A4487" s="14"/>
      <c r="B4487" s="15"/>
      <c r="C4487" s="16"/>
      <c r="D4487" s="16"/>
      <c r="E4487" s="16"/>
      <c r="F4487" s="16"/>
      <c r="G4487" s="16"/>
      <c r="H4487" s="16"/>
      <c r="I4487" s="16"/>
      <c r="J4487" s="16"/>
      <c r="K4487" s="6"/>
      <c r="L4487" s="16"/>
    </row>
    <row r="4488" spans="1:12" ht="14" customHeight="1" x14ac:dyDescent="0.2">
      <c r="A4488" s="17"/>
      <c r="B4488" s="18"/>
      <c r="C4488" s="19"/>
      <c r="D4488" s="19"/>
      <c r="E4488" s="19"/>
      <c r="F4488" s="19"/>
      <c r="G4488" s="19"/>
      <c r="H4488" s="19"/>
      <c r="I4488" s="19"/>
      <c r="J4488" s="19"/>
      <c r="K4488" s="6"/>
      <c r="L4488" s="19"/>
    </row>
    <row r="4489" spans="1:12" ht="14" customHeight="1" x14ac:dyDescent="0.2">
      <c r="A4489" s="14"/>
      <c r="B4489" s="15"/>
      <c r="C4489" s="16"/>
      <c r="D4489" s="16"/>
      <c r="E4489" s="16"/>
      <c r="F4489" s="16"/>
      <c r="G4489" s="16"/>
      <c r="H4489" s="16"/>
      <c r="I4489" s="16"/>
      <c r="J4489" s="16"/>
      <c r="K4489" s="6"/>
      <c r="L4489" s="16"/>
    </row>
    <row r="4490" spans="1:12" ht="14" customHeight="1" x14ac:dyDescent="0.2">
      <c r="A4490" s="17"/>
      <c r="B4490" s="18"/>
      <c r="C4490" s="19"/>
      <c r="D4490" s="19"/>
      <c r="E4490" s="19"/>
      <c r="F4490" s="19"/>
      <c r="G4490" s="19"/>
      <c r="H4490" s="19"/>
      <c r="I4490" s="19"/>
      <c r="J4490" s="19"/>
      <c r="K4490" s="6"/>
      <c r="L4490" s="19"/>
    </row>
    <row r="4491" spans="1:12" ht="14" customHeight="1" x14ac:dyDescent="0.2">
      <c r="A4491" s="14"/>
      <c r="B4491" s="15"/>
      <c r="C4491" s="16"/>
      <c r="D4491" s="16"/>
      <c r="E4491" s="16"/>
      <c r="F4491" s="16"/>
      <c r="G4491" s="16"/>
      <c r="H4491" s="16"/>
      <c r="I4491" s="16"/>
      <c r="J4491" s="16"/>
      <c r="K4491" s="6"/>
      <c r="L4491" s="16"/>
    </row>
    <row r="4492" spans="1:12" ht="14" customHeight="1" x14ac:dyDescent="0.2">
      <c r="A4492" s="17"/>
      <c r="B4492" s="18"/>
      <c r="C4492" s="19"/>
      <c r="D4492" s="19"/>
      <c r="E4492" s="19"/>
      <c r="F4492" s="19"/>
      <c r="G4492" s="19"/>
      <c r="H4492" s="19"/>
      <c r="I4492" s="19"/>
      <c r="J4492" s="19"/>
      <c r="K4492" s="6"/>
      <c r="L4492" s="19"/>
    </row>
    <row r="4493" spans="1:12" ht="14" customHeight="1" x14ac:dyDescent="0.2">
      <c r="A4493" s="14"/>
      <c r="B4493" s="15"/>
      <c r="C4493" s="16"/>
      <c r="D4493" s="16"/>
      <c r="E4493" s="16"/>
      <c r="F4493" s="16"/>
      <c r="G4493" s="16"/>
      <c r="H4493" s="16"/>
      <c r="I4493" s="16"/>
      <c r="J4493" s="16"/>
      <c r="K4493" s="6"/>
      <c r="L4493" s="16"/>
    </row>
    <row r="4494" spans="1:12" ht="14" customHeight="1" x14ac:dyDescent="0.2">
      <c r="A4494" s="17"/>
      <c r="B4494" s="18"/>
      <c r="C4494" s="19"/>
      <c r="D4494" s="19"/>
      <c r="E4494" s="19"/>
      <c r="F4494" s="19"/>
      <c r="G4494" s="19"/>
      <c r="H4494" s="19"/>
      <c r="I4494" s="19"/>
      <c r="J4494" s="19"/>
      <c r="K4494" s="6"/>
      <c r="L4494" s="19"/>
    </row>
    <row r="4495" spans="1:12" ht="14" customHeight="1" x14ac:dyDescent="0.2">
      <c r="A4495" s="14"/>
      <c r="B4495" s="15"/>
      <c r="C4495" s="16"/>
      <c r="D4495" s="16"/>
      <c r="E4495" s="16"/>
      <c r="F4495" s="16"/>
      <c r="G4495" s="16"/>
      <c r="H4495" s="16"/>
      <c r="I4495" s="16"/>
      <c r="J4495" s="16"/>
      <c r="K4495" s="6"/>
      <c r="L4495" s="16"/>
    </row>
    <row r="4496" spans="1:12" ht="14" customHeight="1" x14ac:dyDescent="0.2">
      <c r="A4496" s="17"/>
      <c r="B4496" s="18"/>
      <c r="C4496" s="19"/>
      <c r="D4496" s="19"/>
      <c r="E4496" s="19"/>
      <c r="F4496" s="19"/>
      <c r="G4496" s="19"/>
      <c r="H4496" s="19"/>
      <c r="I4496" s="19"/>
      <c r="J4496" s="19"/>
      <c r="K4496" s="6"/>
      <c r="L4496" s="19"/>
    </row>
    <row r="4497" spans="1:12" ht="14" customHeight="1" x14ac:dyDescent="0.2">
      <c r="A4497" s="14"/>
      <c r="B4497" s="15"/>
      <c r="C4497" s="16"/>
      <c r="D4497" s="16"/>
      <c r="E4497" s="16"/>
      <c r="F4497" s="16"/>
      <c r="G4497" s="16"/>
      <c r="H4497" s="16"/>
      <c r="I4497" s="16"/>
      <c r="J4497" s="16"/>
      <c r="K4497" s="6"/>
      <c r="L4497" s="16"/>
    </row>
    <row r="4498" spans="1:12" ht="14" customHeight="1" x14ac:dyDescent="0.2">
      <c r="A4498" s="17"/>
      <c r="B4498" s="18"/>
      <c r="C4498" s="19"/>
      <c r="D4498" s="19"/>
      <c r="E4498" s="19"/>
      <c r="F4498" s="19"/>
      <c r="G4498" s="19"/>
      <c r="H4498" s="19"/>
      <c r="I4498" s="19"/>
      <c r="J4498" s="19"/>
      <c r="K4498" s="6"/>
      <c r="L4498" s="19"/>
    </row>
    <row r="4499" spans="1:12" ht="14" customHeight="1" x14ac:dyDescent="0.2">
      <c r="A4499" s="14"/>
      <c r="B4499" s="15"/>
      <c r="C4499" s="16"/>
      <c r="D4499" s="16"/>
      <c r="E4499" s="16"/>
      <c r="F4499" s="16"/>
      <c r="G4499" s="16"/>
      <c r="H4499" s="16"/>
      <c r="I4499" s="16"/>
      <c r="J4499" s="16"/>
      <c r="K4499" s="6"/>
      <c r="L4499" s="16"/>
    </row>
    <row r="4500" spans="1:12" ht="14" customHeight="1" x14ac:dyDescent="0.2">
      <c r="A4500" s="17"/>
      <c r="B4500" s="18"/>
      <c r="C4500" s="19"/>
      <c r="D4500" s="19"/>
      <c r="E4500" s="19"/>
      <c r="F4500" s="19"/>
      <c r="G4500" s="19"/>
      <c r="H4500" s="19"/>
      <c r="I4500" s="19"/>
      <c r="J4500" s="19"/>
      <c r="K4500" s="6"/>
      <c r="L4500" s="19"/>
    </row>
    <row r="4501" spans="1:12" ht="14" customHeight="1" x14ac:dyDescent="0.2">
      <c r="A4501" s="14"/>
      <c r="B4501" s="15"/>
      <c r="C4501" s="16"/>
      <c r="D4501" s="16"/>
      <c r="E4501" s="16"/>
      <c r="F4501" s="16"/>
      <c r="G4501" s="16"/>
      <c r="H4501" s="16"/>
      <c r="I4501" s="16"/>
      <c r="J4501" s="16"/>
      <c r="K4501" s="6"/>
      <c r="L4501" s="16"/>
    </row>
    <row r="4502" spans="1:12" ht="14" customHeight="1" x14ac:dyDescent="0.2">
      <c r="A4502" s="17"/>
      <c r="B4502" s="18"/>
      <c r="C4502" s="19"/>
      <c r="D4502" s="19"/>
      <c r="E4502" s="19"/>
      <c r="F4502" s="19"/>
      <c r="G4502" s="19"/>
      <c r="H4502" s="19"/>
      <c r="I4502" s="19"/>
      <c r="J4502" s="19"/>
      <c r="K4502" s="6"/>
      <c r="L4502" s="19"/>
    </row>
    <row r="4503" spans="1:12" ht="14" customHeight="1" x14ac:dyDescent="0.2">
      <c r="A4503" s="14"/>
      <c r="B4503" s="15"/>
      <c r="C4503" s="16"/>
      <c r="D4503" s="16"/>
      <c r="E4503" s="16"/>
      <c r="F4503" s="16"/>
      <c r="G4503" s="16"/>
      <c r="H4503" s="16"/>
      <c r="I4503" s="16"/>
      <c r="J4503" s="16"/>
      <c r="K4503" s="6"/>
      <c r="L4503" s="16"/>
    </row>
    <row r="4504" spans="1:12" ht="14" customHeight="1" x14ac:dyDescent="0.2">
      <c r="A4504" s="17"/>
      <c r="B4504" s="18"/>
      <c r="C4504" s="19"/>
      <c r="D4504" s="19"/>
      <c r="E4504" s="19"/>
      <c r="F4504" s="19"/>
      <c r="G4504" s="19"/>
      <c r="H4504" s="19"/>
      <c r="I4504" s="19"/>
      <c r="J4504" s="19"/>
      <c r="K4504" s="6"/>
      <c r="L4504" s="19"/>
    </row>
    <row r="4505" spans="1:12" ht="14" customHeight="1" x14ac:dyDescent="0.2">
      <c r="A4505" s="14"/>
      <c r="B4505" s="15"/>
      <c r="C4505" s="16"/>
      <c r="D4505" s="16"/>
      <c r="E4505" s="16"/>
      <c r="F4505" s="16"/>
      <c r="G4505" s="16"/>
      <c r="H4505" s="16"/>
      <c r="I4505" s="16"/>
      <c r="J4505" s="16"/>
      <c r="K4505" s="6"/>
      <c r="L4505" s="16"/>
    </row>
    <row r="4506" spans="1:12" ht="14" customHeight="1" x14ac:dyDescent="0.2">
      <c r="A4506" s="17"/>
      <c r="B4506" s="18"/>
      <c r="C4506" s="19"/>
      <c r="D4506" s="19"/>
      <c r="E4506" s="19"/>
      <c r="F4506" s="19"/>
      <c r="G4506" s="19"/>
      <c r="H4506" s="19"/>
      <c r="I4506" s="19"/>
      <c r="J4506" s="19"/>
      <c r="K4506" s="6"/>
      <c r="L4506" s="19"/>
    </row>
    <row r="4507" spans="1:12" ht="14" customHeight="1" x14ac:dyDescent="0.2">
      <c r="A4507" s="14"/>
      <c r="B4507" s="15"/>
      <c r="C4507" s="16"/>
      <c r="D4507" s="16"/>
      <c r="E4507" s="16"/>
      <c r="F4507" s="16"/>
      <c r="G4507" s="16"/>
      <c r="H4507" s="16"/>
      <c r="I4507" s="16"/>
      <c r="J4507" s="16"/>
      <c r="K4507" s="6"/>
      <c r="L4507" s="16"/>
    </row>
    <row r="4508" spans="1:12" ht="14" customHeight="1" x14ac:dyDescent="0.2">
      <c r="A4508" s="17"/>
      <c r="B4508" s="18"/>
      <c r="C4508" s="19"/>
      <c r="D4508" s="19"/>
      <c r="E4508" s="19"/>
      <c r="F4508" s="19"/>
      <c r="G4508" s="19"/>
      <c r="H4508" s="19"/>
      <c r="I4508" s="19"/>
      <c r="J4508" s="19"/>
      <c r="K4508" s="6"/>
      <c r="L4508" s="19"/>
    </row>
    <row r="4509" spans="1:12" ht="14" customHeight="1" x14ac:dyDescent="0.2">
      <c r="A4509" s="14"/>
      <c r="B4509" s="15"/>
      <c r="C4509" s="16"/>
      <c r="D4509" s="16"/>
      <c r="E4509" s="16"/>
      <c r="F4509" s="16"/>
      <c r="G4509" s="16"/>
      <c r="H4509" s="16"/>
      <c r="I4509" s="16"/>
      <c r="J4509" s="16"/>
      <c r="K4509" s="6"/>
      <c r="L4509" s="16"/>
    </row>
    <row r="4510" spans="1:12" ht="14" customHeight="1" x14ac:dyDescent="0.2">
      <c r="A4510" s="17"/>
      <c r="B4510" s="18"/>
      <c r="C4510" s="19"/>
      <c r="D4510" s="19"/>
      <c r="E4510" s="19"/>
      <c r="F4510" s="19"/>
      <c r="G4510" s="19"/>
      <c r="H4510" s="19"/>
      <c r="I4510" s="19"/>
      <c r="J4510" s="19"/>
      <c r="K4510" s="6"/>
      <c r="L4510" s="19"/>
    </row>
    <row r="4511" spans="1:12" ht="14" customHeight="1" x14ac:dyDescent="0.2">
      <c r="A4511" s="14"/>
      <c r="B4511" s="15"/>
      <c r="C4511" s="16"/>
      <c r="D4511" s="16"/>
      <c r="E4511" s="16"/>
      <c r="F4511" s="16"/>
      <c r="G4511" s="16"/>
      <c r="H4511" s="16"/>
      <c r="I4511" s="16"/>
      <c r="J4511" s="16"/>
      <c r="K4511" s="6"/>
      <c r="L4511" s="16"/>
    </row>
    <row r="4512" spans="1:12" ht="14" customHeight="1" x14ac:dyDescent="0.2">
      <c r="A4512" s="17"/>
      <c r="B4512" s="18"/>
      <c r="C4512" s="19"/>
      <c r="D4512" s="19"/>
      <c r="E4512" s="19"/>
      <c r="F4512" s="19"/>
      <c r="G4512" s="19"/>
      <c r="H4512" s="19"/>
      <c r="I4512" s="19"/>
      <c r="J4512" s="19"/>
      <c r="K4512" s="6"/>
      <c r="L4512" s="19"/>
    </row>
    <row r="4513" spans="1:12" ht="14" customHeight="1" x14ac:dyDescent="0.2">
      <c r="A4513" s="14"/>
      <c r="B4513" s="15"/>
      <c r="C4513" s="16"/>
      <c r="D4513" s="16"/>
      <c r="E4513" s="16"/>
      <c r="F4513" s="16"/>
      <c r="G4513" s="16"/>
      <c r="H4513" s="16"/>
      <c r="I4513" s="16"/>
      <c r="J4513" s="16"/>
      <c r="K4513" s="6"/>
      <c r="L4513" s="16"/>
    </row>
    <row r="4514" spans="1:12" ht="14" customHeight="1" x14ac:dyDescent="0.2">
      <c r="A4514" s="17"/>
      <c r="B4514" s="18"/>
      <c r="C4514" s="19"/>
      <c r="D4514" s="19"/>
      <c r="E4514" s="19"/>
      <c r="F4514" s="19"/>
      <c r="G4514" s="19"/>
      <c r="H4514" s="19"/>
      <c r="I4514" s="19"/>
      <c r="J4514" s="19"/>
      <c r="K4514" s="6"/>
      <c r="L4514" s="19"/>
    </row>
    <row r="4515" spans="1:12" ht="14" customHeight="1" x14ac:dyDescent="0.2">
      <c r="A4515" s="14"/>
      <c r="B4515" s="15"/>
      <c r="C4515" s="16"/>
      <c r="D4515" s="16"/>
      <c r="E4515" s="16"/>
      <c r="F4515" s="16"/>
      <c r="G4515" s="16"/>
      <c r="H4515" s="16"/>
      <c r="I4515" s="16"/>
      <c r="J4515" s="16"/>
      <c r="K4515" s="6"/>
      <c r="L4515" s="16"/>
    </row>
    <row r="4516" spans="1:12" ht="14" customHeight="1" x14ac:dyDescent="0.2">
      <c r="A4516" s="17"/>
      <c r="B4516" s="18"/>
      <c r="C4516" s="19"/>
      <c r="D4516" s="19"/>
      <c r="E4516" s="19"/>
      <c r="F4516" s="19"/>
      <c r="G4516" s="19"/>
      <c r="H4516" s="19"/>
      <c r="I4516" s="19"/>
      <c r="J4516" s="19"/>
      <c r="K4516" s="6"/>
      <c r="L4516" s="19"/>
    </row>
    <row r="4517" spans="1:12" ht="14" customHeight="1" x14ac:dyDescent="0.2">
      <c r="A4517" s="14"/>
      <c r="B4517" s="15"/>
      <c r="C4517" s="16"/>
      <c r="D4517" s="16"/>
      <c r="E4517" s="16"/>
      <c r="F4517" s="16"/>
      <c r="G4517" s="16"/>
      <c r="H4517" s="16"/>
      <c r="I4517" s="16"/>
      <c r="J4517" s="16"/>
      <c r="K4517" s="6"/>
      <c r="L4517" s="16"/>
    </row>
    <row r="4518" spans="1:12" ht="14" customHeight="1" x14ac:dyDescent="0.2">
      <c r="A4518" s="17"/>
      <c r="B4518" s="18"/>
      <c r="C4518" s="19"/>
      <c r="D4518" s="19"/>
      <c r="E4518" s="19"/>
      <c r="F4518" s="19"/>
      <c r="G4518" s="19"/>
      <c r="H4518" s="19"/>
      <c r="I4518" s="19"/>
      <c r="J4518" s="19"/>
      <c r="K4518" s="6"/>
      <c r="L4518" s="19"/>
    </row>
    <row r="4519" spans="1:12" ht="14" customHeight="1" x14ac:dyDescent="0.2">
      <c r="A4519" s="14"/>
      <c r="B4519" s="15"/>
      <c r="C4519" s="16"/>
      <c r="D4519" s="16"/>
      <c r="E4519" s="16"/>
      <c r="F4519" s="16"/>
      <c r="G4519" s="16"/>
      <c r="H4519" s="16"/>
      <c r="I4519" s="16"/>
      <c r="J4519" s="16"/>
      <c r="K4519" s="6"/>
      <c r="L4519" s="16"/>
    </row>
    <row r="4520" spans="1:12" ht="14" customHeight="1" x14ac:dyDescent="0.2">
      <c r="A4520" s="17"/>
      <c r="B4520" s="18"/>
      <c r="C4520" s="19"/>
      <c r="D4520" s="19"/>
      <c r="E4520" s="19"/>
      <c r="F4520" s="19"/>
      <c r="G4520" s="19"/>
      <c r="H4520" s="19"/>
      <c r="I4520" s="19"/>
      <c r="J4520" s="19"/>
      <c r="K4520" s="6"/>
      <c r="L4520" s="19"/>
    </row>
    <row r="4521" spans="1:12" ht="14" customHeight="1" x14ac:dyDescent="0.2">
      <c r="A4521" s="14"/>
      <c r="B4521" s="15"/>
      <c r="C4521" s="16"/>
      <c r="D4521" s="16"/>
      <c r="E4521" s="16"/>
      <c r="F4521" s="16"/>
      <c r="G4521" s="16"/>
      <c r="H4521" s="16"/>
      <c r="I4521" s="16"/>
      <c r="J4521" s="16"/>
      <c r="K4521" s="6"/>
      <c r="L4521" s="16"/>
    </row>
    <row r="4522" spans="1:12" ht="14" customHeight="1" x14ac:dyDescent="0.2">
      <c r="A4522" s="17"/>
      <c r="B4522" s="18"/>
      <c r="C4522" s="19"/>
      <c r="D4522" s="19"/>
      <c r="E4522" s="19"/>
      <c r="F4522" s="19"/>
      <c r="G4522" s="19"/>
      <c r="H4522" s="19"/>
      <c r="I4522" s="19"/>
      <c r="J4522" s="19"/>
      <c r="K4522" s="6"/>
      <c r="L4522" s="19"/>
    </row>
    <row r="4523" spans="1:12" ht="14" customHeight="1" x14ac:dyDescent="0.2">
      <c r="A4523" s="14"/>
      <c r="B4523" s="15"/>
      <c r="C4523" s="16"/>
      <c r="D4523" s="16"/>
      <c r="E4523" s="16"/>
      <c r="F4523" s="16"/>
      <c r="G4523" s="16"/>
      <c r="H4523" s="16"/>
      <c r="I4523" s="16"/>
      <c r="J4523" s="16"/>
      <c r="K4523" s="6"/>
      <c r="L4523" s="16"/>
    </row>
    <row r="4524" spans="1:12" ht="14" customHeight="1" x14ac:dyDescent="0.2">
      <c r="A4524" s="17"/>
      <c r="B4524" s="18"/>
      <c r="C4524" s="19"/>
      <c r="D4524" s="19"/>
      <c r="E4524" s="19"/>
      <c r="F4524" s="19"/>
      <c r="G4524" s="19"/>
      <c r="H4524" s="19"/>
      <c r="I4524" s="19"/>
      <c r="J4524" s="19"/>
      <c r="K4524" s="6"/>
      <c r="L4524" s="19"/>
    </row>
    <row r="4525" spans="1:12" ht="14" customHeight="1" x14ac:dyDescent="0.2">
      <c r="A4525" s="14"/>
      <c r="B4525" s="15"/>
      <c r="C4525" s="16"/>
      <c r="D4525" s="16"/>
      <c r="E4525" s="16"/>
      <c r="F4525" s="16"/>
      <c r="G4525" s="16"/>
      <c r="H4525" s="16"/>
      <c r="I4525" s="16"/>
      <c r="J4525" s="16"/>
      <c r="K4525" s="6"/>
      <c r="L4525" s="16"/>
    </row>
    <row r="4526" spans="1:12" ht="14" customHeight="1" x14ac:dyDescent="0.2">
      <c r="A4526" s="17"/>
      <c r="B4526" s="18"/>
      <c r="C4526" s="19"/>
      <c r="D4526" s="19"/>
      <c r="E4526" s="19"/>
      <c r="F4526" s="19"/>
      <c r="G4526" s="19"/>
      <c r="H4526" s="19"/>
      <c r="I4526" s="19"/>
      <c r="J4526" s="19"/>
      <c r="K4526" s="6"/>
      <c r="L4526" s="19"/>
    </row>
    <row r="4527" spans="1:12" ht="14" customHeight="1" x14ac:dyDescent="0.2">
      <c r="A4527" s="14"/>
      <c r="B4527" s="15"/>
      <c r="C4527" s="16"/>
      <c r="D4527" s="16"/>
      <c r="E4527" s="16"/>
      <c r="F4527" s="16"/>
      <c r="G4527" s="16"/>
      <c r="H4527" s="16"/>
      <c r="I4527" s="16"/>
      <c r="J4527" s="16"/>
      <c r="K4527" s="6"/>
      <c r="L4527" s="16"/>
    </row>
    <row r="4528" spans="1:12" ht="14" customHeight="1" x14ac:dyDescent="0.2">
      <c r="A4528" s="17"/>
      <c r="B4528" s="18"/>
      <c r="C4528" s="19"/>
      <c r="D4528" s="19"/>
      <c r="E4528" s="19"/>
      <c r="F4528" s="19"/>
      <c r="G4528" s="19"/>
      <c r="H4528" s="19"/>
      <c r="I4528" s="19"/>
      <c r="J4528" s="19"/>
      <c r="K4528" s="6"/>
      <c r="L4528" s="19"/>
    </row>
    <row r="4529" spans="1:12" ht="14" customHeight="1" x14ac:dyDescent="0.2">
      <c r="A4529" s="14"/>
      <c r="B4529" s="15"/>
      <c r="C4529" s="16"/>
      <c r="D4529" s="16"/>
      <c r="E4529" s="16"/>
      <c r="F4529" s="16"/>
      <c r="G4529" s="16"/>
      <c r="H4529" s="16"/>
      <c r="I4529" s="16"/>
      <c r="J4529" s="16"/>
      <c r="K4529" s="6"/>
      <c r="L4529" s="16"/>
    </row>
    <row r="4530" spans="1:12" ht="14" customHeight="1" x14ac:dyDescent="0.2">
      <c r="A4530" s="17"/>
      <c r="B4530" s="18"/>
      <c r="C4530" s="19"/>
      <c r="D4530" s="19"/>
      <c r="E4530" s="19"/>
      <c r="F4530" s="19"/>
      <c r="G4530" s="19"/>
      <c r="H4530" s="19"/>
      <c r="I4530" s="19"/>
      <c r="J4530" s="19"/>
      <c r="K4530" s="6"/>
      <c r="L4530" s="19"/>
    </row>
    <row r="4531" spans="1:12" ht="14" customHeight="1" x14ac:dyDescent="0.2">
      <c r="A4531" s="14"/>
      <c r="B4531" s="15"/>
      <c r="C4531" s="16"/>
      <c r="D4531" s="16"/>
      <c r="E4531" s="16"/>
      <c r="F4531" s="16"/>
      <c r="G4531" s="16"/>
      <c r="H4531" s="16"/>
      <c r="I4531" s="16"/>
      <c r="J4531" s="16"/>
      <c r="K4531" s="6"/>
      <c r="L4531" s="16"/>
    </row>
    <row r="4532" spans="1:12" ht="14" customHeight="1" x14ac:dyDescent="0.2">
      <c r="A4532" s="17"/>
      <c r="B4532" s="18"/>
      <c r="C4532" s="19"/>
      <c r="D4532" s="19"/>
      <c r="E4532" s="19"/>
      <c r="F4532" s="19"/>
      <c r="G4532" s="19"/>
      <c r="H4532" s="19"/>
      <c r="I4532" s="19"/>
      <c r="J4532" s="19"/>
      <c r="K4532" s="6"/>
      <c r="L4532" s="19"/>
    </row>
    <row r="4533" spans="1:12" ht="14" customHeight="1" x14ac:dyDescent="0.2">
      <c r="A4533" s="14"/>
      <c r="B4533" s="15"/>
      <c r="C4533" s="16"/>
      <c r="D4533" s="16"/>
      <c r="E4533" s="16"/>
      <c r="F4533" s="16"/>
      <c r="G4533" s="16"/>
      <c r="H4533" s="16"/>
      <c r="I4533" s="16"/>
      <c r="J4533" s="16"/>
      <c r="K4533" s="6"/>
      <c r="L4533" s="16"/>
    </row>
    <row r="4534" spans="1:12" ht="14" customHeight="1" x14ac:dyDescent="0.2">
      <c r="A4534" s="17"/>
      <c r="B4534" s="18"/>
      <c r="C4534" s="19"/>
      <c r="D4534" s="19"/>
      <c r="E4534" s="19"/>
      <c r="F4534" s="19"/>
      <c r="G4534" s="19"/>
      <c r="H4534" s="19"/>
      <c r="I4534" s="19"/>
      <c r="J4534" s="19"/>
      <c r="K4534" s="6"/>
      <c r="L4534" s="19"/>
    </row>
    <row r="4535" spans="1:12" ht="14" customHeight="1" x14ac:dyDescent="0.2">
      <c r="A4535" s="14"/>
      <c r="B4535" s="15"/>
      <c r="C4535" s="16"/>
      <c r="D4535" s="16"/>
      <c r="E4535" s="16"/>
      <c r="F4535" s="16"/>
      <c r="G4535" s="16"/>
      <c r="H4535" s="16"/>
      <c r="I4535" s="16"/>
      <c r="J4535" s="16"/>
      <c r="K4535" s="6"/>
      <c r="L4535" s="16"/>
    </row>
    <row r="4536" spans="1:12" ht="14" customHeight="1" x14ac:dyDescent="0.2">
      <c r="A4536" s="17"/>
      <c r="B4536" s="18"/>
      <c r="C4536" s="19"/>
      <c r="D4536" s="19"/>
      <c r="E4536" s="19"/>
      <c r="F4536" s="19"/>
      <c r="G4536" s="19"/>
      <c r="H4536" s="19"/>
      <c r="I4536" s="19"/>
      <c r="J4536" s="19"/>
      <c r="K4536" s="6"/>
      <c r="L4536" s="19"/>
    </row>
    <row r="4537" spans="1:12" ht="14" customHeight="1" x14ac:dyDescent="0.2">
      <c r="A4537" s="14"/>
      <c r="B4537" s="15"/>
      <c r="C4537" s="16"/>
      <c r="D4537" s="16"/>
      <c r="E4537" s="16"/>
      <c r="F4537" s="16"/>
      <c r="G4537" s="16"/>
      <c r="H4537" s="16"/>
      <c r="I4537" s="16"/>
      <c r="J4537" s="16"/>
      <c r="K4537" s="6"/>
      <c r="L4537" s="16"/>
    </row>
    <row r="4538" spans="1:12" ht="14" customHeight="1" x14ac:dyDescent="0.2">
      <c r="A4538" s="17"/>
      <c r="B4538" s="18"/>
      <c r="C4538" s="19"/>
      <c r="D4538" s="19"/>
      <c r="E4538" s="19"/>
      <c r="F4538" s="19"/>
      <c r="G4538" s="19"/>
      <c r="H4538" s="19"/>
      <c r="I4538" s="19"/>
      <c r="J4538" s="19"/>
      <c r="K4538" s="6"/>
      <c r="L4538" s="19"/>
    </row>
    <row r="4539" spans="1:12" ht="14" customHeight="1" x14ac:dyDescent="0.2">
      <c r="A4539" s="14"/>
      <c r="B4539" s="15"/>
      <c r="C4539" s="16"/>
      <c r="D4539" s="16"/>
      <c r="E4539" s="16"/>
      <c r="F4539" s="16"/>
      <c r="G4539" s="16"/>
      <c r="H4539" s="16"/>
      <c r="I4539" s="16"/>
      <c r="J4539" s="16"/>
      <c r="K4539" s="6"/>
      <c r="L4539" s="16"/>
    </row>
    <row r="4540" spans="1:12" ht="14" customHeight="1" x14ac:dyDescent="0.2">
      <c r="A4540" s="17"/>
      <c r="B4540" s="18"/>
      <c r="C4540" s="19"/>
      <c r="D4540" s="19"/>
      <c r="E4540" s="19"/>
      <c r="F4540" s="19"/>
      <c r="G4540" s="19"/>
      <c r="H4540" s="19"/>
      <c r="I4540" s="19"/>
      <c r="J4540" s="19"/>
      <c r="K4540" s="6"/>
      <c r="L4540" s="19"/>
    </row>
    <row r="4541" spans="1:12" ht="14" customHeight="1" x14ac:dyDescent="0.2">
      <c r="A4541" s="14"/>
      <c r="B4541" s="15"/>
      <c r="C4541" s="16"/>
      <c r="D4541" s="16"/>
      <c r="E4541" s="16"/>
      <c r="F4541" s="16"/>
      <c r="G4541" s="16"/>
      <c r="H4541" s="16"/>
      <c r="I4541" s="16"/>
      <c r="J4541" s="16"/>
      <c r="K4541" s="6"/>
      <c r="L4541" s="16"/>
    </row>
    <row r="4542" spans="1:12" ht="14" customHeight="1" x14ac:dyDescent="0.2">
      <c r="A4542" s="17"/>
      <c r="B4542" s="18"/>
      <c r="C4542" s="19"/>
      <c r="D4542" s="19"/>
      <c r="E4542" s="19"/>
      <c r="F4542" s="19"/>
      <c r="G4542" s="19"/>
      <c r="H4542" s="19"/>
      <c r="I4542" s="19"/>
      <c r="J4542" s="19"/>
      <c r="K4542" s="6"/>
      <c r="L4542" s="19"/>
    </row>
    <row r="4543" spans="1:12" ht="14" customHeight="1" x14ac:dyDescent="0.2">
      <c r="A4543" s="14"/>
      <c r="B4543" s="15"/>
      <c r="C4543" s="16"/>
      <c r="D4543" s="16"/>
      <c r="E4543" s="16"/>
      <c r="F4543" s="16"/>
      <c r="G4543" s="16"/>
      <c r="H4543" s="16"/>
      <c r="I4543" s="16"/>
      <c r="J4543" s="16"/>
      <c r="K4543" s="6"/>
      <c r="L4543" s="16"/>
    </row>
    <row r="4544" spans="1:12" ht="14" customHeight="1" x14ac:dyDescent="0.2">
      <c r="A4544" s="17"/>
      <c r="B4544" s="18"/>
      <c r="C4544" s="19"/>
      <c r="D4544" s="19"/>
      <c r="E4544" s="19"/>
      <c r="F4544" s="19"/>
      <c r="G4544" s="19"/>
      <c r="H4544" s="19"/>
      <c r="I4544" s="19"/>
      <c r="J4544" s="19"/>
      <c r="K4544" s="6"/>
      <c r="L4544" s="19"/>
    </row>
    <row r="4545" spans="1:12" ht="14" customHeight="1" x14ac:dyDescent="0.2">
      <c r="A4545" s="14"/>
      <c r="B4545" s="15"/>
      <c r="C4545" s="16"/>
      <c r="D4545" s="16"/>
      <c r="E4545" s="16"/>
      <c r="F4545" s="16"/>
      <c r="G4545" s="16"/>
      <c r="H4545" s="16"/>
      <c r="I4545" s="16"/>
      <c r="J4545" s="16"/>
      <c r="K4545" s="6"/>
      <c r="L4545" s="16"/>
    </row>
    <row r="4546" spans="1:12" ht="14" customHeight="1" x14ac:dyDescent="0.2">
      <c r="A4546" s="17"/>
      <c r="B4546" s="18"/>
      <c r="C4546" s="19"/>
      <c r="D4546" s="19"/>
      <c r="E4546" s="19"/>
      <c r="F4546" s="19"/>
      <c r="G4546" s="19"/>
      <c r="H4546" s="19"/>
      <c r="I4546" s="19"/>
      <c r="J4546" s="19"/>
      <c r="K4546" s="6"/>
      <c r="L4546" s="19"/>
    </row>
    <row r="4547" spans="1:12" ht="14" customHeight="1" x14ac:dyDescent="0.2">
      <c r="A4547" s="14"/>
      <c r="B4547" s="15"/>
      <c r="C4547" s="16"/>
      <c r="D4547" s="16"/>
      <c r="E4547" s="16"/>
      <c r="F4547" s="16"/>
      <c r="G4547" s="16"/>
      <c r="H4547" s="16"/>
      <c r="I4547" s="16"/>
      <c r="J4547" s="16"/>
      <c r="K4547" s="6"/>
      <c r="L4547" s="16"/>
    </row>
    <row r="4548" spans="1:12" ht="14" customHeight="1" x14ac:dyDescent="0.2">
      <c r="A4548" s="17"/>
      <c r="B4548" s="18"/>
      <c r="C4548" s="19"/>
      <c r="D4548" s="19"/>
      <c r="E4548" s="19"/>
      <c r="F4548" s="19"/>
      <c r="G4548" s="19"/>
      <c r="H4548" s="19"/>
      <c r="I4548" s="19"/>
      <c r="J4548" s="19"/>
      <c r="K4548" s="6"/>
      <c r="L4548" s="19"/>
    </row>
    <row r="4549" spans="1:12" ht="14" customHeight="1" x14ac:dyDescent="0.2">
      <c r="A4549" s="14"/>
      <c r="B4549" s="15"/>
      <c r="C4549" s="16"/>
      <c r="D4549" s="16"/>
      <c r="E4549" s="16"/>
      <c r="F4549" s="16"/>
      <c r="G4549" s="16"/>
      <c r="H4549" s="16"/>
      <c r="I4549" s="16"/>
      <c r="J4549" s="16"/>
      <c r="K4549" s="6"/>
      <c r="L4549" s="16"/>
    </row>
    <row r="4550" spans="1:12" ht="14" customHeight="1" x14ac:dyDescent="0.2">
      <c r="A4550" s="17"/>
      <c r="B4550" s="18"/>
      <c r="C4550" s="19"/>
      <c r="D4550" s="19"/>
      <c r="E4550" s="19"/>
      <c r="F4550" s="19"/>
      <c r="G4550" s="19"/>
      <c r="H4550" s="19"/>
      <c r="I4550" s="19"/>
      <c r="J4550" s="19"/>
      <c r="K4550" s="6"/>
      <c r="L4550" s="19"/>
    </row>
    <row r="4551" spans="1:12" ht="14" customHeight="1" x14ac:dyDescent="0.2">
      <c r="A4551" s="14"/>
      <c r="B4551" s="15"/>
      <c r="C4551" s="16"/>
      <c r="D4551" s="16"/>
      <c r="E4551" s="16"/>
      <c r="F4551" s="16"/>
      <c r="G4551" s="16"/>
      <c r="H4551" s="16"/>
      <c r="I4551" s="16"/>
      <c r="J4551" s="16"/>
      <c r="K4551" s="6"/>
      <c r="L4551" s="16"/>
    </row>
    <row r="4552" spans="1:12" ht="14" customHeight="1" x14ac:dyDescent="0.2">
      <c r="A4552" s="17"/>
      <c r="B4552" s="18"/>
      <c r="C4552" s="19"/>
      <c r="D4552" s="19"/>
      <c r="E4552" s="19"/>
      <c r="F4552" s="19"/>
      <c r="G4552" s="19"/>
      <c r="H4552" s="19"/>
      <c r="I4552" s="19"/>
      <c r="J4552" s="19"/>
      <c r="K4552" s="6"/>
      <c r="L4552" s="19"/>
    </row>
    <row r="4553" spans="1:12" ht="14" customHeight="1" x14ac:dyDescent="0.2">
      <c r="A4553" s="14"/>
      <c r="B4553" s="15"/>
      <c r="C4553" s="16"/>
      <c r="D4553" s="16"/>
      <c r="E4553" s="16"/>
      <c r="F4553" s="16"/>
      <c r="G4553" s="16"/>
      <c r="H4553" s="16"/>
      <c r="I4553" s="16"/>
      <c r="J4553" s="16"/>
      <c r="K4553" s="6"/>
      <c r="L4553" s="16"/>
    </row>
    <row r="4554" spans="1:12" ht="14" customHeight="1" x14ac:dyDescent="0.2">
      <c r="A4554" s="17"/>
      <c r="B4554" s="18"/>
      <c r="C4554" s="19"/>
      <c r="D4554" s="19"/>
      <c r="E4554" s="19"/>
      <c r="F4554" s="19"/>
      <c r="G4554" s="19"/>
      <c r="H4554" s="19"/>
      <c r="I4554" s="19"/>
      <c r="J4554" s="19"/>
      <c r="K4554" s="6"/>
      <c r="L4554" s="19"/>
    </row>
    <row r="4555" spans="1:12" ht="14" customHeight="1" x14ac:dyDescent="0.2">
      <c r="A4555" s="14"/>
      <c r="B4555" s="15"/>
      <c r="C4555" s="16"/>
      <c r="D4555" s="16"/>
      <c r="E4555" s="16"/>
      <c r="F4555" s="16"/>
      <c r="G4555" s="16"/>
      <c r="H4555" s="16"/>
      <c r="I4555" s="16"/>
      <c r="J4555" s="16"/>
      <c r="K4555" s="6"/>
      <c r="L4555" s="16"/>
    </row>
    <row r="4556" spans="1:12" ht="14" customHeight="1" x14ac:dyDescent="0.2">
      <c r="A4556" s="17"/>
      <c r="B4556" s="18"/>
      <c r="C4556" s="19"/>
      <c r="D4556" s="19"/>
      <c r="E4556" s="19"/>
      <c r="F4556" s="19"/>
      <c r="G4556" s="19"/>
      <c r="H4556" s="19"/>
      <c r="I4556" s="19"/>
      <c r="J4556" s="19"/>
      <c r="K4556" s="6"/>
      <c r="L4556" s="19"/>
    </row>
    <row r="4557" spans="1:12" ht="14" customHeight="1" x14ac:dyDescent="0.2">
      <c r="A4557" s="14"/>
      <c r="B4557" s="15"/>
      <c r="C4557" s="16"/>
      <c r="D4557" s="16"/>
      <c r="E4557" s="16"/>
      <c r="F4557" s="16"/>
      <c r="G4557" s="16"/>
      <c r="H4557" s="16"/>
      <c r="I4557" s="16"/>
      <c r="J4557" s="16"/>
      <c r="K4557" s="6"/>
      <c r="L4557" s="16"/>
    </row>
    <row r="4558" spans="1:12" ht="14" customHeight="1" x14ac:dyDescent="0.2">
      <c r="A4558" s="17"/>
      <c r="B4558" s="18"/>
      <c r="C4558" s="19"/>
      <c r="D4558" s="19"/>
      <c r="E4558" s="19"/>
      <c r="F4558" s="19"/>
      <c r="G4558" s="19"/>
      <c r="H4558" s="19"/>
      <c r="I4558" s="19"/>
      <c r="J4558" s="19"/>
      <c r="K4558" s="6"/>
      <c r="L4558" s="19"/>
    </row>
    <row r="4559" spans="1:12" ht="14" customHeight="1" x14ac:dyDescent="0.2">
      <c r="A4559" s="14"/>
      <c r="B4559" s="15"/>
      <c r="C4559" s="16"/>
      <c r="D4559" s="16"/>
      <c r="E4559" s="16"/>
      <c r="F4559" s="16"/>
      <c r="G4559" s="16"/>
      <c r="H4559" s="16"/>
      <c r="I4559" s="16"/>
      <c r="J4559" s="16"/>
      <c r="K4559" s="6"/>
      <c r="L4559" s="16"/>
    </row>
    <row r="4560" spans="1:12" ht="14" customHeight="1" x14ac:dyDescent="0.2">
      <c r="A4560" s="17"/>
      <c r="B4560" s="18"/>
      <c r="C4560" s="19"/>
      <c r="D4560" s="19"/>
      <c r="E4560" s="19"/>
      <c r="F4560" s="19"/>
      <c r="G4560" s="19"/>
      <c r="H4560" s="19"/>
      <c r="I4560" s="19"/>
      <c r="J4560" s="19"/>
      <c r="K4560" s="6"/>
      <c r="L4560" s="19"/>
    </row>
    <row r="4561" spans="1:12" ht="14" customHeight="1" x14ac:dyDescent="0.2">
      <c r="A4561" s="14"/>
      <c r="B4561" s="15"/>
      <c r="C4561" s="16"/>
      <c r="D4561" s="16"/>
      <c r="E4561" s="16"/>
      <c r="F4561" s="16"/>
      <c r="G4561" s="16"/>
      <c r="H4561" s="16"/>
      <c r="I4561" s="16"/>
      <c r="J4561" s="16"/>
      <c r="K4561" s="6"/>
      <c r="L4561" s="16"/>
    </row>
    <row r="4562" spans="1:12" ht="14" customHeight="1" x14ac:dyDescent="0.2">
      <c r="A4562" s="17"/>
      <c r="B4562" s="18"/>
      <c r="C4562" s="19"/>
      <c r="D4562" s="19"/>
      <c r="E4562" s="19"/>
      <c r="F4562" s="19"/>
      <c r="G4562" s="19"/>
      <c r="H4562" s="19"/>
      <c r="I4562" s="19"/>
      <c r="J4562" s="19"/>
      <c r="K4562" s="6"/>
      <c r="L4562" s="19"/>
    </row>
    <row r="4563" spans="1:12" ht="14" customHeight="1" x14ac:dyDescent="0.2">
      <c r="A4563" s="14"/>
      <c r="B4563" s="15"/>
      <c r="C4563" s="16"/>
      <c r="D4563" s="16"/>
      <c r="E4563" s="16"/>
      <c r="F4563" s="16"/>
      <c r="G4563" s="16"/>
      <c r="H4563" s="16"/>
      <c r="I4563" s="16"/>
      <c r="J4563" s="16"/>
      <c r="K4563" s="6"/>
      <c r="L4563" s="16"/>
    </row>
    <row r="4564" spans="1:12" ht="14" customHeight="1" x14ac:dyDescent="0.2">
      <c r="A4564" s="17"/>
      <c r="B4564" s="18"/>
      <c r="C4564" s="19"/>
      <c r="D4564" s="19"/>
      <c r="E4564" s="19"/>
      <c r="F4564" s="19"/>
      <c r="G4564" s="19"/>
      <c r="H4564" s="19"/>
      <c r="I4564" s="19"/>
      <c r="J4564" s="19"/>
      <c r="K4564" s="6"/>
      <c r="L4564" s="19"/>
    </row>
    <row r="4565" spans="1:12" ht="14" customHeight="1" x14ac:dyDescent="0.2">
      <c r="A4565" s="14"/>
      <c r="B4565" s="15"/>
      <c r="C4565" s="16"/>
      <c r="D4565" s="16"/>
      <c r="E4565" s="16"/>
      <c r="F4565" s="16"/>
      <c r="G4565" s="16"/>
      <c r="H4565" s="16"/>
      <c r="I4565" s="16"/>
      <c r="J4565" s="16"/>
      <c r="K4565" s="6"/>
      <c r="L4565" s="16"/>
    </row>
    <row r="4566" spans="1:12" ht="14" customHeight="1" x14ac:dyDescent="0.2">
      <c r="A4566" s="17"/>
      <c r="B4566" s="18"/>
      <c r="C4566" s="19"/>
      <c r="D4566" s="19"/>
      <c r="E4566" s="19"/>
      <c r="F4566" s="19"/>
      <c r="G4566" s="19"/>
      <c r="H4566" s="19"/>
      <c r="I4566" s="19"/>
      <c r="J4566" s="19"/>
      <c r="K4566" s="6"/>
      <c r="L4566" s="19"/>
    </row>
    <row r="4567" spans="1:12" ht="14" customHeight="1" x14ac:dyDescent="0.2">
      <c r="A4567" s="14"/>
      <c r="B4567" s="15"/>
      <c r="C4567" s="16"/>
      <c r="D4567" s="16"/>
      <c r="E4567" s="16"/>
      <c r="F4567" s="16"/>
      <c r="G4567" s="16"/>
      <c r="H4567" s="16"/>
      <c r="I4567" s="16"/>
      <c r="J4567" s="16"/>
      <c r="K4567" s="6"/>
      <c r="L4567" s="16"/>
    </row>
    <row r="4568" spans="1:12" ht="14" customHeight="1" x14ac:dyDescent="0.2">
      <c r="A4568" s="17"/>
      <c r="B4568" s="18"/>
      <c r="C4568" s="19"/>
      <c r="D4568" s="19"/>
      <c r="E4568" s="19"/>
      <c r="F4568" s="19"/>
      <c r="G4568" s="19"/>
      <c r="H4568" s="19"/>
      <c r="I4568" s="19"/>
      <c r="J4568" s="19"/>
      <c r="K4568" s="6"/>
      <c r="L4568" s="19"/>
    </row>
    <row r="4569" spans="1:12" ht="14" customHeight="1" x14ac:dyDescent="0.2">
      <c r="A4569" s="14"/>
      <c r="B4569" s="15"/>
      <c r="C4569" s="16"/>
      <c r="D4569" s="16"/>
      <c r="E4569" s="16"/>
      <c r="F4569" s="16"/>
      <c r="G4569" s="16"/>
      <c r="H4569" s="16"/>
      <c r="I4569" s="16"/>
      <c r="J4569" s="16"/>
      <c r="K4569" s="6"/>
      <c r="L4569" s="16"/>
    </row>
    <row r="4570" spans="1:12" ht="14" customHeight="1" x14ac:dyDescent="0.2">
      <c r="A4570" s="17"/>
      <c r="B4570" s="18"/>
      <c r="C4570" s="19"/>
      <c r="D4570" s="19"/>
      <c r="E4570" s="19"/>
      <c r="F4570" s="19"/>
      <c r="G4570" s="19"/>
      <c r="H4570" s="19"/>
      <c r="I4570" s="19"/>
      <c r="J4570" s="19"/>
      <c r="K4570" s="6"/>
      <c r="L4570" s="19"/>
    </row>
    <row r="4571" spans="1:12" ht="14" customHeight="1" x14ac:dyDescent="0.2">
      <c r="A4571" s="14"/>
      <c r="B4571" s="15"/>
      <c r="C4571" s="16"/>
      <c r="D4571" s="16"/>
      <c r="E4571" s="16"/>
      <c r="F4571" s="16"/>
      <c r="G4571" s="16"/>
      <c r="H4571" s="16"/>
      <c r="I4571" s="16"/>
      <c r="J4571" s="16"/>
      <c r="K4571" s="6"/>
      <c r="L4571" s="16"/>
    </row>
    <row r="4572" spans="1:12" ht="14" customHeight="1" x14ac:dyDescent="0.2">
      <c r="A4572" s="17"/>
      <c r="B4572" s="18"/>
      <c r="C4572" s="19"/>
      <c r="D4572" s="19"/>
      <c r="E4572" s="19"/>
      <c r="F4572" s="19"/>
      <c r="G4572" s="19"/>
      <c r="H4572" s="19"/>
      <c r="I4572" s="19"/>
      <c r="J4572" s="19"/>
      <c r="K4572" s="6"/>
      <c r="L4572" s="19"/>
    </row>
    <row r="4573" spans="1:12" ht="14" customHeight="1" x14ac:dyDescent="0.2">
      <c r="A4573" s="14"/>
      <c r="B4573" s="15"/>
      <c r="C4573" s="16"/>
      <c r="D4573" s="16"/>
      <c r="E4573" s="16"/>
      <c r="F4573" s="16"/>
      <c r="G4573" s="16"/>
      <c r="H4573" s="16"/>
      <c r="I4573" s="16"/>
      <c r="J4573" s="16"/>
      <c r="K4573" s="6"/>
      <c r="L4573" s="16"/>
    </row>
    <row r="4574" spans="1:12" ht="14" customHeight="1" x14ac:dyDescent="0.2">
      <c r="A4574" s="17"/>
      <c r="B4574" s="18"/>
      <c r="C4574" s="19"/>
      <c r="D4574" s="19"/>
      <c r="E4574" s="19"/>
      <c r="F4574" s="19"/>
      <c r="G4574" s="19"/>
      <c r="H4574" s="19"/>
      <c r="I4574" s="19"/>
      <c r="J4574" s="19"/>
      <c r="K4574" s="6"/>
      <c r="L4574" s="19"/>
    </row>
    <row r="4575" spans="1:12" ht="14" customHeight="1" x14ac:dyDescent="0.2">
      <c r="A4575" s="14"/>
      <c r="B4575" s="15"/>
      <c r="C4575" s="16"/>
      <c r="D4575" s="16"/>
      <c r="E4575" s="16"/>
      <c r="F4575" s="16"/>
      <c r="G4575" s="16"/>
      <c r="H4575" s="16"/>
      <c r="I4575" s="16"/>
      <c r="J4575" s="16"/>
      <c r="K4575" s="6"/>
      <c r="L4575" s="16"/>
    </row>
    <row r="4576" spans="1:12" ht="14" customHeight="1" x14ac:dyDescent="0.2">
      <c r="A4576" s="17"/>
      <c r="B4576" s="18"/>
      <c r="C4576" s="19"/>
      <c r="D4576" s="19"/>
      <c r="E4576" s="19"/>
      <c r="F4576" s="19"/>
      <c r="G4576" s="19"/>
      <c r="H4576" s="19"/>
      <c r="I4576" s="19"/>
      <c r="J4576" s="19"/>
      <c r="K4576" s="6"/>
      <c r="L4576" s="19"/>
    </row>
    <row r="4577" spans="1:12" ht="14" customHeight="1" x14ac:dyDescent="0.2">
      <c r="A4577" s="14"/>
      <c r="B4577" s="15"/>
      <c r="C4577" s="16"/>
      <c r="D4577" s="16"/>
      <c r="E4577" s="16"/>
      <c r="F4577" s="16"/>
      <c r="G4577" s="16"/>
      <c r="H4577" s="16"/>
      <c r="I4577" s="16"/>
      <c r="J4577" s="16"/>
      <c r="K4577" s="6"/>
      <c r="L4577" s="16"/>
    </row>
    <row r="4578" spans="1:12" ht="14" customHeight="1" x14ac:dyDescent="0.2">
      <c r="A4578" s="17"/>
      <c r="B4578" s="18"/>
      <c r="C4578" s="19"/>
      <c r="D4578" s="19"/>
      <c r="E4578" s="19"/>
      <c r="F4578" s="19"/>
      <c r="G4578" s="19"/>
      <c r="H4578" s="19"/>
      <c r="I4578" s="19"/>
      <c r="J4578" s="19"/>
      <c r="K4578" s="6"/>
      <c r="L4578" s="19"/>
    </row>
    <row r="4579" spans="1:12" ht="14" customHeight="1" x14ac:dyDescent="0.2">
      <c r="A4579" s="14"/>
      <c r="B4579" s="15"/>
      <c r="C4579" s="16"/>
      <c r="D4579" s="16"/>
      <c r="E4579" s="16"/>
      <c r="F4579" s="16"/>
      <c r="G4579" s="16"/>
      <c r="H4579" s="16"/>
      <c r="I4579" s="16"/>
      <c r="J4579" s="16"/>
      <c r="K4579" s="6"/>
      <c r="L4579" s="16"/>
    </row>
    <row r="4580" spans="1:12" ht="14" customHeight="1" x14ac:dyDescent="0.2">
      <c r="A4580" s="17"/>
      <c r="B4580" s="18"/>
      <c r="C4580" s="19"/>
      <c r="D4580" s="19"/>
      <c r="E4580" s="19"/>
      <c r="F4580" s="19"/>
      <c r="G4580" s="19"/>
      <c r="H4580" s="19"/>
      <c r="I4580" s="19"/>
      <c r="J4580" s="19"/>
      <c r="K4580" s="6"/>
      <c r="L4580" s="19"/>
    </row>
    <row r="4581" spans="1:12" ht="14" customHeight="1" x14ac:dyDescent="0.2">
      <c r="A4581" s="14"/>
      <c r="B4581" s="15"/>
      <c r="C4581" s="16"/>
      <c r="D4581" s="16"/>
      <c r="E4581" s="16"/>
      <c r="F4581" s="16"/>
      <c r="G4581" s="16"/>
      <c r="H4581" s="16"/>
      <c r="I4581" s="16"/>
      <c r="J4581" s="16"/>
      <c r="K4581" s="6"/>
      <c r="L4581" s="16"/>
    </row>
    <row r="4582" spans="1:12" ht="14" customHeight="1" x14ac:dyDescent="0.2">
      <c r="A4582" s="17"/>
      <c r="B4582" s="18"/>
      <c r="C4582" s="19"/>
      <c r="D4582" s="19"/>
      <c r="E4582" s="19"/>
      <c r="F4582" s="19"/>
      <c r="G4582" s="19"/>
      <c r="H4582" s="19"/>
      <c r="I4582" s="19"/>
      <c r="J4582" s="19"/>
      <c r="K4582" s="6"/>
      <c r="L4582" s="19"/>
    </row>
    <row r="4583" spans="1:12" ht="14" customHeight="1" x14ac:dyDescent="0.2">
      <c r="A4583" s="14"/>
      <c r="B4583" s="15"/>
      <c r="C4583" s="16"/>
      <c r="D4583" s="16"/>
      <c r="E4583" s="16"/>
      <c r="F4583" s="16"/>
      <c r="G4583" s="16"/>
      <c r="H4583" s="16"/>
      <c r="I4583" s="16"/>
      <c r="J4583" s="16"/>
      <c r="K4583" s="6"/>
      <c r="L4583" s="16"/>
    </row>
    <row r="4584" spans="1:12" ht="14" customHeight="1" x14ac:dyDescent="0.2">
      <c r="A4584" s="17"/>
      <c r="B4584" s="18"/>
      <c r="C4584" s="19"/>
      <c r="D4584" s="19"/>
      <c r="E4584" s="19"/>
      <c r="F4584" s="19"/>
      <c r="G4584" s="19"/>
      <c r="H4584" s="19"/>
      <c r="I4584" s="19"/>
      <c r="J4584" s="19"/>
      <c r="K4584" s="6"/>
      <c r="L4584" s="19"/>
    </row>
    <row r="4585" spans="1:12" ht="14" customHeight="1" x14ac:dyDescent="0.2">
      <c r="A4585" s="14"/>
      <c r="B4585" s="15"/>
      <c r="C4585" s="16"/>
      <c r="D4585" s="16"/>
      <c r="E4585" s="16"/>
      <c r="F4585" s="16"/>
      <c r="G4585" s="16"/>
      <c r="H4585" s="16"/>
      <c r="I4585" s="16"/>
      <c r="J4585" s="16"/>
      <c r="K4585" s="6"/>
      <c r="L4585" s="16"/>
    </row>
    <row r="4586" spans="1:12" ht="14" customHeight="1" x14ac:dyDescent="0.2">
      <c r="A4586" s="17"/>
      <c r="B4586" s="18"/>
      <c r="C4586" s="19"/>
      <c r="D4586" s="19"/>
      <c r="E4586" s="19"/>
      <c r="F4586" s="19"/>
      <c r="G4586" s="19"/>
      <c r="H4586" s="19"/>
      <c r="I4586" s="19"/>
      <c r="J4586" s="19"/>
      <c r="K4586" s="6"/>
      <c r="L4586" s="19"/>
    </row>
    <row r="4587" spans="1:12" ht="14" customHeight="1" x14ac:dyDescent="0.2">
      <c r="A4587" s="14"/>
      <c r="B4587" s="15"/>
      <c r="C4587" s="16"/>
      <c r="D4587" s="16"/>
      <c r="E4587" s="16"/>
      <c r="F4587" s="16"/>
      <c r="G4587" s="16"/>
      <c r="H4587" s="16"/>
      <c r="I4587" s="16"/>
      <c r="J4587" s="16"/>
      <c r="K4587" s="6"/>
      <c r="L4587" s="16"/>
    </row>
    <row r="4588" spans="1:12" ht="14" customHeight="1" x14ac:dyDescent="0.2">
      <c r="A4588" s="17"/>
      <c r="B4588" s="18"/>
      <c r="C4588" s="19"/>
      <c r="D4588" s="19"/>
      <c r="E4588" s="19"/>
      <c r="F4588" s="19"/>
      <c r="G4588" s="19"/>
      <c r="H4588" s="19"/>
      <c r="I4588" s="19"/>
      <c r="J4588" s="19"/>
      <c r="K4588" s="6"/>
      <c r="L4588" s="19"/>
    </row>
    <row r="4589" spans="1:12" ht="14" customHeight="1" x14ac:dyDescent="0.2">
      <c r="A4589" s="14"/>
      <c r="B4589" s="15"/>
      <c r="C4589" s="16"/>
      <c r="D4589" s="16"/>
      <c r="E4589" s="16"/>
      <c r="F4589" s="16"/>
      <c r="G4589" s="16"/>
      <c r="H4589" s="16"/>
      <c r="I4589" s="16"/>
      <c r="J4589" s="16"/>
      <c r="K4589" s="6"/>
      <c r="L4589" s="16"/>
    </row>
    <row r="4590" spans="1:12" ht="14" customHeight="1" x14ac:dyDescent="0.2">
      <c r="A4590" s="17"/>
      <c r="B4590" s="18"/>
      <c r="C4590" s="19"/>
      <c r="D4590" s="19"/>
      <c r="E4590" s="19"/>
      <c r="F4590" s="19"/>
      <c r="G4590" s="19"/>
      <c r="H4590" s="19"/>
      <c r="I4590" s="19"/>
      <c r="J4590" s="19"/>
      <c r="K4590" s="6"/>
      <c r="L4590" s="19"/>
    </row>
    <row r="4591" spans="1:12" ht="14" customHeight="1" x14ac:dyDescent="0.2">
      <c r="A4591" s="14"/>
      <c r="B4591" s="15"/>
      <c r="C4591" s="16"/>
      <c r="D4591" s="16"/>
      <c r="E4591" s="16"/>
      <c r="F4591" s="16"/>
      <c r="G4591" s="16"/>
      <c r="H4591" s="16"/>
      <c r="I4591" s="16"/>
      <c r="J4591" s="16"/>
      <c r="K4591" s="6"/>
      <c r="L4591" s="16"/>
    </row>
    <row r="4592" spans="1:12" ht="14" customHeight="1" x14ac:dyDescent="0.2">
      <c r="A4592" s="17"/>
      <c r="B4592" s="18"/>
      <c r="C4592" s="19"/>
      <c r="D4592" s="19"/>
      <c r="E4592" s="19"/>
      <c r="F4592" s="19"/>
      <c r="G4592" s="19"/>
      <c r="H4592" s="19"/>
      <c r="I4592" s="19"/>
      <c r="J4592" s="19"/>
      <c r="K4592" s="6"/>
      <c r="L4592" s="19"/>
    </row>
    <row r="4593" spans="1:12" ht="14" customHeight="1" x14ac:dyDescent="0.2">
      <c r="A4593" s="14"/>
      <c r="B4593" s="15"/>
      <c r="C4593" s="16"/>
      <c r="D4593" s="16"/>
      <c r="E4593" s="16"/>
      <c r="F4593" s="16"/>
      <c r="G4593" s="16"/>
      <c r="H4593" s="16"/>
      <c r="I4593" s="16"/>
      <c r="J4593" s="16"/>
      <c r="K4593" s="6"/>
      <c r="L4593" s="16"/>
    </row>
    <row r="4594" spans="1:12" ht="14" customHeight="1" x14ac:dyDescent="0.2">
      <c r="A4594" s="17"/>
      <c r="B4594" s="18"/>
      <c r="C4594" s="19"/>
      <c r="D4594" s="19"/>
      <c r="E4594" s="19"/>
      <c r="F4594" s="19"/>
      <c r="G4594" s="19"/>
      <c r="H4594" s="19"/>
      <c r="I4594" s="19"/>
      <c r="J4594" s="19"/>
      <c r="K4594" s="6"/>
      <c r="L4594" s="19"/>
    </row>
    <row r="4595" spans="1:12" ht="14" customHeight="1" x14ac:dyDescent="0.2">
      <c r="A4595" s="14"/>
      <c r="B4595" s="15"/>
      <c r="C4595" s="16"/>
      <c r="D4595" s="16"/>
      <c r="E4595" s="16"/>
      <c r="F4595" s="16"/>
      <c r="G4595" s="16"/>
      <c r="H4595" s="16"/>
      <c r="I4595" s="16"/>
      <c r="J4595" s="16"/>
      <c r="K4595" s="6"/>
      <c r="L4595" s="16"/>
    </row>
    <row r="4596" spans="1:12" ht="14" customHeight="1" x14ac:dyDescent="0.2">
      <c r="A4596" s="17"/>
      <c r="B4596" s="18"/>
      <c r="C4596" s="19"/>
      <c r="D4596" s="19"/>
      <c r="E4596" s="19"/>
      <c r="F4596" s="19"/>
      <c r="G4596" s="19"/>
      <c r="H4596" s="19"/>
      <c r="I4596" s="19"/>
      <c r="J4596" s="19"/>
      <c r="K4596" s="6"/>
      <c r="L4596" s="19"/>
    </row>
    <row r="4597" spans="1:12" ht="14" customHeight="1" x14ac:dyDescent="0.2">
      <c r="A4597" s="14"/>
      <c r="B4597" s="15"/>
      <c r="C4597" s="16"/>
      <c r="D4597" s="16"/>
      <c r="E4597" s="16"/>
      <c r="F4597" s="16"/>
      <c r="G4597" s="16"/>
      <c r="H4597" s="16"/>
      <c r="I4597" s="16"/>
      <c r="J4597" s="16"/>
      <c r="K4597" s="6"/>
      <c r="L4597" s="16"/>
    </row>
    <row r="4598" spans="1:12" ht="14" customHeight="1" x14ac:dyDescent="0.2">
      <c r="A4598" s="17"/>
      <c r="B4598" s="18"/>
      <c r="C4598" s="19"/>
      <c r="D4598" s="19"/>
      <c r="E4598" s="19"/>
      <c r="F4598" s="19"/>
      <c r="G4598" s="19"/>
      <c r="H4598" s="19"/>
      <c r="I4598" s="19"/>
      <c r="J4598" s="19"/>
      <c r="K4598" s="6"/>
      <c r="L4598" s="19"/>
    </row>
    <row r="4599" spans="1:12" ht="14" customHeight="1" x14ac:dyDescent="0.2">
      <c r="A4599" s="14"/>
      <c r="B4599" s="15"/>
      <c r="C4599" s="16"/>
      <c r="D4599" s="16"/>
      <c r="E4599" s="16"/>
      <c r="F4599" s="16"/>
      <c r="G4599" s="16"/>
      <c r="H4599" s="16"/>
      <c r="I4599" s="16"/>
      <c r="J4599" s="16"/>
      <c r="K4599" s="6"/>
      <c r="L4599" s="16"/>
    </row>
    <row r="4600" spans="1:12" ht="14" customHeight="1" x14ac:dyDescent="0.2">
      <c r="A4600" s="17"/>
      <c r="B4600" s="18"/>
      <c r="C4600" s="19"/>
      <c r="D4600" s="19"/>
      <c r="E4600" s="19"/>
      <c r="F4600" s="19"/>
      <c r="G4600" s="19"/>
      <c r="H4600" s="19"/>
      <c r="I4600" s="19"/>
      <c r="J4600" s="19"/>
      <c r="K4600" s="6"/>
      <c r="L4600" s="19"/>
    </row>
    <row r="4601" spans="1:12" ht="14" customHeight="1" x14ac:dyDescent="0.2">
      <c r="A4601" s="14"/>
      <c r="B4601" s="15"/>
      <c r="C4601" s="16"/>
      <c r="D4601" s="16"/>
      <c r="E4601" s="16"/>
      <c r="F4601" s="16"/>
      <c r="G4601" s="16"/>
      <c r="H4601" s="16"/>
      <c r="I4601" s="16"/>
      <c r="J4601" s="16"/>
      <c r="K4601" s="6"/>
      <c r="L4601" s="16"/>
    </row>
    <row r="4602" spans="1:12" ht="14" customHeight="1" x14ac:dyDescent="0.2">
      <c r="A4602" s="17"/>
      <c r="B4602" s="18"/>
      <c r="C4602" s="19"/>
      <c r="D4602" s="19"/>
      <c r="E4602" s="19"/>
      <c r="F4602" s="19"/>
      <c r="G4602" s="19"/>
      <c r="H4602" s="19"/>
      <c r="I4602" s="19"/>
      <c r="J4602" s="19"/>
      <c r="K4602" s="6"/>
      <c r="L4602" s="19"/>
    </row>
    <row r="4603" spans="1:12" ht="14" customHeight="1" x14ac:dyDescent="0.2">
      <c r="A4603" s="14"/>
      <c r="B4603" s="15"/>
      <c r="C4603" s="16"/>
      <c r="D4603" s="16"/>
      <c r="E4603" s="16"/>
      <c r="F4603" s="16"/>
      <c r="G4603" s="16"/>
      <c r="H4603" s="16"/>
      <c r="I4603" s="16"/>
      <c r="J4603" s="16"/>
      <c r="K4603" s="6"/>
      <c r="L4603" s="16"/>
    </row>
    <row r="4604" spans="1:12" ht="14" customHeight="1" x14ac:dyDescent="0.2">
      <c r="A4604" s="17"/>
      <c r="B4604" s="18"/>
      <c r="C4604" s="19"/>
      <c r="D4604" s="19"/>
      <c r="E4604" s="19"/>
      <c r="F4604" s="19"/>
      <c r="G4604" s="19"/>
      <c r="H4604" s="19"/>
      <c r="I4604" s="19"/>
      <c r="J4604" s="19"/>
      <c r="K4604" s="6"/>
      <c r="L4604" s="19"/>
    </row>
    <row r="4605" spans="1:12" ht="14" customHeight="1" x14ac:dyDescent="0.2">
      <c r="A4605" s="14"/>
      <c r="B4605" s="15"/>
      <c r="C4605" s="16"/>
      <c r="D4605" s="16"/>
      <c r="E4605" s="16"/>
      <c r="F4605" s="16"/>
      <c r="G4605" s="16"/>
      <c r="H4605" s="16"/>
      <c r="I4605" s="16"/>
      <c r="J4605" s="16"/>
      <c r="K4605" s="6"/>
      <c r="L4605" s="16"/>
    </row>
    <row r="4606" spans="1:12" ht="14" customHeight="1" x14ac:dyDescent="0.2">
      <c r="A4606" s="17"/>
      <c r="B4606" s="18"/>
      <c r="C4606" s="19"/>
      <c r="D4606" s="19"/>
      <c r="E4606" s="19"/>
      <c r="F4606" s="19"/>
      <c r="G4606" s="19"/>
      <c r="H4606" s="19"/>
      <c r="I4606" s="19"/>
      <c r="J4606" s="19"/>
      <c r="K4606" s="6"/>
      <c r="L4606" s="19"/>
    </row>
    <row r="4607" spans="1:12" ht="14" customHeight="1" x14ac:dyDescent="0.2">
      <c r="A4607" s="14"/>
      <c r="B4607" s="15"/>
      <c r="C4607" s="16"/>
      <c r="D4607" s="16"/>
      <c r="E4607" s="16"/>
      <c r="F4607" s="16"/>
      <c r="G4607" s="16"/>
      <c r="H4607" s="16"/>
      <c r="I4607" s="16"/>
      <c r="J4607" s="16"/>
      <c r="K4607" s="6"/>
      <c r="L4607" s="16"/>
    </row>
    <row r="4608" spans="1:12" ht="14" customHeight="1" x14ac:dyDescent="0.2">
      <c r="A4608" s="17"/>
      <c r="B4608" s="18"/>
      <c r="C4608" s="19"/>
      <c r="D4608" s="19"/>
      <c r="E4608" s="19"/>
      <c r="F4608" s="19"/>
      <c r="G4608" s="19"/>
      <c r="H4608" s="19"/>
      <c r="I4608" s="19"/>
      <c r="J4608" s="19"/>
      <c r="K4608" s="6"/>
      <c r="L4608" s="19"/>
    </row>
    <row r="4609" spans="1:12" ht="14" customHeight="1" x14ac:dyDescent="0.2">
      <c r="A4609" s="14"/>
      <c r="B4609" s="15"/>
      <c r="C4609" s="16"/>
      <c r="D4609" s="16"/>
      <c r="E4609" s="16"/>
      <c r="F4609" s="16"/>
      <c r="G4609" s="16"/>
      <c r="H4609" s="16"/>
      <c r="I4609" s="16"/>
      <c r="J4609" s="16"/>
      <c r="K4609" s="6"/>
      <c r="L4609" s="16"/>
    </row>
    <row r="4610" spans="1:12" ht="14" customHeight="1" x14ac:dyDescent="0.2">
      <c r="A4610" s="17"/>
      <c r="B4610" s="18"/>
      <c r="C4610" s="19"/>
      <c r="D4610" s="19"/>
      <c r="E4610" s="19"/>
      <c r="F4610" s="19"/>
      <c r="G4610" s="19"/>
      <c r="H4610" s="19"/>
      <c r="I4610" s="19"/>
      <c r="J4610" s="19"/>
      <c r="K4610" s="6"/>
      <c r="L4610" s="19"/>
    </row>
    <row r="4611" spans="1:12" ht="14" customHeight="1" x14ac:dyDescent="0.2">
      <c r="A4611" s="14"/>
      <c r="B4611" s="15"/>
      <c r="C4611" s="16"/>
      <c r="D4611" s="16"/>
      <c r="E4611" s="16"/>
      <c r="F4611" s="16"/>
      <c r="G4611" s="16"/>
      <c r="H4611" s="16"/>
      <c r="I4611" s="16"/>
      <c r="J4611" s="16"/>
      <c r="K4611" s="6"/>
      <c r="L4611" s="16"/>
    </row>
    <row r="4612" spans="1:12" ht="14" customHeight="1" x14ac:dyDescent="0.2">
      <c r="A4612" s="17"/>
      <c r="B4612" s="18"/>
      <c r="C4612" s="19"/>
      <c r="D4612" s="19"/>
      <c r="E4612" s="19"/>
      <c r="F4612" s="19"/>
      <c r="G4612" s="19"/>
      <c r="H4612" s="19"/>
      <c r="I4612" s="19"/>
      <c r="J4612" s="19"/>
      <c r="K4612" s="6"/>
      <c r="L4612" s="19"/>
    </row>
    <row r="4613" spans="1:12" ht="14" customHeight="1" x14ac:dyDescent="0.2">
      <c r="A4613" s="14"/>
      <c r="B4613" s="15"/>
      <c r="C4613" s="16"/>
      <c r="D4613" s="16"/>
      <c r="E4613" s="16"/>
      <c r="F4613" s="16"/>
      <c r="G4613" s="16"/>
      <c r="H4613" s="16"/>
      <c r="I4613" s="16"/>
      <c r="J4613" s="16"/>
      <c r="K4613" s="6"/>
      <c r="L4613" s="16"/>
    </row>
    <row r="4614" spans="1:12" ht="14" customHeight="1" x14ac:dyDescent="0.2">
      <c r="A4614" s="17"/>
      <c r="B4614" s="18"/>
      <c r="C4614" s="19"/>
      <c r="D4614" s="19"/>
      <c r="E4614" s="19"/>
      <c r="F4614" s="19"/>
      <c r="G4614" s="19"/>
      <c r="H4614" s="19"/>
      <c r="I4614" s="19"/>
      <c r="J4614" s="19"/>
      <c r="K4614" s="6"/>
      <c r="L4614" s="19"/>
    </row>
    <row r="4615" spans="1:12" ht="14" customHeight="1" x14ac:dyDescent="0.2">
      <c r="A4615" s="14"/>
      <c r="B4615" s="15"/>
      <c r="C4615" s="16"/>
      <c r="D4615" s="16"/>
      <c r="E4615" s="16"/>
      <c r="F4615" s="16"/>
      <c r="G4615" s="16"/>
      <c r="H4615" s="16"/>
      <c r="I4615" s="16"/>
      <c r="J4615" s="16"/>
      <c r="K4615" s="6"/>
      <c r="L4615" s="16"/>
    </row>
    <row r="4616" spans="1:12" ht="14" customHeight="1" x14ac:dyDescent="0.2">
      <c r="A4616" s="17"/>
      <c r="B4616" s="18"/>
      <c r="C4616" s="19"/>
      <c r="D4616" s="19"/>
      <c r="E4616" s="19"/>
      <c r="F4616" s="19"/>
      <c r="G4616" s="19"/>
      <c r="H4616" s="19"/>
      <c r="I4616" s="19"/>
      <c r="J4616" s="19"/>
      <c r="K4616" s="6"/>
      <c r="L4616" s="19"/>
    </row>
    <row r="4617" spans="1:12" ht="14" customHeight="1" x14ac:dyDescent="0.2">
      <c r="A4617" s="14"/>
      <c r="B4617" s="15"/>
      <c r="C4617" s="16"/>
      <c r="D4617" s="16"/>
      <c r="E4617" s="16"/>
      <c r="F4617" s="16"/>
      <c r="G4617" s="16"/>
      <c r="H4617" s="16"/>
      <c r="I4617" s="16"/>
      <c r="J4617" s="16"/>
      <c r="K4617" s="6"/>
      <c r="L4617" s="16"/>
    </row>
    <row r="4618" spans="1:12" ht="14" customHeight="1" x14ac:dyDescent="0.2">
      <c r="A4618" s="17"/>
      <c r="B4618" s="18"/>
      <c r="C4618" s="19"/>
      <c r="D4618" s="19"/>
      <c r="E4618" s="19"/>
      <c r="F4618" s="19"/>
      <c r="G4618" s="19"/>
      <c r="H4618" s="19"/>
      <c r="I4618" s="19"/>
      <c r="J4618" s="19"/>
      <c r="K4618" s="6"/>
      <c r="L4618" s="19"/>
    </row>
    <row r="4619" spans="1:12" ht="14" customHeight="1" x14ac:dyDescent="0.2">
      <c r="A4619" s="14"/>
      <c r="B4619" s="15"/>
      <c r="C4619" s="16"/>
      <c r="D4619" s="16"/>
      <c r="E4619" s="16"/>
      <c r="F4619" s="16"/>
      <c r="G4619" s="16"/>
      <c r="H4619" s="16"/>
      <c r="I4619" s="16"/>
      <c r="J4619" s="16"/>
      <c r="K4619" s="6"/>
      <c r="L4619" s="16"/>
    </row>
    <row r="4620" spans="1:12" ht="14" customHeight="1" x14ac:dyDescent="0.2">
      <c r="A4620" s="17"/>
      <c r="B4620" s="18"/>
      <c r="C4620" s="19"/>
      <c r="D4620" s="19"/>
      <c r="E4620" s="19"/>
      <c r="F4620" s="19"/>
      <c r="G4620" s="19"/>
      <c r="H4620" s="19"/>
      <c r="I4620" s="19"/>
      <c r="J4620" s="19"/>
      <c r="K4620" s="6"/>
      <c r="L4620" s="19"/>
    </row>
    <row r="4621" spans="1:12" ht="14" customHeight="1" x14ac:dyDescent="0.2">
      <c r="A4621" s="14"/>
      <c r="B4621" s="15"/>
      <c r="C4621" s="16"/>
      <c r="D4621" s="16"/>
      <c r="E4621" s="16"/>
      <c r="F4621" s="16"/>
      <c r="G4621" s="16"/>
      <c r="H4621" s="16"/>
      <c r="I4621" s="16"/>
      <c r="J4621" s="16"/>
      <c r="K4621" s="6"/>
      <c r="L4621" s="16"/>
    </row>
    <row r="4622" spans="1:12" ht="14" customHeight="1" x14ac:dyDescent="0.2">
      <c r="A4622" s="17"/>
      <c r="B4622" s="18"/>
      <c r="C4622" s="19"/>
      <c r="D4622" s="19"/>
      <c r="E4622" s="19"/>
      <c r="F4622" s="19"/>
      <c r="G4622" s="19"/>
      <c r="H4622" s="19"/>
      <c r="I4622" s="19"/>
      <c r="J4622" s="19"/>
      <c r="K4622" s="6"/>
      <c r="L4622" s="19"/>
    </row>
    <row r="4623" spans="1:12" ht="14" customHeight="1" x14ac:dyDescent="0.2">
      <c r="A4623" s="14"/>
      <c r="B4623" s="15"/>
      <c r="C4623" s="16"/>
      <c r="D4623" s="16"/>
      <c r="E4623" s="16"/>
      <c r="F4623" s="16"/>
      <c r="G4623" s="16"/>
      <c r="H4623" s="16"/>
      <c r="I4623" s="16"/>
      <c r="J4623" s="16"/>
      <c r="K4623" s="6"/>
      <c r="L4623" s="16"/>
    </row>
    <row r="4624" spans="1:12" ht="14" customHeight="1" x14ac:dyDescent="0.2">
      <c r="A4624" s="17"/>
      <c r="B4624" s="18"/>
      <c r="C4624" s="19"/>
      <c r="D4624" s="19"/>
      <c r="E4624" s="19"/>
      <c r="F4624" s="19"/>
      <c r="G4624" s="19"/>
      <c r="H4624" s="19"/>
      <c r="I4624" s="19"/>
      <c r="J4624" s="19"/>
      <c r="K4624" s="6"/>
      <c r="L4624" s="19"/>
    </row>
    <row r="4625" spans="1:12" ht="14" customHeight="1" x14ac:dyDescent="0.2">
      <c r="A4625" s="14"/>
      <c r="B4625" s="15"/>
      <c r="C4625" s="16"/>
      <c r="D4625" s="16"/>
      <c r="E4625" s="16"/>
      <c r="F4625" s="16"/>
      <c r="G4625" s="16"/>
      <c r="H4625" s="16"/>
      <c r="I4625" s="16"/>
      <c r="J4625" s="16"/>
      <c r="K4625" s="6"/>
      <c r="L4625" s="16"/>
    </row>
    <row r="4626" spans="1:12" ht="14" customHeight="1" x14ac:dyDescent="0.2">
      <c r="A4626" s="17"/>
      <c r="B4626" s="18"/>
      <c r="C4626" s="19"/>
      <c r="D4626" s="19"/>
      <c r="E4626" s="19"/>
      <c r="F4626" s="19"/>
      <c r="G4626" s="19"/>
      <c r="H4626" s="19"/>
      <c r="I4626" s="19"/>
      <c r="J4626" s="19"/>
      <c r="K4626" s="6"/>
      <c r="L4626" s="19"/>
    </row>
    <row r="4627" spans="1:12" ht="14" customHeight="1" x14ac:dyDescent="0.2">
      <c r="A4627" s="14"/>
      <c r="B4627" s="15"/>
      <c r="C4627" s="16"/>
      <c r="D4627" s="16"/>
      <c r="E4627" s="16"/>
      <c r="F4627" s="16"/>
      <c r="G4627" s="16"/>
      <c r="H4627" s="16"/>
      <c r="I4627" s="16"/>
      <c r="J4627" s="16"/>
      <c r="K4627" s="6"/>
      <c r="L4627" s="16"/>
    </row>
    <row r="4628" spans="1:12" ht="14" customHeight="1" x14ac:dyDescent="0.2">
      <c r="A4628" s="17"/>
      <c r="B4628" s="18"/>
      <c r="C4628" s="19"/>
      <c r="D4628" s="19"/>
      <c r="E4628" s="19"/>
      <c r="F4628" s="19"/>
      <c r="G4628" s="19"/>
      <c r="H4628" s="19"/>
      <c r="I4628" s="19"/>
      <c r="J4628" s="19"/>
      <c r="K4628" s="6"/>
      <c r="L4628" s="19"/>
    </row>
    <row r="4629" spans="1:12" ht="14" customHeight="1" x14ac:dyDescent="0.2">
      <c r="A4629" s="14"/>
      <c r="B4629" s="15"/>
      <c r="C4629" s="16"/>
      <c r="D4629" s="16"/>
      <c r="E4629" s="16"/>
      <c r="F4629" s="16"/>
      <c r="G4629" s="16"/>
      <c r="H4629" s="16"/>
      <c r="I4629" s="16"/>
      <c r="J4629" s="16"/>
      <c r="K4629" s="6"/>
      <c r="L4629" s="16"/>
    </row>
    <row r="4630" spans="1:12" ht="14" customHeight="1" x14ac:dyDescent="0.2">
      <c r="A4630" s="17"/>
      <c r="B4630" s="18"/>
      <c r="C4630" s="19"/>
      <c r="D4630" s="19"/>
      <c r="E4630" s="19"/>
      <c r="F4630" s="19"/>
      <c r="G4630" s="19"/>
      <c r="H4630" s="19"/>
      <c r="I4630" s="19"/>
      <c r="J4630" s="19"/>
      <c r="K4630" s="6"/>
      <c r="L4630" s="19"/>
    </row>
    <row r="4631" spans="1:12" ht="14" customHeight="1" x14ac:dyDescent="0.2">
      <c r="A4631" s="14"/>
      <c r="B4631" s="15"/>
      <c r="C4631" s="16"/>
      <c r="D4631" s="16"/>
      <c r="E4631" s="16"/>
      <c r="F4631" s="16"/>
      <c r="G4631" s="16"/>
      <c r="H4631" s="16"/>
      <c r="I4631" s="16"/>
      <c r="J4631" s="16"/>
      <c r="K4631" s="6"/>
      <c r="L4631" s="16"/>
    </row>
    <row r="4632" spans="1:12" ht="14" customHeight="1" x14ac:dyDescent="0.2">
      <c r="A4632" s="17"/>
      <c r="B4632" s="18"/>
      <c r="C4632" s="19"/>
      <c r="D4632" s="19"/>
      <c r="E4632" s="19"/>
      <c r="F4632" s="19"/>
      <c r="G4632" s="19"/>
      <c r="H4632" s="19"/>
      <c r="I4632" s="19"/>
      <c r="J4632" s="19"/>
      <c r="K4632" s="6"/>
      <c r="L4632" s="19"/>
    </row>
    <row r="4633" spans="1:12" ht="14" customHeight="1" x14ac:dyDescent="0.2">
      <c r="A4633" s="14"/>
      <c r="B4633" s="15"/>
      <c r="C4633" s="16"/>
      <c r="D4633" s="16"/>
      <c r="E4633" s="16"/>
      <c r="F4633" s="16"/>
      <c r="G4633" s="16"/>
      <c r="H4633" s="16"/>
      <c r="I4633" s="16"/>
      <c r="J4633" s="16"/>
      <c r="K4633" s="6"/>
      <c r="L4633" s="16"/>
    </row>
    <row r="4634" spans="1:12" ht="14" customHeight="1" x14ac:dyDescent="0.2">
      <c r="A4634" s="17"/>
      <c r="B4634" s="18"/>
      <c r="C4634" s="19"/>
      <c r="D4634" s="19"/>
      <c r="E4634" s="19"/>
      <c r="F4634" s="19"/>
      <c r="G4634" s="19"/>
      <c r="H4634" s="19"/>
      <c r="I4634" s="19"/>
      <c r="J4634" s="19"/>
      <c r="K4634" s="6"/>
      <c r="L4634" s="19"/>
    </row>
    <row r="4635" spans="1:12" ht="14" customHeight="1" x14ac:dyDescent="0.2">
      <c r="A4635" s="14"/>
      <c r="B4635" s="15"/>
      <c r="C4635" s="16"/>
      <c r="D4635" s="16"/>
      <c r="E4635" s="16"/>
      <c r="F4635" s="16"/>
      <c r="G4635" s="16"/>
      <c r="H4635" s="16"/>
      <c r="I4635" s="16"/>
      <c r="J4635" s="16"/>
      <c r="K4635" s="6"/>
      <c r="L4635" s="16"/>
    </row>
    <row r="4636" spans="1:12" ht="14" customHeight="1" x14ac:dyDescent="0.2">
      <c r="A4636" s="17"/>
      <c r="B4636" s="18"/>
      <c r="C4636" s="19"/>
      <c r="D4636" s="19"/>
      <c r="E4636" s="19"/>
      <c r="F4636" s="19"/>
      <c r="G4636" s="19"/>
      <c r="H4636" s="19"/>
      <c r="I4636" s="19"/>
      <c r="J4636" s="19"/>
      <c r="K4636" s="6"/>
      <c r="L4636" s="19"/>
    </row>
    <row r="4637" spans="1:12" ht="14" customHeight="1" x14ac:dyDescent="0.2">
      <c r="A4637" s="14"/>
      <c r="B4637" s="15"/>
      <c r="C4637" s="16"/>
      <c r="D4637" s="16"/>
      <c r="E4637" s="16"/>
      <c r="F4637" s="16"/>
      <c r="G4637" s="16"/>
      <c r="H4637" s="16"/>
      <c r="I4637" s="16"/>
      <c r="J4637" s="16"/>
      <c r="K4637" s="6"/>
      <c r="L4637" s="16"/>
    </row>
    <row r="4638" spans="1:12" ht="14" customHeight="1" x14ac:dyDescent="0.2">
      <c r="A4638" s="17"/>
      <c r="B4638" s="18"/>
      <c r="C4638" s="19"/>
      <c r="D4638" s="19"/>
      <c r="E4638" s="19"/>
      <c r="F4638" s="19"/>
      <c r="G4638" s="19"/>
      <c r="H4638" s="19"/>
      <c r="I4638" s="19"/>
      <c r="J4638" s="19"/>
      <c r="K4638" s="6"/>
      <c r="L4638" s="19"/>
    </row>
    <row r="4639" spans="1:12" ht="14" customHeight="1" x14ac:dyDescent="0.2">
      <c r="A4639" s="14"/>
      <c r="B4639" s="15"/>
      <c r="C4639" s="16"/>
      <c r="D4639" s="16"/>
      <c r="E4639" s="16"/>
      <c r="F4639" s="16"/>
      <c r="G4639" s="16"/>
      <c r="H4639" s="16"/>
      <c r="I4639" s="16"/>
      <c r="J4639" s="16"/>
      <c r="K4639" s="6"/>
      <c r="L4639" s="16"/>
    </row>
    <row r="4640" spans="1:12" ht="14" customHeight="1" x14ac:dyDescent="0.2">
      <c r="A4640" s="17"/>
      <c r="B4640" s="18"/>
      <c r="C4640" s="19"/>
      <c r="D4640" s="19"/>
      <c r="E4640" s="19"/>
      <c r="F4640" s="19"/>
      <c r="G4640" s="19"/>
      <c r="H4640" s="19"/>
      <c r="I4640" s="19"/>
      <c r="J4640" s="19"/>
      <c r="K4640" s="6"/>
      <c r="L4640" s="19"/>
    </row>
    <row r="4641" spans="1:12" ht="14" customHeight="1" x14ac:dyDescent="0.2">
      <c r="A4641" s="14"/>
      <c r="B4641" s="15"/>
      <c r="C4641" s="16"/>
      <c r="D4641" s="16"/>
      <c r="E4641" s="16"/>
      <c r="F4641" s="16"/>
      <c r="G4641" s="16"/>
      <c r="H4641" s="16"/>
      <c r="I4641" s="16"/>
      <c r="J4641" s="16"/>
      <c r="K4641" s="6"/>
      <c r="L4641" s="16"/>
    </row>
    <row r="4642" spans="1:12" ht="14" customHeight="1" x14ac:dyDescent="0.2">
      <c r="A4642" s="17"/>
      <c r="B4642" s="18"/>
      <c r="C4642" s="19"/>
      <c r="D4642" s="19"/>
      <c r="E4642" s="19"/>
      <c r="F4642" s="19"/>
      <c r="G4642" s="19"/>
      <c r="H4642" s="19"/>
      <c r="I4642" s="19"/>
      <c r="J4642" s="19"/>
      <c r="K4642" s="6"/>
      <c r="L4642" s="19"/>
    </row>
    <row r="4643" spans="1:12" ht="14" customHeight="1" x14ac:dyDescent="0.2">
      <c r="A4643" s="14"/>
      <c r="B4643" s="15"/>
      <c r="C4643" s="16"/>
      <c r="D4643" s="16"/>
      <c r="E4643" s="16"/>
      <c r="F4643" s="16"/>
      <c r="G4643" s="16"/>
      <c r="H4643" s="16"/>
      <c r="I4643" s="16"/>
      <c r="J4643" s="16"/>
      <c r="K4643" s="6"/>
      <c r="L4643" s="16"/>
    </row>
    <row r="4644" spans="1:12" ht="14" customHeight="1" x14ac:dyDescent="0.2">
      <c r="A4644" s="17"/>
      <c r="B4644" s="18"/>
      <c r="C4644" s="19"/>
      <c r="D4644" s="19"/>
      <c r="E4644" s="19"/>
      <c r="F4644" s="19"/>
      <c r="G4644" s="19"/>
      <c r="H4644" s="19"/>
      <c r="I4644" s="19"/>
      <c r="J4644" s="19"/>
      <c r="K4644" s="6"/>
      <c r="L4644" s="19"/>
    </row>
    <row r="4645" spans="1:12" ht="14" customHeight="1" x14ac:dyDescent="0.2">
      <c r="A4645" s="14"/>
      <c r="B4645" s="15"/>
      <c r="C4645" s="16"/>
      <c r="D4645" s="16"/>
      <c r="E4645" s="16"/>
      <c r="F4645" s="16"/>
      <c r="G4645" s="16"/>
      <c r="H4645" s="16"/>
      <c r="I4645" s="16"/>
      <c r="J4645" s="16"/>
      <c r="K4645" s="6"/>
      <c r="L4645" s="16"/>
    </row>
    <row r="4646" spans="1:12" ht="14" customHeight="1" x14ac:dyDescent="0.2">
      <c r="A4646" s="17"/>
      <c r="B4646" s="18"/>
      <c r="C4646" s="19"/>
      <c r="D4646" s="19"/>
      <c r="E4646" s="19"/>
      <c r="F4646" s="19"/>
      <c r="G4646" s="19"/>
      <c r="H4646" s="19"/>
      <c r="I4646" s="19"/>
      <c r="J4646" s="19"/>
      <c r="K4646" s="6"/>
      <c r="L4646" s="19"/>
    </row>
    <row r="4647" spans="1:12" ht="14" customHeight="1" x14ac:dyDescent="0.2">
      <c r="A4647" s="14"/>
      <c r="B4647" s="15"/>
      <c r="C4647" s="16"/>
      <c r="D4647" s="16"/>
      <c r="E4647" s="16"/>
      <c r="F4647" s="16"/>
      <c r="G4647" s="16"/>
      <c r="H4647" s="16"/>
      <c r="I4647" s="16"/>
      <c r="J4647" s="16"/>
      <c r="K4647" s="6"/>
      <c r="L4647" s="16"/>
    </row>
    <row r="4648" spans="1:12" ht="14" customHeight="1" x14ac:dyDescent="0.2">
      <c r="A4648" s="17"/>
      <c r="B4648" s="18"/>
      <c r="C4648" s="19"/>
      <c r="D4648" s="19"/>
      <c r="E4648" s="19"/>
      <c r="F4648" s="19"/>
      <c r="G4648" s="19"/>
      <c r="H4648" s="19"/>
      <c r="I4648" s="19"/>
      <c r="J4648" s="19"/>
      <c r="K4648" s="6"/>
      <c r="L4648" s="19"/>
    </row>
    <row r="4649" spans="1:12" ht="14" customHeight="1" x14ac:dyDescent="0.2">
      <c r="A4649" s="14"/>
      <c r="B4649" s="15"/>
      <c r="C4649" s="16"/>
      <c r="D4649" s="16"/>
      <c r="E4649" s="16"/>
      <c r="F4649" s="16"/>
      <c r="G4649" s="16"/>
      <c r="H4649" s="16"/>
      <c r="I4649" s="16"/>
      <c r="J4649" s="16"/>
      <c r="K4649" s="6"/>
      <c r="L4649" s="16"/>
    </row>
    <row r="4650" spans="1:12" ht="14" customHeight="1" x14ac:dyDescent="0.2">
      <c r="A4650" s="17"/>
      <c r="B4650" s="18"/>
      <c r="C4650" s="19"/>
      <c r="D4650" s="19"/>
      <c r="E4650" s="19"/>
      <c r="F4650" s="19"/>
      <c r="G4650" s="19"/>
      <c r="H4650" s="19"/>
      <c r="I4650" s="19"/>
      <c r="J4650" s="19"/>
      <c r="K4650" s="6"/>
      <c r="L4650" s="19"/>
    </row>
    <row r="4651" spans="1:12" ht="14" customHeight="1" x14ac:dyDescent="0.2">
      <c r="A4651" s="14"/>
      <c r="B4651" s="15"/>
      <c r="C4651" s="16"/>
      <c r="D4651" s="16"/>
      <c r="E4651" s="16"/>
      <c r="F4651" s="16"/>
      <c r="G4651" s="16"/>
      <c r="H4651" s="16"/>
      <c r="I4651" s="16"/>
      <c r="J4651" s="16"/>
      <c r="K4651" s="6"/>
      <c r="L4651" s="16"/>
    </row>
    <row r="4652" spans="1:12" ht="14" customHeight="1" x14ac:dyDescent="0.2">
      <c r="A4652" s="17"/>
      <c r="B4652" s="18"/>
      <c r="C4652" s="19"/>
      <c r="D4652" s="19"/>
      <c r="E4652" s="19"/>
      <c r="F4652" s="19"/>
      <c r="G4652" s="19"/>
      <c r="H4652" s="19"/>
      <c r="I4652" s="19"/>
      <c r="J4652" s="19"/>
      <c r="K4652" s="6"/>
      <c r="L4652" s="19"/>
    </row>
    <row r="4653" spans="1:12" ht="14" customHeight="1" x14ac:dyDescent="0.2">
      <c r="A4653" s="14"/>
      <c r="B4653" s="15"/>
      <c r="C4653" s="16"/>
      <c r="D4653" s="16"/>
      <c r="E4653" s="16"/>
      <c r="F4653" s="16"/>
      <c r="G4653" s="16"/>
      <c r="H4653" s="16"/>
      <c r="I4653" s="16"/>
      <c r="J4653" s="16"/>
      <c r="K4653" s="6"/>
      <c r="L4653" s="16"/>
    </row>
    <row r="4654" spans="1:12" ht="14" customHeight="1" x14ac:dyDescent="0.2">
      <c r="A4654" s="17"/>
      <c r="B4654" s="18"/>
      <c r="C4654" s="19"/>
      <c r="D4654" s="19"/>
      <c r="E4654" s="19"/>
      <c r="F4654" s="19"/>
      <c r="G4654" s="19"/>
      <c r="H4654" s="19"/>
      <c r="I4654" s="19"/>
      <c r="J4654" s="19"/>
      <c r="K4654" s="6"/>
      <c r="L4654" s="19"/>
    </row>
    <row r="4655" spans="1:12" ht="14" customHeight="1" x14ac:dyDescent="0.2">
      <c r="A4655" s="14"/>
      <c r="B4655" s="15"/>
      <c r="C4655" s="16"/>
      <c r="D4655" s="16"/>
      <c r="E4655" s="16"/>
      <c r="F4655" s="16"/>
      <c r="G4655" s="16"/>
      <c r="H4655" s="16"/>
      <c r="I4655" s="16"/>
      <c r="J4655" s="16"/>
      <c r="K4655" s="6"/>
      <c r="L4655" s="16"/>
    </row>
    <row r="4656" spans="1:12" ht="14" customHeight="1" x14ac:dyDescent="0.2">
      <c r="A4656" s="17"/>
      <c r="B4656" s="18"/>
      <c r="C4656" s="19"/>
      <c r="D4656" s="19"/>
      <c r="E4656" s="19"/>
      <c r="F4656" s="19"/>
      <c r="G4656" s="19"/>
      <c r="H4656" s="19"/>
      <c r="I4656" s="19"/>
      <c r="J4656" s="19"/>
      <c r="K4656" s="6"/>
      <c r="L4656" s="19"/>
    </row>
    <row r="4657" spans="1:12" ht="14" customHeight="1" x14ac:dyDescent="0.2">
      <c r="A4657" s="14"/>
      <c r="B4657" s="15"/>
      <c r="C4657" s="16"/>
      <c r="D4657" s="16"/>
      <c r="E4657" s="16"/>
      <c r="F4657" s="16"/>
      <c r="G4657" s="16"/>
      <c r="H4657" s="16"/>
      <c r="I4657" s="16"/>
      <c r="J4657" s="16"/>
      <c r="K4657" s="6"/>
      <c r="L4657" s="16"/>
    </row>
    <row r="4658" spans="1:12" ht="14" customHeight="1" x14ac:dyDescent="0.2">
      <c r="A4658" s="17"/>
      <c r="B4658" s="18"/>
      <c r="C4658" s="19"/>
      <c r="D4658" s="19"/>
      <c r="E4658" s="19"/>
      <c r="F4658" s="19"/>
      <c r="G4658" s="19"/>
      <c r="H4658" s="19"/>
      <c r="I4658" s="19"/>
      <c r="J4658" s="19"/>
      <c r="K4658" s="6"/>
      <c r="L4658" s="19"/>
    </row>
    <row r="4659" spans="1:12" ht="14" customHeight="1" x14ac:dyDescent="0.2">
      <c r="A4659" s="14"/>
      <c r="B4659" s="15"/>
      <c r="C4659" s="16"/>
      <c r="D4659" s="16"/>
      <c r="E4659" s="16"/>
      <c r="F4659" s="16"/>
      <c r="G4659" s="16"/>
      <c r="H4659" s="16"/>
      <c r="I4659" s="16"/>
      <c r="J4659" s="16"/>
      <c r="K4659" s="6"/>
      <c r="L4659" s="16"/>
    </row>
    <row r="4660" spans="1:12" ht="14" customHeight="1" x14ac:dyDescent="0.2">
      <c r="A4660" s="17"/>
      <c r="B4660" s="18"/>
      <c r="C4660" s="19"/>
      <c r="D4660" s="19"/>
      <c r="E4660" s="19"/>
      <c r="F4660" s="19"/>
      <c r="G4660" s="19"/>
      <c r="H4660" s="19"/>
      <c r="I4660" s="19"/>
      <c r="J4660" s="19"/>
      <c r="K4660" s="6"/>
      <c r="L4660" s="19"/>
    </row>
    <row r="4661" spans="1:12" ht="14" customHeight="1" x14ac:dyDescent="0.2">
      <c r="A4661" s="14"/>
      <c r="B4661" s="15"/>
      <c r="C4661" s="16"/>
      <c r="D4661" s="16"/>
      <c r="E4661" s="16"/>
      <c r="F4661" s="16"/>
      <c r="G4661" s="16"/>
      <c r="H4661" s="16"/>
      <c r="I4661" s="16"/>
      <c r="J4661" s="16"/>
      <c r="K4661" s="6"/>
      <c r="L4661" s="16"/>
    </row>
    <row r="4662" spans="1:12" ht="14" customHeight="1" x14ac:dyDescent="0.2">
      <c r="A4662" s="17"/>
      <c r="B4662" s="18"/>
      <c r="C4662" s="19"/>
      <c r="D4662" s="19"/>
      <c r="E4662" s="19"/>
      <c r="F4662" s="19"/>
      <c r="G4662" s="19"/>
      <c r="H4662" s="19"/>
      <c r="I4662" s="19"/>
      <c r="J4662" s="19"/>
      <c r="K4662" s="6"/>
      <c r="L4662" s="19"/>
    </row>
    <row r="4663" spans="1:12" ht="14" customHeight="1" x14ac:dyDescent="0.2">
      <c r="A4663" s="14"/>
      <c r="B4663" s="15"/>
      <c r="C4663" s="16"/>
      <c r="D4663" s="16"/>
      <c r="E4663" s="16"/>
      <c r="F4663" s="16"/>
      <c r="G4663" s="16"/>
      <c r="H4663" s="16"/>
      <c r="I4663" s="16"/>
      <c r="J4663" s="16"/>
      <c r="K4663" s="6"/>
      <c r="L4663" s="16"/>
    </row>
    <row r="4664" spans="1:12" ht="14" customHeight="1" x14ac:dyDescent="0.2">
      <c r="A4664" s="17"/>
      <c r="B4664" s="18"/>
      <c r="C4664" s="19"/>
      <c r="D4664" s="19"/>
      <c r="E4664" s="19"/>
      <c r="F4664" s="19"/>
      <c r="G4664" s="19"/>
      <c r="H4664" s="19"/>
      <c r="I4664" s="19"/>
      <c r="J4664" s="19"/>
      <c r="K4664" s="6"/>
      <c r="L4664" s="19"/>
    </row>
    <row r="4665" spans="1:12" ht="14" customHeight="1" x14ac:dyDescent="0.2">
      <c r="A4665" s="14"/>
      <c r="B4665" s="15"/>
      <c r="C4665" s="16"/>
      <c r="D4665" s="16"/>
      <c r="E4665" s="16"/>
      <c r="F4665" s="16"/>
      <c r="G4665" s="16"/>
      <c r="H4665" s="16"/>
      <c r="I4665" s="16"/>
      <c r="J4665" s="16"/>
      <c r="K4665" s="6"/>
      <c r="L4665" s="16"/>
    </row>
    <row r="4666" spans="1:12" ht="14" customHeight="1" x14ac:dyDescent="0.2">
      <c r="A4666" s="17"/>
      <c r="B4666" s="18"/>
      <c r="C4666" s="19"/>
      <c r="D4666" s="19"/>
      <c r="E4666" s="19"/>
      <c r="F4666" s="19"/>
      <c r="G4666" s="19"/>
      <c r="H4666" s="19"/>
      <c r="I4666" s="19"/>
      <c r="J4666" s="19"/>
      <c r="K4666" s="6"/>
      <c r="L4666" s="19"/>
    </row>
    <row r="4667" spans="1:12" ht="14" customHeight="1" x14ac:dyDescent="0.2">
      <c r="A4667" s="14"/>
      <c r="B4667" s="15"/>
      <c r="C4667" s="16"/>
      <c r="D4667" s="16"/>
      <c r="E4667" s="16"/>
      <c r="F4667" s="16"/>
      <c r="G4667" s="16"/>
      <c r="H4667" s="16"/>
      <c r="I4667" s="16"/>
      <c r="J4667" s="16"/>
      <c r="K4667" s="6"/>
      <c r="L4667" s="16"/>
    </row>
    <row r="4668" spans="1:12" ht="14" customHeight="1" x14ac:dyDescent="0.2">
      <c r="A4668" s="17"/>
      <c r="B4668" s="18"/>
      <c r="C4668" s="19"/>
      <c r="D4668" s="19"/>
      <c r="E4668" s="19"/>
      <c r="F4668" s="19"/>
      <c r="G4668" s="19"/>
      <c r="H4668" s="19"/>
      <c r="I4668" s="19"/>
      <c r="J4668" s="19"/>
      <c r="K4668" s="6"/>
      <c r="L4668" s="19"/>
    </row>
    <row r="4669" spans="1:12" ht="14" customHeight="1" x14ac:dyDescent="0.2">
      <c r="A4669" s="14"/>
      <c r="B4669" s="15"/>
      <c r="C4669" s="16"/>
      <c r="D4669" s="16"/>
      <c r="E4669" s="16"/>
      <c r="F4669" s="16"/>
      <c r="G4669" s="16"/>
      <c r="H4669" s="16"/>
      <c r="I4669" s="16"/>
      <c r="J4669" s="16"/>
      <c r="K4669" s="6"/>
      <c r="L4669" s="16"/>
    </row>
    <row r="4670" spans="1:12" ht="14" customHeight="1" x14ac:dyDescent="0.2">
      <c r="A4670" s="17"/>
      <c r="B4670" s="18"/>
      <c r="C4670" s="19"/>
      <c r="D4670" s="19"/>
      <c r="E4670" s="19"/>
      <c r="F4670" s="19"/>
      <c r="G4670" s="19"/>
      <c r="H4670" s="19"/>
      <c r="I4670" s="19"/>
      <c r="J4670" s="19"/>
      <c r="K4670" s="6"/>
      <c r="L4670" s="19"/>
    </row>
    <row r="4671" spans="1:12" ht="14" customHeight="1" x14ac:dyDescent="0.2">
      <c r="A4671" s="14"/>
      <c r="B4671" s="15"/>
      <c r="C4671" s="16"/>
      <c r="D4671" s="16"/>
      <c r="E4671" s="16"/>
      <c r="F4671" s="16"/>
      <c r="G4671" s="16"/>
      <c r="H4671" s="16"/>
      <c r="I4671" s="16"/>
      <c r="J4671" s="16"/>
      <c r="K4671" s="6"/>
      <c r="L4671" s="16"/>
    </row>
    <row r="4672" spans="1:12" ht="14" customHeight="1" x14ac:dyDescent="0.2">
      <c r="A4672" s="17"/>
      <c r="B4672" s="18"/>
      <c r="C4672" s="19"/>
      <c r="D4672" s="19"/>
      <c r="E4672" s="19"/>
      <c r="F4672" s="19"/>
      <c r="G4672" s="19"/>
      <c r="H4672" s="19"/>
      <c r="I4672" s="19"/>
      <c r="J4672" s="19"/>
      <c r="K4672" s="6"/>
      <c r="L4672" s="19"/>
    </row>
    <row r="4673" spans="1:12" ht="14" customHeight="1" x14ac:dyDescent="0.2">
      <c r="A4673" s="14"/>
      <c r="B4673" s="15"/>
      <c r="C4673" s="16"/>
      <c r="D4673" s="16"/>
      <c r="E4673" s="16"/>
      <c r="F4673" s="16"/>
      <c r="G4673" s="16"/>
      <c r="H4673" s="16"/>
      <c r="I4673" s="16"/>
      <c r="J4673" s="16"/>
      <c r="K4673" s="6"/>
      <c r="L4673" s="16"/>
    </row>
    <row r="4674" spans="1:12" ht="14" customHeight="1" x14ac:dyDescent="0.2">
      <c r="A4674" s="17"/>
      <c r="B4674" s="18"/>
      <c r="C4674" s="19"/>
      <c r="D4674" s="19"/>
      <c r="E4674" s="19"/>
      <c r="F4674" s="19"/>
      <c r="G4674" s="19"/>
      <c r="H4674" s="19"/>
      <c r="I4674" s="19"/>
      <c r="J4674" s="19"/>
      <c r="K4674" s="6"/>
      <c r="L4674" s="19"/>
    </row>
    <row r="4675" spans="1:12" ht="14" customHeight="1" x14ac:dyDescent="0.2">
      <c r="A4675" s="14"/>
      <c r="B4675" s="15"/>
      <c r="C4675" s="16"/>
      <c r="D4675" s="16"/>
      <c r="E4675" s="16"/>
      <c r="F4675" s="16"/>
      <c r="G4675" s="16"/>
      <c r="H4675" s="16"/>
      <c r="I4675" s="16"/>
      <c r="J4675" s="16"/>
      <c r="K4675" s="6"/>
      <c r="L4675" s="16"/>
    </row>
    <row r="4676" spans="1:12" ht="14" customHeight="1" x14ac:dyDescent="0.2">
      <c r="A4676" s="17"/>
      <c r="B4676" s="18"/>
      <c r="C4676" s="19"/>
      <c r="D4676" s="19"/>
      <c r="E4676" s="19"/>
      <c r="F4676" s="19"/>
      <c r="G4676" s="19"/>
      <c r="H4676" s="19"/>
      <c r="I4676" s="19"/>
      <c r="J4676" s="19"/>
      <c r="K4676" s="6"/>
      <c r="L4676" s="19"/>
    </row>
    <row r="4677" spans="1:12" ht="14" customHeight="1" x14ac:dyDescent="0.2">
      <c r="A4677" s="14"/>
      <c r="B4677" s="15"/>
      <c r="C4677" s="16"/>
      <c r="D4677" s="16"/>
      <c r="E4677" s="16"/>
      <c r="F4677" s="16"/>
      <c r="G4677" s="16"/>
      <c r="H4677" s="16"/>
      <c r="I4677" s="16"/>
      <c r="J4677" s="16"/>
      <c r="K4677" s="6"/>
      <c r="L4677" s="16"/>
    </row>
    <row r="4678" spans="1:12" ht="14" customHeight="1" x14ac:dyDescent="0.2">
      <c r="A4678" s="17"/>
      <c r="B4678" s="18"/>
      <c r="C4678" s="19"/>
      <c r="D4678" s="19"/>
      <c r="E4678" s="19"/>
      <c r="F4678" s="19"/>
      <c r="G4678" s="19"/>
      <c r="H4678" s="19"/>
      <c r="I4678" s="19"/>
      <c r="J4678" s="19"/>
      <c r="K4678" s="6"/>
      <c r="L4678" s="19"/>
    </row>
    <row r="4679" spans="1:12" ht="14" customHeight="1" x14ac:dyDescent="0.2">
      <c r="A4679" s="14"/>
      <c r="B4679" s="15"/>
      <c r="C4679" s="16"/>
      <c r="D4679" s="16"/>
      <c r="E4679" s="16"/>
      <c r="F4679" s="16"/>
      <c r="G4679" s="16"/>
      <c r="H4679" s="16"/>
      <c r="I4679" s="16"/>
      <c r="J4679" s="16"/>
      <c r="K4679" s="6"/>
      <c r="L4679" s="16"/>
    </row>
    <row r="4680" spans="1:12" ht="14" customHeight="1" x14ac:dyDescent="0.2">
      <c r="A4680" s="17"/>
      <c r="B4680" s="18"/>
      <c r="C4680" s="19"/>
      <c r="D4680" s="19"/>
      <c r="E4680" s="19"/>
      <c r="F4680" s="19"/>
      <c r="G4680" s="19"/>
      <c r="H4680" s="19"/>
      <c r="I4680" s="19"/>
      <c r="J4680" s="19"/>
      <c r="K4680" s="6"/>
      <c r="L4680" s="19"/>
    </row>
    <row r="4681" spans="1:12" ht="14" customHeight="1" x14ac:dyDescent="0.2">
      <c r="A4681" s="14"/>
      <c r="B4681" s="15"/>
      <c r="C4681" s="16"/>
      <c r="D4681" s="16"/>
      <c r="E4681" s="16"/>
      <c r="F4681" s="16"/>
      <c r="G4681" s="16"/>
      <c r="H4681" s="16"/>
      <c r="I4681" s="16"/>
      <c r="J4681" s="16"/>
      <c r="K4681" s="6"/>
      <c r="L4681" s="16"/>
    </row>
    <row r="4682" spans="1:12" ht="14" customHeight="1" x14ac:dyDescent="0.2">
      <c r="A4682" s="17"/>
      <c r="B4682" s="18"/>
      <c r="C4682" s="19"/>
      <c r="D4682" s="19"/>
      <c r="E4682" s="19"/>
      <c r="F4682" s="19"/>
      <c r="G4682" s="19"/>
      <c r="H4682" s="19"/>
      <c r="I4682" s="19"/>
      <c r="J4682" s="19"/>
      <c r="K4682" s="6"/>
      <c r="L4682" s="19"/>
    </row>
    <row r="4683" spans="1:12" ht="14" customHeight="1" x14ac:dyDescent="0.2">
      <c r="A4683" s="14"/>
      <c r="B4683" s="15"/>
      <c r="C4683" s="16"/>
      <c r="D4683" s="16"/>
      <c r="E4683" s="16"/>
      <c r="F4683" s="16"/>
      <c r="G4683" s="16"/>
      <c r="H4683" s="16"/>
      <c r="I4683" s="16"/>
      <c r="J4683" s="16"/>
      <c r="K4683" s="6"/>
      <c r="L4683" s="16"/>
    </row>
    <row r="4684" spans="1:12" ht="14" customHeight="1" x14ac:dyDescent="0.2">
      <c r="A4684" s="17"/>
      <c r="B4684" s="18"/>
      <c r="C4684" s="19"/>
      <c r="D4684" s="19"/>
      <c r="E4684" s="19"/>
      <c r="F4684" s="19"/>
      <c r="G4684" s="19"/>
      <c r="H4684" s="19"/>
      <c r="I4684" s="19"/>
      <c r="J4684" s="19"/>
      <c r="K4684" s="6"/>
      <c r="L4684" s="19"/>
    </row>
    <row r="4685" spans="1:12" ht="14" customHeight="1" x14ac:dyDescent="0.2">
      <c r="A4685" s="14"/>
      <c r="B4685" s="15"/>
      <c r="C4685" s="16"/>
      <c r="D4685" s="16"/>
      <c r="E4685" s="16"/>
      <c r="F4685" s="16"/>
      <c r="G4685" s="16"/>
      <c r="H4685" s="16"/>
      <c r="I4685" s="16"/>
      <c r="J4685" s="16"/>
      <c r="K4685" s="6"/>
      <c r="L4685" s="16"/>
    </row>
    <row r="4686" spans="1:12" ht="14" customHeight="1" x14ac:dyDescent="0.2">
      <c r="A4686" s="17"/>
      <c r="B4686" s="18"/>
      <c r="C4686" s="19"/>
      <c r="D4686" s="19"/>
      <c r="E4686" s="19"/>
      <c r="F4686" s="19"/>
      <c r="G4686" s="19"/>
      <c r="H4686" s="19"/>
      <c r="I4686" s="19"/>
      <c r="J4686" s="19"/>
      <c r="K4686" s="6"/>
      <c r="L4686" s="19"/>
    </row>
    <row r="4687" spans="1:12" ht="14" customHeight="1" x14ac:dyDescent="0.2">
      <c r="A4687" s="14"/>
      <c r="B4687" s="15"/>
      <c r="C4687" s="16"/>
      <c r="D4687" s="16"/>
      <c r="E4687" s="16"/>
      <c r="F4687" s="16"/>
      <c r="G4687" s="16"/>
      <c r="H4687" s="16"/>
      <c r="I4687" s="16"/>
      <c r="J4687" s="16"/>
      <c r="K4687" s="6"/>
      <c r="L4687" s="16"/>
    </row>
    <row r="4688" spans="1:12" ht="14" customHeight="1" x14ac:dyDescent="0.2">
      <c r="A4688" s="17"/>
      <c r="B4688" s="18"/>
      <c r="C4688" s="19"/>
      <c r="D4688" s="19"/>
      <c r="E4688" s="19"/>
      <c r="F4688" s="19"/>
      <c r="G4688" s="19"/>
      <c r="H4688" s="19"/>
      <c r="I4688" s="19"/>
      <c r="J4688" s="19"/>
      <c r="K4688" s="6"/>
      <c r="L4688" s="19"/>
    </row>
    <row r="4689" spans="1:12" ht="14" customHeight="1" x14ac:dyDescent="0.2">
      <c r="A4689" s="14"/>
      <c r="B4689" s="15"/>
      <c r="C4689" s="16"/>
      <c r="D4689" s="16"/>
      <c r="E4689" s="16"/>
      <c r="F4689" s="16"/>
      <c r="G4689" s="16"/>
      <c r="H4689" s="16"/>
      <c r="I4689" s="16"/>
      <c r="J4689" s="16"/>
      <c r="K4689" s="6"/>
      <c r="L4689" s="16"/>
    </row>
    <row r="4690" spans="1:12" ht="14" customHeight="1" x14ac:dyDescent="0.2">
      <c r="A4690" s="17"/>
      <c r="B4690" s="18"/>
      <c r="C4690" s="19"/>
      <c r="D4690" s="19"/>
      <c r="E4690" s="19"/>
      <c r="F4690" s="19"/>
      <c r="G4690" s="19"/>
      <c r="H4690" s="19"/>
      <c r="I4690" s="19"/>
      <c r="J4690" s="19"/>
      <c r="K4690" s="6"/>
      <c r="L4690" s="19"/>
    </row>
    <row r="4691" spans="1:12" ht="14" customHeight="1" x14ac:dyDescent="0.2">
      <c r="A4691" s="14"/>
      <c r="B4691" s="15"/>
      <c r="C4691" s="16"/>
      <c r="D4691" s="16"/>
      <c r="E4691" s="16"/>
      <c r="F4691" s="16"/>
      <c r="G4691" s="16"/>
      <c r="H4691" s="16"/>
      <c r="I4691" s="16"/>
      <c r="J4691" s="16"/>
      <c r="K4691" s="6"/>
      <c r="L4691" s="16"/>
    </row>
    <row r="4692" spans="1:12" ht="14" customHeight="1" x14ac:dyDescent="0.2">
      <c r="A4692" s="17"/>
      <c r="B4692" s="18"/>
      <c r="C4692" s="19"/>
      <c r="D4692" s="19"/>
      <c r="E4692" s="19"/>
      <c r="F4692" s="19"/>
      <c r="G4692" s="19"/>
      <c r="H4692" s="19"/>
      <c r="I4692" s="19"/>
      <c r="J4692" s="19"/>
      <c r="K4692" s="6"/>
      <c r="L4692" s="19"/>
    </row>
    <row r="4693" spans="1:12" ht="14" customHeight="1" x14ac:dyDescent="0.2">
      <c r="A4693" s="14"/>
      <c r="B4693" s="15"/>
      <c r="C4693" s="16"/>
      <c r="D4693" s="16"/>
      <c r="E4693" s="16"/>
      <c r="F4693" s="16"/>
      <c r="G4693" s="16"/>
      <c r="H4693" s="16"/>
      <c r="I4693" s="16"/>
      <c r="J4693" s="16"/>
      <c r="K4693" s="6"/>
      <c r="L4693" s="16"/>
    </row>
    <row r="4694" spans="1:12" ht="14" customHeight="1" x14ac:dyDescent="0.2">
      <c r="A4694" s="17"/>
      <c r="B4694" s="18"/>
      <c r="C4694" s="19"/>
      <c r="D4694" s="19"/>
      <c r="E4694" s="19"/>
      <c r="F4694" s="19"/>
      <c r="G4694" s="19"/>
      <c r="H4694" s="19"/>
      <c r="I4694" s="19"/>
      <c r="J4694" s="19"/>
      <c r="K4694" s="6"/>
      <c r="L4694" s="19"/>
    </row>
    <row r="4695" spans="1:12" ht="14" customHeight="1" x14ac:dyDescent="0.2">
      <c r="A4695" s="14"/>
      <c r="B4695" s="15"/>
      <c r="C4695" s="16"/>
      <c r="D4695" s="16"/>
      <c r="E4695" s="16"/>
      <c r="F4695" s="16"/>
      <c r="G4695" s="16"/>
      <c r="H4695" s="16"/>
      <c r="I4695" s="16"/>
      <c r="J4695" s="16"/>
      <c r="K4695" s="6"/>
      <c r="L4695" s="16"/>
    </row>
    <row r="4696" spans="1:12" ht="14" customHeight="1" x14ac:dyDescent="0.2">
      <c r="A4696" s="17"/>
      <c r="B4696" s="18"/>
      <c r="C4696" s="19"/>
      <c r="D4696" s="19"/>
      <c r="E4696" s="19"/>
      <c r="F4696" s="19"/>
      <c r="G4696" s="19"/>
      <c r="H4696" s="19"/>
      <c r="I4696" s="19"/>
      <c r="J4696" s="19"/>
      <c r="K4696" s="6"/>
      <c r="L4696" s="19"/>
    </row>
    <row r="4697" spans="1:12" ht="14" customHeight="1" x14ac:dyDescent="0.2">
      <c r="A4697" s="14"/>
      <c r="B4697" s="15"/>
      <c r="C4697" s="16"/>
      <c r="D4697" s="16"/>
      <c r="E4697" s="16"/>
      <c r="F4697" s="16"/>
      <c r="G4697" s="16"/>
      <c r="H4697" s="16"/>
      <c r="I4697" s="16"/>
      <c r="J4697" s="16"/>
      <c r="K4697" s="6"/>
      <c r="L4697" s="16"/>
    </row>
    <row r="4698" spans="1:12" ht="14" customHeight="1" x14ac:dyDescent="0.2">
      <c r="A4698" s="17"/>
      <c r="B4698" s="18"/>
      <c r="C4698" s="19"/>
      <c r="D4698" s="19"/>
      <c r="E4698" s="19"/>
      <c r="F4698" s="19"/>
      <c r="G4698" s="19"/>
      <c r="H4698" s="19"/>
      <c r="I4698" s="19"/>
      <c r="J4698" s="19"/>
      <c r="K4698" s="6"/>
      <c r="L4698" s="19"/>
    </row>
    <row r="4699" spans="1:12" ht="14" customHeight="1" x14ac:dyDescent="0.2">
      <c r="A4699" s="14"/>
      <c r="B4699" s="15"/>
      <c r="C4699" s="16"/>
      <c r="D4699" s="16"/>
      <c r="E4699" s="16"/>
      <c r="F4699" s="16"/>
      <c r="G4699" s="16"/>
      <c r="H4699" s="16"/>
      <c r="I4699" s="16"/>
      <c r="J4699" s="16"/>
      <c r="K4699" s="6"/>
      <c r="L4699" s="16"/>
    </row>
    <row r="4700" spans="1:12" ht="14" customHeight="1" x14ac:dyDescent="0.2">
      <c r="A4700" s="17"/>
      <c r="B4700" s="18"/>
      <c r="C4700" s="19"/>
      <c r="D4700" s="19"/>
      <c r="E4700" s="19"/>
      <c r="F4700" s="19"/>
      <c r="G4700" s="19"/>
      <c r="H4700" s="19"/>
      <c r="I4700" s="19"/>
      <c r="J4700" s="19"/>
      <c r="K4700" s="6"/>
      <c r="L4700" s="19"/>
    </row>
    <row r="4701" spans="1:12" ht="14" customHeight="1" x14ac:dyDescent="0.2">
      <c r="A4701" s="14"/>
      <c r="B4701" s="15"/>
      <c r="C4701" s="16"/>
      <c r="D4701" s="16"/>
      <c r="E4701" s="16"/>
      <c r="F4701" s="16"/>
      <c r="G4701" s="16"/>
      <c r="H4701" s="16"/>
      <c r="I4701" s="16"/>
      <c r="J4701" s="16"/>
      <c r="K4701" s="6"/>
      <c r="L4701" s="16"/>
    </row>
    <row r="4702" spans="1:12" ht="14" customHeight="1" x14ac:dyDescent="0.2">
      <c r="A4702" s="17"/>
      <c r="B4702" s="18"/>
      <c r="C4702" s="19"/>
      <c r="D4702" s="19"/>
      <c r="E4702" s="19"/>
      <c r="F4702" s="19"/>
      <c r="G4702" s="19"/>
      <c r="H4702" s="19"/>
      <c r="I4702" s="19"/>
      <c r="J4702" s="19"/>
      <c r="K4702" s="6"/>
      <c r="L4702" s="19"/>
    </row>
    <row r="4703" spans="1:12" ht="14" customHeight="1" x14ac:dyDescent="0.2">
      <c r="A4703" s="14"/>
      <c r="B4703" s="15"/>
      <c r="C4703" s="16"/>
      <c r="D4703" s="16"/>
      <c r="E4703" s="16"/>
      <c r="F4703" s="16"/>
      <c r="G4703" s="16"/>
      <c r="H4703" s="16"/>
      <c r="I4703" s="16"/>
      <c r="J4703" s="16"/>
      <c r="K4703" s="6"/>
      <c r="L4703" s="16"/>
    </row>
    <row r="4704" spans="1:12" ht="14" customHeight="1" x14ac:dyDescent="0.2">
      <c r="A4704" s="17"/>
      <c r="B4704" s="18"/>
      <c r="C4704" s="19"/>
      <c r="D4704" s="19"/>
      <c r="E4704" s="19"/>
      <c r="F4704" s="19"/>
      <c r="G4704" s="19"/>
      <c r="H4704" s="19"/>
      <c r="I4704" s="19"/>
      <c r="J4704" s="19"/>
      <c r="K4704" s="6"/>
      <c r="L4704" s="19"/>
    </row>
    <row r="4705" spans="1:12" ht="14" customHeight="1" x14ac:dyDescent="0.2">
      <c r="A4705" s="14"/>
      <c r="B4705" s="15"/>
      <c r="C4705" s="16"/>
      <c r="D4705" s="16"/>
      <c r="E4705" s="16"/>
      <c r="F4705" s="16"/>
      <c r="G4705" s="16"/>
      <c r="H4705" s="16"/>
      <c r="I4705" s="16"/>
      <c r="J4705" s="16"/>
      <c r="K4705" s="6"/>
      <c r="L4705" s="16"/>
    </row>
    <row r="4706" spans="1:12" ht="14" customHeight="1" x14ac:dyDescent="0.2">
      <c r="A4706" s="17"/>
      <c r="B4706" s="18"/>
      <c r="C4706" s="19"/>
      <c r="D4706" s="19"/>
      <c r="E4706" s="19"/>
      <c r="F4706" s="19"/>
      <c r="G4706" s="19"/>
      <c r="H4706" s="19"/>
      <c r="I4706" s="19"/>
      <c r="J4706" s="19"/>
      <c r="K4706" s="6"/>
      <c r="L4706" s="19"/>
    </row>
    <row r="4707" spans="1:12" ht="14" customHeight="1" x14ac:dyDescent="0.2">
      <c r="A4707" s="14"/>
      <c r="B4707" s="15"/>
      <c r="C4707" s="16"/>
      <c r="D4707" s="16"/>
      <c r="E4707" s="16"/>
      <c r="F4707" s="16"/>
      <c r="G4707" s="16"/>
      <c r="H4707" s="16"/>
      <c r="I4707" s="16"/>
      <c r="J4707" s="16"/>
      <c r="K4707" s="6"/>
      <c r="L4707" s="16"/>
    </row>
    <row r="4708" spans="1:12" ht="14" customHeight="1" x14ac:dyDescent="0.2">
      <c r="A4708" s="17"/>
      <c r="B4708" s="18"/>
      <c r="C4708" s="19"/>
      <c r="D4708" s="19"/>
      <c r="E4708" s="19"/>
      <c r="F4708" s="19"/>
      <c r="G4708" s="19"/>
      <c r="H4708" s="19"/>
      <c r="I4708" s="19"/>
      <c r="J4708" s="19"/>
      <c r="K4708" s="6"/>
      <c r="L4708" s="19"/>
    </row>
    <row r="4709" spans="1:12" ht="14" customHeight="1" x14ac:dyDescent="0.2">
      <c r="A4709" s="14"/>
      <c r="B4709" s="15"/>
      <c r="C4709" s="16"/>
      <c r="D4709" s="16"/>
      <c r="E4709" s="16"/>
      <c r="F4709" s="16"/>
      <c r="G4709" s="16"/>
      <c r="H4709" s="16"/>
      <c r="I4709" s="16"/>
      <c r="J4709" s="16"/>
      <c r="K4709" s="6"/>
      <c r="L4709" s="16"/>
    </row>
    <row r="4710" spans="1:12" ht="14" customHeight="1" x14ac:dyDescent="0.2">
      <c r="A4710" s="17"/>
      <c r="B4710" s="18"/>
      <c r="C4710" s="19"/>
      <c r="D4710" s="19"/>
      <c r="E4710" s="19"/>
      <c r="F4710" s="19"/>
      <c r="G4710" s="19"/>
      <c r="H4710" s="19"/>
      <c r="I4710" s="19"/>
      <c r="J4710" s="19"/>
      <c r="K4710" s="6"/>
      <c r="L4710" s="19"/>
    </row>
    <row r="4711" spans="1:12" ht="14" customHeight="1" x14ac:dyDescent="0.2">
      <c r="A4711" s="14"/>
      <c r="B4711" s="15"/>
      <c r="C4711" s="16"/>
      <c r="D4711" s="16"/>
      <c r="E4711" s="16"/>
      <c r="F4711" s="16"/>
      <c r="G4711" s="16"/>
      <c r="H4711" s="16"/>
      <c r="I4711" s="16"/>
      <c r="J4711" s="16"/>
      <c r="K4711" s="6"/>
      <c r="L4711" s="16"/>
    </row>
    <row r="4712" spans="1:12" ht="14" customHeight="1" x14ac:dyDescent="0.2">
      <c r="A4712" s="17"/>
      <c r="B4712" s="18"/>
      <c r="C4712" s="19"/>
      <c r="D4712" s="19"/>
      <c r="E4712" s="19"/>
      <c r="F4712" s="19"/>
      <c r="G4712" s="19"/>
      <c r="H4712" s="19"/>
      <c r="I4712" s="19"/>
      <c r="J4712" s="19"/>
      <c r="K4712" s="6"/>
      <c r="L4712" s="19"/>
    </row>
    <row r="4713" spans="1:12" ht="14" customHeight="1" x14ac:dyDescent="0.2">
      <c r="A4713" s="14"/>
      <c r="B4713" s="15"/>
      <c r="C4713" s="16"/>
      <c r="D4713" s="16"/>
      <c r="E4713" s="16"/>
      <c r="F4713" s="16"/>
      <c r="G4713" s="16"/>
      <c r="H4713" s="16"/>
      <c r="I4713" s="16"/>
      <c r="J4713" s="16"/>
      <c r="K4713" s="6"/>
      <c r="L4713" s="16"/>
    </row>
    <row r="4714" spans="1:12" ht="14" customHeight="1" x14ac:dyDescent="0.2">
      <c r="A4714" s="17"/>
      <c r="B4714" s="18"/>
      <c r="C4714" s="19"/>
      <c r="D4714" s="19"/>
      <c r="E4714" s="19"/>
      <c r="F4714" s="19"/>
      <c r="G4714" s="19"/>
      <c r="H4714" s="19"/>
      <c r="I4714" s="19"/>
      <c r="J4714" s="19"/>
      <c r="K4714" s="6"/>
      <c r="L4714" s="19"/>
    </row>
    <row r="4715" spans="1:12" ht="14" customHeight="1" x14ac:dyDescent="0.2">
      <c r="A4715" s="14"/>
      <c r="B4715" s="15"/>
      <c r="C4715" s="16"/>
      <c r="D4715" s="16"/>
      <c r="E4715" s="16"/>
      <c r="F4715" s="16"/>
      <c r="G4715" s="16"/>
      <c r="H4715" s="16"/>
      <c r="I4715" s="16"/>
      <c r="J4715" s="16"/>
      <c r="K4715" s="6"/>
      <c r="L4715" s="16"/>
    </row>
    <row r="4716" spans="1:12" ht="14" customHeight="1" x14ac:dyDescent="0.2">
      <c r="A4716" s="17"/>
      <c r="B4716" s="18"/>
      <c r="C4716" s="19"/>
      <c r="D4716" s="19"/>
      <c r="E4716" s="19"/>
      <c r="F4716" s="19"/>
      <c r="G4716" s="19"/>
      <c r="H4716" s="19"/>
      <c r="I4716" s="19"/>
      <c r="J4716" s="19"/>
      <c r="K4716" s="6"/>
      <c r="L4716" s="19"/>
    </row>
    <row r="4717" spans="1:12" ht="14" customHeight="1" x14ac:dyDescent="0.2">
      <c r="A4717" s="14"/>
      <c r="B4717" s="15"/>
      <c r="C4717" s="16"/>
      <c r="D4717" s="16"/>
      <c r="E4717" s="16"/>
      <c r="F4717" s="16"/>
      <c r="G4717" s="16"/>
      <c r="H4717" s="16"/>
      <c r="I4717" s="16"/>
      <c r="J4717" s="16"/>
      <c r="K4717" s="6"/>
      <c r="L4717" s="16"/>
    </row>
    <row r="4718" spans="1:12" ht="14" customHeight="1" x14ac:dyDescent="0.2">
      <c r="A4718" s="17"/>
      <c r="B4718" s="18"/>
      <c r="C4718" s="19"/>
      <c r="D4718" s="19"/>
      <c r="E4718" s="19"/>
      <c r="F4718" s="19"/>
      <c r="G4718" s="19"/>
      <c r="H4718" s="19"/>
      <c r="I4718" s="19"/>
      <c r="J4718" s="19"/>
      <c r="K4718" s="6"/>
      <c r="L4718" s="19"/>
    </row>
    <row r="4719" spans="1:12" ht="14" customHeight="1" x14ac:dyDescent="0.2">
      <c r="A4719" s="14"/>
      <c r="B4719" s="15"/>
      <c r="C4719" s="16"/>
      <c r="D4719" s="16"/>
      <c r="E4719" s="16"/>
      <c r="F4719" s="16"/>
      <c r="G4719" s="16"/>
      <c r="H4719" s="16"/>
      <c r="I4719" s="16"/>
      <c r="J4719" s="16"/>
      <c r="K4719" s="6"/>
      <c r="L4719" s="16"/>
    </row>
    <row r="4720" spans="1:12" ht="14" customHeight="1" x14ac:dyDescent="0.2">
      <c r="A4720" s="17"/>
      <c r="B4720" s="18"/>
      <c r="C4720" s="19"/>
      <c r="D4720" s="19"/>
      <c r="E4720" s="19"/>
      <c r="F4720" s="19"/>
      <c r="G4720" s="19"/>
      <c r="H4720" s="19"/>
      <c r="I4720" s="19"/>
      <c r="J4720" s="19"/>
      <c r="K4720" s="6"/>
      <c r="L4720" s="19"/>
    </row>
    <row r="4721" spans="1:12" ht="14" customHeight="1" x14ac:dyDescent="0.2">
      <c r="A4721" s="14"/>
      <c r="B4721" s="15"/>
      <c r="C4721" s="16"/>
      <c r="D4721" s="16"/>
      <c r="E4721" s="16"/>
      <c r="F4721" s="16"/>
      <c r="G4721" s="16"/>
      <c r="H4721" s="16"/>
      <c r="I4721" s="16"/>
      <c r="J4721" s="16"/>
      <c r="K4721" s="6"/>
      <c r="L4721" s="16"/>
    </row>
    <row r="4722" spans="1:12" ht="14" customHeight="1" x14ac:dyDescent="0.2">
      <c r="A4722" s="17"/>
      <c r="B4722" s="18"/>
      <c r="C4722" s="19"/>
      <c r="D4722" s="19"/>
      <c r="E4722" s="19"/>
      <c r="F4722" s="19"/>
      <c r="G4722" s="19"/>
      <c r="H4722" s="19"/>
      <c r="I4722" s="19"/>
      <c r="J4722" s="19"/>
      <c r="K4722" s="6"/>
      <c r="L4722" s="19"/>
    </row>
    <row r="4723" spans="1:12" ht="14" customHeight="1" x14ac:dyDescent="0.2">
      <c r="A4723" s="14"/>
      <c r="B4723" s="15"/>
      <c r="C4723" s="16"/>
      <c r="D4723" s="16"/>
      <c r="E4723" s="16"/>
      <c r="F4723" s="16"/>
      <c r="G4723" s="16"/>
      <c r="H4723" s="16"/>
      <c r="I4723" s="16"/>
      <c r="J4723" s="16"/>
      <c r="K4723" s="6"/>
      <c r="L4723" s="16"/>
    </row>
    <row r="4724" spans="1:12" ht="14" customHeight="1" x14ac:dyDescent="0.2">
      <c r="A4724" s="17"/>
      <c r="B4724" s="18"/>
      <c r="C4724" s="19"/>
      <c r="D4724" s="19"/>
      <c r="E4724" s="19"/>
      <c r="F4724" s="19"/>
      <c r="G4724" s="19"/>
      <c r="H4724" s="19"/>
      <c r="I4724" s="19"/>
      <c r="J4724" s="19"/>
      <c r="K4724" s="6"/>
      <c r="L4724" s="19"/>
    </row>
    <row r="4725" spans="1:12" ht="14" customHeight="1" x14ac:dyDescent="0.2">
      <c r="A4725" s="14"/>
      <c r="B4725" s="15"/>
      <c r="C4725" s="16"/>
      <c r="D4725" s="16"/>
      <c r="E4725" s="16"/>
      <c r="F4725" s="16"/>
      <c r="G4725" s="16"/>
      <c r="H4725" s="16"/>
      <c r="I4725" s="16"/>
      <c r="J4725" s="16"/>
      <c r="K4725" s="6"/>
      <c r="L4725" s="16"/>
    </row>
    <row r="4726" spans="1:12" ht="14" customHeight="1" x14ac:dyDescent="0.2">
      <c r="A4726" s="17"/>
      <c r="B4726" s="18"/>
      <c r="C4726" s="19"/>
      <c r="D4726" s="19"/>
      <c r="E4726" s="19"/>
      <c r="F4726" s="19"/>
      <c r="G4726" s="19"/>
      <c r="H4726" s="19"/>
      <c r="I4726" s="19"/>
      <c r="J4726" s="19"/>
      <c r="K4726" s="6"/>
      <c r="L4726" s="19"/>
    </row>
    <row r="4727" spans="1:12" ht="14" customHeight="1" x14ac:dyDescent="0.2">
      <c r="A4727" s="14"/>
      <c r="B4727" s="15"/>
      <c r="C4727" s="16"/>
      <c r="D4727" s="16"/>
      <c r="E4727" s="16"/>
      <c r="F4727" s="16"/>
      <c r="G4727" s="16"/>
      <c r="H4727" s="16"/>
      <c r="I4727" s="16"/>
      <c r="J4727" s="16"/>
      <c r="K4727" s="6"/>
      <c r="L4727" s="16"/>
    </row>
    <row r="4728" spans="1:12" ht="14" customHeight="1" x14ac:dyDescent="0.2">
      <c r="A4728" s="17"/>
      <c r="B4728" s="18"/>
      <c r="C4728" s="19"/>
      <c r="D4728" s="19"/>
      <c r="E4728" s="19"/>
      <c r="F4728" s="19"/>
      <c r="G4728" s="19"/>
      <c r="H4728" s="19"/>
      <c r="I4728" s="19"/>
      <c r="J4728" s="19"/>
      <c r="K4728" s="6"/>
      <c r="L4728" s="19"/>
    </row>
    <row r="4729" spans="1:12" ht="14" customHeight="1" x14ac:dyDescent="0.2">
      <c r="A4729" s="14"/>
      <c r="B4729" s="15"/>
      <c r="C4729" s="16"/>
      <c r="D4729" s="16"/>
      <c r="E4729" s="16"/>
      <c r="F4729" s="16"/>
      <c r="G4729" s="16"/>
      <c r="H4729" s="16"/>
      <c r="I4729" s="16"/>
      <c r="J4729" s="16"/>
      <c r="K4729" s="6"/>
      <c r="L4729" s="16"/>
    </row>
    <row r="4730" spans="1:12" ht="14" customHeight="1" x14ac:dyDescent="0.2">
      <c r="A4730" s="17"/>
      <c r="B4730" s="18"/>
      <c r="C4730" s="19"/>
      <c r="D4730" s="19"/>
      <c r="E4730" s="19"/>
      <c r="F4730" s="19"/>
      <c r="G4730" s="19"/>
      <c r="H4730" s="19"/>
      <c r="I4730" s="19"/>
      <c r="J4730" s="19"/>
      <c r="K4730" s="6"/>
      <c r="L4730" s="19"/>
    </row>
    <row r="4731" spans="1:12" ht="14" customHeight="1" x14ac:dyDescent="0.2">
      <c r="A4731" s="14"/>
      <c r="B4731" s="15"/>
      <c r="C4731" s="16"/>
      <c r="D4731" s="16"/>
      <c r="E4731" s="16"/>
      <c r="F4731" s="16"/>
      <c r="G4731" s="16"/>
      <c r="H4731" s="16"/>
      <c r="I4731" s="16"/>
      <c r="J4731" s="16"/>
      <c r="K4731" s="6"/>
      <c r="L4731" s="16"/>
    </row>
    <row r="4732" spans="1:12" ht="14" customHeight="1" x14ac:dyDescent="0.2">
      <c r="A4732" s="17"/>
      <c r="B4732" s="18"/>
      <c r="C4732" s="19"/>
      <c r="D4732" s="19"/>
      <c r="E4732" s="19"/>
      <c r="F4732" s="19"/>
      <c r="G4732" s="19"/>
      <c r="H4732" s="19"/>
      <c r="I4732" s="19"/>
      <c r="J4732" s="19"/>
      <c r="K4732" s="6"/>
      <c r="L4732" s="19"/>
    </row>
    <row r="4733" spans="1:12" ht="14" customHeight="1" x14ac:dyDescent="0.2">
      <c r="A4733" s="14"/>
      <c r="B4733" s="15"/>
      <c r="C4733" s="16"/>
      <c r="D4733" s="16"/>
      <c r="E4733" s="16"/>
      <c r="F4733" s="16"/>
      <c r="G4733" s="16"/>
      <c r="H4733" s="16"/>
      <c r="I4733" s="16"/>
      <c r="J4733" s="16"/>
      <c r="K4733" s="6"/>
      <c r="L4733" s="16"/>
    </row>
    <row r="4734" spans="1:12" ht="14" customHeight="1" x14ac:dyDescent="0.2">
      <c r="A4734" s="17"/>
      <c r="B4734" s="18"/>
      <c r="C4734" s="19"/>
      <c r="D4734" s="19"/>
      <c r="E4734" s="19"/>
      <c r="F4734" s="19"/>
      <c r="G4734" s="19"/>
      <c r="H4734" s="19"/>
      <c r="I4734" s="19"/>
      <c r="J4734" s="19"/>
      <c r="K4734" s="6"/>
      <c r="L4734" s="19"/>
    </row>
    <row r="4735" spans="1:12" ht="14" customHeight="1" x14ac:dyDescent="0.2">
      <c r="A4735" s="14"/>
      <c r="B4735" s="15"/>
      <c r="C4735" s="16"/>
      <c r="D4735" s="16"/>
      <c r="E4735" s="16"/>
      <c r="F4735" s="16"/>
      <c r="G4735" s="16"/>
      <c r="H4735" s="16"/>
      <c r="I4735" s="16"/>
      <c r="J4735" s="16"/>
      <c r="K4735" s="6"/>
      <c r="L4735" s="16"/>
    </row>
    <row r="4736" spans="1:12" ht="14" customHeight="1" x14ac:dyDescent="0.2">
      <c r="A4736" s="17"/>
      <c r="B4736" s="18"/>
      <c r="C4736" s="19"/>
      <c r="D4736" s="19"/>
      <c r="E4736" s="19"/>
      <c r="F4736" s="19"/>
      <c r="G4736" s="19"/>
      <c r="H4736" s="19"/>
      <c r="I4736" s="19"/>
      <c r="J4736" s="19"/>
      <c r="K4736" s="6"/>
      <c r="L4736" s="19"/>
    </row>
    <row r="4737" spans="1:12" ht="14" customHeight="1" x14ac:dyDescent="0.2">
      <c r="A4737" s="14"/>
      <c r="B4737" s="15"/>
      <c r="C4737" s="16"/>
      <c r="D4737" s="16"/>
      <c r="E4737" s="16"/>
      <c r="F4737" s="16"/>
      <c r="G4737" s="16"/>
      <c r="H4737" s="16"/>
      <c r="I4737" s="16"/>
      <c r="J4737" s="16"/>
      <c r="K4737" s="6"/>
      <c r="L4737" s="16"/>
    </row>
    <row r="4738" spans="1:12" ht="14" customHeight="1" x14ac:dyDescent="0.2">
      <c r="A4738" s="17"/>
      <c r="B4738" s="18"/>
      <c r="C4738" s="19"/>
      <c r="D4738" s="19"/>
      <c r="E4738" s="19"/>
      <c r="F4738" s="19"/>
      <c r="G4738" s="19"/>
      <c r="H4738" s="19"/>
      <c r="I4738" s="19"/>
      <c r="J4738" s="19"/>
      <c r="K4738" s="6"/>
      <c r="L4738" s="19"/>
    </row>
    <row r="4739" spans="1:12" ht="14" customHeight="1" x14ac:dyDescent="0.2">
      <c r="A4739" s="14"/>
      <c r="B4739" s="15"/>
      <c r="C4739" s="16"/>
      <c r="D4739" s="16"/>
      <c r="E4739" s="16"/>
      <c r="F4739" s="16"/>
      <c r="G4739" s="16"/>
      <c r="H4739" s="16"/>
      <c r="I4739" s="16"/>
      <c r="J4739" s="16"/>
      <c r="K4739" s="6"/>
      <c r="L4739" s="16"/>
    </row>
    <row r="4740" spans="1:12" ht="14" customHeight="1" x14ac:dyDescent="0.2">
      <c r="A4740" s="17"/>
      <c r="B4740" s="18"/>
      <c r="C4740" s="19"/>
      <c r="D4740" s="19"/>
      <c r="E4740" s="19"/>
      <c r="F4740" s="19"/>
      <c r="G4740" s="19"/>
      <c r="H4740" s="19"/>
      <c r="I4740" s="19"/>
      <c r="J4740" s="19"/>
      <c r="K4740" s="6"/>
      <c r="L4740" s="19"/>
    </row>
    <row r="4741" spans="1:12" ht="14" customHeight="1" x14ac:dyDescent="0.2">
      <c r="A4741" s="14"/>
      <c r="B4741" s="15"/>
      <c r="C4741" s="16"/>
      <c r="D4741" s="16"/>
      <c r="E4741" s="16"/>
      <c r="F4741" s="16"/>
      <c r="G4741" s="16"/>
      <c r="H4741" s="16"/>
      <c r="I4741" s="16"/>
      <c r="J4741" s="16"/>
      <c r="K4741" s="6"/>
      <c r="L4741" s="16"/>
    </row>
    <row r="4742" spans="1:12" ht="14" customHeight="1" x14ac:dyDescent="0.2">
      <c r="A4742" s="17"/>
      <c r="B4742" s="18"/>
      <c r="C4742" s="19"/>
      <c r="D4742" s="19"/>
      <c r="E4742" s="19"/>
      <c r="F4742" s="19"/>
      <c r="G4742" s="19"/>
      <c r="H4742" s="19"/>
      <c r="I4742" s="19"/>
      <c r="J4742" s="19"/>
      <c r="K4742" s="6"/>
      <c r="L4742" s="19"/>
    </row>
    <row r="4743" spans="1:12" ht="14" customHeight="1" x14ac:dyDescent="0.2">
      <c r="A4743" s="14"/>
      <c r="B4743" s="15"/>
      <c r="C4743" s="16"/>
      <c r="D4743" s="16"/>
      <c r="E4743" s="16"/>
      <c r="F4743" s="16"/>
      <c r="G4743" s="16"/>
      <c r="H4743" s="16"/>
      <c r="I4743" s="16"/>
      <c r="J4743" s="16"/>
      <c r="K4743" s="6"/>
      <c r="L4743" s="16"/>
    </row>
    <row r="4744" spans="1:12" ht="14" customHeight="1" x14ac:dyDescent="0.2">
      <c r="A4744" s="17"/>
      <c r="B4744" s="18"/>
      <c r="C4744" s="19"/>
      <c r="D4744" s="19"/>
      <c r="E4744" s="19"/>
      <c r="F4744" s="19"/>
      <c r="G4744" s="19"/>
      <c r="H4744" s="19"/>
      <c r="I4744" s="19"/>
      <c r="J4744" s="19"/>
      <c r="K4744" s="6"/>
      <c r="L4744" s="19"/>
    </row>
    <row r="4745" spans="1:12" ht="14" customHeight="1" x14ac:dyDescent="0.2">
      <c r="A4745" s="14"/>
      <c r="B4745" s="15"/>
      <c r="C4745" s="16"/>
      <c r="D4745" s="16"/>
      <c r="E4745" s="16"/>
      <c r="F4745" s="16"/>
      <c r="G4745" s="16"/>
      <c r="H4745" s="16"/>
      <c r="I4745" s="16"/>
      <c r="J4745" s="16"/>
      <c r="K4745" s="6"/>
      <c r="L4745" s="16"/>
    </row>
    <row r="4746" spans="1:12" ht="14" customHeight="1" x14ac:dyDescent="0.2">
      <c r="A4746" s="17"/>
      <c r="B4746" s="18"/>
      <c r="C4746" s="19"/>
      <c r="D4746" s="19"/>
      <c r="E4746" s="19"/>
      <c r="F4746" s="19"/>
      <c r="G4746" s="19"/>
      <c r="H4746" s="19"/>
      <c r="I4746" s="19"/>
      <c r="J4746" s="19"/>
      <c r="K4746" s="6"/>
      <c r="L4746" s="19"/>
    </row>
    <row r="4747" spans="1:12" ht="14" customHeight="1" x14ac:dyDescent="0.2">
      <c r="A4747" s="14"/>
      <c r="B4747" s="15"/>
      <c r="C4747" s="16"/>
      <c r="D4747" s="16"/>
      <c r="E4747" s="16"/>
      <c r="F4747" s="16"/>
      <c r="G4747" s="16"/>
      <c r="H4747" s="16"/>
      <c r="I4747" s="16"/>
      <c r="J4747" s="16"/>
      <c r="K4747" s="6"/>
      <c r="L4747" s="16"/>
    </row>
    <row r="4748" spans="1:12" ht="14" customHeight="1" x14ac:dyDescent="0.2">
      <c r="A4748" s="17"/>
      <c r="B4748" s="18"/>
      <c r="C4748" s="19"/>
      <c r="D4748" s="19"/>
      <c r="E4748" s="19"/>
      <c r="F4748" s="19"/>
      <c r="G4748" s="19"/>
      <c r="H4748" s="19"/>
      <c r="I4748" s="19"/>
      <c r="J4748" s="19"/>
      <c r="K4748" s="6"/>
      <c r="L4748" s="19"/>
    </row>
    <row r="4749" spans="1:12" ht="14" customHeight="1" x14ac:dyDescent="0.2">
      <c r="A4749" s="14"/>
      <c r="B4749" s="15"/>
      <c r="C4749" s="16"/>
      <c r="D4749" s="16"/>
      <c r="E4749" s="16"/>
      <c r="F4749" s="16"/>
      <c r="G4749" s="16"/>
      <c r="H4749" s="16"/>
      <c r="I4749" s="16"/>
      <c r="J4749" s="16"/>
      <c r="K4749" s="6"/>
      <c r="L4749" s="16"/>
    </row>
    <row r="4750" spans="1:12" ht="14" customHeight="1" x14ac:dyDescent="0.2">
      <c r="A4750" s="17"/>
      <c r="B4750" s="18"/>
      <c r="C4750" s="19"/>
      <c r="D4750" s="19"/>
      <c r="E4750" s="19"/>
      <c r="F4750" s="19"/>
      <c r="G4750" s="19"/>
      <c r="H4750" s="19"/>
      <c r="I4750" s="19"/>
      <c r="J4750" s="19"/>
      <c r="K4750" s="6"/>
      <c r="L4750" s="19"/>
    </row>
    <row r="4751" spans="1:12" ht="14" customHeight="1" x14ac:dyDescent="0.2">
      <c r="A4751" s="14"/>
      <c r="B4751" s="15"/>
      <c r="C4751" s="16"/>
      <c r="D4751" s="16"/>
      <c r="E4751" s="16"/>
      <c r="F4751" s="16"/>
      <c r="G4751" s="16"/>
      <c r="H4751" s="16"/>
      <c r="I4751" s="16"/>
      <c r="J4751" s="16"/>
      <c r="K4751" s="6"/>
      <c r="L4751" s="16"/>
    </row>
    <row r="4752" spans="1:12" ht="14" customHeight="1" x14ac:dyDescent="0.2">
      <c r="A4752" s="17"/>
      <c r="B4752" s="18"/>
      <c r="C4752" s="19"/>
      <c r="D4752" s="19"/>
      <c r="E4752" s="19"/>
      <c r="F4752" s="19"/>
      <c r="G4752" s="19"/>
      <c r="H4752" s="19"/>
      <c r="I4752" s="19"/>
      <c r="J4752" s="19"/>
      <c r="K4752" s="6"/>
      <c r="L4752" s="19"/>
    </row>
    <row r="4753" spans="1:12" ht="14" customHeight="1" x14ac:dyDescent="0.2">
      <c r="A4753" s="14"/>
      <c r="B4753" s="15"/>
      <c r="C4753" s="16"/>
      <c r="D4753" s="16"/>
      <c r="E4753" s="16"/>
      <c r="F4753" s="16"/>
      <c r="G4753" s="16"/>
      <c r="H4753" s="16"/>
      <c r="I4753" s="16"/>
      <c r="J4753" s="16"/>
      <c r="K4753" s="6"/>
      <c r="L4753" s="16"/>
    </row>
    <row r="4754" spans="1:12" ht="14" customHeight="1" x14ac:dyDescent="0.2">
      <c r="A4754" s="17"/>
      <c r="B4754" s="18"/>
      <c r="C4754" s="19"/>
      <c r="D4754" s="19"/>
      <c r="E4754" s="19"/>
      <c r="F4754" s="19"/>
      <c r="G4754" s="19"/>
      <c r="H4754" s="19"/>
      <c r="I4754" s="19"/>
      <c r="J4754" s="19"/>
      <c r="K4754" s="6"/>
      <c r="L4754" s="19"/>
    </row>
    <row r="4755" spans="1:12" ht="14" customHeight="1" x14ac:dyDescent="0.2">
      <c r="A4755" s="14"/>
      <c r="B4755" s="15"/>
      <c r="C4755" s="16"/>
      <c r="D4755" s="16"/>
      <c r="E4755" s="16"/>
      <c r="F4755" s="16"/>
      <c r="G4755" s="16"/>
      <c r="H4755" s="16"/>
      <c r="I4755" s="16"/>
      <c r="J4755" s="16"/>
      <c r="K4755" s="6"/>
      <c r="L4755" s="16"/>
    </row>
    <row r="4756" spans="1:12" ht="14" customHeight="1" x14ac:dyDescent="0.2">
      <c r="A4756" s="17"/>
      <c r="B4756" s="18"/>
      <c r="C4756" s="19"/>
      <c r="D4756" s="19"/>
      <c r="E4756" s="19"/>
      <c r="F4756" s="19"/>
      <c r="G4756" s="19"/>
      <c r="H4756" s="19"/>
      <c r="I4756" s="19"/>
      <c r="J4756" s="19"/>
      <c r="K4756" s="6"/>
      <c r="L4756" s="19"/>
    </row>
    <row r="4757" spans="1:12" ht="14" customHeight="1" x14ac:dyDescent="0.2">
      <c r="A4757" s="14"/>
      <c r="B4757" s="15"/>
      <c r="C4757" s="16"/>
      <c r="D4757" s="16"/>
      <c r="E4757" s="16"/>
      <c r="F4757" s="16"/>
      <c r="G4757" s="16"/>
      <c r="H4757" s="16"/>
      <c r="I4757" s="16"/>
      <c r="J4757" s="16"/>
      <c r="K4757" s="6"/>
      <c r="L4757" s="16"/>
    </row>
    <row r="4758" spans="1:12" ht="14" customHeight="1" x14ac:dyDescent="0.2">
      <c r="A4758" s="17"/>
      <c r="B4758" s="18"/>
      <c r="C4758" s="19"/>
      <c r="D4758" s="19"/>
      <c r="E4758" s="19"/>
      <c r="F4758" s="19"/>
      <c r="G4758" s="19"/>
      <c r="H4758" s="19"/>
      <c r="I4758" s="19"/>
      <c r="J4758" s="19"/>
      <c r="K4758" s="6"/>
      <c r="L4758" s="19"/>
    </row>
    <row r="4759" spans="1:12" ht="14" customHeight="1" x14ac:dyDescent="0.2">
      <c r="A4759" s="14"/>
      <c r="B4759" s="15"/>
      <c r="C4759" s="16"/>
      <c r="D4759" s="16"/>
      <c r="E4759" s="16"/>
      <c r="F4759" s="16"/>
      <c r="G4759" s="16"/>
      <c r="H4759" s="16"/>
      <c r="I4759" s="16"/>
      <c r="J4759" s="16"/>
      <c r="K4759" s="6"/>
      <c r="L4759" s="16"/>
    </row>
    <row r="4760" spans="1:12" ht="14" customHeight="1" x14ac:dyDescent="0.2">
      <c r="A4760" s="17"/>
      <c r="B4760" s="18"/>
      <c r="C4760" s="19"/>
      <c r="D4760" s="19"/>
      <c r="E4760" s="19"/>
      <c r="F4760" s="19"/>
      <c r="G4760" s="19"/>
      <c r="H4760" s="19"/>
      <c r="I4760" s="19"/>
      <c r="J4760" s="19"/>
      <c r="K4760" s="6"/>
      <c r="L4760" s="19"/>
    </row>
    <row r="4761" spans="1:12" ht="14" customHeight="1" x14ac:dyDescent="0.2">
      <c r="A4761" s="14"/>
      <c r="B4761" s="15"/>
      <c r="C4761" s="16"/>
      <c r="D4761" s="16"/>
      <c r="E4761" s="16"/>
      <c r="F4761" s="16"/>
      <c r="G4761" s="16"/>
      <c r="H4761" s="16"/>
      <c r="I4761" s="16"/>
      <c r="J4761" s="16"/>
      <c r="K4761" s="6"/>
      <c r="L4761" s="16"/>
    </row>
    <row r="4762" spans="1:12" ht="14" customHeight="1" x14ac:dyDescent="0.2">
      <c r="A4762" s="17"/>
      <c r="B4762" s="18"/>
      <c r="C4762" s="19"/>
      <c r="D4762" s="19"/>
      <c r="E4762" s="19"/>
      <c r="F4762" s="19"/>
      <c r="G4762" s="19"/>
      <c r="H4762" s="19"/>
      <c r="I4762" s="19"/>
      <c r="J4762" s="19"/>
      <c r="K4762" s="6"/>
      <c r="L4762" s="19"/>
    </row>
    <row r="4763" spans="1:12" ht="14" customHeight="1" x14ac:dyDescent="0.2">
      <c r="A4763" s="14"/>
      <c r="B4763" s="15"/>
      <c r="C4763" s="16"/>
      <c r="D4763" s="16"/>
      <c r="E4763" s="16"/>
      <c r="F4763" s="16"/>
      <c r="G4763" s="16"/>
      <c r="H4763" s="16"/>
      <c r="I4763" s="16"/>
      <c r="J4763" s="16"/>
      <c r="K4763" s="6"/>
      <c r="L4763" s="16"/>
    </row>
    <row r="4764" spans="1:12" ht="14" customHeight="1" x14ac:dyDescent="0.2">
      <c r="A4764" s="17"/>
      <c r="B4764" s="18"/>
      <c r="C4764" s="19"/>
      <c r="D4764" s="19"/>
      <c r="E4764" s="19"/>
      <c r="F4764" s="19"/>
      <c r="G4764" s="19"/>
      <c r="H4764" s="19"/>
      <c r="I4764" s="19"/>
      <c r="J4764" s="19"/>
      <c r="K4764" s="6"/>
      <c r="L4764" s="19"/>
    </row>
    <row r="4765" spans="1:12" ht="14" customHeight="1" x14ac:dyDescent="0.2">
      <c r="A4765" s="14"/>
      <c r="B4765" s="15"/>
      <c r="C4765" s="16"/>
      <c r="D4765" s="16"/>
      <c r="E4765" s="16"/>
      <c r="F4765" s="16"/>
      <c r="G4765" s="16"/>
      <c r="H4765" s="16"/>
      <c r="I4765" s="16"/>
      <c r="J4765" s="16"/>
      <c r="K4765" s="6"/>
      <c r="L4765" s="16"/>
    </row>
    <row r="4766" spans="1:12" ht="14" customHeight="1" x14ac:dyDescent="0.2">
      <c r="A4766" s="17"/>
      <c r="B4766" s="18"/>
      <c r="C4766" s="19"/>
      <c r="D4766" s="19"/>
      <c r="E4766" s="19"/>
      <c r="F4766" s="19"/>
      <c r="G4766" s="19"/>
      <c r="H4766" s="19"/>
      <c r="I4766" s="19"/>
      <c r="J4766" s="19"/>
      <c r="K4766" s="6"/>
      <c r="L4766" s="19"/>
    </row>
    <row r="4767" spans="1:12" ht="14" customHeight="1" x14ac:dyDescent="0.2">
      <c r="A4767" s="14"/>
      <c r="B4767" s="15"/>
      <c r="C4767" s="16"/>
      <c r="D4767" s="16"/>
      <c r="E4767" s="16"/>
      <c r="F4767" s="16"/>
      <c r="G4767" s="16"/>
      <c r="H4767" s="16"/>
      <c r="I4767" s="16"/>
      <c r="J4767" s="16"/>
      <c r="K4767" s="6"/>
      <c r="L4767" s="16"/>
    </row>
    <row r="4768" spans="1:12" ht="14" customHeight="1" x14ac:dyDescent="0.2">
      <c r="A4768" s="17"/>
      <c r="B4768" s="18"/>
      <c r="C4768" s="19"/>
      <c r="D4768" s="19"/>
      <c r="E4768" s="19"/>
      <c r="F4768" s="19"/>
      <c r="G4768" s="19"/>
      <c r="H4768" s="19"/>
      <c r="I4768" s="19"/>
      <c r="J4768" s="19"/>
      <c r="K4768" s="6"/>
      <c r="L4768" s="19"/>
    </row>
    <row r="4769" spans="1:12" ht="14" customHeight="1" x14ac:dyDescent="0.2">
      <c r="A4769" s="14"/>
      <c r="B4769" s="15"/>
      <c r="C4769" s="16"/>
      <c r="D4769" s="16"/>
      <c r="E4769" s="16"/>
      <c r="F4769" s="16"/>
      <c r="G4769" s="16"/>
      <c r="H4769" s="16"/>
      <c r="I4769" s="16"/>
      <c r="J4769" s="16"/>
      <c r="K4769" s="6"/>
      <c r="L4769" s="16"/>
    </row>
    <row r="4770" spans="1:12" ht="14" customHeight="1" x14ac:dyDescent="0.2">
      <c r="A4770" s="17"/>
      <c r="B4770" s="18"/>
      <c r="C4770" s="19"/>
      <c r="D4770" s="19"/>
      <c r="E4770" s="19"/>
      <c r="F4770" s="19"/>
      <c r="G4770" s="19"/>
      <c r="H4770" s="19"/>
      <c r="I4770" s="19"/>
      <c r="J4770" s="19"/>
      <c r="K4770" s="6"/>
      <c r="L4770" s="19"/>
    </row>
    <row r="4771" spans="1:12" ht="14" customHeight="1" x14ac:dyDescent="0.2">
      <c r="A4771" s="14"/>
      <c r="B4771" s="15"/>
      <c r="C4771" s="16"/>
      <c r="D4771" s="16"/>
      <c r="E4771" s="16"/>
      <c r="F4771" s="16"/>
      <c r="G4771" s="16"/>
      <c r="H4771" s="16"/>
      <c r="I4771" s="16"/>
      <c r="J4771" s="16"/>
      <c r="K4771" s="6"/>
      <c r="L4771" s="16"/>
    </row>
    <row r="4772" spans="1:12" ht="14" customHeight="1" x14ac:dyDescent="0.2">
      <c r="A4772" s="17"/>
      <c r="B4772" s="18"/>
      <c r="C4772" s="19"/>
      <c r="D4772" s="19"/>
      <c r="E4772" s="19"/>
      <c r="F4772" s="19"/>
      <c r="G4772" s="19"/>
      <c r="H4772" s="19"/>
      <c r="I4772" s="19"/>
      <c r="J4772" s="19"/>
      <c r="K4772" s="6"/>
      <c r="L4772" s="19"/>
    </row>
    <row r="4773" spans="1:12" ht="14" customHeight="1" x14ac:dyDescent="0.2">
      <c r="A4773" s="14"/>
      <c r="B4773" s="15"/>
      <c r="C4773" s="16"/>
      <c r="D4773" s="16"/>
      <c r="E4773" s="16"/>
      <c r="F4773" s="16"/>
      <c r="G4773" s="16"/>
      <c r="H4773" s="16"/>
      <c r="I4773" s="16"/>
      <c r="J4773" s="16"/>
      <c r="K4773" s="6"/>
      <c r="L4773" s="16"/>
    </row>
    <row r="4774" spans="1:12" ht="14" customHeight="1" x14ac:dyDescent="0.2">
      <c r="A4774" s="17"/>
      <c r="B4774" s="18"/>
      <c r="C4774" s="19"/>
      <c r="D4774" s="19"/>
      <c r="E4774" s="19"/>
      <c r="F4774" s="19"/>
      <c r="G4774" s="19"/>
      <c r="H4774" s="19"/>
      <c r="I4774" s="19"/>
      <c r="J4774" s="19"/>
      <c r="K4774" s="6"/>
      <c r="L4774" s="19"/>
    </row>
    <row r="4775" spans="1:12" ht="14" customHeight="1" x14ac:dyDescent="0.2">
      <c r="A4775" s="14"/>
      <c r="B4775" s="15"/>
      <c r="C4775" s="16"/>
      <c r="D4775" s="16"/>
      <c r="E4775" s="16"/>
      <c r="F4775" s="16"/>
      <c r="G4775" s="16"/>
      <c r="H4775" s="16"/>
      <c r="I4775" s="16"/>
      <c r="J4775" s="16"/>
      <c r="K4775" s="6"/>
      <c r="L4775" s="16"/>
    </row>
    <row r="4776" spans="1:12" ht="14" customHeight="1" x14ac:dyDescent="0.2">
      <c r="A4776" s="17"/>
      <c r="B4776" s="18"/>
      <c r="C4776" s="19"/>
      <c r="D4776" s="19"/>
      <c r="E4776" s="19"/>
      <c r="F4776" s="19"/>
      <c r="G4776" s="19"/>
      <c r="H4776" s="19"/>
      <c r="I4776" s="19"/>
      <c r="J4776" s="19"/>
      <c r="K4776" s="6"/>
      <c r="L4776" s="19"/>
    </row>
    <row r="4777" spans="1:12" ht="14" customHeight="1" x14ac:dyDescent="0.2">
      <c r="A4777" s="14"/>
      <c r="B4777" s="15"/>
      <c r="C4777" s="16"/>
      <c r="D4777" s="16"/>
      <c r="E4777" s="16"/>
      <c r="F4777" s="16"/>
      <c r="G4777" s="16"/>
      <c r="H4777" s="16"/>
      <c r="I4777" s="16"/>
      <c r="J4777" s="16"/>
      <c r="K4777" s="6"/>
      <c r="L4777" s="16"/>
    </row>
    <row r="4778" spans="1:12" ht="14" customHeight="1" x14ac:dyDescent="0.2">
      <c r="A4778" s="17"/>
      <c r="B4778" s="18"/>
      <c r="C4778" s="19"/>
      <c r="D4778" s="19"/>
      <c r="E4778" s="19"/>
      <c r="F4778" s="19"/>
      <c r="G4778" s="19"/>
      <c r="H4778" s="19"/>
      <c r="I4778" s="19"/>
      <c r="J4778" s="19"/>
      <c r="K4778" s="6"/>
      <c r="L4778" s="19"/>
    </row>
    <row r="4779" spans="1:12" ht="14" customHeight="1" x14ac:dyDescent="0.2">
      <c r="A4779" s="14"/>
      <c r="B4779" s="15"/>
      <c r="C4779" s="16"/>
      <c r="D4779" s="16"/>
      <c r="E4779" s="16"/>
      <c r="F4779" s="16"/>
      <c r="G4779" s="16"/>
      <c r="H4779" s="16"/>
      <c r="I4779" s="16"/>
      <c r="J4779" s="16"/>
      <c r="K4779" s="6"/>
      <c r="L4779" s="16"/>
    </row>
    <row r="4780" spans="1:12" ht="14" customHeight="1" x14ac:dyDescent="0.2">
      <c r="A4780" s="17"/>
      <c r="B4780" s="18"/>
      <c r="C4780" s="19"/>
      <c r="D4780" s="19"/>
      <c r="E4780" s="19"/>
      <c r="F4780" s="19"/>
      <c r="G4780" s="19"/>
      <c r="H4780" s="19"/>
      <c r="I4780" s="19"/>
      <c r="J4780" s="19"/>
      <c r="K4780" s="6"/>
      <c r="L4780" s="19"/>
    </row>
    <row r="4781" spans="1:12" ht="14" customHeight="1" x14ac:dyDescent="0.2">
      <c r="A4781" s="14"/>
      <c r="B4781" s="15"/>
      <c r="C4781" s="16"/>
      <c r="D4781" s="16"/>
      <c r="E4781" s="16"/>
      <c r="F4781" s="16"/>
      <c r="G4781" s="16"/>
      <c r="H4781" s="16"/>
      <c r="I4781" s="16"/>
      <c r="J4781" s="16"/>
      <c r="K4781" s="6"/>
      <c r="L4781" s="16"/>
    </row>
    <row r="4782" spans="1:12" ht="14" customHeight="1" x14ac:dyDescent="0.2">
      <c r="A4782" s="17"/>
      <c r="B4782" s="18"/>
      <c r="C4782" s="19"/>
      <c r="D4782" s="19"/>
      <c r="E4782" s="19"/>
      <c r="F4782" s="19"/>
      <c r="G4782" s="19"/>
      <c r="H4782" s="19"/>
      <c r="I4782" s="19"/>
      <c r="J4782" s="19"/>
      <c r="K4782" s="6"/>
      <c r="L4782" s="19"/>
    </row>
    <row r="4783" spans="1:12" ht="14" customHeight="1" x14ac:dyDescent="0.2">
      <c r="A4783" s="14"/>
      <c r="B4783" s="15"/>
      <c r="C4783" s="16"/>
      <c r="D4783" s="16"/>
      <c r="E4783" s="16"/>
      <c r="F4783" s="16"/>
      <c r="G4783" s="16"/>
      <c r="H4783" s="16"/>
      <c r="I4783" s="16"/>
      <c r="J4783" s="16"/>
      <c r="K4783" s="6"/>
      <c r="L4783" s="16"/>
    </row>
    <row r="4784" spans="1:12" ht="14" customHeight="1" x14ac:dyDescent="0.2">
      <c r="A4784" s="17"/>
      <c r="B4784" s="18"/>
      <c r="C4784" s="19"/>
      <c r="D4784" s="19"/>
      <c r="E4784" s="19"/>
      <c r="F4784" s="19"/>
      <c r="G4784" s="19"/>
      <c r="H4784" s="19"/>
      <c r="I4784" s="19"/>
      <c r="J4784" s="19"/>
      <c r="K4784" s="6"/>
      <c r="L4784" s="19"/>
    </row>
    <row r="4785" spans="1:12" ht="14" customHeight="1" x14ac:dyDescent="0.2">
      <c r="A4785" s="14"/>
      <c r="B4785" s="15"/>
      <c r="C4785" s="16"/>
      <c r="D4785" s="16"/>
      <c r="E4785" s="16"/>
      <c r="F4785" s="16"/>
      <c r="G4785" s="16"/>
      <c r="H4785" s="16"/>
      <c r="I4785" s="16"/>
      <c r="J4785" s="16"/>
      <c r="K4785" s="6"/>
      <c r="L4785" s="16"/>
    </row>
    <row r="4786" spans="1:12" ht="14" customHeight="1" x14ac:dyDescent="0.2">
      <c r="A4786" s="17"/>
      <c r="B4786" s="18"/>
      <c r="C4786" s="19"/>
      <c r="D4786" s="19"/>
      <c r="E4786" s="19"/>
      <c r="F4786" s="19"/>
      <c r="G4786" s="19"/>
      <c r="H4786" s="19"/>
      <c r="I4786" s="19"/>
      <c r="J4786" s="19"/>
      <c r="K4786" s="6"/>
      <c r="L4786" s="19"/>
    </row>
    <row r="4787" spans="1:12" ht="14" customHeight="1" x14ac:dyDescent="0.2">
      <c r="A4787" s="14"/>
      <c r="B4787" s="15"/>
      <c r="C4787" s="16"/>
      <c r="D4787" s="16"/>
      <c r="E4787" s="16"/>
      <c r="F4787" s="16"/>
      <c r="G4787" s="16"/>
      <c r="H4787" s="16"/>
      <c r="I4787" s="16"/>
      <c r="J4787" s="16"/>
      <c r="K4787" s="6"/>
      <c r="L4787" s="16"/>
    </row>
    <row r="4788" spans="1:12" ht="14" customHeight="1" x14ac:dyDescent="0.2">
      <c r="A4788" s="17"/>
      <c r="B4788" s="18"/>
      <c r="C4788" s="19"/>
      <c r="D4788" s="19"/>
      <c r="E4788" s="19"/>
      <c r="F4788" s="19"/>
      <c r="G4788" s="19"/>
      <c r="H4788" s="19"/>
      <c r="I4788" s="19"/>
      <c r="J4788" s="19"/>
      <c r="K4788" s="6"/>
      <c r="L4788" s="19"/>
    </row>
    <row r="4789" spans="1:12" ht="14" customHeight="1" x14ac:dyDescent="0.2">
      <c r="A4789" s="14"/>
      <c r="B4789" s="15"/>
      <c r="C4789" s="16"/>
      <c r="D4789" s="16"/>
      <c r="E4789" s="16"/>
      <c r="F4789" s="16"/>
      <c r="G4789" s="16"/>
      <c r="H4789" s="16"/>
      <c r="I4789" s="16"/>
      <c r="J4789" s="16"/>
      <c r="K4789" s="6"/>
      <c r="L4789" s="16"/>
    </row>
    <row r="4790" spans="1:12" ht="14" customHeight="1" x14ac:dyDescent="0.2">
      <c r="A4790" s="17"/>
      <c r="B4790" s="18"/>
      <c r="C4790" s="19"/>
      <c r="D4790" s="19"/>
      <c r="E4790" s="19"/>
      <c r="F4790" s="19"/>
      <c r="G4790" s="19"/>
      <c r="H4790" s="19"/>
      <c r="I4790" s="19"/>
      <c r="J4790" s="19"/>
      <c r="K4790" s="6"/>
      <c r="L4790" s="19"/>
    </row>
    <row r="4791" spans="1:12" ht="14" customHeight="1" x14ac:dyDescent="0.2">
      <c r="A4791" s="14"/>
      <c r="B4791" s="15"/>
      <c r="C4791" s="16"/>
      <c r="D4791" s="16"/>
      <c r="E4791" s="16"/>
      <c r="F4791" s="16"/>
      <c r="G4791" s="16"/>
      <c r="H4791" s="16"/>
      <c r="I4791" s="16"/>
      <c r="J4791" s="16"/>
      <c r="K4791" s="6"/>
      <c r="L4791" s="16"/>
    </row>
    <row r="4792" spans="1:12" ht="14" customHeight="1" x14ac:dyDescent="0.2">
      <c r="A4792" s="17"/>
      <c r="B4792" s="18"/>
      <c r="C4792" s="19"/>
      <c r="D4792" s="19"/>
      <c r="E4792" s="19"/>
      <c r="F4792" s="19"/>
      <c r="G4792" s="19"/>
      <c r="H4792" s="19"/>
      <c r="I4792" s="19"/>
      <c r="J4792" s="19"/>
      <c r="K4792" s="6"/>
      <c r="L4792" s="19"/>
    </row>
    <row r="4793" spans="1:12" ht="14" customHeight="1" x14ac:dyDescent="0.2">
      <c r="A4793" s="14"/>
      <c r="B4793" s="15"/>
      <c r="C4793" s="16"/>
      <c r="D4793" s="16"/>
      <c r="E4793" s="16"/>
      <c r="F4793" s="16"/>
      <c r="G4793" s="16"/>
      <c r="H4793" s="16"/>
      <c r="I4793" s="16"/>
      <c r="J4793" s="16"/>
      <c r="K4793" s="6"/>
      <c r="L4793" s="16"/>
    </row>
    <row r="4794" spans="1:12" ht="14" customHeight="1" x14ac:dyDescent="0.2">
      <c r="A4794" s="17"/>
      <c r="B4794" s="18"/>
      <c r="C4794" s="19"/>
      <c r="D4794" s="19"/>
      <c r="E4794" s="19"/>
      <c r="F4794" s="19"/>
      <c r="G4794" s="19"/>
      <c r="H4794" s="19"/>
      <c r="I4794" s="19"/>
      <c r="J4794" s="19"/>
      <c r="K4794" s="6"/>
      <c r="L4794" s="19"/>
    </row>
    <row r="4795" spans="1:12" ht="14" customHeight="1" x14ac:dyDescent="0.2">
      <c r="A4795" s="14"/>
      <c r="B4795" s="15"/>
      <c r="C4795" s="16"/>
      <c r="D4795" s="16"/>
      <c r="E4795" s="16"/>
      <c r="F4795" s="16"/>
      <c r="G4795" s="16"/>
      <c r="H4795" s="16"/>
      <c r="I4795" s="16"/>
      <c r="J4795" s="16"/>
      <c r="K4795" s="6"/>
      <c r="L4795" s="16"/>
    </row>
    <row r="4796" spans="1:12" ht="14" customHeight="1" x14ac:dyDescent="0.2">
      <c r="A4796" s="17"/>
      <c r="B4796" s="18"/>
      <c r="C4796" s="19"/>
      <c r="D4796" s="19"/>
      <c r="E4796" s="19"/>
      <c r="F4796" s="19"/>
      <c r="G4796" s="19"/>
      <c r="H4796" s="19"/>
      <c r="I4796" s="19"/>
      <c r="J4796" s="19"/>
      <c r="K4796" s="6"/>
      <c r="L4796" s="19"/>
    </row>
    <row r="4797" spans="1:12" ht="14" customHeight="1" x14ac:dyDescent="0.2">
      <c r="A4797" s="14"/>
      <c r="B4797" s="15"/>
      <c r="C4797" s="16"/>
      <c r="D4797" s="16"/>
      <c r="E4797" s="16"/>
      <c r="F4797" s="16"/>
      <c r="G4797" s="16"/>
      <c r="H4797" s="16"/>
      <c r="I4797" s="16"/>
      <c r="J4797" s="16"/>
      <c r="K4797" s="6"/>
      <c r="L4797" s="16"/>
    </row>
    <row r="4798" spans="1:12" ht="14" customHeight="1" x14ac:dyDescent="0.2">
      <c r="A4798" s="17"/>
      <c r="B4798" s="18"/>
      <c r="C4798" s="19"/>
      <c r="D4798" s="19"/>
      <c r="E4798" s="19"/>
      <c r="F4798" s="19"/>
      <c r="G4798" s="19"/>
      <c r="H4798" s="19"/>
      <c r="I4798" s="19"/>
      <c r="J4798" s="19"/>
      <c r="K4798" s="6"/>
      <c r="L4798" s="19"/>
    </row>
    <row r="4799" spans="1:12" ht="14" customHeight="1" x14ac:dyDescent="0.2">
      <c r="A4799" s="14"/>
      <c r="B4799" s="15"/>
      <c r="C4799" s="16"/>
      <c r="D4799" s="16"/>
      <c r="E4799" s="16"/>
      <c r="F4799" s="16"/>
      <c r="G4799" s="16"/>
      <c r="H4799" s="16"/>
      <c r="I4799" s="16"/>
      <c r="J4799" s="16"/>
      <c r="K4799" s="6"/>
      <c r="L4799" s="16"/>
    </row>
    <row r="4800" spans="1:12" ht="14" customHeight="1" x14ac:dyDescent="0.2">
      <c r="A4800" s="17"/>
      <c r="B4800" s="18"/>
      <c r="C4800" s="19"/>
      <c r="D4800" s="19"/>
      <c r="E4800" s="19"/>
      <c r="F4800" s="19"/>
      <c r="G4800" s="19"/>
      <c r="H4800" s="19"/>
      <c r="I4800" s="19"/>
      <c r="J4800" s="19"/>
      <c r="K4800" s="6"/>
      <c r="L4800" s="19"/>
    </row>
    <row r="4801" spans="1:12" ht="14" customHeight="1" x14ac:dyDescent="0.2">
      <c r="A4801" s="14"/>
      <c r="B4801" s="15"/>
      <c r="C4801" s="16"/>
      <c r="D4801" s="16"/>
      <c r="E4801" s="16"/>
      <c r="F4801" s="16"/>
      <c r="G4801" s="16"/>
      <c r="H4801" s="16"/>
      <c r="I4801" s="16"/>
      <c r="J4801" s="16"/>
      <c r="K4801" s="6"/>
      <c r="L4801" s="16"/>
    </row>
    <row r="4802" spans="1:12" ht="14" customHeight="1" x14ac:dyDescent="0.2">
      <c r="A4802" s="17"/>
      <c r="B4802" s="18"/>
      <c r="C4802" s="19"/>
      <c r="D4802" s="19"/>
      <c r="E4802" s="19"/>
      <c r="F4802" s="19"/>
      <c r="G4802" s="19"/>
      <c r="H4802" s="19"/>
      <c r="I4802" s="19"/>
      <c r="J4802" s="19"/>
      <c r="K4802" s="6"/>
      <c r="L4802" s="19"/>
    </row>
    <row r="4803" spans="1:12" ht="14" customHeight="1" x14ac:dyDescent="0.2">
      <c r="A4803" s="14"/>
      <c r="B4803" s="15"/>
      <c r="C4803" s="16"/>
      <c r="D4803" s="16"/>
      <c r="E4803" s="16"/>
      <c r="F4803" s="16"/>
      <c r="G4803" s="16"/>
      <c r="H4803" s="16"/>
      <c r="I4803" s="16"/>
      <c r="J4803" s="16"/>
      <c r="K4803" s="6"/>
      <c r="L4803" s="16"/>
    </row>
    <row r="4804" spans="1:12" ht="14" customHeight="1" x14ac:dyDescent="0.2">
      <c r="A4804" s="17"/>
      <c r="B4804" s="18"/>
      <c r="C4804" s="19"/>
      <c r="D4804" s="19"/>
      <c r="E4804" s="19"/>
      <c r="F4804" s="19"/>
      <c r="G4804" s="19"/>
      <c r="H4804" s="19"/>
      <c r="I4804" s="19"/>
      <c r="J4804" s="19"/>
      <c r="K4804" s="6"/>
      <c r="L4804" s="19"/>
    </row>
    <row r="4805" spans="1:12" ht="14" customHeight="1" x14ac:dyDescent="0.2">
      <c r="A4805" s="14"/>
      <c r="B4805" s="15"/>
      <c r="C4805" s="16"/>
      <c r="D4805" s="16"/>
      <c r="E4805" s="16"/>
      <c r="F4805" s="16"/>
      <c r="G4805" s="16"/>
      <c r="H4805" s="16"/>
      <c r="I4805" s="16"/>
      <c r="J4805" s="16"/>
      <c r="K4805" s="6"/>
      <c r="L4805" s="16"/>
    </row>
    <row r="4806" spans="1:12" ht="14" customHeight="1" x14ac:dyDescent="0.2">
      <c r="A4806" s="17"/>
      <c r="B4806" s="18"/>
      <c r="C4806" s="19"/>
      <c r="D4806" s="19"/>
      <c r="E4806" s="19"/>
      <c r="F4806" s="19"/>
      <c r="G4806" s="19"/>
      <c r="H4806" s="19"/>
      <c r="I4806" s="19"/>
      <c r="J4806" s="19"/>
      <c r="K4806" s="6"/>
      <c r="L4806" s="19"/>
    </row>
    <row r="4807" spans="1:12" ht="14" customHeight="1" x14ac:dyDescent="0.2">
      <c r="A4807" s="14"/>
      <c r="B4807" s="15"/>
      <c r="C4807" s="16"/>
      <c r="D4807" s="16"/>
      <c r="E4807" s="16"/>
      <c r="F4807" s="16"/>
      <c r="G4807" s="16"/>
      <c r="H4807" s="16"/>
      <c r="I4807" s="16"/>
      <c r="J4807" s="16"/>
      <c r="K4807" s="6"/>
      <c r="L4807" s="16"/>
    </row>
    <row r="4808" spans="1:12" ht="14" customHeight="1" x14ac:dyDescent="0.2">
      <c r="A4808" s="17"/>
      <c r="B4808" s="18"/>
      <c r="C4808" s="19"/>
      <c r="D4808" s="19"/>
      <c r="E4808" s="19"/>
      <c r="F4808" s="19"/>
      <c r="G4808" s="19"/>
      <c r="H4808" s="19"/>
      <c r="I4808" s="19"/>
      <c r="J4808" s="19"/>
      <c r="K4808" s="6"/>
      <c r="L4808" s="19"/>
    </row>
    <row r="4809" spans="1:12" ht="14" customHeight="1" x14ac:dyDescent="0.2">
      <c r="A4809" s="14"/>
      <c r="B4809" s="15"/>
      <c r="C4809" s="16"/>
      <c r="D4809" s="16"/>
      <c r="E4809" s="16"/>
      <c r="F4809" s="16"/>
      <c r="G4809" s="16"/>
      <c r="H4809" s="16"/>
      <c r="I4809" s="16"/>
      <c r="J4809" s="16"/>
      <c r="K4809" s="6"/>
      <c r="L4809" s="16"/>
    </row>
    <row r="4810" spans="1:12" ht="14" customHeight="1" x14ac:dyDescent="0.2">
      <c r="A4810" s="17"/>
      <c r="B4810" s="18"/>
      <c r="C4810" s="19"/>
      <c r="D4810" s="19"/>
      <c r="E4810" s="19"/>
      <c r="F4810" s="19"/>
      <c r="G4810" s="19"/>
      <c r="H4810" s="19"/>
      <c r="I4810" s="19"/>
      <c r="J4810" s="19"/>
      <c r="K4810" s="6"/>
      <c r="L4810" s="19"/>
    </row>
    <row r="4811" spans="1:12" ht="14" customHeight="1" x14ac:dyDescent="0.2">
      <c r="A4811" s="14"/>
      <c r="B4811" s="15"/>
      <c r="C4811" s="16"/>
      <c r="D4811" s="16"/>
      <c r="E4811" s="16"/>
      <c r="F4811" s="16"/>
      <c r="G4811" s="16"/>
      <c r="H4811" s="16"/>
      <c r="I4811" s="16"/>
      <c r="J4811" s="16"/>
      <c r="K4811" s="6"/>
      <c r="L4811" s="16"/>
    </row>
    <row r="4812" spans="1:12" ht="14" customHeight="1" x14ac:dyDescent="0.2">
      <c r="A4812" s="17"/>
      <c r="B4812" s="18"/>
      <c r="C4812" s="19"/>
      <c r="D4812" s="19"/>
      <c r="E4812" s="19"/>
      <c r="F4812" s="19"/>
      <c r="G4812" s="19"/>
      <c r="H4812" s="19"/>
      <c r="I4812" s="19"/>
      <c r="J4812" s="19"/>
      <c r="K4812" s="6"/>
      <c r="L4812" s="19"/>
    </row>
    <row r="4813" spans="1:12" ht="14" customHeight="1" x14ac:dyDescent="0.2">
      <c r="A4813" s="14"/>
      <c r="B4813" s="15"/>
      <c r="C4813" s="16"/>
      <c r="D4813" s="16"/>
      <c r="E4813" s="16"/>
      <c r="F4813" s="16"/>
      <c r="G4813" s="16"/>
      <c r="H4813" s="16"/>
      <c r="I4813" s="16"/>
      <c r="J4813" s="16"/>
      <c r="K4813" s="6"/>
      <c r="L4813" s="16"/>
    </row>
    <row r="4814" spans="1:12" ht="14" customHeight="1" x14ac:dyDescent="0.2">
      <c r="A4814" s="17"/>
      <c r="B4814" s="18"/>
      <c r="C4814" s="19"/>
      <c r="D4814" s="19"/>
      <c r="E4814" s="19"/>
      <c r="F4814" s="19"/>
      <c r="G4814" s="19"/>
      <c r="H4814" s="19"/>
      <c r="I4814" s="19"/>
      <c r="J4814" s="19"/>
      <c r="K4814" s="6"/>
      <c r="L4814" s="19"/>
    </row>
    <row r="4815" spans="1:12" ht="14" customHeight="1" x14ac:dyDescent="0.2">
      <c r="A4815" s="14"/>
      <c r="B4815" s="15"/>
      <c r="C4815" s="16"/>
      <c r="D4815" s="16"/>
      <c r="E4815" s="16"/>
      <c r="F4815" s="16"/>
      <c r="G4815" s="16"/>
      <c r="H4815" s="16"/>
      <c r="I4815" s="16"/>
      <c r="J4815" s="16"/>
      <c r="K4815" s="6"/>
      <c r="L4815" s="16"/>
    </row>
    <row r="4816" spans="1:12" ht="14" customHeight="1" x14ac:dyDescent="0.2">
      <c r="A4816" s="17"/>
      <c r="B4816" s="18"/>
      <c r="C4816" s="19"/>
      <c r="D4816" s="19"/>
      <c r="E4816" s="19"/>
      <c r="F4816" s="19"/>
      <c r="G4816" s="19"/>
      <c r="H4816" s="19"/>
      <c r="I4816" s="19"/>
      <c r="J4816" s="19"/>
      <c r="K4816" s="6"/>
      <c r="L4816" s="19"/>
    </row>
    <row r="4817" spans="1:12" ht="14" customHeight="1" x14ac:dyDescent="0.2">
      <c r="A4817" s="14"/>
      <c r="B4817" s="15"/>
      <c r="C4817" s="16"/>
      <c r="D4817" s="16"/>
      <c r="E4817" s="16"/>
      <c r="F4817" s="16"/>
      <c r="G4817" s="16"/>
      <c r="H4817" s="16"/>
      <c r="I4817" s="16"/>
      <c r="J4817" s="16"/>
      <c r="K4817" s="6"/>
      <c r="L4817" s="16"/>
    </row>
    <row r="4818" spans="1:12" ht="14" customHeight="1" x14ac:dyDescent="0.2">
      <c r="A4818" s="17"/>
      <c r="B4818" s="18"/>
      <c r="C4818" s="19"/>
      <c r="D4818" s="19"/>
      <c r="E4818" s="19"/>
      <c r="F4818" s="19"/>
      <c r="G4818" s="19"/>
      <c r="H4818" s="19"/>
      <c r="I4818" s="19"/>
      <c r="J4818" s="19"/>
      <c r="K4818" s="6"/>
      <c r="L4818" s="19"/>
    </row>
    <row r="4819" spans="1:12" ht="14" customHeight="1" x14ac:dyDescent="0.2">
      <c r="A4819" s="14"/>
      <c r="B4819" s="15"/>
      <c r="C4819" s="16"/>
      <c r="D4819" s="16"/>
      <c r="E4819" s="16"/>
      <c r="F4819" s="16"/>
      <c r="G4819" s="16"/>
      <c r="H4819" s="16"/>
      <c r="I4819" s="16"/>
      <c r="J4819" s="16"/>
      <c r="K4819" s="6"/>
      <c r="L4819" s="16"/>
    </row>
    <row r="4820" spans="1:12" ht="14" customHeight="1" x14ac:dyDescent="0.2">
      <c r="A4820" s="17"/>
      <c r="B4820" s="18"/>
      <c r="C4820" s="19"/>
      <c r="D4820" s="19"/>
      <c r="E4820" s="19"/>
      <c r="F4820" s="19"/>
      <c r="G4820" s="19"/>
      <c r="H4820" s="19"/>
      <c r="I4820" s="19"/>
      <c r="J4820" s="19"/>
      <c r="K4820" s="6"/>
      <c r="L4820" s="19"/>
    </row>
    <row r="4821" spans="1:12" ht="14" customHeight="1" x14ac:dyDescent="0.2">
      <c r="A4821" s="14"/>
      <c r="B4821" s="15"/>
      <c r="C4821" s="16"/>
      <c r="D4821" s="16"/>
      <c r="E4821" s="16"/>
      <c r="F4821" s="16"/>
      <c r="G4821" s="16"/>
      <c r="H4821" s="16"/>
      <c r="I4821" s="16"/>
      <c r="J4821" s="16"/>
      <c r="K4821" s="6"/>
      <c r="L4821" s="16"/>
    </row>
    <row r="4822" spans="1:12" ht="14" customHeight="1" x14ac:dyDescent="0.2">
      <c r="A4822" s="17"/>
      <c r="B4822" s="18"/>
      <c r="C4822" s="19"/>
      <c r="D4822" s="19"/>
      <c r="E4822" s="19"/>
      <c r="F4822" s="19"/>
      <c r="G4822" s="19"/>
      <c r="H4822" s="19"/>
      <c r="I4822" s="19"/>
      <c r="J4822" s="19"/>
      <c r="K4822" s="6"/>
      <c r="L4822" s="19"/>
    </row>
    <row r="4823" spans="1:12" ht="14" customHeight="1" x14ac:dyDescent="0.2">
      <c r="A4823" s="14"/>
      <c r="B4823" s="15"/>
      <c r="C4823" s="16"/>
      <c r="D4823" s="16"/>
      <c r="E4823" s="16"/>
      <c r="F4823" s="16"/>
      <c r="G4823" s="16"/>
      <c r="H4823" s="16"/>
      <c r="I4823" s="16"/>
      <c r="J4823" s="16"/>
      <c r="K4823" s="6"/>
      <c r="L4823" s="16"/>
    </row>
    <row r="4824" spans="1:12" ht="14" customHeight="1" x14ac:dyDescent="0.2">
      <c r="A4824" s="17"/>
      <c r="B4824" s="18"/>
      <c r="C4824" s="19"/>
      <c r="D4824" s="19"/>
      <c r="E4824" s="19"/>
      <c r="F4824" s="19"/>
      <c r="G4824" s="19"/>
      <c r="H4824" s="19"/>
      <c r="I4824" s="19"/>
      <c r="J4824" s="19"/>
      <c r="K4824" s="6"/>
      <c r="L4824" s="19"/>
    </row>
    <row r="4825" spans="1:12" ht="14" customHeight="1" x14ac:dyDescent="0.2">
      <c r="A4825" s="14"/>
      <c r="B4825" s="15"/>
      <c r="C4825" s="16"/>
      <c r="D4825" s="16"/>
      <c r="E4825" s="16"/>
      <c r="F4825" s="16"/>
      <c r="G4825" s="16"/>
      <c r="H4825" s="16"/>
      <c r="I4825" s="16"/>
      <c r="J4825" s="16"/>
      <c r="K4825" s="6"/>
      <c r="L4825" s="16"/>
    </row>
    <row r="4826" spans="1:12" ht="14" customHeight="1" x14ac:dyDescent="0.2">
      <c r="A4826" s="17"/>
      <c r="B4826" s="18"/>
      <c r="C4826" s="19"/>
      <c r="D4826" s="19"/>
      <c r="E4826" s="19"/>
      <c r="F4826" s="19"/>
      <c r="G4826" s="19"/>
      <c r="H4826" s="19"/>
      <c r="I4826" s="19"/>
      <c r="J4826" s="19"/>
      <c r="K4826" s="6"/>
      <c r="L4826" s="19"/>
    </row>
    <row r="4827" spans="1:12" ht="14" customHeight="1" x14ac:dyDescent="0.2">
      <c r="A4827" s="14"/>
      <c r="B4827" s="15"/>
      <c r="C4827" s="16"/>
      <c r="D4827" s="16"/>
      <c r="E4827" s="16"/>
      <c r="F4827" s="16"/>
      <c r="G4827" s="16"/>
      <c r="H4827" s="16"/>
      <c r="I4827" s="16"/>
      <c r="J4827" s="16"/>
      <c r="K4827" s="6"/>
      <c r="L4827" s="16"/>
    </row>
    <row r="4828" spans="1:12" ht="14" customHeight="1" x14ac:dyDescent="0.2">
      <c r="A4828" s="17"/>
      <c r="B4828" s="18"/>
      <c r="C4828" s="19"/>
      <c r="D4828" s="19"/>
      <c r="E4828" s="19"/>
      <c r="F4828" s="19"/>
      <c r="G4828" s="19"/>
      <c r="H4828" s="19"/>
      <c r="I4828" s="19"/>
      <c r="J4828" s="19"/>
      <c r="K4828" s="6"/>
      <c r="L4828" s="19"/>
    </row>
    <row r="4829" spans="1:12" ht="14" customHeight="1" x14ac:dyDescent="0.2">
      <c r="A4829" s="14"/>
      <c r="B4829" s="15"/>
      <c r="C4829" s="16"/>
      <c r="D4829" s="16"/>
      <c r="E4829" s="16"/>
      <c r="F4829" s="16"/>
      <c r="G4829" s="16"/>
      <c r="H4829" s="16"/>
      <c r="I4829" s="16"/>
      <c r="J4829" s="16"/>
      <c r="K4829" s="6"/>
      <c r="L4829" s="16"/>
    </row>
    <row r="4830" spans="1:12" ht="14" customHeight="1" x14ac:dyDescent="0.2">
      <c r="A4830" s="17"/>
      <c r="B4830" s="18"/>
      <c r="C4830" s="19"/>
      <c r="D4830" s="19"/>
      <c r="E4830" s="19"/>
      <c r="F4830" s="19"/>
      <c r="G4830" s="19"/>
      <c r="H4830" s="19"/>
      <c r="I4830" s="19"/>
      <c r="J4830" s="19"/>
      <c r="K4830" s="6"/>
      <c r="L4830" s="19"/>
    </row>
    <row r="4831" spans="1:12" ht="14" customHeight="1" x14ac:dyDescent="0.2">
      <c r="A4831" s="14"/>
      <c r="B4831" s="15"/>
      <c r="C4831" s="16"/>
      <c r="D4831" s="16"/>
      <c r="E4831" s="16"/>
      <c r="F4831" s="16"/>
      <c r="G4831" s="16"/>
      <c r="H4831" s="16"/>
      <c r="I4831" s="16"/>
      <c r="J4831" s="16"/>
      <c r="K4831" s="6"/>
      <c r="L4831" s="16"/>
    </row>
    <row r="4832" spans="1:12" ht="14" customHeight="1" x14ac:dyDescent="0.2">
      <c r="A4832" s="17"/>
      <c r="B4832" s="18"/>
      <c r="C4832" s="19"/>
      <c r="D4832" s="19"/>
      <c r="E4832" s="19"/>
      <c r="F4832" s="19"/>
      <c r="G4832" s="19"/>
      <c r="H4832" s="19"/>
      <c r="I4832" s="19"/>
      <c r="J4832" s="19"/>
      <c r="K4832" s="6"/>
      <c r="L4832" s="19"/>
    </row>
    <row r="4833" spans="1:12" ht="14" customHeight="1" x14ac:dyDescent="0.2">
      <c r="A4833" s="14"/>
      <c r="B4833" s="15"/>
      <c r="C4833" s="16"/>
      <c r="D4833" s="16"/>
      <c r="E4833" s="16"/>
      <c r="F4833" s="16"/>
      <c r="G4833" s="16"/>
      <c r="H4833" s="16"/>
      <c r="I4833" s="16"/>
      <c r="J4833" s="16"/>
      <c r="K4833" s="6"/>
      <c r="L4833" s="16"/>
    </row>
    <row r="4834" spans="1:12" ht="14" customHeight="1" x14ac:dyDescent="0.2">
      <c r="A4834" s="17"/>
      <c r="B4834" s="18"/>
      <c r="C4834" s="19"/>
      <c r="D4834" s="19"/>
      <c r="E4834" s="19"/>
      <c r="F4834" s="19"/>
      <c r="G4834" s="19"/>
      <c r="H4834" s="19"/>
      <c r="I4834" s="19"/>
      <c r="J4834" s="19"/>
      <c r="K4834" s="6"/>
      <c r="L4834" s="19"/>
    </row>
    <row r="4835" spans="1:12" ht="14" customHeight="1" x14ac:dyDescent="0.2">
      <c r="A4835" s="14"/>
      <c r="B4835" s="15"/>
      <c r="C4835" s="16"/>
      <c r="D4835" s="16"/>
      <c r="E4835" s="16"/>
      <c r="F4835" s="16"/>
      <c r="G4835" s="16"/>
      <c r="H4835" s="16"/>
      <c r="I4835" s="16"/>
      <c r="J4835" s="16"/>
      <c r="K4835" s="6"/>
      <c r="L4835" s="16"/>
    </row>
    <row r="4836" spans="1:12" ht="14" customHeight="1" x14ac:dyDescent="0.2">
      <c r="A4836" s="17"/>
      <c r="B4836" s="18"/>
      <c r="C4836" s="19"/>
      <c r="D4836" s="19"/>
      <c r="E4836" s="19"/>
      <c r="F4836" s="19"/>
      <c r="G4836" s="19"/>
      <c r="H4836" s="19"/>
      <c r="I4836" s="19"/>
      <c r="J4836" s="19"/>
      <c r="K4836" s="6"/>
      <c r="L4836" s="19"/>
    </row>
    <row r="4837" spans="1:12" ht="14" customHeight="1" x14ac:dyDescent="0.2">
      <c r="A4837" s="14"/>
      <c r="B4837" s="15"/>
      <c r="C4837" s="16"/>
      <c r="D4837" s="16"/>
      <c r="E4837" s="16"/>
      <c r="F4837" s="16"/>
      <c r="G4837" s="16"/>
      <c r="H4837" s="16"/>
      <c r="I4837" s="16"/>
      <c r="J4837" s="16"/>
      <c r="K4837" s="6"/>
      <c r="L4837" s="16"/>
    </row>
    <row r="4838" spans="1:12" ht="14" customHeight="1" x14ac:dyDescent="0.2">
      <c r="A4838" s="17"/>
      <c r="B4838" s="18"/>
      <c r="C4838" s="19"/>
      <c r="D4838" s="19"/>
      <c r="E4838" s="19"/>
      <c r="F4838" s="19"/>
      <c r="G4838" s="19"/>
      <c r="H4838" s="19"/>
      <c r="I4838" s="19"/>
      <c r="J4838" s="19"/>
      <c r="K4838" s="6"/>
      <c r="L4838" s="19"/>
    </row>
    <row r="4839" spans="1:12" ht="14" customHeight="1" x14ac:dyDescent="0.2">
      <c r="A4839" s="14"/>
      <c r="B4839" s="15"/>
      <c r="C4839" s="16"/>
      <c r="D4839" s="16"/>
      <c r="E4839" s="16"/>
      <c r="F4839" s="16"/>
      <c r="G4839" s="16"/>
      <c r="H4839" s="16"/>
      <c r="I4839" s="16"/>
      <c r="J4839" s="16"/>
      <c r="K4839" s="6"/>
      <c r="L4839" s="16"/>
    </row>
    <row r="4840" spans="1:12" ht="14" customHeight="1" x14ac:dyDescent="0.2">
      <c r="A4840" s="17"/>
      <c r="B4840" s="18"/>
      <c r="C4840" s="19"/>
      <c r="D4840" s="19"/>
      <c r="E4840" s="19"/>
      <c r="F4840" s="19"/>
      <c r="G4840" s="19"/>
      <c r="H4840" s="19"/>
      <c r="I4840" s="19"/>
      <c r="J4840" s="19"/>
      <c r="K4840" s="6"/>
      <c r="L4840" s="19"/>
    </row>
    <row r="4841" spans="1:12" ht="14" customHeight="1" x14ac:dyDescent="0.2">
      <c r="A4841" s="14"/>
      <c r="B4841" s="15"/>
      <c r="C4841" s="16"/>
      <c r="D4841" s="16"/>
      <c r="E4841" s="16"/>
      <c r="F4841" s="16"/>
      <c r="G4841" s="16"/>
      <c r="H4841" s="16"/>
      <c r="I4841" s="16"/>
      <c r="J4841" s="16"/>
      <c r="K4841" s="6"/>
      <c r="L4841" s="16"/>
    </row>
    <row r="4842" spans="1:12" ht="14" customHeight="1" x14ac:dyDescent="0.2">
      <c r="A4842" s="17"/>
      <c r="B4842" s="18"/>
      <c r="C4842" s="19"/>
      <c r="D4842" s="19"/>
      <c r="E4842" s="19"/>
      <c r="F4842" s="19"/>
      <c r="G4842" s="19"/>
      <c r="H4842" s="19"/>
      <c r="I4842" s="19"/>
      <c r="J4842" s="19"/>
      <c r="K4842" s="6"/>
      <c r="L4842" s="19"/>
    </row>
    <row r="4843" spans="1:12" ht="14" customHeight="1" x14ac:dyDescent="0.2">
      <c r="A4843" s="14"/>
      <c r="B4843" s="15"/>
      <c r="C4843" s="16"/>
      <c r="D4843" s="16"/>
      <c r="E4843" s="16"/>
      <c r="F4843" s="16"/>
      <c r="G4843" s="16"/>
      <c r="H4843" s="16"/>
      <c r="I4843" s="16"/>
      <c r="J4843" s="16"/>
      <c r="K4843" s="6"/>
      <c r="L4843" s="16"/>
    </row>
    <row r="4844" spans="1:12" ht="14" customHeight="1" x14ac:dyDescent="0.2">
      <c r="A4844" s="17"/>
      <c r="B4844" s="18"/>
      <c r="C4844" s="19"/>
      <c r="D4844" s="19"/>
      <c r="E4844" s="19"/>
      <c r="F4844" s="19"/>
      <c r="G4844" s="19"/>
      <c r="H4844" s="19"/>
      <c r="I4844" s="19"/>
      <c r="J4844" s="19"/>
      <c r="K4844" s="6"/>
      <c r="L4844" s="19"/>
    </row>
    <row r="4845" spans="1:12" ht="14" customHeight="1" x14ac:dyDescent="0.2">
      <c r="A4845" s="14"/>
      <c r="B4845" s="15"/>
      <c r="C4845" s="16"/>
      <c r="D4845" s="16"/>
      <c r="E4845" s="16"/>
      <c r="F4845" s="16"/>
      <c r="G4845" s="16"/>
      <c r="H4845" s="16"/>
      <c r="I4845" s="16"/>
      <c r="J4845" s="16"/>
      <c r="K4845" s="6"/>
      <c r="L4845" s="16"/>
    </row>
    <row r="4846" spans="1:12" ht="14" customHeight="1" x14ac:dyDescent="0.2">
      <c r="A4846" s="17"/>
      <c r="B4846" s="18"/>
      <c r="C4846" s="19"/>
      <c r="D4846" s="19"/>
      <c r="E4846" s="19"/>
      <c r="F4846" s="19"/>
      <c r="G4846" s="19"/>
      <c r="H4846" s="19"/>
      <c r="I4846" s="19"/>
      <c r="J4846" s="19"/>
      <c r="K4846" s="6"/>
      <c r="L4846" s="19"/>
    </row>
    <row r="4847" spans="1:12" ht="14" customHeight="1" x14ac:dyDescent="0.2">
      <c r="A4847" s="14"/>
      <c r="B4847" s="15"/>
      <c r="C4847" s="16"/>
      <c r="D4847" s="16"/>
      <c r="E4847" s="16"/>
      <c r="F4847" s="16"/>
      <c r="G4847" s="16"/>
      <c r="H4847" s="16"/>
      <c r="I4847" s="16"/>
      <c r="J4847" s="16"/>
      <c r="K4847" s="6"/>
      <c r="L4847" s="16"/>
    </row>
    <row r="4848" spans="1:12" ht="14" customHeight="1" x14ac:dyDescent="0.2">
      <c r="A4848" s="17"/>
      <c r="B4848" s="18"/>
      <c r="C4848" s="19"/>
      <c r="D4848" s="19"/>
      <c r="E4848" s="19"/>
      <c r="F4848" s="19"/>
      <c r="G4848" s="19"/>
      <c r="H4848" s="19"/>
      <c r="I4848" s="19"/>
      <c r="J4848" s="19"/>
      <c r="K4848" s="6"/>
      <c r="L4848" s="19"/>
    </row>
    <row r="4849" spans="1:12" ht="14" customHeight="1" x14ac:dyDescent="0.2">
      <c r="A4849" s="14"/>
      <c r="B4849" s="15"/>
      <c r="C4849" s="16"/>
      <c r="D4849" s="16"/>
      <c r="E4849" s="16"/>
      <c r="F4849" s="16"/>
      <c r="G4849" s="16"/>
      <c r="H4849" s="16"/>
      <c r="I4849" s="16"/>
      <c r="J4849" s="16"/>
      <c r="K4849" s="6"/>
      <c r="L4849" s="16"/>
    </row>
    <row r="4850" spans="1:12" ht="14" customHeight="1" x14ac:dyDescent="0.2">
      <c r="A4850" s="17"/>
      <c r="B4850" s="18"/>
      <c r="C4850" s="19"/>
      <c r="D4850" s="19"/>
      <c r="E4850" s="19"/>
      <c r="F4850" s="19"/>
      <c r="G4850" s="19"/>
      <c r="H4850" s="19"/>
      <c r="I4850" s="19"/>
      <c r="J4850" s="19"/>
      <c r="K4850" s="6"/>
      <c r="L4850" s="19"/>
    </row>
    <row r="4851" spans="1:12" ht="14" customHeight="1" x14ac:dyDescent="0.2">
      <c r="A4851" s="14"/>
      <c r="B4851" s="15"/>
      <c r="C4851" s="16"/>
      <c r="D4851" s="16"/>
      <c r="E4851" s="16"/>
      <c r="F4851" s="16"/>
      <c r="G4851" s="16"/>
      <c r="H4851" s="16"/>
      <c r="I4851" s="16"/>
      <c r="J4851" s="16"/>
      <c r="K4851" s="6"/>
      <c r="L4851" s="16"/>
    </row>
    <row r="4852" spans="1:12" ht="14" customHeight="1" x14ac:dyDescent="0.2">
      <c r="A4852" s="17"/>
      <c r="B4852" s="18"/>
      <c r="C4852" s="19"/>
      <c r="D4852" s="19"/>
      <c r="E4852" s="19"/>
      <c r="F4852" s="19"/>
      <c r="G4852" s="19"/>
      <c r="H4852" s="19"/>
      <c r="I4852" s="19"/>
      <c r="J4852" s="19"/>
      <c r="K4852" s="6"/>
      <c r="L4852" s="19"/>
    </row>
    <row r="4853" spans="1:12" ht="14" customHeight="1" x14ac:dyDescent="0.2">
      <c r="A4853" s="14"/>
      <c r="B4853" s="15"/>
      <c r="C4853" s="16"/>
      <c r="D4853" s="16"/>
      <c r="E4853" s="16"/>
      <c r="F4853" s="16"/>
      <c r="G4853" s="16"/>
      <c r="H4853" s="16"/>
      <c r="I4853" s="16"/>
      <c r="J4853" s="16"/>
      <c r="K4853" s="6"/>
      <c r="L4853" s="16"/>
    </row>
    <row r="4854" spans="1:12" ht="14" customHeight="1" x14ac:dyDescent="0.2">
      <c r="A4854" s="17"/>
      <c r="B4854" s="18"/>
      <c r="C4854" s="19"/>
      <c r="D4854" s="19"/>
      <c r="E4854" s="19"/>
      <c r="F4854" s="19"/>
      <c r="G4854" s="19"/>
      <c r="H4854" s="19"/>
      <c r="I4854" s="19"/>
      <c r="J4854" s="19"/>
      <c r="K4854" s="6"/>
      <c r="L4854" s="19"/>
    </row>
    <row r="4855" spans="1:12" ht="14" customHeight="1" x14ac:dyDescent="0.2">
      <c r="A4855" s="14"/>
      <c r="B4855" s="15"/>
      <c r="C4855" s="16"/>
      <c r="D4855" s="16"/>
      <c r="E4855" s="16"/>
      <c r="F4855" s="16"/>
      <c r="G4855" s="16"/>
      <c r="H4855" s="16"/>
      <c r="I4855" s="16"/>
      <c r="J4855" s="16"/>
      <c r="K4855" s="6"/>
      <c r="L4855" s="16"/>
    </row>
    <row r="4856" spans="1:12" ht="14" customHeight="1" x14ac:dyDescent="0.2">
      <c r="A4856" s="17"/>
      <c r="B4856" s="18"/>
      <c r="C4856" s="19"/>
      <c r="D4856" s="19"/>
      <c r="E4856" s="19"/>
      <c r="F4856" s="19"/>
      <c r="G4856" s="19"/>
      <c r="H4856" s="19"/>
      <c r="I4856" s="19"/>
      <c r="J4856" s="19"/>
      <c r="K4856" s="6"/>
      <c r="L4856" s="19"/>
    </row>
    <row r="4857" spans="1:12" ht="14" customHeight="1" x14ac:dyDescent="0.2">
      <c r="A4857" s="14"/>
      <c r="B4857" s="15"/>
      <c r="C4857" s="16"/>
      <c r="D4857" s="16"/>
      <c r="E4857" s="16"/>
      <c r="F4857" s="16"/>
      <c r="G4857" s="16"/>
      <c r="H4857" s="16"/>
      <c r="I4857" s="16"/>
      <c r="J4857" s="16"/>
      <c r="K4857" s="6"/>
      <c r="L4857" s="16"/>
    </row>
    <row r="4858" spans="1:12" ht="14" customHeight="1" x14ac:dyDescent="0.2">
      <c r="A4858" s="17"/>
      <c r="B4858" s="18"/>
      <c r="C4858" s="19"/>
      <c r="D4858" s="19"/>
      <c r="E4858" s="19"/>
      <c r="F4858" s="19"/>
      <c r="G4858" s="19"/>
      <c r="H4858" s="19"/>
      <c r="I4858" s="19"/>
      <c r="J4858" s="19"/>
      <c r="K4858" s="6"/>
      <c r="L4858" s="19"/>
    </row>
    <row r="4859" spans="1:12" ht="14" customHeight="1" x14ac:dyDescent="0.2">
      <c r="A4859" s="14"/>
      <c r="B4859" s="15"/>
      <c r="C4859" s="16"/>
      <c r="D4859" s="16"/>
      <c r="E4859" s="16"/>
      <c r="F4859" s="16"/>
      <c r="G4859" s="16"/>
      <c r="H4859" s="16"/>
      <c r="I4859" s="16"/>
      <c r="J4859" s="16"/>
      <c r="K4859" s="6"/>
      <c r="L4859" s="16"/>
    </row>
    <row r="4860" spans="1:12" ht="14" customHeight="1" x14ac:dyDescent="0.2">
      <c r="A4860" s="17"/>
      <c r="B4860" s="18"/>
      <c r="C4860" s="19"/>
      <c r="D4860" s="19"/>
      <c r="E4860" s="19"/>
      <c r="F4860" s="19"/>
      <c r="G4860" s="19"/>
      <c r="H4860" s="19"/>
      <c r="I4860" s="19"/>
      <c r="J4860" s="19"/>
      <c r="K4860" s="6"/>
      <c r="L4860" s="19"/>
    </row>
    <row r="4861" spans="1:12" ht="14" customHeight="1" x14ac:dyDescent="0.2">
      <c r="A4861" s="14"/>
      <c r="B4861" s="15"/>
      <c r="C4861" s="16"/>
      <c r="D4861" s="16"/>
      <c r="E4861" s="16"/>
      <c r="F4861" s="16"/>
      <c r="G4861" s="16"/>
      <c r="H4861" s="16"/>
      <c r="I4861" s="16"/>
      <c r="J4861" s="16"/>
      <c r="K4861" s="6"/>
      <c r="L4861" s="16"/>
    </row>
    <row r="4862" spans="1:12" ht="14" customHeight="1" x14ac:dyDescent="0.2">
      <c r="A4862" s="17"/>
      <c r="B4862" s="18"/>
      <c r="C4862" s="19"/>
      <c r="D4862" s="19"/>
      <c r="E4862" s="19"/>
      <c r="F4862" s="19"/>
      <c r="G4862" s="19"/>
      <c r="H4862" s="19"/>
      <c r="I4862" s="19"/>
      <c r="J4862" s="19"/>
      <c r="K4862" s="6"/>
      <c r="L4862" s="19"/>
    </row>
    <row r="4863" spans="1:12" ht="14" customHeight="1" x14ac:dyDescent="0.2">
      <c r="A4863" s="14"/>
      <c r="B4863" s="15"/>
      <c r="C4863" s="16"/>
      <c r="D4863" s="16"/>
      <c r="E4863" s="16"/>
      <c r="F4863" s="16"/>
      <c r="G4863" s="16"/>
      <c r="H4863" s="16"/>
      <c r="I4863" s="16"/>
      <c r="J4863" s="16"/>
      <c r="K4863" s="6"/>
      <c r="L4863" s="16"/>
    </row>
    <row r="4864" spans="1:12" ht="14" customHeight="1" x14ac:dyDescent="0.2">
      <c r="A4864" s="17"/>
      <c r="B4864" s="18"/>
      <c r="C4864" s="19"/>
      <c r="D4864" s="19"/>
      <c r="E4864" s="19"/>
      <c r="F4864" s="19"/>
      <c r="G4864" s="19"/>
      <c r="H4864" s="19"/>
      <c r="I4864" s="19"/>
      <c r="J4864" s="19"/>
      <c r="K4864" s="6"/>
      <c r="L4864" s="19"/>
    </row>
    <row r="4865" spans="1:12" ht="14" customHeight="1" x14ac:dyDescent="0.2">
      <c r="A4865" s="14"/>
      <c r="B4865" s="15"/>
      <c r="C4865" s="16"/>
      <c r="D4865" s="16"/>
      <c r="E4865" s="16"/>
      <c r="F4865" s="16"/>
      <c r="G4865" s="16"/>
      <c r="H4865" s="16"/>
      <c r="I4865" s="16"/>
      <c r="J4865" s="16"/>
      <c r="K4865" s="6"/>
      <c r="L4865" s="16"/>
    </row>
    <row r="4866" spans="1:12" ht="14" customHeight="1" x14ac:dyDescent="0.2">
      <c r="A4866" s="17"/>
      <c r="B4866" s="18"/>
      <c r="C4866" s="19"/>
      <c r="D4866" s="19"/>
      <c r="E4866" s="19"/>
      <c r="F4866" s="19"/>
      <c r="G4866" s="19"/>
      <c r="H4866" s="19"/>
      <c r="I4866" s="19"/>
      <c r="J4866" s="19"/>
      <c r="K4866" s="6"/>
      <c r="L4866" s="19"/>
    </row>
    <row r="4867" spans="1:12" ht="14" customHeight="1" x14ac:dyDescent="0.2">
      <c r="A4867" s="14"/>
      <c r="B4867" s="15"/>
      <c r="C4867" s="16"/>
      <c r="D4867" s="16"/>
      <c r="E4867" s="16"/>
      <c r="F4867" s="16"/>
      <c r="G4867" s="16"/>
      <c r="H4867" s="16"/>
      <c r="I4867" s="16"/>
      <c r="J4867" s="16"/>
      <c r="K4867" s="6"/>
      <c r="L4867" s="16"/>
    </row>
    <row r="4868" spans="1:12" ht="14" customHeight="1" x14ac:dyDescent="0.2">
      <c r="A4868" s="17"/>
      <c r="B4868" s="18"/>
      <c r="C4868" s="19"/>
      <c r="D4868" s="19"/>
      <c r="E4868" s="19"/>
      <c r="F4868" s="19"/>
      <c r="G4868" s="19"/>
      <c r="H4868" s="19"/>
      <c r="I4868" s="19"/>
      <c r="J4868" s="19"/>
      <c r="K4868" s="6"/>
      <c r="L4868" s="19"/>
    </row>
    <row r="4869" spans="1:12" ht="14" customHeight="1" x14ac:dyDescent="0.2">
      <c r="A4869" s="14"/>
      <c r="B4869" s="15"/>
      <c r="C4869" s="16"/>
      <c r="D4869" s="16"/>
      <c r="E4869" s="16"/>
      <c r="F4869" s="16"/>
      <c r="G4869" s="16"/>
      <c r="H4869" s="16"/>
      <c r="I4869" s="16"/>
      <c r="J4869" s="16"/>
      <c r="K4869" s="6"/>
      <c r="L4869" s="16"/>
    </row>
    <row r="4870" spans="1:12" ht="14" customHeight="1" x14ac:dyDescent="0.2">
      <c r="A4870" s="17"/>
      <c r="B4870" s="18"/>
      <c r="C4870" s="19"/>
      <c r="D4870" s="19"/>
      <c r="E4870" s="19"/>
      <c r="F4870" s="19"/>
      <c r="G4870" s="19"/>
      <c r="H4870" s="19"/>
      <c r="I4870" s="19"/>
      <c r="J4870" s="19"/>
      <c r="K4870" s="6"/>
      <c r="L4870" s="19"/>
    </row>
    <row r="4871" spans="1:12" ht="14" customHeight="1" x14ac:dyDescent="0.2">
      <c r="A4871" s="14"/>
      <c r="B4871" s="15"/>
      <c r="C4871" s="16"/>
      <c r="D4871" s="16"/>
      <c r="E4871" s="16"/>
      <c r="F4871" s="16"/>
      <c r="G4871" s="16"/>
      <c r="H4871" s="16"/>
      <c r="I4871" s="16"/>
      <c r="J4871" s="16"/>
      <c r="K4871" s="6"/>
      <c r="L4871" s="16"/>
    </row>
    <row r="4872" spans="1:12" ht="14" customHeight="1" x14ac:dyDescent="0.2">
      <c r="A4872" s="17"/>
      <c r="B4872" s="18"/>
      <c r="C4872" s="19"/>
      <c r="D4872" s="19"/>
      <c r="E4872" s="19"/>
      <c r="F4872" s="19"/>
      <c r="G4872" s="19"/>
      <c r="H4872" s="19"/>
      <c r="I4872" s="19"/>
      <c r="J4872" s="19"/>
      <c r="K4872" s="6"/>
      <c r="L4872" s="19"/>
    </row>
    <row r="4873" spans="1:12" ht="14" customHeight="1" x14ac:dyDescent="0.2">
      <c r="A4873" s="14"/>
      <c r="B4873" s="15"/>
      <c r="C4873" s="16"/>
      <c r="D4873" s="16"/>
      <c r="E4873" s="16"/>
      <c r="F4873" s="16"/>
      <c r="G4873" s="16"/>
      <c r="H4873" s="16"/>
      <c r="I4873" s="16"/>
      <c r="J4873" s="16"/>
      <c r="K4873" s="6"/>
      <c r="L4873" s="16"/>
    </row>
    <row r="4874" spans="1:12" ht="14" customHeight="1" x14ac:dyDescent="0.2">
      <c r="A4874" s="17"/>
      <c r="B4874" s="18"/>
      <c r="C4874" s="19"/>
      <c r="D4874" s="19"/>
      <c r="E4874" s="19"/>
      <c r="F4874" s="19"/>
      <c r="G4874" s="19"/>
      <c r="H4874" s="19"/>
      <c r="I4874" s="19"/>
      <c r="J4874" s="19"/>
      <c r="K4874" s="6"/>
      <c r="L4874" s="19"/>
    </row>
    <row r="4875" spans="1:12" ht="14" customHeight="1" x14ac:dyDescent="0.2">
      <c r="A4875" s="14"/>
      <c r="B4875" s="15"/>
      <c r="C4875" s="16"/>
      <c r="D4875" s="16"/>
      <c r="E4875" s="16"/>
      <c r="F4875" s="16"/>
      <c r="G4875" s="16"/>
      <c r="H4875" s="16"/>
      <c r="I4875" s="16"/>
      <c r="J4875" s="16"/>
      <c r="K4875" s="6"/>
      <c r="L4875" s="16"/>
    </row>
    <row r="4876" spans="1:12" ht="14" customHeight="1" x14ac:dyDescent="0.2">
      <c r="A4876" s="17"/>
      <c r="B4876" s="18"/>
      <c r="C4876" s="19"/>
      <c r="D4876" s="19"/>
      <c r="E4876" s="19"/>
      <c r="F4876" s="19"/>
      <c r="G4876" s="19"/>
      <c r="H4876" s="19"/>
      <c r="I4876" s="19"/>
      <c r="J4876" s="19"/>
      <c r="K4876" s="6"/>
      <c r="L4876" s="19"/>
    </row>
    <row r="4877" spans="1:12" ht="14" customHeight="1" x14ac:dyDescent="0.2">
      <c r="A4877" s="14"/>
      <c r="B4877" s="15"/>
      <c r="C4877" s="16"/>
      <c r="D4877" s="16"/>
      <c r="E4877" s="16"/>
      <c r="F4877" s="16"/>
      <c r="G4877" s="16"/>
      <c r="H4877" s="16"/>
      <c r="I4877" s="16"/>
      <c r="J4877" s="16"/>
      <c r="K4877" s="6"/>
      <c r="L4877" s="16"/>
    </row>
    <row r="4878" spans="1:12" ht="14" customHeight="1" x14ac:dyDescent="0.2">
      <c r="A4878" s="17"/>
      <c r="B4878" s="18"/>
      <c r="C4878" s="19"/>
      <c r="D4878" s="19"/>
      <c r="E4878" s="19"/>
      <c r="F4878" s="19"/>
      <c r="G4878" s="19"/>
      <c r="H4878" s="19"/>
      <c r="I4878" s="19"/>
      <c r="J4878" s="19"/>
      <c r="K4878" s="6"/>
      <c r="L4878" s="19"/>
    </row>
    <row r="4879" spans="1:12" ht="14" customHeight="1" x14ac:dyDescent="0.2">
      <c r="A4879" s="14"/>
      <c r="B4879" s="15"/>
      <c r="C4879" s="16"/>
      <c r="D4879" s="16"/>
      <c r="E4879" s="16"/>
      <c r="F4879" s="16"/>
      <c r="G4879" s="16"/>
      <c r="H4879" s="16"/>
      <c r="I4879" s="16"/>
      <c r="J4879" s="16"/>
      <c r="K4879" s="6"/>
      <c r="L4879" s="16"/>
    </row>
    <row r="4880" spans="1:12" ht="14" customHeight="1" x14ac:dyDescent="0.2">
      <c r="A4880" s="17"/>
      <c r="B4880" s="18"/>
      <c r="C4880" s="19"/>
      <c r="D4880" s="19"/>
      <c r="E4880" s="19"/>
      <c r="F4880" s="19"/>
      <c r="G4880" s="19"/>
      <c r="H4880" s="19"/>
      <c r="I4880" s="19"/>
      <c r="J4880" s="19"/>
      <c r="K4880" s="6"/>
      <c r="L4880" s="19"/>
    </row>
    <row r="4881" spans="1:12" ht="14" customHeight="1" x14ac:dyDescent="0.2">
      <c r="A4881" s="14"/>
      <c r="B4881" s="15"/>
      <c r="C4881" s="16"/>
      <c r="D4881" s="16"/>
      <c r="E4881" s="16"/>
      <c r="F4881" s="16"/>
      <c r="G4881" s="16"/>
      <c r="H4881" s="16"/>
      <c r="I4881" s="16"/>
      <c r="J4881" s="16"/>
      <c r="K4881" s="6"/>
      <c r="L4881" s="16"/>
    </row>
    <row r="4882" spans="1:12" ht="14" customHeight="1" x14ac:dyDescent="0.2">
      <c r="A4882" s="17"/>
      <c r="B4882" s="18"/>
      <c r="C4882" s="19"/>
      <c r="D4882" s="19"/>
      <c r="E4882" s="19"/>
      <c r="F4882" s="19"/>
      <c r="G4882" s="19"/>
      <c r="H4882" s="19"/>
      <c r="I4882" s="19"/>
      <c r="J4882" s="19"/>
      <c r="K4882" s="6"/>
      <c r="L4882" s="19"/>
    </row>
    <row r="4883" spans="1:12" ht="14" customHeight="1" x14ac:dyDescent="0.2">
      <c r="A4883" s="14"/>
      <c r="B4883" s="15"/>
      <c r="C4883" s="16"/>
      <c r="D4883" s="16"/>
      <c r="E4883" s="16"/>
      <c r="F4883" s="16"/>
      <c r="G4883" s="16"/>
      <c r="H4883" s="16"/>
      <c r="I4883" s="16"/>
      <c r="J4883" s="16"/>
      <c r="K4883" s="6"/>
      <c r="L4883" s="16"/>
    </row>
    <row r="4884" spans="1:12" ht="14" customHeight="1" x14ac:dyDescent="0.2">
      <c r="A4884" s="17"/>
      <c r="B4884" s="18"/>
      <c r="C4884" s="19"/>
      <c r="D4884" s="19"/>
      <c r="E4884" s="19"/>
      <c r="F4884" s="19"/>
      <c r="G4884" s="19"/>
      <c r="H4884" s="19"/>
      <c r="I4884" s="19"/>
      <c r="J4884" s="19"/>
      <c r="K4884" s="6"/>
      <c r="L4884" s="19"/>
    </row>
    <row r="4885" spans="1:12" ht="14" customHeight="1" x14ac:dyDescent="0.2">
      <c r="A4885" s="14"/>
      <c r="B4885" s="15"/>
      <c r="C4885" s="16"/>
      <c r="D4885" s="16"/>
      <c r="E4885" s="16"/>
      <c r="F4885" s="16"/>
      <c r="G4885" s="16"/>
      <c r="H4885" s="16"/>
      <c r="I4885" s="16"/>
      <c r="J4885" s="16"/>
      <c r="K4885" s="6"/>
      <c r="L4885" s="16"/>
    </row>
    <row r="4886" spans="1:12" ht="14" customHeight="1" x14ac:dyDescent="0.2">
      <c r="A4886" s="17"/>
      <c r="B4886" s="18"/>
      <c r="C4886" s="19"/>
      <c r="D4886" s="19"/>
      <c r="E4886" s="19"/>
      <c r="F4886" s="19"/>
      <c r="G4886" s="19"/>
      <c r="H4886" s="19"/>
      <c r="I4886" s="19"/>
      <c r="J4886" s="19"/>
      <c r="K4886" s="6"/>
      <c r="L4886" s="19"/>
    </row>
    <row r="4887" spans="1:12" ht="14" customHeight="1" x14ac:dyDescent="0.2">
      <c r="A4887" s="14"/>
      <c r="B4887" s="15"/>
      <c r="C4887" s="16"/>
      <c r="D4887" s="16"/>
      <c r="E4887" s="16"/>
      <c r="F4887" s="16"/>
      <c r="G4887" s="16"/>
      <c r="H4887" s="16"/>
      <c r="I4887" s="16"/>
      <c r="J4887" s="16"/>
      <c r="K4887" s="6"/>
      <c r="L4887" s="16"/>
    </row>
    <row r="4888" spans="1:12" ht="14" customHeight="1" x14ac:dyDescent="0.2">
      <c r="A4888" s="17"/>
      <c r="B4888" s="18"/>
      <c r="C4888" s="19"/>
      <c r="D4888" s="19"/>
      <c r="E4888" s="19"/>
      <c r="F4888" s="19"/>
      <c r="G4888" s="19"/>
      <c r="H4888" s="19"/>
      <c r="I4888" s="19"/>
      <c r="J4888" s="19"/>
      <c r="K4888" s="6"/>
      <c r="L4888" s="19"/>
    </row>
    <row r="4889" spans="1:12" ht="14" customHeight="1" x14ac:dyDescent="0.2">
      <c r="A4889" s="14"/>
      <c r="B4889" s="15"/>
      <c r="C4889" s="16"/>
      <c r="D4889" s="16"/>
      <c r="E4889" s="16"/>
      <c r="F4889" s="16"/>
      <c r="G4889" s="16"/>
      <c r="H4889" s="16"/>
      <c r="I4889" s="16"/>
      <c r="J4889" s="16"/>
      <c r="K4889" s="6"/>
      <c r="L4889" s="16"/>
    </row>
    <row r="4890" spans="1:12" ht="14" customHeight="1" x14ac:dyDescent="0.2">
      <c r="A4890" s="17"/>
      <c r="B4890" s="18"/>
      <c r="C4890" s="19"/>
      <c r="D4890" s="19"/>
      <c r="E4890" s="19"/>
      <c r="F4890" s="19"/>
      <c r="G4890" s="19"/>
      <c r="H4890" s="19"/>
      <c r="I4890" s="19"/>
      <c r="J4890" s="19"/>
      <c r="K4890" s="6"/>
      <c r="L4890" s="19"/>
    </row>
    <row r="4891" spans="1:12" ht="14" customHeight="1" x14ac:dyDescent="0.2">
      <c r="A4891" s="14"/>
      <c r="B4891" s="15"/>
      <c r="C4891" s="16"/>
      <c r="D4891" s="16"/>
      <c r="E4891" s="16"/>
      <c r="F4891" s="16"/>
      <c r="G4891" s="16"/>
      <c r="H4891" s="16"/>
      <c r="I4891" s="16"/>
      <c r="J4891" s="16"/>
      <c r="K4891" s="6"/>
      <c r="L4891" s="16"/>
    </row>
    <row r="4892" spans="1:12" ht="14" customHeight="1" x14ac:dyDescent="0.2">
      <c r="A4892" s="17"/>
      <c r="B4892" s="18"/>
      <c r="C4892" s="19"/>
      <c r="D4892" s="19"/>
      <c r="E4892" s="19"/>
      <c r="F4892" s="19"/>
      <c r="G4892" s="19"/>
      <c r="H4892" s="19"/>
      <c r="I4892" s="19"/>
      <c r="J4892" s="19"/>
      <c r="K4892" s="6"/>
      <c r="L4892" s="19"/>
    </row>
    <row r="4893" spans="1:12" ht="14" customHeight="1" x14ac:dyDescent="0.2">
      <c r="A4893" s="14"/>
      <c r="B4893" s="15"/>
      <c r="C4893" s="16"/>
      <c r="D4893" s="16"/>
      <c r="E4893" s="16"/>
      <c r="F4893" s="16"/>
      <c r="G4893" s="16"/>
      <c r="H4893" s="16"/>
      <c r="I4893" s="16"/>
      <c r="J4893" s="16"/>
      <c r="K4893" s="6"/>
      <c r="L4893" s="16"/>
    </row>
    <row r="4894" spans="1:12" ht="14" customHeight="1" x14ac:dyDescent="0.2">
      <c r="A4894" s="17"/>
      <c r="B4894" s="18"/>
      <c r="C4894" s="19"/>
      <c r="D4894" s="19"/>
      <c r="E4894" s="19"/>
      <c r="F4894" s="19"/>
      <c r="G4894" s="19"/>
      <c r="H4894" s="19"/>
      <c r="I4894" s="19"/>
      <c r="J4894" s="19"/>
      <c r="K4894" s="6"/>
      <c r="L4894" s="19"/>
    </row>
    <row r="4895" spans="1:12" ht="14" customHeight="1" x14ac:dyDescent="0.2">
      <c r="A4895" s="14"/>
      <c r="B4895" s="15"/>
      <c r="C4895" s="16"/>
      <c r="D4895" s="16"/>
      <c r="E4895" s="16"/>
      <c r="F4895" s="16"/>
      <c r="G4895" s="16"/>
      <c r="H4895" s="16"/>
      <c r="I4895" s="16"/>
      <c r="J4895" s="16"/>
      <c r="K4895" s="6"/>
      <c r="L4895" s="16"/>
    </row>
    <row r="4896" spans="1:12" ht="14" customHeight="1" x14ac:dyDescent="0.2">
      <c r="A4896" s="17"/>
      <c r="B4896" s="18"/>
      <c r="C4896" s="19"/>
      <c r="D4896" s="19"/>
      <c r="E4896" s="19"/>
      <c r="F4896" s="19"/>
      <c r="G4896" s="19"/>
      <c r="H4896" s="19"/>
      <c r="I4896" s="19"/>
      <c r="J4896" s="19"/>
      <c r="K4896" s="6"/>
      <c r="L4896" s="19"/>
    </row>
    <row r="4897" spans="1:12" ht="14" customHeight="1" x14ac:dyDescent="0.2">
      <c r="A4897" s="14"/>
      <c r="B4897" s="15"/>
      <c r="C4897" s="16"/>
      <c r="D4897" s="16"/>
      <c r="E4897" s="16"/>
      <c r="F4897" s="16"/>
      <c r="G4897" s="16"/>
      <c r="H4897" s="16"/>
      <c r="I4897" s="16"/>
      <c r="J4897" s="16"/>
      <c r="K4897" s="6"/>
      <c r="L4897" s="16"/>
    </row>
    <row r="4898" spans="1:12" ht="14" customHeight="1" x14ac:dyDescent="0.2">
      <c r="A4898" s="17"/>
      <c r="B4898" s="18"/>
      <c r="C4898" s="19"/>
      <c r="D4898" s="19"/>
      <c r="E4898" s="19"/>
      <c r="F4898" s="19"/>
      <c r="G4898" s="19"/>
      <c r="H4898" s="19"/>
      <c r="I4898" s="19"/>
      <c r="J4898" s="19"/>
      <c r="K4898" s="6"/>
      <c r="L4898" s="19"/>
    </row>
    <row r="4899" spans="1:12" ht="14" customHeight="1" x14ac:dyDescent="0.2">
      <c r="A4899" s="14"/>
      <c r="B4899" s="15"/>
      <c r="C4899" s="16"/>
      <c r="D4899" s="16"/>
      <c r="E4899" s="16"/>
      <c r="F4899" s="16"/>
      <c r="G4899" s="16"/>
      <c r="H4899" s="16"/>
      <c r="I4899" s="16"/>
      <c r="J4899" s="16"/>
      <c r="K4899" s="6"/>
      <c r="L4899" s="16"/>
    </row>
    <row r="4900" spans="1:12" ht="14" customHeight="1" x14ac:dyDescent="0.2">
      <c r="A4900" s="17"/>
      <c r="B4900" s="18"/>
      <c r="C4900" s="19"/>
      <c r="D4900" s="19"/>
      <c r="E4900" s="19"/>
      <c r="F4900" s="19"/>
      <c r="G4900" s="19"/>
      <c r="H4900" s="19"/>
      <c r="I4900" s="19"/>
      <c r="J4900" s="19"/>
      <c r="K4900" s="6"/>
      <c r="L4900" s="19"/>
    </row>
    <row r="4901" spans="1:12" ht="14" customHeight="1" x14ac:dyDescent="0.2">
      <c r="A4901" s="14"/>
      <c r="B4901" s="15"/>
      <c r="C4901" s="16"/>
      <c r="D4901" s="16"/>
      <c r="E4901" s="16"/>
      <c r="F4901" s="16"/>
      <c r="G4901" s="16"/>
      <c r="H4901" s="16"/>
      <c r="I4901" s="16"/>
      <c r="J4901" s="16"/>
      <c r="K4901" s="6"/>
      <c r="L4901" s="16"/>
    </row>
    <row r="4902" spans="1:12" ht="14" customHeight="1" x14ac:dyDescent="0.2">
      <c r="A4902" s="17"/>
      <c r="B4902" s="18"/>
      <c r="C4902" s="19"/>
      <c r="D4902" s="19"/>
      <c r="E4902" s="19"/>
      <c r="F4902" s="19"/>
      <c r="G4902" s="19"/>
      <c r="H4902" s="19"/>
      <c r="I4902" s="19"/>
      <c r="J4902" s="19"/>
      <c r="K4902" s="6"/>
      <c r="L4902" s="19"/>
    </row>
    <row r="4903" spans="1:12" ht="14" customHeight="1" x14ac:dyDescent="0.2">
      <c r="A4903" s="14"/>
      <c r="B4903" s="15"/>
      <c r="C4903" s="16"/>
      <c r="D4903" s="16"/>
      <c r="E4903" s="16"/>
      <c r="F4903" s="16"/>
      <c r="G4903" s="16"/>
      <c r="H4903" s="16"/>
      <c r="I4903" s="16"/>
      <c r="J4903" s="16"/>
      <c r="K4903" s="6"/>
      <c r="L4903" s="16"/>
    </row>
    <row r="4904" spans="1:12" ht="14" customHeight="1" x14ac:dyDescent="0.2">
      <c r="A4904" s="17"/>
      <c r="B4904" s="18"/>
      <c r="C4904" s="19"/>
      <c r="D4904" s="19"/>
      <c r="E4904" s="19"/>
      <c r="F4904" s="19"/>
      <c r="G4904" s="19"/>
      <c r="H4904" s="19"/>
      <c r="I4904" s="19"/>
      <c r="J4904" s="19"/>
      <c r="K4904" s="6"/>
      <c r="L4904" s="19"/>
    </row>
    <row r="4905" spans="1:12" ht="14" customHeight="1" x14ac:dyDescent="0.2">
      <c r="A4905" s="14"/>
      <c r="B4905" s="15"/>
      <c r="C4905" s="16"/>
      <c r="D4905" s="16"/>
      <c r="E4905" s="16"/>
      <c r="F4905" s="16"/>
      <c r="G4905" s="16"/>
      <c r="H4905" s="16"/>
      <c r="I4905" s="16"/>
      <c r="J4905" s="16"/>
      <c r="K4905" s="6"/>
      <c r="L4905" s="16"/>
    </row>
    <row r="4906" spans="1:12" ht="14" customHeight="1" x14ac:dyDescent="0.2">
      <c r="A4906" s="17"/>
      <c r="B4906" s="18"/>
      <c r="C4906" s="19"/>
      <c r="D4906" s="19"/>
      <c r="E4906" s="19"/>
      <c r="F4906" s="19"/>
      <c r="G4906" s="19"/>
      <c r="H4906" s="19"/>
      <c r="I4906" s="19"/>
      <c r="J4906" s="19"/>
      <c r="K4906" s="6"/>
      <c r="L4906" s="19"/>
    </row>
    <row r="4907" spans="1:12" ht="14" customHeight="1" x14ac:dyDescent="0.2">
      <c r="A4907" s="14"/>
      <c r="B4907" s="15"/>
      <c r="C4907" s="16"/>
      <c r="D4907" s="16"/>
      <c r="E4907" s="16"/>
      <c r="F4907" s="16"/>
      <c r="G4907" s="16"/>
      <c r="H4907" s="16"/>
      <c r="I4907" s="16"/>
      <c r="J4907" s="16"/>
      <c r="K4907" s="6"/>
      <c r="L4907" s="16"/>
    </row>
    <row r="4908" spans="1:12" ht="14" customHeight="1" x14ac:dyDescent="0.2">
      <c r="A4908" s="17"/>
      <c r="B4908" s="18"/>
      <c r="C4908" s="19"/>
      <c r="D4908" s="19"/>
      <c r="E4908" s="19"/>
      <c r="F4908" s="19"/>
      <c r="G4908" s="19"/>
      <c r="H4908" s="19"/>
      <c r="I4908" s="19"/>
      <c r="J4908" s="19"/>
      <c r="K4908" s="6"/>
      <c r="L4908" s="19"/>
    </row>
    <row r="4909" spans="1:12" ht="14" customHeight="1" x14ac:dyDescent="0.2">
      <c r="A4909" s="14"/>
      <c r="B4909" s="15"/>
      <c r="C4909" s="16"/>
      <c r="D4909" s="16"/>
      <c r="E4909" s="16"/>
      <c r="F4909" s="16"/>
      <c r="G4909" s="16"/>
      <c r="H4909" s="16"/>
      <c r="I4909" s="16"/>
      <c r="J4909" s="16"/>
      <c r="K4909" s="6"/>
      <c r="L4909" s="16"/>
    </row>
    <row r="4910" spans="1:12" ht="14" customHeight="1" x14ac:dyDescent="0.2">
      <c r="A4910" s="17"/>
      <c r="B4910" s="18"/>
      <c r="C4910" s="19"/>
      <c r="D4910" s="19"/>
      <c r="E4910" s="19"/>
      <c r="F4910" s="19"/>
      <c r="G4910" s="19"/>
      <c r="H4910" s="19"/>
      <c r="I4910" s="19"/>
      <c r="J4910" s="19"/>
      <c r="K4910" s="6"/>
      <c r="L4910" s="19"/>
    </row>
    <row r="4911" spans="1:12" ht="14" customHeight="1" x14ac:dyDescent="0.2">
      <c r="A4911" s="14"/>
      <c r="B4911" s="15"/>
      <c r="C4911" s="16"/>
      <c r="D4911" s="16"/>
      <c r="E4911" s="16"/>
      <c r="F4911" s="16"/>
      <c r="G4911" s="16"/>
      <c r="H4911" s="16"/>
      <c r="I4911" s="16"/>
      <c r="J4911" s="16"/>
      <c r="K4911" s="6"/>
      <c r="L4911" s="16"/>
    </row>
    <row r="4912" spans="1:12" ht="14" customHeight="1" x14ac:dyDescent="0.2">
      <c r="A4912" s="17"/>
      <c r="B4912" s="18"/>
      <c r="C4912" s="19"/>
      <c r="D4912" s="19"/>
      <c r="E4912" s="19"/>
      <c r="F4912" s="19"/>
      <c r="G4912" s="19"/>
      <c r="H4912" s="19"/>
      <c r="I4912" s="19"/>
      <c r="J4912" s="19"/>
      <c r="K4912" s="6"/>
      <c r="L4912" s="19"/>
    </row>
    <row r="4913" spans="1:12" ht="14" customHeight="1" x14ac:dyDescent="0.2">
      <c r="A4913" s="14"/>
      <c r="B4913" s="15"/>
      <c r="C4913" s="16"/>
      <c r="D4913" s="16"/>
      <c r="E4913" s="16"/>
      <c r="F4913" s="16"/>
      <c r="G4913" s="16"/>
      <c r="H4913" s="16"/>
      <c r="I4913" s="16"/>
      <c r="J4913" s="16"/>
      <c r="K4913" s="6"/>
      <c r="L4913" s="16"/>
    </row>
    <row r="4914" spans="1:12" ht="14" customHeight="1" x14ac:dyDescent="0.2">
      <c r="A4914" s="17"/>
      <c r="B4914" s="18"/>
      <c r="C4914" s="19"/>
      <c r="D4914" s="19"/>
      <c r="E4914" s="19"/>
      <c r="F4914" s="19"/>
      <c r="G4914" s="19"/>
      <c r="H4914" s="19"/>
      <c r="I4914" s="19"/>
      <c r="J4914" s="19"/>
      <c r="K4914" s="6"/>
      <c r="L4914" s="19"/>
    </row>
    <row r="4915" spans="1:12" ht="14" customHeight="1" x14ac:dyDescent="0.2">
      <c r="A4915" s="14"/>
      <c r="B4915" s="15"/>
      <c r="C4915" s="16"/>
      <c r="D4915" s="16"/>
      <c r="E4915" s="16"/>
      <c r="F4915" s="16"/>
      <c r="G4915" s="16"/>
      <c r="H4915" s="16"/>
      <c r="I4915" s="16"/>
      <c r="J4915" s="16"/>
      <c r="K4915" s="6"/>
      <c r="L4915" s="16"/>
    </row>
    <row r="4916" spans="1:12" ht="14" customHeight="1" x14ac:dyDescent="0.2">
      <c r="A4916" s="17"/>
      <c r="B4916" s="18"/>
      <c r="C4916" s="19"/>
      <c r="D4916" s="19"/>
      <c r="E4916" s="19"/>
      <c r="F4916" s="19"/>
      <c r="G4916" s="19"/>
      <c r="H4916" s="19"/>
      <c r="I4916" s="19"/>
      <c r="J4916" s="19"/>
      <c r="K4916" s="6"/>
      <c r="L4916" s="19"/>
    </row>
    <row r="4917" spans="1:12" ht="14" customHeight="1" x14ac:dyDescent="0.2">
      <c r="A4917" s="14"/>
      <c r="B4917" s="15"/>
      <c r="C4917" s="16"/>
      <c r="D4917" s="16"/>
      <c r="E4917" s="16"/>
      <c r="F4917" s="16"/>
      <c r="G4917" s="16"/>
      <c r="H4917" s="16"/>
      <c r="I4917" s="16"/>
      <c r="J4917" s="16"/>
      <c r="K4917" s="6"/>
      <c r="L4917" s="16"/>
    </row>
    <row r="4918" spans="1:12" ht="14" customHeight="1" x14ac:dyDescent="0.2">
      <c r="A4918" s="17"/>
      <c r="B4918" s="18"/>
      <c r="C4918" s="19"/>
      <c r="D4918" s="19"/>
      <c r="E4918" s="19"/>
      <c r="F4918" s="19"/>
      <c r="G4918" s="19"/>
      <c r="H4918" s="19"/>
      <c r="I4918" s="19"/>
      <c r="J4918" s="19"/>
      <c r="K4918" s="6"/>
      <c r="L4918" s="19"/>
    </row>
    <row r="4919" spans="1:12" ht="14" customHeight="1" x14ac:dyDescent="0.2">
      <c r="A4919" s="14"/>
      <c r="B4919" s="15"/>
      <c r="C4919" s="16"/>
      <c r="D4919" s="16"/>
      <c r="E4919" s="16"/>
      <c r="F4919" s="16"/>
      <c r="G4919" s="16"/>
      <c r="H4919" s="16"/>
      <c r="I4919" s="16"/>
      <c r="J4919" s="16"/>
      <c r="K4919" s="6"/>
      <c r="L4919" s="16"/>
    </row>
    <row r="4920" spans="1:12" ht="14" customHeight="1" x14ac:dyDescent="0.2">
      <c r="A4920" s="17"/>
      <c r="B4920" s="18"/>
      <c r="C4920" s="19"/>
      <c r="D4920" s="19"/>
      <c r="E4920" s="19"/>
      <c r="F4920" s="19"/>
      <c r="G4920" s="19"/>
      <c r="H4920" s="19"/>
      <c r="I4920" s="19"/>
      <c r="J4920" s="19"/>
      <c r="K4920" s="6"/>
      <c r="L4920" s="19"/>
    </row>
    <row r="4921" spans="1:12" ht="14" customHeight="1" x14ac:dyDescent="0.2">
      <c r="A4921" s="14"/>
      <c r="B4921" s="15"/>
      <c r="C4921" s="16"/>
      <c r="D4921" s="16"/>
      <c r="E4921" s="16"/>
      <c r="F4921" s="16"/>
      <c r="G4921" s="16"/>
      <c r="H4921" s="16"/>
      <c r="I4921" s="16"/>
      <c r="J4921" s="16"/>
      <c r="K4921" s="6"/>
      <c r="L4921" s="16"/>
    </row>
    <row r="4922" spans="1:12" ht="14" customHeight="1" x14ac:dyDescent="0.2">
      <c r="A4922" s="17"/>
      <c r="B4922" s="18"/>
      <c r="C4922" s="19"/>
      <c r="D4922" s="19"/>
      <c r="E4922" s="19"/>
      <c r="F4922" s="19"/>
      <c r="G4922" s="19"/>
      <c r="H4922" s="19"/>
      <c r="I4922" s="19"/>
      <c r="J4922" s="19"/>
      <c r="K4922" s="6"/>
      <c r="L4922" s="19"/>
    </row>
    <row r="4923" spans="1:12" ht="14" customHeight="1" x14ac:dyDescent="0.2">
      <c r="A4923" s="14"/>
      <c r="B4923" s="15"/>
      <c r="C4923" s="16"/>
      <c r="D4923" s="16"/>
      <c r="E4923" s="16"/>
      <c r="F4923" s="16"/>
      <c r="G4923" s="16"/>
      <c r="H4923" s="16"/>
      <c r="I4923" s="16"/>
      <c r="J4923" s="16"/>
      <c r="K4923" s="6"/>
      <c r="L4923" s="16"/>
    </row>
    <row r="4924" spans="1:12" ht="14" customHeight="1" x14ac:dyDescent="0.2">
      <c r="A4924" s="17"/>
      <c r="B4924" s="18"/>
      <c r="C4924" s="19"/>
      <c r="D4924" s="19"/>
      <c r="E4924" s="19"/>
      <c r="F4924" s="19"/>
      <c r="G4924" s="19"/>
      <c r="H4924" s="19"/>
      <c r="I4924" s="19"/>
      <c r="J4924" s="19"/>
      <c r="K4924" s="6"/>
      <c r="L4924" s="19"/>
    </row>
    <row r="4925" spans="1:12" ht="14" customHeight="1" x14ac:dyDescent="0.2">
      <c r="A4925" s="14"/>
      <c r="B4925" s="15"/>
      <c r="C4925" s="16"/>
      <c r="D4925" s="16"/>
      <c r="E4925" s="16"/>
      <c r="F4925" s="16"/>
      <c r="G4925" s="16"/>
      <c r="H4925" s="16"/>
      <c r="I4925" s="16"/>
      <c r="J4925" s="16"/>
      <c r="K4925" s="6"/>
      <c r="L4925" s="16"/>
    </row>
    <row r="4926" spans="1:12" ht="14" customHeight="1" x14ac:dyDescent="0.2">
      <c r="A4926" s="17"/>
      <c r="B4926" s="18"/>
      <c r="C4926" s="19"/>
      <c r="D4926" s="19"/>
      <c r="E4926" s="19"/>
      <c r="F4926" s="19"/>
      <c r="G4926" s="19"/>
      <c r="H4926" s="19"/>
      <c r="I4926" s="19"/>
      <c r="J4926" s="19"/>
      <c r="K4926" s="6"/>
      <c r="L4926" s="19"/>
    </row>
    <row r="4927" spans="1:12" ht="14" customHeight="1" x14ac:dyDescent="0.2">
      <c r="A4927" s="14"/>
      <c r="B4927" s="15"/>
      <c r="C4927" s="16"/>
      <c r="D4927" s="16"/>
      <c r="E4927" s="16"/>
      <c r="F4927" s="16"/>
      <c r="G4927" s="16"/>
      <c r="H4927" s="16"/>
      <c r="I4927" s="16"/>
      <c r="J4927" s="16"/>
      <c r="K4927" s="6"/>
      <c r="L4927" s="16"/>
    </row>
    <row r="4928" spans="1:12" ht="14" customHeight="1" x14ac:dyDescent="0.2">
      <c r="A4928" s="17"/>
      <c r="B4928" s="18"/>
      <c r="C4928" s="19"/>
      <c r="D4928" s="19"/>
      <c r="E4928" s="19"/>
      <c r="F4928" s="19"/>
      <c r="G4928" s="19"/>
      <c r="H4928" s="19"/>
      <c r="I4928" s="19"/>
      <c r="J4928" s="19"/>
      <c r="K4928" s="6"/>
      <c r="L4928" s="19"/>
    </row>
    <row r="4929" spans="1:12" ht="14" customHeight="1" x14ac:dyDescent="0.2">
      <c r="A4929" s="14"/>
      <c r="B4929" s="15"/>
      <c r="C4929" s="16"/>
      <c r="D4929" s="16"/>
      <c r="E4929" s="16"/>
      <c r="F4929" s="16"/>
      <c r="G4929" s="16"/>
      <c r="H4929" s="16"/>
      <c r="I4929" s="16"/>
      <c r="J4929" s="16"/>
      <c r="K4929" s="6"/>
      <c r="L4929" s="16"/>
    </row>
    <row r="4930" spans="1:12" ht="14" customHeight="1" x14ac:dyDescent="0.2">
      <c r="A4930" s="17"/>
      <c r="B4930" s="18"/>
      <c r="C4930" s="19"/>
      <c r="D4930" s="19"/>
      <c r="E4930" s="19"/>
      <c r="F4930" s="19"/>
      <c r="G4930" s="19"/>
      <c r="H4930" s="19"/>
      <c r="I4930" s="19"/>
      <c r="J4930" s="19"/>
      <c r="K4930" s="6"/>
      <c r="L4930" s="19"/>
    </row>
    <row r="4931" spans="1:12" ht="14" customHeight="1" x14ac:dyDescent="0.2">
      <c r="A4931" s="14"/>
      <c r="B4931" s="15"/>
      <c r="C4931" s="16"/>
      <c r="D4931" s="16"/>
      <c r="E4931" s="16"/>
      <c r="F4931" s="16"/>
      <c r="G4931" s="16"/>
      <c r="H4931" s="16"/>
      <c r="I4931" s="16"/>
      <c r="J4931" s="16"/>
      <c r="K4931" s="6"/>
      <c r="L4931" s="16"/>
    </row>
    <row r="4932" spans="1:12" ht="14" customHeight="1" x14ac:dyDescent="0.2">
      <c r="A4932" s="17"/>
      <c r="B4932" s="18"/>
      <c r="C4932" s="19"/>
      <c r="D4932" s="19"/>
      <c r="E4932" s="19"/>
      <c r="F4932" s="19"/>
      <c r="G4932" s="19"/>
      <c r="H4932" s="19"/>
      <c r="I4932" s="19"/>
      <c r="J4932" s="19"/>
      <c r="K4932" s="6"/>
      <c r="L4932" s="19"/>
    </row>
    <row r="4933" spans="1:12" ht="14" customHeight="1" x14ac:dyDescent="0.2">
      <c r="A4933" s="14"/>
      <c r="B4933" s="15"/>
      <c r="C4933" s="16"/>
      <c r="D4933" s="16"/>
      <c r="E4933" s="16"/>
      <c r="F4933" s="16"/>
      <c r="G4933" s="16"/>
      <c r="H4933" s="16"/>
      <c r="I4933" s="16"/>
      <c r="J4933" s="16"/>
      <c r="K4933" s="6"/>
      <c r="L4933" s="16"/>
    </row>
    <row r="4934" spans="1:12" ht="14" customHeight="1" x14ac:dyDescent="0.2">
      <c r="A4934" s="17"/>
      <c r="B4934" s="18"/>
      <c r="C4934" s="19"/>
      <c r="D4934" s="19"/>
      <c r="E4934" s="19"/>
      <c r="F4934" s="19"/>
      <c r="G4934" s="19"/>
      <c r="H4934" s="19"/>
      <c r="I4934" s="19"/>
      <c r="J4934" s="19"/>
      <c r="K4934" s="6"/>
      <c r="L4934" s="19"/>
    </row>
    <row r="4935" spans="1:12" ht="14" customHeight="1" x14ac:dyDescent="0.2">
      <c r="A4935" s="14"/>
      <c r="B4935" s="15"/>
      <c r="C4935" s="16"/>
      <c r="D4935" s="16"/>
      <c r="E4935" s="16"/>
      <c r="F4935" s="16"/>
      <c r="G4935" s="16"/>
      <c r="H4935" s="16"/>
      <c r="I4935" s="16"/>
      <c r="J4935" s="16"/>
      <c r="K4935" s="6"/>
      <c r="L4935" s="16"/>
    </row>
    <row r="4936" spans="1:12" ht="14" customHeight="1" x14ac:dyDescent="0.2">
      <c r="A4936" s="17"/>
      <c r="B4936" s="18"/>
      <c r="C4936" s="19"/>
      <c r="D4936" s="19"/>
      <c r="E4936" s="19"/>
      <c r="F4936" s="19"/>
      <c r="G4936" s="19"/>
      <c r="H4936" s="19"/>
      <c r="I4936" s="19"/>
      <c r="J4936" s="19"/>
      <c r="K4936" s="6"/>
      <c r="L4936" s="19"/>
    </row>
    <row r="4937" spans="1:12" ht="14" customHeight="1" x14ac:dyDescent="0.2">
      <c r="A4937" s="14"/>
      <c r="B4937" s="15"/>
      <c r="C4937" s="16"/>
      <c r="D4937" s="16"/>
      <c r="E4937" s="16"/>
      <c r="F4937" s="16"/>
      <c r="G4937" s="16"/>
      <c r="H4937" s="16"/>
      <c r="I4937" s="16"/>
      <c r="J4937" s="16"/>
      <c r="K4937" s="6"/>
      <c r="L4937" s="16"/>
    </row>
    <row r="4938" spans="1:12" ht="14" customHeight="1" x14ac:dyDescent="0.2">
      <c r="A4938" s="17"/>
      <c r="B4938" s="18"/>
      <c r="C4938" s="19"/>
      <c r="D4938" s="19"/>
      <c r="E4938" s="19"/>
      <c r="F4938" s="19"/>
      <c r="G4938" s="19"/>
      <c r="H4938" s="19"/>
      <c r="I4938" s="19"/>
      <c r="J4938" s="19"/>
      <c r="K4938" s="6"/>
      <c r="L4938" s="19"/>
    </row>
    <row r="4939" spans="1:12" ht="14" customHeight="1" x14ac:dyDescent="0.2">
      <c r="A4939" s="14"/>
      <c r="B4939" s="15"/>
      <c r="C4939" s="16"/>
      <c r="D4939" s="16"/>
      <c r="E4939" s="16"/>
      <c r="F4939" s="16"/>
      <c r="G4939" s="16"/>
      <c r="H4939" s="16"/>
      <c r="I4939" s="16"/>
      <c r="J4939" s="16"/>
      <c r="K4939" s="6"/>
      <c r="L4939" s="16"/>
    </row>
    <row r="4940" spans="1:12" ht="14" customHeight="1" x14ac:dyDescent="0.2">
      <c r="A4940" s="17"/>
      <c r="B4940" s="18"/>
      <c r="C4940" s="19"/>
      <c r="D4940" s="19"/>
      <c r="E4940" s="19"/>
      <c r="F4940" s="19"/>
      <c r="G4940" s="19"/>
      <c r="H4940" s="19"/>
      <c r="I4940" s="19"/>
      <c r="J4940" s="19"/>
      <c r="K4940" s="6"/>
      <c r="L4940" s="19"/>
    </row>
    <row r="4941" spans="1:12" ht="14" customHeight="1" x14ac:dyDescent="0.2">
      <c r="A4941" s="14"/>
      <c r="B4941" s="15"/>
      <c r="C4941" s="16"/>
      <c r="D4941" s="16"/>
      <c r="E4941" s="16"/>
      <c r="F4941" s="16"/>
      <c r="G4941" s="16"/>
      <c r="H4941" s="16"/>
      <c r="I4941" s="16"/>
      <c r="J4941" s="16"/>
      <c r="K4941" s="6"/>
      <c r="L4941" s="16"/>
    </row>
    <row r="4942" spans="1:12" ht="14" customHeight="1" x14ac:dyDescent="0.2">
      <c r="A4942" s="17"/>
      <c r="B4942" s="18"/>
      <c r="C4942" s="19"/>
      <c r="D4942" s="19"/>
      <c r="E4942" s="19"/>
      <c r="F4942" s="19"/>
      <c r="G4942" s="19"/>
      <c r="H4942" s="19"/>
      <c r="I4942" s="19"/>
      <c r="J4942" s="19"/>
      <c r="K4942" s="6"/>
      <c r="L4942" s="19"/>
    </row>
    <row r="4943" spans="1:12" ht="14" customHeight="1" x14ac:dyDescent="0.2">
      <c r="A4943" s="14"/>
      <c r="B4943" s="15"/>
      <c r="C4943" s="16"/>
      <c r="D4943" s="16"/>
      <c r="E4943" s="16"/>
      <c r="F4943" s="16"/>
      <c r="G4943" s="16"/>
      <c r="H4943" s="16"/>
      <c r="I4943" s="16"/>
      <c r="J4943" s="16"/>
      <c r="K4943" s="6"/>
      <c r="L4943" s="16"/>
    </row>
    <row r="4944" spans="1:12" ht="14" customHeight="1" x14ac:dyDescent="0.2">
      <c r="A4944" s="17"/>
      <c r="B4944" s="18"/>
      <c r="C4944" s="19"/>
      <c r="D4944" s="19"/>
      <c r="E4944" s="19"/>
      <c r="F4944" s="19"/>
      <c r="G4944" s="19"/>
      <c r="H4944" s="19"/>
      <c r="I4944" s="19"/>
      <c r="J4944" s="19"/>
      <c r="K4944" s="6"/>
      <c r="L4944" s="19"/>
    </row>
    <row r="4945" spans="1:12" ht="14" customHeight="1" x14ac:dyDescent="0.2">
      <c r="A4945" s="14"/>
      <c r="B4945" s="15"/>
      <c r="C4945" s="16"/>
      <c r="D4945" s="16"/>
      <c r="E4945" s="16"/>
      <c r="F4945" s="16"/>
      <c r="G4945" s="16"/>
      <c r="H4945" s="16"/>
      <c r="I4945" s="16"/>
      <c r="J4945" s="16"/>
      <c r="K4945" s="6"/>
      <c r="L4945" s="16"/>
    </row>
    <row r="4946" spans="1:12" ht="14" customHeight="1" x14ac:dyDescent="0.2">
      <c r="A4946" s="17"/>
      <c r="B4946" s="18"/>
      <c r="C4946" s="19"/>
      <c r="D4946" s="19"/>
      <c r="E4946" s="19"/>
      <c r="F4946" s="19"/>
      <c r="G4946" s="19"/>
      <c r="H4946" s="19"/>
      <c r="I4946" s="19"/>
      <c r="J4946" s="19"/>
      <c r="K4946" s="6"/>
      <c r="L4946" s="19"/>
    </row>
    <row r="4947" spans="1:12" ht="14" customHeight="1" x14ac:dyDescent="0.2">
      <c r="A4947" s="14"/>
      <c r="B4947" s="15"/>
      <c r="C4947" s="16"/>
      <c r="D4947" s="16"/>
      <c r="E4947" s="16"/>
      <c r="F4947" s="16"/>
      <c r="G4947" s="16"/>
      <c r="H4947" s="16"/>
      <c r="I4947" s="16"/>
      <c r="J4947" s="16"/>
      <c r="K4947" s="6"/>
      <c r="L4947" s="16"/>
    </row>
    <row r="4948" spans="1:12" ht="14" customHeight="1" x14ac:dyDescent="0.2">
      <c r="A4948" s="17"/>
      <c r="B4948" s="18"/>
      <c r="C4948" s="19"/>
      <c r="D4948" s="19"/>
      <c r="E4948" s="19"/>
      <c r="F4948" s="19"/>
      <c r="G4948" s="19"/>
      <c r="H4948" s="19"/>
      <c r="I4948" s="19"/>
      <c r="J4948" s="19"/>
      <c r="K4948" s="6"/>
      <c r="L4948" s="19"/>
    </row>
    <row r="4949" spans="1:12" ht="14" customHeight="1" x14ac:dyDescent="0.2">
      <c r="A4949" s="14"/>
      <c r="B4949" s="15"/>
      <c r="C4949" s="16"/>
      <c r="D4949" s="16"/>
      <c r="E4949" s="16"/>
      <c r="F4949" s="16"/>
      <c r="G4949" s="16"/>
      <c r="H4949" s="16"/>
      <c r="I4949" s="16"/>
      <c r="J4949" s="16"/>
      <c r="K4949" s="6"/>
      <c r="L4949" s="16"/>
    </row>
    <row r="4950" spans="1:12" ht="14" customHeight="1" x14ac:dyDescent="0.2">
      <c r="A4950" s="17"/>
      <c r="B4950" s="18"/>
      <c r="C4950" s="19"/>
      <c r="D4950" s="19"/>
      <c r="E4950" s="19"/>
      <c r="F4950" s="19"/>
      <c r="G4950" s="19"/>
      <c r="H4950" s="19"/>
      <c r="I4950" s="19"/>
      <c r="J4950" s="19"/>
      <c r="K4950" s="6"/>
      <c r="L4950" s="19"/>
    </row>
    <row r="4951" spans="1:12" ht="14" customHeight="1" x14ac:dyDescent="0.2">
      <c r="A4951" s="14"/>
      <c r="B4951" s="15"/>
      <c r="C4951" s="16"/>
      <c r="D4951" s="16"/>
      <c r="E4951" s="16"/>
      <c r="F4951" s="16"/>
      <c r="G4951" s="16"/>
      <c r="H4951" s="16"/>
      <c r="I4951" s="16"/>
      <c r="J4951" s="16"/>
      <c r="K4951" s="6"/>
      <c r="L4951" s="16"/>
    </row>
    <row r="4952" spans="1:12" ht="14" customHeight="1" x14ac:dyDescent="0.2">
      <c r="A4952" s="17"/>
      <c r="B4952" s="18"/>
      <c r="C4952" s="19"/>
      <c r="D4952" s="19"/>
      <c r="E4952" s="19"/>
      <c r="F4952" s="19"/>
      <c r="G4952" s="19"/>
      <c r="H4952" s="19"/>
      <c r="I4952" s="19"/>
      <c r="J4952" s="19"/>
      <c r="K4952" s="6"/>
      <c r="L4952" s="19"/>
    </row>
    <row r="4953" spans="1:12" ht="14" customHeight="1" x14ac:dyDescent="0.2">
      <c r="A4953" s="14"/>
      <c r="B4953" s="15"/>
      <c r="C4953" s="16"/>
      <c r="D4953" s="16"/>
      <c r="E4953" s="16"/>
      <c r="F4953" s="16"/>
      <c r="G4953" s="16"/>
      <c r="H4953" s="16"/>
      <c r="I4953" s="16"/>
      <c r="J4953" s="16"/>
      <c r="K4953" s="6"/>
      <c r="L4953" s="16"/>
    </row>
    <row r="4954" spans="1:12" ht="14" customHeight="1" x14ac:dyDescent="0.2">
      <c r="A4954" s="17"/>
      <c r="B4954" s="18"/>
      <c r="C4954" s="19"/>
      <c r="D4954" s="19"/>
      <c r="E4954" s="19"/>
      <c r="F4954" s="19"/>
      <c r="G4954" s="19"/>
      <c r="H4954" s="19"/>
      <c r="I4954" s="19"/>
      <c r="J4954" s="19"/>
      <c r="K4954" s="6"/>
      <c r="L4954" s="19"/>
    </row>
    <row r="4955" spans="1:12" ht="14" customHeight="1" x14ac:dyDescent="0.2">
      <c r="A4955" s="14"/>
      <c r="B4955" s="15"/>
      <c r="C4955" s="16"/>
      <c r="D4955" s="16"/>
      <c r="E4955" s="16"/>
      <c r="F4955" s="16"/>
      <c r="G4955" s="16"/>
      <c r="H4955" s="16"/>
      <c r="I4955" s="16"/>
      <c r="J4955" s="16"/>
      <c r="K4955" s="6"/>
      <c r="L4955" s="16"/>
    </row>
    <row r="4956" spans="1:12" ht="14" customHeight="1" x14ac:dyDescent="0.2">
      <c r="A4956" s="17"/>
      <c r="B4956" s="18"/>
      <c r="C4956" s="19"/>
      <c r="D4956" s="19"/>
      <c r="E4956" s="19"/>
      <c r="F4956" s="19"/>
      <c r="G4956" s="19"/>
      <c r="H4956" s="19"/>
      <c r="I4956" s="19"/>
      <c r="J4956" s="19"/>
      <c r="K4956" s="6"/>
      <c r="L4956" s="19"/>
    </row>
    <row r="4957" spans="1:12" ht="14" customHeight="1" x14ac:dyDescent="0.2">
      <c r="A4957" s="14"/>
      <c r="B4957" s="15"/>
      <c r="C4957" s="16"/>
      <c r="D4957" s="16"/>
      <c r="E4957" s="16"/>
      <c r="F4957" s="16"/>
      <c r="G4957" s="16"/>
      <c r="H4957" s="16"/>
      <c r="I4957" s="16"/>
      <c r="J4957" s="16"/>
      <c r="K4957" s="6"/>
      <c r="L4957" s="16"/>
    </row>
    <row r="4958" spans="1:12" ht="14" customHeight="1" x14ac:dyDescent="0.2">
      <c r="A4958" s="17"/>
      <c r="B4958" s="18"/>
      <c r="C4958" s="19"/>
      <c r="D4958" s="19"/>
      <c r="E4958" s="19"/>
      <c r="F4958" s="19"/>
      <c r="G4958" s="19"/>
      <c r="H4958" s="19"/>
      <c r="I4958" s="19"/>
      <c r="J4958" s="19"/>
      <c r="K4958" s="6"/>
      <c r="L4958" s="19"/>
    </row>
    <row r="4959" spans="1:12" ht="14" customHeight="1" x14ac:dyDescent="0.2">
      <c r="A4959" s="14"/>
      <c r="B4959" s="15"/>
      <c r="C4959" s="16"/>
      <c r="D4959" s="16"/>
      <c r="E4959" s="16"/>
      <c r="F4959" s="16"/>
      <c r="G4959" s="16"/>
      <c r="H4959" s="16"/>
      <c r="I4959" s="16"/>
      <c r="J4959" s="16"/>
      <c r="K4959" s="6"/>
      <c r="L4959" s="16"/>
    </row>
    <row r="4960" spans="1:12" ht="14" customHeight="1" x14ac:dyDescent="0.2">
      <c r="A4960" s="17"/>
      <c r="B4960" s="18"/>
      <c r="C4960" s="19"/>
      <c r="D4960" s="19"/>
      <c r="E4960" s="19"/>
      <c r="F4960" s="19"/>
      <c r="G4960" s="19"/>
      <c r="H4960" s="19"/>
      <c r="I4960" s="19"/>
      <c r="J4960" s="19"/>
      <c r="K4960" s="6"/>
      <c r="L4960" s="19"/>
    </row>
    <row r="4961" spans="1:12" ht="14" customHeight="1" x14ac:dyDescent="0.2">
      <c r="A4961" s="14"/>
      <c r="B4961" s="15"/>
      <c r="C4961" s="16"/>
      <c r="D4961" s="16"/>
      <c r="E4961" s="16"/>
      <c r="F4961" s="16"/>
      <c r="G4961" s="16"/>
      <c r="H4961" s="16"/>
      <c r="I4961" s="16"/>
      <c r="J4961" s="16"/>
      <c r="K4961" s="6"/>
      <c r="L4961" s="16"/>
    </row>
    <row r="4962" spans="1:12" ht="14" customHeight="1" x14ac:dyDescent="0.2">
      <c r="A4962" s="17"/>
      <c r="B4962" s="18"/>
      <c r="C4962" s="19"/>
      <c r="D4962" s="19"/>
      <c r="E4962" s="19"/>
      <c r="F4962" s="19"/>
      <c r="G4962" s="19"/>
      <c r="H4962" s="19"/>
      <c r="I4962" s="19"/>
      <c r="J4962" s="19"/>
      <c r="K4962" s="6"/>
      <c r="L4962" s="19"/>
    </row>
    <row r="4963" spans="1:12" ht="14" customHeight="1" x14ac:dyDescent="0.2">
      <c r="A4963" s="14"/>
      <c r="B4963" s="15"/>
      <c r="C4963" s="16"/>
      <c r="D4963" s="16"/>
      <c r="E4963" s="16"/>
      <c r="F4963" s="16"/>
      <c r="G4963" s="16"/>
      <c r="H4963" s="16"/>
      <c r="I4963" s="16"/>
      <c r="J4963" s="16"/>
      <c r="K4963" s="6"/>
      <c r="L4963" s="16"/>
    </row>
    <row r="4964" spans="1:12" ht="14" customHeight="1" x14ac:dyDescent="0.2">
      <c r="A4964" s="17"/>
      <c r="B4964" s="18"/>
      <c r="C4964" s="19"/>
      <c r="D4964" s="19"/>
      <c r="E4964" s="19"/>
      <c r="F4964" s="19"/>
      <c r="G4964" s="19"/>
      <c r="H4964" s="19"/>
      <c r="I4964" s="19"/>
      <c r="J4964" s="19"/>
      <c r="K4964" s="6"/>
      <c r="L4964" s="19"/>
    </row>
    <row r="4965" spans="1:12" ht="14" customHeight="1" x14ac:dyDescent="0.2">
      <c r="A4965" s="14"/>
      <c r="B4965" s="15"/>
      <c r="C4965" s="16"/>
      <c r="D4965" s="16"/>
      <c r="E4965" s="16"/>
      <c r="F4965" s="16"/>
      <c r="G4965" s="16"/>
      <c r="H4965" s="16"/>
      <c r="I4965" s="16"/>
      <c r="J4965" s="16"/>
      <c r="K4965" s="6"/>
      <c r="L4965" s="16"/>
    </row>
    <row r="4966" spans="1:12" ht="14" customHeight="1" x14ac:dyDescent="0.2">
      <c r="A4966" s="17"/>
      <c r="B4966" s="18"/>
      <c r="C4966" s="19"/>
      <c r="D4966" s="19"/>
      <c r="E4966" s="19"/>
      <c r="F4966" s="19"/>
      <c r="G4966" s="19"/>
      <c r="H4966" s="19"/>
      <c r="I4966" s="19"/>
      <c r="J4966" s="19"/>
      <c r="K4966" s="6"/>
      <c r="L4966" s="19"/>
    </row>
    <row r="4967" spans="1:12" ht="14" customHeight="1" x14ac:dyDescent="0.2">
      <c r="A4967" s="14"/>
      <c r="B4967" s="15"/>
      <c r="C4967" s="16"/>
      <c r="D4967" s="16"/>
      <c r="E4967" s="16"/>
      <c r="F4967" s="16"/>
      <c r="G4967" s="16"/>
      <c r="H4967" s="16"/>
      <c r="I4967" s="16"/>
      <c r="J4967" s="16"/>
      <c r="K4967" s="6"/>
      <c r="L4967" s="16"/>
    </row>
    <row r="4968" spans="1:12" ht="14" customHeight="1" x14ac:dyDescent="0.2">
      <c r="A4968" s="17"/>
      <c r="B4968" s="18"/>
      <c r="C4968" s="19"/>
      <c r="D4968" s="19"/>
      <c r="E4968" s="19"/>
      <c r="F4968" s="19"/>
      <c r="G4968" s="19"/>
      <c r="H4968" s="19"/>
      <c r="I4968" s="19"/>
      <c r="J4968" s="19"/>
      <c r="K4968" s="6"/>
      <c r="L4968" s="19"/>
    </row>
    <row r="4969" spans="1:12" ht="14" customHeight="1" x14ac:dyDescent="0.2">
      <c r="A4969" s="14"/>
      <c r="B4969" s="15"/>
      <c r="C4969" s="16"/>
      <c r="D4969" s="16"/>
      <c r="E4969" s="16"/>
      <c r="F4969" s="16"/>
      <c r="G4969" s="16"/>
      <c r="H4969" s="16"/>
      <c r="I4969" s="16"/>
      <c r="J4969" s="16"/>
      <c r="K4969" s="6"/>
      <c r="L4969" s="16"/>
    </row>
    <row r="4970" spans="1:12" ht="14" customHeight="1" x14ac:dyDescent="0.2">
      <c r="A4970" s="17"/>
      <c r="B4970" s="18"/>
      <c r="C4970" s="19"/>
      <c r="D4970" s="19"/>
      <c r="E4970" s="19"/>
      <c r="F4970" s="19"/>
      <c r="G4970" s="19"/>
      <c r="H4970" s="19"/>
      <c r="I4970" s="19"/>
      <c r="J4970" s="19"/>
      <c r="K4970" s="6"/>
      <c r="L4970" s="19"/>
    </row>
    <row r="4971" spans="1:12" ht="14" customHeight="1" x14ac:dyDescent="0.2">
      <c r="A4971" s="14"/>
      <c r="B4971" s="15"/>
      <c r="C4971" s="16"/>
      <c r="D4971" s="16"/>
      <c r="E4971" s="16"/>
      <c r="F4971" s="16"/>
      <c r="G4971" s="16"/>
      <c r="H4971" s="16"/>
      <c r="I4971" s="16"/>
      <c r="J4971" s="16"/>
      <c r="K4971" s="6"/>
      <c r="L4971" s="16"/>
    </row>
    <row r="4972" spans="1:12" ht="14" customHeight="1" x14ac:dyDescent="0.2">
      <c r="A4972" s="17"/>
      <c r="B4972" s="18"/>
      <c r="C4972" s="19"/>
      <c r="D4972" s="19"/>
      <c r="E4972" s="19"/>
      <c r="F4972" s="19"/>
      <c r="G4972" s="19"/>
      <c r="H4972" s="19"/>
      <c r="I4972" s="19"/>
      <c r="J4972" s="19"/>
      <c r="K4972" s="6"/>
      <c r="L4972" s="19"/>
    </row>
    <row r="4973" spans="1:12" ht="14" customHeight="1" x14ac:dyDescent="0.2">
      <c r="A4973" s="14"/>
      <c r="B4973" s="15"/>
      <c r="C4973" s="16"/>
      <c r="D4973" s="16"/>
      <c r="E4973" s="16"/>
      <c r="F4973" s="16"/>
      <c r="G4973" s="16"/>
      <c r="H4973" s="16"/>
      <c r="I4973" s="16"/>
      <c r="J4973" s="16"/>
      <c r="K4973" s="6"/>
      <c r="L4973" s="16"/>
    </row>
    <row r="4974" spans="1:12" ht="14" customHeight="1" x14ac:dyDescent="0.2">
      <c r="A4974" s="17"/>
      <c r="B4974" s="18"/>
      <c r="C4974" s="19"/>
      <c r="D4974" s="19"/>
      <c r="E4974" s="19"/>
      <c r="F4974" s="19"/>
      <c r="G4974" s="19"/>
      <c r="H4974" s="19"/>
      <c r="I4974" s="19"/>
      <c r="J4974" s="19"/>
      <c r="K4974" s="6"/>
      <c r="L4974" s="19"/>
    </row>
    <row r="4975" spans="1:12" ht="14" customHeight="1" x14ac:dyDescent="0.2">
      <c r="A4975" s="14"/>
      <c r="B4975" s="15"/>
      <c r="C4975" s="16"/>
      <c r="D4975" s="16"/>
      <c r="E4975" s="16"/>
      <c r="F4975" s="16"/>
      <c r="G4975" s="16"/>
      <c r="H4975" s="16"/>
      <c r="I4975" s="16"/>
      <c r="J4975" s="16"/>
      <c r="K4975" s="6"/>
      <c r="L4975" s="16"/>
    </row>
    <row r="4976" spans="1:12" ht="14" customHeight="1" x14ac:dyDescent="0.2">
      <c r="A4976" s="17"/>
      <c r="B4976" s="18"/>
      <c r="C4976" s="19"/>
      <c r="D4976" s="19"/>
      <c r="E4976" s="19"/>
      <c r="F4976" s="19"/>
      <c r="G4976" s="19"/>
      <c r="H4976" s="19"/>
      <c r="I4976" s="19"/>
      <c r="J4976" s="19"/>
      <c r="K4976" s="6"/>
      <c r="L4976" s="19"/>
    </row>
    <row r="4977" spans="1:12" ht="14" customHeight="1" x14ac:dyDescent="0.2">
      <c r="A4977" s="14"/>
      <c r="B4977" s="15"/>
      <c r="C4977" s="16"/>
      <c r="D4977" s="16"/>
      <c r="E4977" s="16"/>
      <c r="F4977" s="16"/>
      <c r="G4977" s="16"/>
      <c r="H4977" s="16"/>
      <c r="I4977" s="16"/>
      <c r="J4977" s="16"/>
      <c r="K4977" s="6"/>
      <c r="L4977" s="16"/>
    </row>
    <row r="4978" spans="1:12" ht="14" customHeight="1" x14ac:dyDescent="0.2">
      <c r="A4978" s="17"/>
      <c r="B4978" s="18"/>
      <c r="C4978" s="19"/>
      <c r="D4978" s="19"/>
      <c r="E4978" s="19"/>
      <c r="F4978" s="19"/>
      <c r="G4978" s="19"/>
      <c r="H4978" s="19"/>
      <c r="I4978" s="19"/>
      <c r="J4978" s="19"/>
      <c r="K4978" s="6"/>
      <c r="L4978" s="19"/>
    </row>
    <row r="4979" spans="1:12" ht="14" customHeight="1" x14ac:dyDescent="0.2">
      <c r="A4979" s="14"/>
      <c r="B4979" s="15"/>
      <c r="C4979" s="16"/>
      <c r="D4979" s="16"/>
      <c r="E4979" s="16"/>
      <c r="F4979" s="16"/>
      <c r="G4979" s="16"/>
      <c r="H4979" s="16"/>
      <c r="I4979" s="16"/>
      <c r="J4979" s="16"/>
      <c r="K4979" s="6"/>
      <c r="L4979" s="16"/>
    </row>
    <row r="4980" spans="1:12" ht="14" customHeight="1" x14ac:dyDescent="0.2">
      <c r="A4980" s="17"/>
      <c r="B4980" s="18"/>
      <c r="C4980" s="19"/>
      <c r="D4980" s="19"/>
      <c r="E4980" s="19"/>
      <c r="F4980" s="19"/>
      <c r="G4980" s="19"/>
      <c r="H4980" s="19"/>
      <c r="I4980" s="19"/>
      <c r="J4980" s="19"/>
      <c r="K4980" s="6"/>
      <c r="L4980" s="19"/>
    </row>
    <row r="4981" spans="1:12" ht="14" customHeight="1" x14ac:dyDescent="0.2">
      <c r="A4981" s="14"/>
      <c r="B4981" s="15"/>
      <c r="C4981" s="16"/>
      <c r="D4981" s="16"/>
      <c r="E4981" s="16"/>
      <c r="F4981" s="16"/>
      <c r="G4981" s="16"/>
      <c r="H4981" s="16"/>
      <c r="I4981" s="16"/>
      <c r="J4981" s="16"/>
      <c r="K4981" s="6"/>
      <c r="L4981" s="16"/>
    </row>
    <row r="4982" spans="1:12" ht="14" customHeight="1" x14ac:dyDescent="0.2">
      <c r="A4982" s="17"/>
      <c r="B4982" s="18"/>
      <c r="C4982" s="19"/>
      <c r="D4982" s="19"/>
      <c r="E4982" s="19"/>
      <c r="F4982" s="19"/>
      <c r="G4982" s="19"/>
      <c r="H4982" s="19"/>
      <c r="I4982" s="19"/>
      <c r="J4982" s="19"/>
      <c r="K4982" s="6"/>
      <c r="L4982" s="19"/>
    </row>
    <row r="4983" spans="1:12" ht="14" customHeight="1" x14ac:dyDescent="0.2">
      <c r="A4983" s="14"/>
      <c r="B4983" s="15"/>
      <c r="C4983" s="16"/>
      <c r="D4983" s="16"/>
      <c r="E4983" s="16"/>
      <c r="F4983" s="16"/>
      <c r="G4983" s="16"/>
      <c r="H4983" s="16"/>
      <c r="I4983" s="16"/>
      <c r="J4983" s="16"/>
      <c r="K4983" s="6"/>
      <c r="L4983" s="16"/>
    </row>
    <row r="4984" spans="1:12" ht="14" customHeight="1" x14ac:dyDescent="0.2">
      <c r="A4984" s="17"/>
      <c r="B4984" s="18"/>
      <c r="C4984" s="19"/>
      <c r="D4984" s="19"/>
      <c r="E4984" s="19"/>
      <c r="F4984" s="19"/>
      <c r="G4984" s="19"/>
      <c r="H4984" s="19"/>
      <c r="I4984" s="19"/>
      <c r="J4984" s="19"/>
      <c r="K4984" s="6"/>
      <c r="L4984" s="19"/>
    </row>
    <row r="4985" spans="1:12" ht="14" customHeight="1" x14ac:dyDescent="0.2">
      <c r="A4985" s="14"/>
      <c r="B4985" s="15"/>
      <c r="C4985" s="16"/>
      <c r="D4985" s="16"/>
      <c r="E4985" s="16"/>
      <c r="F4985" s="16"/>
      <c r="G4985" s="16"/>
      <c r="H4985" s="16"/>
      <c r="I4985" s="16"/>
      <c r="J4985" s="16"/>
      <c r="K4985" s="6"/>
      <c r="L4985" s="16"/>
    </row>
    <row r="4986" spans="1:12" ht="14" customHeight="1" x14ac:dyDescent="0.2">
      <c r="A4986" s="17"/>
      <c r="B4986" s="18"/>
      <c r="C4986" s="19"/>
      <c r="D4986" s="19"/>
      <c r="E4986" s="19"/>
      <c r="F4986" s="19"/>
      <c r="G4986" s="19"/>
      <c r="H4986" s="19"/>
      <c r="I4986" s="19"/>
      <c r="J4986" s="19"/>
      <c r="K4986" s="6"/>
      <c r="L4986" s="19"/>
    </row>
    <row r="4987" spans="1:12" ht="14" customHeight="1" x14ac:dyDescent="0.2">
      <c r="A4987" s="14"/>
      <c r="B4987" s="15"/>
      <c r="C4987" s="16"/>
      <c r="D4987" s="16"/>
      <c r="E4987" s="16"/>
      <c r="F4987" s="16"/>
      <c r="G4987" s="16"/>
      <c r="H4987" s="16"/>
      <c r="I4987" s="16"/>
      <c r="J4987" s="16"/>
      <c r="K4987" s="6"/>
      <c r="L4987" s="16"/>
    </row>
    <row r="4988" spans="1:12" ht="14" customHeight="1" x14ac:dyDescent="0.2">
      <c r="A4988" s="17"/>
      <c r="B4988" s="18"/>
      <c r="C4988" s="19"/>
      <c r="D4988" s="19"/>
      <c r="E4988" s="19"/>
      <c r="F4988" s="19"/>
      <c r="G4988" s="19"/>
      <c r="H4988" s="19"/>
      <c r="I4988" s="19"/>
      <c r="J4988" s="19"/>
      <c r="K4988" s="6"/>
      <c r="L4988" s="19"/>
    </row>
    <row r="4989" spans="1:12" ht="14" customHeight="1" x14ac:dyDescent="0.2">
      <c r="A4989" s="14"/>
      <c r="B4989" s="15"/>
      <c r="C4989" s="16"/>
      <c r="D4989" s="16"/>
      <c r="E4989" s="16"/>
      <c r="F4989" s="16"/>
      <c r="G4989" s="16"/>
      <c r="H4989" s="16"/>
      <c r="I4989" s="16"/>
      <c r="J4989" s="16"/>
      <c r="K4989" s="6"/>
      <c r="L4989" s="16"/>
    </row>
    <row r="4990" spans="1:12" ht="14" customHeight="1" x14ac:dyDescent="0.2">
      <c r="A4990" s="17"/>
      <c r="B4990" s="18"/>
      <c r="C4990" s="19"/>
      <c r="D4990" s="19"/>
      <c r="E4990" s="19"/>
      <c r="F4990" s="19"/>
      <c r="G4990" s="19"/>
      <c r="H4990" s="19"/>
      <c r="I4990" s="19"/>
      <c r="J4990" s="19"/>
      <c r="K4990" s="6"/>
      <c r="L4990" s="19"/>
    </row>
    <row r="4991" spans="1:12" ht="14" customHeight="1" x14ac:dyDescent="0.2">
      <c r="A4991" s="14"/>
      <c r="B4991" s="15"/>
      <c r="C4991" s="16"/>
      <c r="D4991" s="16"/>
      <c r="E4991" s="16"/>
      <c r="F4991" s="16"/>
      <c r="G4991" s="16"/>
      <c r="H4991" s="16"/>
      <c r="I4991" s="16"/>
      <c r="J4991" s="16"/>
      <c r="K4991" s="6"/>
      <c r="L4991" s="16"/>
    </row>
    <row r="4992" spans="1:12" ht="14" customHeight="1" x14ac:dyDescent="0.2">
      <c r="A4992" s="17"/>
      <c r="B4992" s="18"/>
      <c r="C4992" s="19"/>
      <c r="D4992" s="19"/>
      <c r="E4992" s="19"/>
      <c r="F4992" s="19"/>
      <c r="G4992" s="19"/>
      <c r="H4992" s="19"/>
      <c r="I4992" s="19"/>
      <c r="J4992" s="19"/>
      <c r="K4992" s="6"/>
      <c r="L4992" s="19"/>
    </row>
    <row r="4993" spans="1:12" ht="14" customHeight="1" x14ac:dyDescent="0.2">
      <c r="A4993" s="14"/>
      <c r="B4993" s="15"/>
      <c r="C4993" s="16"/>
      <c r="D4993" s="16"/>
      <c r="E4993" s="16"/>
      <c r="F4993" s="16"/>
      <c r="G4993" s="16"/>
      <c r="H4993" s="16"/>
      <c r="I4993" s="16"/>
      <c r="J4993" s="16"/>
      <c r="K4993" s="6"/>
      <c r="L4993" s="16"/>
    </row>
    <row r="4994" spans="1:12" ht="14" customHeight="1" x14ac:dyDescent="0.2">
      <c r="A4994" s="17"/>
      <c r="B4994" s="18"/>
      <c r="C4994" s="19"/>
      <c r="D4994" s="19"/>
      <c r="E4994" s="19"/>
      <c r="F4994" s="19"/>
      <c r="G4994" s="19"/>
      <c r="H4994" s="19"/>
      <c r="I4994" s="19"/>
      <c r="J4994" s="19"/>
      <c r="K4994" s="6"/>
      <c r="L4994" s="19"/>
    </row>
    <row r="4995" spans="1:12" ht="14" customHeight="1" x14ac:dyDescent="0.2">
      <c r="A4995" s="14"/>
      <c r="B4995" s="15"/>
      <c r="C4995" s="16"/>
      <c r="D4995" s="16"/>
      <c r="E4995" s="16"/>
      <c r="F4995" s="16"/>
      <c r="G4995" s="16"/>
      <c r="H4995" s="16"/>
      <c r="I4995" s="16"/>
      <c r="J4995" s="16"/>
      <c r="K4995" s="6"/>
      <c r="L4995" s="16"/>
    </row>
    <row r="4996" spans="1:12" ht="14" customHeight="1" x14ac:dyDescent="0.2">
      <c r="A4996" s="17"/>
      <c r="B4996" s="18"/>
      <c r="C4996" s="19"/>
      <c r="D4996" s="19"/>
      <c r="E4996" s="19"/>
      <c r="F4996" s="19"/>
      <c r="G4996" s="19"/>
      <c r="H4996" s="19"/>
      <c r="I4996" s="19"/>
      <c r="J4996" s="19"/>
      <c r="K4996" s="6"/>
      <c r="L4996" s="19"/>
    </row>
    <row r="4997" spans="1:12" ht="14" customHeight="1" x14ac:dyDescent="0.2">
      <c r="A4997" s="14"/>
      <c r="B4997" s="15"/>
      <c r="C4997" s="16"/>
      <c r="D4997" s="16"/>
      <c r="E4997" s="16"/>
      <c r="F4997" s="16"/>
      <c r="G4997" s="16"/>
      <c r="H4997" s="16"/>
      <c r="I4997" s="16"/>
      <c r="J4997" s="16"/>
      <c r="K4997" s="6"/>
      <c r="L4997" s="16"/>
    </row>
    <row r="4998" spans="1:12" ht="14" customHeight="1" x14ac:dyDescent="0.2">
      <c r="A4998" s="17"/>
      <c r="B4998" s="18"/>
      <c r="C4998" s="19"/>
      <c r="D4998" s="19"/>
      <c r="E4998" s="19"/>
      <c r="F4998" s="19"/>
      <c r="G4998" s="19"/>
      <c r="H4998" s="19"/>
      <c r="I4998" s="19"/>
      <c r="J4998" s="19"/>
      <c r="K4998" s="6"/>
      <c r="L4998" s="19"/>
    </row>
    <row r="4999" spans="1:12" ht="14" customHeight="1" x14ac:dyDescent="0.2">
      <c r="A4999" s="14"/>
      <c r="B4999" s="15"/>
      <c r="C4999" s="16"/>
      <c r="D4999" s="16"/>
      <c r="E4999" s="16"/>
      <c r="F4999" s="16"/>
      <c r="G4999" s="16"/>
      <c r="H4999" s="16"/>
      <c r="I4999" s="16"/>
      <c r="J4999" s="16"/>
      <c r="K4999" s="6"/>
      <c r="L4999" s="16"/>
    </row>
    <row r="5000" spans="1:12" ht="14" customHeight="1" x14ac:dyDescent="0.2">
      <c r="A5000" s="17"/>
      <c r="B5000" s="18"/>
      <c r="C5000" s="19"/>
      <c r="D5000" s="19"/>
      <c r="E5000" s="19"/>
      <c r="F5000" s="19"/>
      <c r="G5000" s="19"/>
      <c r="H5000" s="19"/>
      <c r="I5000" s="19"/>
      <c r="J5000" s="19"/>
      <c r="K5000" s="6"/>
      <c r="L5000" s="19"/>
    </row>
  </sheetData>
  <autoFilter ref="A3:L5000" xr:uid="{00000000-0009-0000-0000-000000000000}"/>
  <mergeCells count="2">
    <mergeCell ref="A2:L2"/>
    <mergeCell ref="A1:L1"/>
  </mergeCell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AND(B4&lt;&gt;"",ISNA(MATCH(B4,Client_List!$B$4:$B$250,0)))</xm:f>
            <x14:dxf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B4:B2500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known Customer" error="This name doesn't match any client in Client_List._x000a_Check spelling or add the client first." promptTitle="Customer Name" prompt="Start typing or pick from the dropdown._x000a_Must match Client_List exactly." xr:uid="{00000000-0002-0000-0000-000000000000}">
          <x14:formula1>
            <xm:f>Client_List!$B$4:$B$250</xm:f>
          </x14:formula1>
          <xm:sqref>B4:B2500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N184"/>
  <sheetViews>
    <sheetView showGridLines="0" workbookViewId="0">
      <pane ySplit="3" topLeftCell="A4" activePane="bottomLeft" state="frozen"/>
      <selection pane="bottomLeft" activeCell="I12" sqref="I12"/>
    </sheetView>
  </sheetViews>
  <sheetFormatPr baseColWidth="10" defaultColWidth="8.83203125" defaultRowHeight="15" x14ac:dyDescent="0.2"/>
  <cols>
    <col min="1" max="1" width="7" customWidth="1"/>
    <col min="2" max="2" width="44" customWidth="1"/>
    <col min="3" max="3" width="7" customWidth="1"/>
    <col min="4" max="4" width="10" customWidth="1"/>
    <col min="5" max="5" width="34" customWidth="1"/>
    <col min="6" max="6" width="16" customWidth="1"/>
    <col min="7" max="7" width="7" customWidth="1"/>
    <col min="8" max="8" width="12" customWidth="1"/>
    <col min="9" max="9" width="13" customWidth="1"/>
    <col min="10" max="10" width="14" customWidth="1"/>
    <col min="11" max="11" width="22" customWidth="1"/>
  </cols>
  <sheetData>
    <row r="1" spans="1:14" ht="28" customHeight="1" x14ac:dyDescent="0.2">
      <c r="A1" s="63" t="s">
        <v>384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4" ht="14" customHeight="1" x14ac:dyDescent="0.2">
      <c r="A2" s="61" t="s">
        <v>385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4" ht="32" customHeight="1" x14ac:dyDescent="0.2">
      <c r="A3" s="48" t="s">
        <v>12</v>
      </c>
      <c r="B3" s="48" t="s">
        <v>386</v>
      </c>
      <c r="C3" s="48" t="s">
        <v>14</v>
      </c>
      <c r="D3" s="48" t="s">
        <v>356</v>
      </c>
      <c r="E3" s="48" t="s">
        <v>387</v>
      </c>
      <c r="F3" s="48" t="s">
        <v>388</v>
      </c>
      <c r="G3" s="48" t="s">
        <v>389</v>
      </c>
      <c r="H3" s="48" t="s">
        <v>390</v>
      </c>
      <c r="I3" s="48" t="s">
        <v>391</v>
      </c>
      <c r="J3" s="48" t="s">
        <v>392</v>
      </c>
      <c r="K3" s="48" t="s">
        <v>19</v>
      </c>
    </row>
    <row r="4" spans="1:14" ht="15" customHeight="1" x14ac:dyDescent="0.2">
      <c r="A4" s="4" t="s">
        <v>30</v>
      </c>
      <c r="B4" s="2" t="s">
        <v>31</v>
      </c>
      <c r="C4" s="12" t="s">
        <v>32</v>
      </c>
      <c r="D4" s="4" t="s">
        <v>393</v>
      </c>
      <c r="E4" s="49" t="s">
        <v>394</v>
      </c>
      <c r="F4" s="49" t="s">
        <v>395</v>
      </c>
      <c r="G4" s="50" t="s">
        <v>396</v>
      </c>
      <c r="H4" s="51">
        <v>33.517199400000003</v>
      </c>
      <c r="I4" s="51">
        <v>-112.16811149999999</v>
      </c>
      <c r="J4" s="52">
        <v>350</v>
      </c>
      <c r="K4" s="50" t="s">
        <v>397</v>
      </c>
      <c r="N4" t="s">
        <v>398</v>
      </c>
    </row>
    <row r="5" spans="1:14" ht="15" customHeight="1" x14ac:dyDescent="0.2">
      <c r="A5" s="9" t="s">
        <v>34</v>
      </c>
      <c r="B5" s="7" t="s">
        <v>35</v>
      </c>
      <c r="C5" s="12" t="s">
        <v>32</v>
      </c>
      <c r="D5" s="9" t="s">
        <v>399</v>
      </c>
      <c r="E5" s="49" t="s">
        <v>400</v>
      </c>
      <c r="F5" s="49" t="s">
        <v>395</v>
      </c>
      <c r="G5" s="50" t="s">
        <v>396</v>
      </c>
      <c r="H5" s="51">
        <v>33.639017299999999</v>
      </c>
      <c r="I5" s="51">
        <v>-112.2197838</v>
      </c>
      <c r="J5" s="52">
        <v>950</v>
      </c>
      <c r="K5" s="50" t="s">
        <v>401</v>
      </c>
      <c r="N5" t="s">
        <v>402</v>
      </c>
    </row>
    <row r="6" spans="1:14" ht="15" customHeight="1" x14ac:dyDescent="0.2">
      <c r="A6" s="4" t="s">
        <v>37</v>
      </c>
      <c r="B6" s="2" t="s">
        <v>38</v>
      </c>
      <c r="C6" s="3" t="s">
        <v>39</v>
      </c>
      <c r="D6" s="4" t="s">
        <v>403</v>
      </c>
      <c r="E6" s="49" t="s">
        <v>404</v>
      </c>
      <c r="F6" s="49" t="s">
        <v>405</v>
      </c>
      <c r="G6" s="50" t="s">
        <v>396</v>
      </c>
      <c r="H6" s="51">
        <v>33.674518999999997</v>
      </c>
      <c r="I6" s="51">
        <v>-111.8880329</v>
      </c>
      <c r="J6" s="52">
        <v>900</v>
      </c>
      <c r="K6" s="50" t="s">
        <v>401</v>
      </c>
      <c r="N6" t="s">
        <v>406</v>
      </c>
    </row>
    <row r="7" spans="1:14" ht="15" customHeight="1" x14ac:dyDescent="0.2">
      <c r="A7" s="9" t="s">
        <v>40</v>
      </c>
      <c r="B7" s="7" t="s">
        <v>41</v>
      </c>
      <c r="C7" s="3" t="s">
        <v>39</v>
      </c>
      <c r="D7" s="9" t="s">
        <v>403</v>
      </c>
      <c r="E7" s="49" t="s">
        <v>407</v>
      </c>
      <c r="F7" s="49" t="s">
        <v>408</v>
      </c>
      <c r="G7" s="50" t="s">
        <v>396</v>
      </c>
      <c r="H7" s="51">
        <v>33.478276700000002</v>
      </c>
      <c r="I7" s="51">
        <v>-112.14051499999999</v>
      </c>
      <c r="J7" s="52">
        <v>2000</v>
      </c>
      <c r="K7" s="50" t="s">
        <v>401</v>
      </c>
      <c r="N7" t="s">
        <v>409</v>
      </c>
    </row>
    <row r="8" spans="1:14" ht="15" customHeight="1" x14ac:dyDescent="0.2">
      <c r="A8" s="4" t="s">
        <v>42</v>
      </c>
      <c r="B8" s="2" t="s">
        <v>43</v>
      </c>
      <c r="C8" s="13" t="s">
        <v>44</v>
      </c>
      <c r="D8" s="4" t="s">
        <v>410</v>
      </c>
      <c r="E8" s="49" t="s">
        <v>411</v>
      </c>
      <c r="F8" s="49" t="s">
        <v>412</v>
      </c>
      <c r="G8" s="50" t="s">
        <v>396</v>
      </c>
      <c r="H8" s="51">
        <v>33.639939300000002</v>
      </c>
      <c r="I8" s="51">
        <v>-112.3041939</v>
      </c>
      <c r="J8" s="52">
        <v>620</v>
      </c>
      <c r="K8" s="50" t="s">
        <v>397</v>
      </c>
      <c r="N8" t="s">
        <v>413</v>
      </c>
    </row>
    <row r="9" spans="1:14" ht="15" customHeight="1" x14ac:dyDescent="0.2">
      <c r="A9" s="4" t="s">
        <v>48</v>
      </c>
      <c r="B9" s="2" t="s">
        <v>49</v>
      </c>
      <c r="C9" s="12" t="s">
        <v>32</v>
      </c>
      <c r="D9" s="4" t="s">
        <v>399</v>
      </c>
      <c r="E9" s="49" t="s">
        <v>414</v>
      </c>
      <c r="F9" s="49" t="s">
        <v>395</v>
      </c>
      <c r="G9" s="50" t="s">
        <v>396</v>
      </c>
      <c r="H9" s="51">
        <v>33.640213699999997</v>
      </c>
      <c r="I9" s="51">
        <v>-112.2294109</v>
      </c>
      <c r="J9" s="52">
        <v>950</v>
      </c>
      <c r="K9" s="50" t="s">
        <v>401</v>
      </c>
      <c r="N9" t="s">
        <v>415</v>
      </c>
    </row>
    <row r="10" spans="1:14" ht="15" customHeight="1" x14ac:dyDescent="0.2">
      <c r="A10" s="9" t="s">
        <v>50</v>
      </c>
      <c r="B10" s="7" t="s">
        <v>51</v>
      </c>
      <c r="C10" s="8" t="s">
        <v>52</v>
      </c>
      <c r="D10" s="9" t="s">
        <v>416</v>
      </c>
      <c r="E10" s="49" t="s">
        <v>417</v>
      </c>
      <c r="F10" s="49" t="s">
        <v>418</v>
      </c>
      <c r="G10" s="50" t="s">
        <v>396</v>
      </c>
      <c r="H10" s="51">
        <v>33.50958</v>
      </c>
      <c r="I10" s="51">
        <v>-112.042591</v>
      </c>
      <c r="J10" s="52">
        <v>700</v>
      </c>
      <c r="K10" s="50" t="s">
        <v>401</v>
      </c>
      <c r="N10" t="s">
        <v>419</v>
      </c>
    </row>
    <row r="11" spans="1:14" ht="15" customHeight="1" x14ac:dyDescent="0.2">
      <c r="A11" s="4" t="s">
        <v>53</v>
      </c>
      <c r="B11" s="2" t="s">
        <v>54</v>
      </c>
      <c r="C11" s="3" t="s">
        <v>39</v>
      </c>
      <c r="D11" s="4" t="s">
        <v>420</v>
      </c>
      <c r="E11" s="49" t="s">
        <v>421</v>
      </c>
      <c r="F11" s="49" t="s">
        <v>418</v>
      </c>
      <c r="G11" s="50" t="s">
        <v>396</v>
      </c>
      <c r="H11" s="51">
        <v>33.304826400000003</v>
      </c>
      <c r="I11" s="51">
        <v>-111.9816146</v>
      </c>
      <c r="J11" s="52">
        <v>1000</v>
      </c>
      <c r="K11" s="50" t="s">
        <v>401</v>
      </c>
      <c r="N11" t="s">
        <v>415</v>
      </c>
    </row>
    <row r="12" spans="1:14" ht="15" customHeight="1" x14ac:dyDescent="0.2">
      <c r="A12" s="9" t="s">
        <v>55</v>
      </c>
      <c r="B12" s="7" t="s">
        <v>56</v>
      </c>
      <c r="C12" s="11" t="s">
        <v>57</v>
      </c>
      <c r="D12" s="9" t="s">
        <v>422</v>
      </c>
      <c r="E12" s="53" t="s">
        <v>832</v>
      </c>
      <c r="F12" s="53" t="s">
        <v>423</v>
      </c>
      <c r="G12" s="50" t="s">
        <v>396</v>
      </c>
      <c r="H12" s="54">
        <v>33.298090000000002</v>
      </c>
      <c r="I12" s="54">
        <v>-111.74427300000001</v>
      </c>
      <c r="J12" s="52">
        <v>900</v>
      </c>
      <c r="K12" s="50" t="s">
        <v>401</v>
      </c>
      <c r="N12" t="s">
        <v>424</v>
      </c>
    </row>
    <row r="13" spans="1:14" ht="15" customHeight="1" x14ac:dyDescent="0.2">
      <c r="A13" s="4" t="s">
        <v>58</v>
      </c>
      <c r="B13" s="2" t="s">
        <v>59</v>
      </c>
      <c r="C13" s="13" t="s">
        <v>44</v>
      </c>
      <c r="D13" s="4" t="s">
        <v>425</v>
      </c>
      <c r="E13" s="49" t="s">
        <v>426</v>
      </c>
      <c r="F13" s="49" t="s">
        <v>427</v>
      </c>
      <c r="G13" s="50" t="s">
        <v>396</v>
      </c>
      <c r="H13" s="51">
        <v>33.46499</v>
      </c>
      <c r="I13" s="51">
        <v>-112.38990200000001</v>
      </c>
      <c r="J13" s="52">
        <v>900</v>
      </c>
      <c r="K13" s="50" t="s">
        <v>401</v>
      </c>
      <c r="N13" t="s">
        <v>428</v>
      </c>
    </row>
    <row r="14" spans="1:14" ht="15" customHeight="1" x14ac:dyDescent="0.2">
      <c r="A14" s="9" t="s">
        <v>60</v>
      </c>
      <c r="B14" s="7" t="s">
        <v>61</v>
      </c>
      <c r="C14" s="8" t="s">
        <v>52</v>
      </c>
      <c r="D14" s="9" t="s">
        <v>416</v>
      </c>
      <c r="E14" s="49" t="s">
        <v>429</v>
      </c>
      <c r="F14" s="49" t="s">
        <v>408</v>
      </c>
      <c r="G14" s="50" t="s">
        <v>396</v>
      </c>
      <c r="H14" s="51">
        <v>33.458940599999998</v>
      </c>
      <c r="I14" s="51">
        <v>-112.0685493</v>
      </c>
      <c r="J14" s="52">
        <v>350</v>
      </c>
      <c r="K14" s="50" t="s">
        <v>401</v>
      </c>
      <c r="N14" t="s">
        <v>430</v>
      </c>
    </row>
    <row r="15" spans="1:14" ht="15" customHeight="1" x14ac:dyDescent="0.2">
      <c r="A15" s="4" t="s">
        <v>62</v>
      </c>
      <c r="B15" s="2" t="s">
        <v>63</v>
      </c>
      <c r="C15" s="11" t="s">
        <v>57</v>
      </c>
      <c r="D15" s="4" t="s">
        <v>431</v>
      </c>
      <c r="E15" s="49" t="s">
        <v>432</v>
      </c>
      <c r="F15" s="49" t="s">
        <v>433</v>
      </c>
      <c r="G15" s="50" t="s">
        <v>396</v>
      </c>
      <c r="H15" s="51">
        <v>33.4151472</v>
      </c>
      <c r="I15" s="51">
        <v>-111.6831813</v>
      </c>
      <c r="J15" s="52">
        <v>425</v>
      </c>
      <c r="K15" s="50" t="s">
        <v>401</v>
      </c>
      <c r="N15" t="s">
        <v>434</v>
      </c>
    </row>
    <row r="16" spans="1:14" ht="15" customHeight="1" x14ac:dyDescent="0.2">
      <c r="A16" s="9" t="s">
        <v>64</v>
      </c>
      <c r="B16" s="7" t="s">
        <v>65</v>
      </c>
      <c r="C16" s="11" t="s">
        <v>57</v>
      </c>
      <c r="D16" s="9" t="s">
        <v>422</v>
      </c>
      <c r="E16" s="49" t="s">
        <v>435</v>
      </c>
      <c r="F16" s="49" t="s">
        <v>423</v>
      </c>
      <c r="G16" s="50" t="s">
        <v>396</v>
      </c>
      <c r="H16" s="51">
        <v>33.306216200000001</v>
      </c>
      <c r="I16" s="51">
        <v>-111.7475515</v>
      </c>
      <c r="J16" s="52">
        <v>1050</v>
      </c>
      <c r="K16" s="50" t="s">
        <v>397</v>
      </c>
      <c r="N16" t="s">
        <v>436</v>
      </c>
    </row>
    <row r="17" spans="1:14" ht="15" customHeight="1" x14ac:dyDescent="0.2">
      <c r="A17" s="4" t="s">
        <v>66</v>
      </c>
      <c r="B17" s="2" t="s">
        <v>67</v>
      </c>
      <c r="C17" s="3" t="s">
        <v>57</v>
      </c>
      <c r="D17" s="4" t="s">
        <v>422</v>
      </c>
      <c r="E17" s="49" t="s">
        <v>437</v>
      </c>
      <c r="F17" s="49" t="s">
        <v>418</v>
      </c>
      <c r="G17" s="50" t="s">
        <v>396</v>
      </c>
      <c r="H17" s="51">
        <v>33.676642800000003</v>
      </c>
      <c r="I17" s="51">
        <v>-111.9746059</v>
      </c>
      <c r="J17" s="52">
        <v>950</v>
      </c>
      <c r="K17" s="50" t="s">
        <v>401</v>
      </c>
      <c r="N17" t="s">
        <v>438</v>
      </c>
    </row>
    <row r="18" spans="1:14" ht="15" customHeight="1" x14ac:dyDescent="0.2">
      <c r="A18" s="9" t="s">
        <v>68</v>
      </c>
      <c r="B18" s="7" t="s">
        <v>69</v>
      </c>
      <c r="C18" s="11" t="s">
        <v>57</v>
      </c>
      <c r="D18" s="9" t="s">
        <v>431</v>
      </c>
      <c r="E18" s="49" t="s">
        <v>439</v>
      </c>
      <c r="F18" s="49" t="s">
        <v>423</v>
      </c>
      <c r="G18" s="50" t="s">
        <v>396</v>
      </c>
      <c r="H18" s="51">
        <v>33.450725300000002</v>
      </c>
      <c r="I18" s="51">
        <v>-111.78643219999999</v>
      </c>
      <c r="J18" s="52">
        <v>1050</v>
      </c>
      <c r="K18" s="50" t="s">
        <v>401</v>
      </c>
      <c r="N18" t="s">
        <v>440</v>
      </c>
    </row>
    <row r="19" spans="1:14" ht="15" customHeight="1" x14ac:dyDescent="0.2">
      <c r="A19" s="4" t="s">
        <v>70</v>
      </c>
      <c r="B19" s="2" t="s">
        <v>71</v>
      </c>
      <c r="C19" s="11" t="s">
        <v>57</v>
      </c>
      <c r="D19" s="4" t="s">
        <v>422</v>
      </c>
      <c r="E19" s="49" t="s">
        <v>441</v>
      </c>
      <c r="F19" s="49" t="s">
        <v>433</v>
      </c>
      <c r="G19" s="50" t="s">
        <v>396</v>
      </c>
      <c r="H19" s="51">
        <v>33.310742699999999</v>
      </c>
      <c r="I19" s="51">
        <v>-111.66987330000001</v>
      </c>
      <c r="J19" s="52">
        <v>350</v>
      </c>
      <c r="K19" s="50" t="s">
        <v>401</v>
      </c>
      <c r="N19" t="s">
        <v>442</v>
      </c>
    </row>
    <row r="20" spans="1:14" ht="15" customHeight="1" x14ac:dyDescent="0.2">
      <c r="A20" s="9" t="s">
        <v>72</v>
      </c>
      <c r="B20" s="7" t="s">
        <v>73</v>
      </c>
      <c r="C20" s="3" t="s">
        <v>39</v>
      </c>
      <c r="D20" s="9" t="s">
        <v>443</v>
      </c>
      <c r="E20" s="49" t="s">
        <v>444</v>
      </c>
      <c r="F20" s="49" t="s">
        <v>405</v>
      </c>
      <c r="G20" s="50" t="s">
        <v>445</v>
      </c>
      <c r="H20" s="51">
        <v>33.4933908</v>
      </c>
      <c r="I20" s="51">
        <v>-111.92563199999999</v>
      </c>
      <c r="J20" s="52">
        <v>620</v>
      </c>
      <c r="K20" s="50" t="s">
        <v>401</v>
      </c>
      <c r="N20" t="s">
        <v>446</v>
      </c>
    </row>
    <row r="21" spans="1:14" ht="15" customHeight="1" x14ac:dyDescent="0.2">
      <c r="A21" s="4" t="s">
        <v>74</v>
      </c>
      <c r="B21" s="2" t="s">
        <v>75</v>
      </c>
      <c r="C21" s="13" t="s">
        <v>44</v>
      </c>
      <c r="D21" s="4" t="s">
        <v>425</v>
      </c>
      <c r="E21" s="49" t="s">
        <v>447</v>
      </c>
      <c r="F21" s="49" t="s">
        <v>448</v>
      </c>
      <c r="G21" s="50" t="s">
        <v>396</v>
      </c>
      <c r="H21" s="51">
        <v>33.463417</v>
      </c>
      <c r="I21" s="51">
        <v>-112.3468017</v>
      </c>
      <c r="J21" s="52">
        <v>620</v>
      </c>
      <c r="K21" s="50" t="s">
        <v>401</v>
      </c>
      <c r="N21" t="s">
        <v>449</v>
      </c>
    </row>
    <row r="22" spans="1:14" ht="15" customHeight="1" x14ac:dyDescent="0.2">
      <c r="A22" s="9" t="s">
        <v>76</v>
      </c>
      <c r="B22" s="7" t="s">
        <v>77</v>
      </c>
      <c r="C22" s="13" t="s">
        <v>44</v>
      </c>
      <c r="D22" s="9" t="s">
        <v>425</v>
      </c>
      <c r="E22" s="49" t="s">
        <v>450</v>
      </c>
      <c r="F22" s="49" t="s">
        <v>451</v>
      </c>
      <c r="G22" s="50" t="s">
        <v>396</v>
      </c>
      <c r="H22" s="51">
        <v>33.434780600000003</v>
      </c>
      <c r="I22" s="51">
        <v>-112.55859599999999</v>
      </c>
      <c r="J22" s="52">
        <v>620</v>
      </c>
      <c r="K22" s="50" t="s">
        <v>401</v>
      </c>
      <c r="N22" t="s">
        <v>452</v>
      </c>
    </row>
    <row r="23" spans="1:14" ht="15" customHeight="1" x14ac:dyDescent="0.2">
      <c r="A23" s="4" t="s">
        <v>78</v>
      </c>
      <c r="B23" s="2" t="s">
        <v>79</v>
      </c>
      <c r="C23" s="3" t="s">
        <v>39</v>
      </c>
      <c r="D23" s="4" t="s">
        <v>443</v>
      </c>
      <c r="E23" s="49" t="s">
        <v>453</v>
      </c>
      <c r="F23" s="49" t="s">
        <v>405</v>
      </c>
      <c r="G23" s="50" t="s">
        <v>396</v>
      </c>
      <c r="H23" s="51">
        <v>33.501653099999999</v>
      </c>
      <c r="I23" s="51">
        <v>-111.9227254</v>
      </c>
      <c r="J23" s="52">
        <v>500</v>
      </c>
      <c r="K23" s="50" t="s">
        <v>401</v>
      </c>
      <c r="N23" t="s">
        <v>454</v>
      </c>
    </row>
    <row r="24" spans="1:14" ht="15" customHeight="1" x14ac:dyDescent="0.2">
      <c r="A24" s="9" t="s">
        <v>80</v>
      </c>
      <c r="B24" s="7" t="s">
        <v>81</v>
      </c>
      <c r="C24" s="8" t="s">
        <v>52</v>
      </c>
      <c r="D24" s="9" t="s">
        <v>455</v>
      </c>
      <c r="E24" s="49" t="s">
        <v>456</v>
      </c>
      <c r="F24" s="49" t="s">
        <v>418</v>
      </c>
      <c r="G24" s="50" t="s">
        <v>396</v>
      </c>
      <c r="H24" s="51">
        <v>33.4953182</v>
      </c>
      <c r="I24" s="51">
        <v>-112.29070040000001</v>
      </c>
      <c r="J24" s="52">
        <v>350</v>
      </c>
      <c r="K24" s="50" t="s">
        <v>401</v>
      </c>
      <c r="N24" t="s">
        <v>457</v>
      </c>
    </row>
    <row r="25" spans="1:14" ht="15" customHeight="1" x14ac:dyDescent="0.2">
      <c r="A25" s="4" t="s">
        <v>82</v>
      </c>
      <c r="B25" s="2" t="s">
        <v>83</v>
      </c>
      <c r="C25" s="3" t="s">
        <v>39</v>
      </c>
      <c r="D25" s="4" t="s">
        <v>443</v>
      </c>
      <c r="E25" s="49" t="s">
        <v>458</v>
      </c>
      <c r="F25" s="49" t="s">
        <v>459</v>
      </c>
      <c r="G25" s="50" t="s">
        <v>396</v>
      </c>
      <c r="H25" s="51">
        <v>33.276944800000003</v>
      </c>
      <c r="I25" s="51">
        <v>-111.8747704</v>
      </c>
      <c r="J25" s="52">
        <v>350</v>
      </c>
      <c r="K25" s="50" t="s">
        <v>397</v>
      </c>
      <c r="N25" t="s">
        <v>460</v>
      </c>
    </row>
    <row r="26" spans="1:14" ht="15" customHeight="1" x14ac:dyDescent="0.2">
      <c r="A26" s="9" t="s">
        <v>84</v>
      </c>
      <c r="B26" s="7" t="s">
        <v>85</v>
      </c>
      <c r="C26" s="12" t="s">
        <v>32</v>
      </c>
      <c r="D26" s="9" t="s">
        <v>399</v>
      </c>
      <c r="E26" s="49" t="s">
        <v>461</v>
      </c>
      <c r="F26" s="49" t="s">
        <v>462</v>
      </c>
      <c r="G26" s="50" t="s">
        <v>396</v>
      </c>
      <c r="H26" s="51">
        <v>33.597455600000004</v>
      </c>
      <c r="I26" s="51">
        <v>-112.20201830000001</v>
      </c>
      <c r="J26" s="52">
        <v>1050</v>
      </c>
      <c r="K26" s="50" t="s">
        <v>401</v>
      </c>
      <c r="N26" t="s">
        <v>463</v>
      </c>
    </row>
    <row r="27" spans="1:14" ht="15" customHeight="1" x14ac:dyDescent="0.2">
      <c r="A27" s="4" t="s">
        <v>86</v>
      </c>
      <c r="B27" s="2" t="s">
        <v>87</v>
      </c>
      <c r="C27" s="12" t="s">
        <v>32</v>
      </c>
      <c r="D27" s="4" t="s">
        <v>393</v>
      </c>
      <c r="E27" s="49" t="s">
        <v>464</v>
      </c>
      <c r="F27" s="49" t="s">
        <v>462</v>
      </c>
      <c r="G27" s="50" t="s">
        <v>465</v>
      </c>
      <c r="H27" s="51">
        <v>33.5262332</v>
      </c>
      <c r="I27" s="51">
        <v>-112.2661138</v>
      </c>
      <c r="J27" s="52">
        <v>2500</v>
      </c>
      <c r="K27" s="50" t="s">
        <v>401</v>
      </c>
    </row>
    <row r="28" spans="1:14" ht="15" customHeight="1" x14ac:dyDescent="0.2">
      <c r="A28" s="9" t="s">
        <v>89</v>
      </c>
      <c r="B28" s="7" t="s">
        <v>90</v>
      </c>
      <c r="C28" s="12" t="s">
        <v>32</v>
      </c>
      <c r="D28" s="9" t="s">
        <v>399</v>
      </c>
      <c r="E28" s="49" t="s">
        <v>466</v>
      </c>
      <c r="F28" s="49" t="s">
        <v>395</v>
      </c>
      <c r="G28" s="50" t="s">
        <v>396</v>
      </c>
      <c r="H28" s="51">
        <v>33.6116326</v>
      </c>
      <c r="I28" s="51">
        <v>-112.1654111</v>
      </c>
      <c r="J28" s="52">
        <v>1000</v>
      </c>
      <c r="K28" s="50" t="s">
        <v>401</v>
      </c>
      <c r="N28" t="s">
        <v>467</v>
      </c>
    </row>
    <row r="29" spans="1:14" ht="15" customHeight="1" x14ac:dyDescent="0.2">
      <c r="A29" s="9" t="s">
        <v>93</v>
      </c>
      <c r="B29" s="7" t="s">
        <v>94</v>
      </c>
      <c r="C29" s="12" t="s">
        <v>32</v>
      </c>
      <c r="D29" s="9" t="s">
        <v>399</v>
      </c>
      <c r="E29" s="49" t="s">
        <v>468</v>
      </c>
      <c r="F29" s="49" t="s">
        <v>395</v>
      </c>
      <c r="G29" s="50" t="s">
        <v>396</v>
      </c>
      <c r="H29" s="51">
        <v>33.639786800000003</v>
      </c>
      <c r="I29" s="51">
        <v>-112.1738598</v>
      </c>
      <c r="J29" s="52">
        <v>450</v>
      </c>
      <c r="K29" s="50" t="s">
        <v>401</v>
      </c>
      <c r="N29" t="s">
        <v>469</v>
      </c>
    </row>
    <row r="30" spans="1:14" ht="15" customHeight="1" x14ac:dyDescent="0.2">
      <c r="A30" s="4" t="s">
        <v>95</v>
      </c>
      <c r="B30" s="2" t="s">
        <v>96</v>
      </c>
      <c r="C30" s="12" t="s">
        <v>32</v>
      </c>
      <c r="D30" s="4" t="s">
        <v>399</v>
      </c>
      <c r="E30" s="49" t="s">
        <v>470</v>
      </c>
      <c r="F30" s="49" t="s">
        <v>427</v>
      </c>
      <c r="G30" s="50" t="s">
        <v>396</v>
      </c>
      <c r="H30" s="51">
        <v>33.483995700000001</v>
      </c>
      <c r="I30" s="51">
        <v>-112.3651191</v>
      </c>
      <c r="J30" s="52">
        <v>1000</v>
      </c>
      <c r="K30" s="50" t="s">
        <v>401</v>
      </c>
      <c r="N30" t="s">
        <v>471</v>
      </c>
    </row>
    <row r="31" spans="1:14" ht="15" customHeight="1" x14ac:dyDescent="0.2">
      <c r="A31" s="9" t="s">
        <v>97</v>
      </c>
      <c r="B31" s="7" t="s">
        <v>98</v>
      </c>
      <c r="C31" s="3" t="s">
        <v>39</v>
      </c>
      <c r="D31" s="9" t="s">
        <v>443</v>
      </c>
      <c r="E31" s="49" t="s">
        <v>472</v>
      </c>
      <c r="F31" s="49" t="s">
        <v>405</v>
      </c>
      <c r="G31" s="50" t="s">
        <v>396</v>
      </c>
      <c r="H31" s="51">
        <v>33.483075800000002</v>
      </c>
      <c r="I31" s="51">
        <v>-111.93581039999999</v>
      </c>
      <c r="J31" s="52">
        <v>350</v>
      </c>
      <c r="K31" s="50" t="s">
        <v>401</v>
      </c>
      <c r="N31" t="s">
        <v>473</v>
      </c>
    </row>
    <row r="32" spans="1:14" ht="15" customHeight="1" x14ac:dyDescent="0.2">
      <c r="A32" s="4" t="s">
        <v>99</v>
      </c>
      <c r="B32" s="2" t="s">
        <v>100</v>
      </c>
      <c r="C32" s="3" t="s">
        <v>39</v>
      </c>
      <c r="D32" s="4" t="s">
        <v>420</v>
      </c>
      <c r="E32" s="49" t="s">
        <v>474</v>
      </c>
      <c r="F32" s="49" t="s">
        <v>475</v>
      </c>
      <c r="G32" s="50" t="s">
        <v>476</v>
      </c>
      <c r="H32" s="51">
        <v>33.3206372</v>
      </c>
      <c r="I32" s="51">
        <v>-111.84377189999999</v>
      </c>
      <c r="J32" s="52">
        <v>700</v>
      </c>
      <c r="K32" s="50" t="s">
        <v>401</v>
      </c>
      <c r="N32" t="s">
        <v>477</v>
      </c>
    </row>
    <row r="33" spans="1:14" ht="15" customHeight="1" x14ac:dyDescent="0.2">
      <c r="A33" s="9" t="s">
        <v>101</v>
      </c>
      <c r="B33" s="7" t="s">
        <v>102</v>
      </c>
      <c r="C33" s="8" t="s">
        <v>52</v>
      </c>
      <c r="D33" s="9" t="s">
        <v>478</v>
      </c>
      <c r="E33" s="49" t="s">
        <v>479</v>
      </c>
      <c r="F33" s="49" t="s">
        <v>408</v>
      </c>
      <c r="G33" s="50" t="s">
        <v>396</v>
      </c>
      <c r="H33" s="51">
        <v>33.641001299999999</v>
      </c>
      <c r="I33" s="51">
        <v>-112.0051915</v>
      </c>
      <c r="J33" s="52">
        <v>500</v>
      </c>
      <c r="K33" s="50" t="s">
        <v>401</v>
      </c>
      <c r="N33" t="s">
        <v>480</v>
      </c>
    </row>
    <row r="34" spans="1:14" ht="15" customHeight="1" x14ac:dyDescent="0.2">
      <c r="A34" s="4" t="s">
        <v>103</v>
      </c>
      <c r="B34" s="2" t="s">
        <v>104</v>
      </c>
      <c r="C34" s="3" t="s">
        <v>39</v>
      </c>
      <c r="D34" s="4" t="s">
        <v>481</v>
      </c>
      <c r="E34" s="49" t="s">
        <v>482</v>
      </c>
      <c r="F34" s="49" t="s">
        <v>483</v>
      </c>
      <c r="G34" s="50" t="s">
        <v>396</v>
      </c>
      <c r="H34" s="51">
        <v>33.394759700000002</v>
      </c>
      <c r="I34" s="51">
        <v>-111.87535920000001</v>
      </c>
      <c r="J34" s="52">
        <v>350</v>
      </c>
      <c r="K34" s="50" t="s">
        <v>401</v>
      </c>
      <c r="N34" t="s">
        <v>484</v>
      </c>
    </row>
    <row r="35" spans="1:14" ht="15" customHeight="1" x14ac:dyDescent="0.2">
      <c r="A35" s="9" t="s">
        <v>105</v>
      </c>
      <c r="B35" s="7" t="s">
        <v>106</v>
      </c>
      <c r="C35" s="3" t="s">
        <v>39</v>
      </c>
      <c r="D35" s="9" t="s">
        <v>481</v>
      </c>
      <c r="E35" s="49" t="s">
        <v>485</v>
      </c>
      <c r="F35" s="49" t="s">
        <v>483</v>
      </c>
      <c r="G35" s="50" t="s">
        <v>396</v>
      </c>
      <c r="H35" s="51">
        <v>33.423457200000001</v>
      </c>
      <c r="I35" s="51">
        <v>-111.7735998</v>
      </c>
      <c r="J35" s="52">
        <v>350</v>
      </c>
      <c r="K35" s="50" t="s">
        <v>401</v>
      </c>
      <c r="N35" t="s">
        <v>486</v>
      </c>
    </row>
    <row r="36" spans="1:14" ht="15" customHeight="1" x14ac:dyDescent="0.2">
      <c r="A36" s="4" t="s">
        <v>107</v>
      </c>
      <c r="B36" s="2" t="s">
        <v>108</v>
      </c>
      <c r="C36" s="13" t="s">
        <v>44</v>
      </c>
      <c r="D36" s="4" t="s">
        <v>425</v>
      </c>
      <c r="E36" s="49" t="s">
        <v>487</v>
      </c>
      <c r="F36" s="49" t="s">
        <v>488</v>
      </c>
      <c r="G36" s="50" t="s">
        <v>396</v>
      </c>
      <c r="H36" s="51">
        <v>33.549985399999997</v>
      </c>
      <c r="I36" s="51">
        <v>-112.41070689999999</v>
      </c>
      <c r="J36" s="52">
        <v>1050</v>
      </c>
      <c r="K36" s="50" t="s">
        <v>397</v>
      </c>
      <c r="N36" t="s">
        <v>489</v>
      </c>
    </row>
    <row r="37" spans="1:14" ht="15" customHeight="1" x14ac:dyDescent="0.2">
      <c r="A37" s="9" t="s">
        <v>109</v>
      </c>
      <c r="B37" s="7" t="s">
        <v>110</v>
      </c>
      <c r="C37" s="13" t="s">
        <v>44</v>
      </c>
      <c r="D37" s="9" t="s">
        <v>490</v>
      </c>
      <c r="E37" s="49" t="s">
        <v>491</v>
      </c>
      <c r="F37" s="49" t="s">
        <v>492</v>
      </c>
      <c r="G37" s="50" t="s">
        <v>396</v>
      </c>
      <c r="H37" s="51">
        <v>33.829039799999997</v>
      </c>
      <c r="I37" s="51">
        <v>-112.59486889999999</v>
      </c>
      <c r="J37" s="52">
        <v>1050</v>
      </c>
      <c r="K37" s="50" t="s">
        <v>397</v>
      </c>
      <c r="N37" t="s">
        <v>493</v>
      </c>
    </row>
    <row r="38" spans="1:14" ht="15" customHeight="1" x14ac:dyDescent="0.2">
      <c r="A38" s="4" t="s">
        <v>111</v>
      </c>
      <c r="B38" s="2" t="s">
        <v>112</v>
      </c>
      <c r="C38" s="12" t="s">
        <v>32</v>
      </c>
      <c r="D38" s="4" t="s">
        <v>494</v>
      </c>
      <c r="E38" s="49" t="s">
        <v>495</v>
      </c>
      <c r="F38" s="49" t="s">
        <v>496</v>
      </c>
      <c r="G38" s="50" t="s">
        <v>396</v>
      </c>
      <c r="H38" s="51">
        <v>33.852792999999998</v>
      </c>
      <c r="I38" s="51">
        <v>-112.246978</v>
      </c>
      <c r="J38" s="52">
        <v>450</v>
      </c>
      <c r="K38" s="50" t="s">
        <v>397</v>
      </c>
      <c r="N38" t="s">
        <v>497</v>
      </c>
    </row>
    <row r="39" spans="1:14" ht="15" customHeight="1" x14ac:dyDescent="0.2">
      <c r="A39" s="9" t="s">
        <v>113</v>
      </c>
      <c r="B39" s="7" t="s">
        <v>114</v>
      </c>
      <c r="C39" s="12" t="s">
        <v>32</v>
      </c>
      <c r="D39" s="9" t="s">
        <v>494</v>
      </c>
      <c r="E39" s="49" t="s">
        <v>498</v>
      </c>
      <c r="F39" s="49" t="s">
        <v>395</v>
      </c>
      <c r="G39" s="50" t="s">
        <v>396</v>
      </c>
      <c r="H39" s="51">
        <v>33.672179999999997</v>
      </c>
      <c r="I39" s="51">
        <v>-112.18631120000001</v>
      </c>
      <c r="J39" s="52">
        <v>500</v>
      </c>
      <c r="K39" s="50" t="s">
        <v>397</v>
      </c>
      <c r="N39" t="s">
        <v>499</v>
      </c>
    </row>
    <row r="40" spans="1:14" ht="15" customHeight="1" x14ac:dyDescent="0.2">
      <c r="A40" s="4" t="s">
        <v>115</v>
      </c>
      <c r="B40" s="2" t="s">
        <v>116</v>
      </c>
      <c r="C40" s="11" t="s">
        <v>57</v>
      </c>
      <c r="D40" s="4" t="s">
        <v>500</v>
      </c>
      <c r="E40" s="49" t="s">
        <v>501</v>
      </c>
      <c r="F40" s="49" t="s">
        <v>502</v>
      </c>
      <c r="G40" s="50" t="s">
        <v>396</v>
      </c>
      <c r="H40" s="51">
        <v>33.415492100000002</v>
      </c>
      <c r="I40" s="51">
        <v>-111.5523658</v>
      </c>
      <c r="J40" s="52">
        <v>900</v>
      </c>
      <c r="K40" s="50" t="s">
        <v>397</v>
      </c>
      <c r="N40" t="s">
        <v>503</v>
      </c>
    </row>
    <row r="41" spans="1:14" ht="15" customHeight="1" x14ac:dyDescent="0.2">
      <c r="A41" s="9" t="s">
        <v>117</v>
      </c>
      <c r="B41" s="7" t="s">
        <v>118</v>
      </c>
      <c r="C41" s="3" t="s">
        <v>39</v>
      </c>
      <c r="D41" s="9" t="s">
        <v>481</v>
      </c>
      <c r="E41" s="49" t="s">
        <v>504</v>
      </c>
      <c r="F41" s="49" t="s">
        <v>418</v>
      </c>
      <c r="G41" s="50" t="s">
        <v>396</v>
      </c>
      <c r="H41" s="51">
        <v>33.406636599999999</v>
      </c>
      <c r="I41" s="51">
        <v>-112.0110289</v>
      </c>
      <c r="J41" s="52">
        <v>2500</v>
      </c>
      <c r="K41" s="50" t="s">
        <v>401</v>
      </c>
    </row>
    <row r="42" spans="1:14" ht="15" customHeight="1" x14ac:dyDescent="0.2">
      <c r="A42" s="4" t="s">
        <v>119</v>
      </c>
      <c r="B42" s="2" t="s">
        <v>120</v>
      </c>
      <c r="C42" s="11" t="s">
        <v>57</v>
      </c>
      <c r="D42" s="4" t="s">
        <v>431</v>
      </c>
      <c r="E42" s="49" t="s">
        <v>505</v>
      </c>
      <c r="F42" s="49" t="s">
        <v>433</v>
      </c>
      <c r="G42" s="50" t="s">
        <v>396</v>
      </c>
      <c r="H42" s="51">
        <v>33.468257999999999</v>
      </c>
      <c r="I42" s="51">
        <v>-111.6829244</v>
      </c>
      <c r="J42" s="52">
        <v>450</v>
      </c>
      <c r="K42" s="50" t="s">
        <v>397</v>
      </c>
      <c r="N42" t="s">
        <v>506</v>
      </c>
    </row>
    <row r="43" spans="1:14" ht="15" customHeight="1" x14ac:dyDescent="0.2">
      <c r="A43" s="9" t="s">
        <v>121</v>
      </c>
      <c r="B43" s="7" t="s">
        <v>122</v>
      </c>
      <c r="C43" s="8" t="s">
        <v>52</v>
      </c>
      <c r="D43" s="9" t="s">
        <v>416</v>
      </c>
      <c r="E43" s="49" t="s">
        <v>507</v>
      </c>
      <c r="F43" s="49" t="s">
        <v>418</v>
      </c>
      <c r="G43" s="50" t="s">
        <v>396</v>
      </c>
      <c r="H43" s="51">
        <v>33.509714700000004</v>
      </c>
      <c r="I43" s="51">
        <v>-112.1338391</v>
      </c>
      <c r="J43" s="52">
        <v>500</v>
      </c>
      <c r="K43" s="50" t="s">
        <v>401</v>
      </c>
      <c r="N43" t="s">
        <v>508</v>
      </c>
    </row>
    <row r="44" spans="1:14" ht="15" customHeight="1" x14ac:dyDescent="0.2">
      <c r="A44" s="4" t="s">
        <v>123</v>
      </c>
      <c r="B44" s="2" t="s">
        <v>124</v>
      </c>
      <c r="C44" s="13" t="s">
        <v>44</v>
      </c>
      <c r="D44" s="4" t="s">
        <v>425</v>
      </c>
      <c r="E44" s="49" t="s">
        <v>509</v>
      </c>
      <c r="F44" s="49" t="s">
        <v>448</v>
      </c>
      <c r="G44" s="50" t="s">
        <v>396</v>
      </c>
      <c r="H44" s="51">
        <v>33.456415100000001</v>
      </c>
      <c r="I44" s="51">
        <v>-112.3944877</v>
      </c>
      <c r="J44" s="52">
        <v>350</v>
      </c>
      <c r="K44" s="50" t="s">
        <v>401</v>
      </c>
      <c r="N44" t="s">
        <v>510</v>
      </c>
    </row>
    <row r="45" spans="1:14" ht="15" customHeight="1" x14ac:dyDescent="0.2">
      <c r="A45" s="9" t="s">
        <v>125</v>
      </c>
      <c r="B45" s="7" t="s">
        <v>126</v>
      </c>
      <c r="C45" s="3" t="s">
        <v>39</v>
      </c>
      <c r="D45" s="9" t="s">
        <v>443</v>
      </c>
      <c r="E45" s="49" t="s">
        <v>511</v>
      </c>
      <c r="F45" s="49" t="s">
        <v>512</v>
      </c>
      <c r="G45" s="50" t="s">
        <v>396</v>
      </c>
      <c r="H45" s="51">
        <v>33.4627014</v>
      </c>
      <c r="I45" s="51">
        <v>-111.926838</v>
      </c>
      <c r="J45" s="52">
        <v>700</v>
      </c>
      <c r="K45" s="50" t="s">
        <v>401</v>
      </c>
      <c r="N45" t="s">
        <v>513</v>
      </c>
    </row>
    <row r="46" spans="1:14" ht="15" customHeight="1" x14ac:dyDescent="0.2">
      <c r="A46" s="4" t="s">
        <v>127</v>
      </c>
      <c r="B46" s="2" t="s">
        <v>128</v>
      </c>
      <c r="C46" s="3" t="s">
        <v>39</v>
      </c>
      <c r="D46" s="4" t="s">
        <v>481</v>
      </c>
      <c r="E46" s="49" t="s">
        <v>514</v>
      </c>
      <c r="F46" s="49" t="s">
        <v>515</v>
      </c>
      <c r="G46" s="50" t="s">
        <v>396</v>
      </c>
      <c r="H46" s="51">
        <v>33.392382300000001</v>
      </c>
      <c r="I46" s="51">
        <v>-111.9364861</v>
      </c>
      <c r="J46" s="52">
        <v>700</v>
      </c>
      <c r="K46" s="50" t="s">
        <v>401</v>
      </c>
    </row>
    <row r="47" spans="1:14" ht="15" customHeight="1" x14ac:dyDescent="0.2">
      <c r="A47" s="9" t="s">
        <v>129</v>
      </c>
      <c r="B47" s="7" t="s">
        <v>130</v>
      </c>
      <c r="C47" s="3" t="s">
        <v>39</v>
      </c>
      <c r="D47" s="9" t="s">
        <v>481</v>
      </c>
      <c r="E47" s="49" t="s">
        <v>516</v>
      </c>
      <c r="F47" s="49" t="s">
        <v>517</v>
      </c>
      <c r="G47" s="50" t="s">
        <v>396</v>
      </c>
      <c r="H47" s="51">
        <v>33.419679899999998</v>
      </c>
      <c r="I47" s="51">
        <v>-111.915919</v>
      </c>
      <c r="J47" s="52">
        <v>2500</v>
      </c>
      <c r="K47" s="50" t="s">
        <v>397</v>
      </c>
      <c r="N47" t="s">
        <v>518</v>
      </c>
    </row>
    <row r="48" spans="1:14" ht="15" customHeight="1" x14ac:dyDescent="0.2">
      <c r="A48" s="4" t="s">
        <v>131</v>
      </c>
      <c r="B48" s="2" t="s">
        <v>132</v>
      </c>
      <c r="C48" s="8" t="s">
        <v>52</v>
      </c>
      <c r="D48" s="4" t="s">
        <v>478</v>
      </c>
      <c r="E48" s="49" t="s">
        <v>519</v>
      </c>
      <c r="F48" s="49" t="s">
        <v>418</v>
      </c>
      <c r="G48" s="50" t="s">
        <v>396</v>
      </c>
      <c r="H48" s="51">
        <v>33.494903000000001</v>
      </c>
      <c r="I48" s="51">
        <v>-111.9754061</v>
      </c>
      <c r="J48" s="52">
        <v>630</v>
      </c>
      <c r="K48" s="50" t="s">
        <v>401</v>
      </c>
      <c r="N48" t="s">
        <v>520</v>
      </c>
    </row>
    <row r="49" spans="1:14" ht="15" customHeight="1" x14ac:dyDescent="0.2">
      <c r="A49" s="9" t="s">
        <v>133</v>
      </c>
      <c r="B49" s="7" t="s">
        <v>134</v>
      </c>
      <c r="C49" s="8" t="s">
        <v>52</v>
      </c>
      <c r="D49" s="9" t="s">
        <v>416</v>
      </c>
      <c r="E49" s="49" t="s">
        <v>521</v>
      </c>
      <c r="F49" s="49" t="s">
        <v>418</v>
      </c>
      <c r="G49" s="50" t="s">
        <v>396</v>
      </c>
      <c r="H49" s="51">
        <v>33.471653000000003</v>
      </c>
      <c r="I49" s="51">
        <v>-112.1348179</v>
      </c>
      <c r="J49" s="52">
        <v>1850</v>
      </c>
      <c r="K49" s="50" t="s">
        <v>401</v>
      </c>
      <c r="N49" t="s">
        <v>522</v>
      </c>
    </row>
    <row r="50" spans="1:14" ht="15" customHeight="1" x14ac:dyDescent="0.2">
      <c r="A50" s="4" t="s">
        <v>135</v>
      </c>
      <c r="B50" s="2" t="s">
        <v>136</v>
      </c>
      <c r="C50" s="11" t="s">
        <v>57</v>
      </c>
      <c r="D50" s="4" t="s">
        <v>422</v>
      </c>
      <c r="E50" s="49" t="s">
        <v>523</v>
      </c>
      <c r="F50" s="49" t="s">
        <v>423</v>
      </c>
      <c r="G50" s="50" t="s">
        <v>396</v>
      </c>
      <c r="H50" s="51">
        <v>33.328976699999998</v>
      </c>
      <c r="I50" s="51">
        <v>-111.7905114</v>
      </c>
      <c r="J50" s="52">
        <v>480</v>
      </c>
      <c r="K50" s="50" t="s">
        <v>397</v>
      </c>
      <c r="N50" t="s">
        <v>449</v>
      </c>
    </row>
    <row r="51" spans="1:14" ht="15" customHeight="1" x14ac:dyDescent="0.2">
      <c r="A51" s="9" t="s">
        <v>137</v>
      </c>
      <c r="B51" s="7" t="s">
        <v>138</v>
      </c>
      <c r="C51" s="3" t="s">
        <v>39</v>
      </c>
      <c r="D51" s="9" t="s">
        <v>481</v>
      </c>
      <c r="E51" s="49" t="s">
        <v>524</v>
      </c>
      <c r="F51" s="49" t="s">
        <v>517</v>
      </c>
      <c r="G51" s="50" t="s">
        <v>396</v>
      </c>
      <c r="H51" s="51">
        <v>33.444865900000003</v>
      </c>
      <c r="I51" s="51">
        <v>-111.94796030000001</v>
      </c>
      <c r="J51" s="52">
        <v>350</v>
      </c>
      <c r="K51" s="50" t="s">
        <v>401</v>
      </c>
      <c r="N51" t="s">
        <v>525</v>
      </c>
    </row>
    <row r="52" spans="1:14" ht="15" customHeight="1" x14ac:dyDescent="0.2">
      <c r="A52" s="4" t="s">
        <v>139</v>
      </c>
      <c r="B52" s="2" t="s">
        <v>140</v>
      </c>
      <c r="C52" s="3" t="s">
        <v>57</v>
      </c>
      <c r="D52" s="4" t="s">
        <v>500</v>
      </c>
      <c r="E52" s="49" t="s">
        <v>526</v>
      </c>
      <c r="F52" s="49" t="s">
        <v>527</v>
      </c>
      <c r="G52" s="50" t="s">
        <v>396</v>
      </c>
      <c r="H52" s="51">
        <v>33.361951900000001</v>
      </c>
      <c r="I52" s="51">
        <v>-111.44510219999999</v>
      </c>
      <c r="J52" s="52">
        <v>350</v>
      </c>
      <c r="K52" s="50" t="s">
        <v>401</v>
      </c>
      <c r="N52" t="s">
        <v>528</v>
      </c>
    </row>
    <row r="53" spans="1:14" ht="15" customHeight="1" x14ac:dyDescent="0.2">
      <c r="A53" s="9" t="s">
        <v>141</v>
      </c>
      <c r="B53" s="7" t="s">
        <v>142</v>
      </c>
      <c r="C53" s="3" t="s">
        <v>39</v>
      </c>
      <c r="D53" s="9" t="s">
        <v>529</v>
      </c>
      <c r="E53" s="49" t="s">
        <v>530</v>
      </c>
      <c r="F53" s="49" t="s">
        <v>531</v>
      </c>
      <c r="G53" s="50" t="s">
        <v>396</v>
      </c>
      <c r="H53" s="51">
        <v>33.830151299999997</v>
      </c>
      <c r="I53" s="51">
        <v>-111.93294160000001</v>
      </c>
      <c r="J53" s="52">
        <v>1050</v>
      </c>
      <c r="K53" s="50" t="s">
        <v>397</v>
      </c>
    </row>
    <row r="54" spans="1:14" ht="15" customHeight="1" x14ac:dyDescent="0.2">
      <c r="A54" s="4" t="s">
        <v>143</v>
      </c>
      <c r="B54" s="2" t="s">
        <v>144</v>
      </c>
      <c r="C54" s="3" t="s">
        <v>39</v>
      </c>
      <c r="D54" s="4" t="s">
        <v>529</v>
      </c>
      <c r="E54" s="49" t="s">
        <v>532</v>
      </c>
      <c r="F54" s="49" t="s">
        <v>531</v>
      </c>
      <c r="G54" s="50" t="s">
        <v>396</v>
      </c>
      <c r="H54" s="51">
        <v>33.833296500000003</v>
      </c>
      <c r="I54" s="51">
        <v>-111.9352951</v>
      </c>
      <c r="J54" s="52">
        <v>900</v>
      </c>
      <c r="K54" s="50" t="s">
        <v>397</v>
      </c>
      <c r="N54" t="s">
        <v>533</v>
      </c>
    </row>
    <row r="55" spans="1:14" ht="15" customHeight="1" x14ac:dyDescent="0.2">
      <c r="A55" s="9" t="s">
        <v>145</v>
      </c>
      <c r="B55" s="7" t="s">
        <v>146</v>
      </c>
      <c r="C55" s="3" t="s">
        <v>39</v>
      </c>
      <c r="D55" s="9" t="s">
        <v>420</v>
      </c>
      <c r="E55" s="49" t="s">
        <v>534</v>
      </c>
      <c r="F55" s="49" t="s">
        <v>475</v>
      </c>
      <c r="G55" s="50" t="s">
        <v>396</v>
      </c>
      <c r="H55" s="51">
        <v>33.306642099999998</v>
      </c>
      <c r="I55" s="51">
        <v>-111.87282020000001</v>
      </c>
      <c r="J55" s="52">
        <v>950</v>
      </c>
      <c r="K55" s="50" t="s">
        <v>401</v>
      </c>
      <c r="N55" t="s">
        <v>535</v>
      </c>
    </row>
    <row r="56" spans="1:14" ht="15" customHeight="1" x14ac:dyDescent="0.2">
      <c r="A56" s="4" t="s">
        <v>147</v>
      </c>
      <c r="B56" s="2" t="s">
        <v>148</v>
      </c>
      <c r="C56" s="3" t="s">
        <v>39</v>
      </c>
      <c r="D56" s="4" t="s">
        <v>536</v>
      </c>
      <c r="E56" s="49" t="s">
        <v>537</v>
      </c>
      <c r="F56" s="49" t="s">
        <v>405</v>
      </c>
      <c r="G56" s="50" t="s">
        <v>396</v>
      </c>
      <c r="H56" s="51">
        <v>33.700678400000001</v>
      </c>
      <c r="I56" s="51">
        <v>-111.9234223</v>
      </c>
      <c r="J56" s="52">
        <v>950</v>
      </c>
      <c r="K56" s="50" t="s">
        <v>397</v>
      </c>
      <c r="N56" t="s">
        <v>538</v>
      </c>
    </row>
    <row r="57" spans="1:14" ht="15" customHeight="1" x14ac:dyDescent="0.2">
      <c r="A57" s="9" t="s">
        <v>149</v>
      </c>
      <c r="B57" s="7" t="s">
        <v>150</v>
      </c>
      <c r="C57" s="3" t="s">
        <v>39</v>
      </c>
      <c r="D57" s="9" t="s">
        <v>536</v>
      </c>
      <c r="E57" s="49" t="s">
        <v>539</v>
      </c>
      <c r="F57" s="49" t="s">
        <v>408</v>
      </c>
      <c r="G57" s="50" t="s">
        <v>396</v>
      </c>
      <c r="H57" s="51">
        <v>33.507593800000002</v>
      </c>
      <c r="I57" s="51">
        <v>-112.2663063</v>
      </c>
      <c r="J57" s="52">
        <v>620</v>
      </c>
      <c r="K57" s="50" t="s">
        <v>397</v>
      </c>
    </row>
    <row r="58" spans="1:14" ht="15" customHeight="1" x14ac:dyDescent="0.2">
      <c r="A58" s="4" t="s">
        <v>151</v>
      </c>
      <c r="B58" s="2" t="s">
        <v>152</v>
      </c>
      <c r="C58" s="3" t="s">
        <v>39</v>
      </c>
      <c r="D58" s="4" t="s">
        <v>536</v>
      </c>
      <c r="E58" s="49" t="s">
        <v>540</v>
      </c>
      <c r="F58" s="49" t="s">
        <v>541</v>
      </c>
      <c r="G58" s="50" t="s">
        <v>396</v>
      </c>
      <c r="H58" s="51">
        <v>35.197680499999997</v>
      </c>
      <c r="I58" s="51">
        <v>-111.648815</v>
      </c>
      <c r="J58" s="52">
        <v>950</v>
      </c>
      <c r="K58" s="50" t="s">
        <v>401</v>
      </c>
      <c r="N58" t="s">
        <v>542</v>
      </c>
    </row>
    <row r="59" spans="1:14" ht="15" customHeight="1" x14ac:dyDescent="0.2">
      <c r="A59" s="9" t="s">
        <v>153</v>
      </c>
      <c r="B59" s="7" t="s">
        <v>154</v>
      </c>
      <c r="C59" s="3" t="s">
        <v>39</v>
      </c>
      <c r="D59" s="9" t="s">
        <v>536</v>
      </c>
      <c r="E59" s="49" t="s">
        <v>543</v>
      </c>
      <c r="F59" s="49" t="s">
        <v>395</v>
      </c>
      <c r="G59" s="50" t="s">
        <v>396</v>
      </c>
      <c r="H59" s="51">
        <v>33.537962899999997</v>
      </c>
      <c r="I59" s="51">
        <v>-112.165954</v>
      </c>
      <c r="J59" s="52">
        <v>350</v>
      </c>
      <c r="K59" s="50" t="s">
        <v>401</v>
      </c>
    </row>
    <row r="60" spans="1:14" ht="15" customHeight="1" x14ac:dyDescent="0.2">
      <c r="A60" s="4" t="s">
        <v>155</v>
      </c>
      <c r="B60" s="2" t="s">
        <v>156</v>
      </c>
      <c r="C60" s="3" t="s">
        <v>39</v>
      </c>
      <c r="D60" s="4" t="s">
        <v>536</v>
      </c>
      <c r="E60" s="49" t="s">
        <v>544</v>
      </c>
      <c r="F60" s="49" t="s">
        <v>405</v>
      </c>
      <c r="G60" s="50" t="s">
        <v>396</v>
      </c>
      <c r="H60" s="51">
        <v>33.620236800000001</v>
      </c>
      <c r="I60" s="51">
        <v>-111.89816260000001</v>
      </c>
      <c r="J60" s="52">
        <v>1050</v>
      </c>
      <c r="K60" s="50" t="s">
        <v>401</v>
      </c>
      <c r="N60" t="s">
        <v>545</v>
      </c>
    </row>
    <row r="61" spans="1:14" ht="15" customHeight="1" x14ac:dyDescent="0.2">
      <c r="A61" s="9" t="s">
        <v>157</v>
      </c>
      <c r="B61" s="7" t="s">
        <v>158</v>
      </c>
      <c r="C61" s="3" t="s">
        <v>39</v>
      </c>
      <c r="D61" s="9" t="s">
        <v>403</v>
      </c>
      <c r="E61" s="49" t="s">
        <v>546</v>
      </c>
      <c r="F61" s="49" t="s">
        <v>408</v>
      </c>
      <c r="G61" s="50" t="s">
        <v>396</v>
      </c>
      <c r="H61" s="51">
        <v>33.581676299999998</v>
      </c>
      <c r="I61" s="51">
        <v>-112.1345451</v>
      </c>
      <c r="J61" s="52">
        <v>350</v>
      </c>
      <c r="K61" s="50" t="s">
        <v>401</v>
      </c>
      <c r="N61" t="s">
        <v>547</v>
      </c>
    </row>
    <row r="62" spans="1:14" ht="15" customHeight="1" x14ac:dyDescent="0.2">
      <c r="A62" s="4" t="s">
        <v>159</v>
      </c>
      <c r="B62" s="2" t="s">
        <v>160</v>
      </c>
      <c r="C62" s="3" t="s">
        <v>39</v>
      </c>
      <c r="D62" s="4" t="s">
        <v>403</v>
      </c>
      <c r="E62" s="49" t="s">
        <v>548</v>
      </c>
      <c r="F62" s="49" t="s">
        <v>451</v>
      </c>
      <c r="G62" s="50" t="s">
        <v>476</v>
      </c>
      <c r="H62" s="51">
        <v>33.376237400000001</v>
      </c>
      <c r="I62" s="51">
        <v>-112.57168420000001</v>
      </c>
      <c r="J62" s="52">
        <v>1050</v>
      </c>
      <c r="K62" s="50" t="s">
        <v>397</v>
      </c>
      <c r="N62" t="s">
        <v>549</v>
      </c>
    </row>
    <row r="63" spans="1:14" ht="15" customHeight="1" x14ac:dyDescent="0.2">
      <c r="A63" s="9" t="s">
        <v>161</v>
      </c>
      <c r="B63" s="7" t="s">
        <v>162</v>
      </c>
      <c r="C63" s="8" t="s">
        <v>52</v>
      </c>
      <c r="D63" s="9" t="s">
        <v>455</v>
      </c>
      <c r="E63" s="49" t="s">
        <v>550</v>
      </c>
      <c r="F63" s="49" t="s">
        <v>418</v>
      </c>
      <c r="G63" s="50" t="s">
        <v>396</v>
      </c>
      <c r="H63" s="51">
        <v>33.583028300000002</v>
      </c>
      <c r="I63" s="51">
        <v>-112.0516727</v>
      </c>
      <c r="J63" s="52">
        <v>500</v>
      </c>
      <c r="K63" s="50" t="s">
        <v>401</v>
      </c>
    </row>
    <row r="64" spans="1:14" ht="15" customHeight="1" x14ac:dyDescent="0.2">
      <c r="A64" s="4" t="s">
        <v>163</v>
      </c>
      <c r="B64" s="2" t="s">
        <v>164</v>
      </c>
      <c r="C64" s="8" t="s">
        <v>52</v>
      </c>
      <c r="D64" s="4" t="s">
        <v>455</v>
      </c>
      <c r="E64" s="49" t="s">
        <v>551</v>
      </c>
      <c r="F64" s="49" t="s">
        <v>408</v>
      </c>
      <c r="G64" s="50" t="s">
        <v>465</v>
      </c>
      <c r="H64" s="51">
        <v>33.561260300000001</v>
      </c>
      <c r="I64" s="51">
        <v>-112.0736725</v>
      </c>
      <c r="J64" s="52">
        <v>1050</v>
      </c>
      <c r="K64" s="50" t="s">
        <v>401</v>
      </c>
      <c r="N64" t="s">
        <v>552</v>
      </c>
    </row>
    <row r="65" spans="1:14" ht="15" customHeight="1" x14ac:dyDescent="0.2">
      <c r="A65" s="9" t="s">
        <v>165</v>
      </c>
      <c r="B65" s="7" t="s">
        <v>166</v>
      </c>
      <c r="C65" s="3" t="s">
        <v>39</v>
      </c>
      <c r="D65" s="9" t="s">
        <v>536</v>
      </c>
      <c r="E65" s="49" t="s">
        <v>553</v>
      </c>
      <c r="F65" s="49" t="s">
        <v>405</v>
      </c>
      <c r="G65" s="50" t="s">
        <v>396</v>
      </c>
      <c r="H65" s="51">
        <v>33.675519899999998</v>
      </c>
      <c r="I65" s="51">
        <v>-111.8883288</v>
      </c>
      <c r="J65" s="52">
        <v>1050</v>
      </c>
      <c r="K65" s="50" t="s">
        <v>401</v>
      </c>
      <c r="N65" t="s">
        <v>554</v>
      </c>
    </row>
    <row r="66" spans="1:14" ht="15" customHeight="1" x14ac:dyDescent="0.2">
      <c r="A66" s="4" t="s">
        <v>167</v>
      </c>
      <c r="B66" s="2" t="s">
        <v>168</v>
      </c>
      <c r="C66" s="3" t="s">
        <v>39</v>
      </c>
      <c r="D66" s="4" t="s">
        <v>536</v>
      </c>
      <c r="E66" s="49" t="s">
        <v>555</v>
      </c>
      <c r="F66" s="49" t="s">
        <v>512</v>
      </c>
      <c r="G66" s="50" t="s">
        <v>396</v>
      </c>
      <c r="H66" s="51">
        <v>33.621627500000002</v>
      </c>
      <c r="I66" s="51">
        <v>-111.8977823</v>
      </c>
      <c r="J66" s="52">
        <v>620</v>
      </c>
      <c r="K66" s="50" t="s">
        <v>397</v>
      </c>
      <c r="N66" t="s">
        <v>556</v>
      </c>
    </row>
    <row r="67" spans="1:14" ht="15" customHeight="1" x14ac:dyDescent="0.2">
      <c r="A67" s="9" t="s">
        <v>169</v>
      </c>
      <c r="B67" s="7" t="s">
        <v>170</v>
      </c>
      <c r="C67" s="8" t="s">
        <v>52</v>
      </c>
      <c r="D67" s="9" t="s">
        <v>455</v>
      </c>
      <c r="E67" s="49" t="s">
        <v>557</v>
      </c>
      <c r="F67" s="49" t="s">
        <v>408</v>
      </c>
      <c r="G67" s="50" t="s">
        <v>396</v>
      </c>
      <c r="H67" s="51">
        <v>33.389390300000002</v>
      </c>
      <c r="I67" s="51">
        <v>-112.1342691</v>
      </c>
      <c r="J67" s="52">
        <v>1050</v>
      </c>
      <c r="K67" s="50" t="s">
        <v>401</v>
      </c>
      <c r="N67" t="s">
        <v>558</v>
      </c>
    </row>
    <row r="68" spans="1:14" ht="15" customHeight="1" x14ac:dyDescent="0.2">
      <c r="A68" s="4" t="s">
        <v>171</v>
      </c>
      <c r="B68" s="2" t="s">
        <v>172</v>
      </c>
      <c r="C68" s="12" t="s">
        <v>32</v>
      </c>
      <c r="D68" s="4" t="s">
        <v>559</v>
      </c>
      <c r="E68" s="49" t="s">
        <v>560</v>
      </c>
      <c r="F68" s="49" t="s">
        <v>408</v>
      </c>
      <c r="G68" s="50" t="s">
        <v>396</v>
      </c>
      <c r="H68" s="51">
        <v>33.420729399999999</v>
      </c>
      <c r="I68" s="51">
        <v>-112.22423209999999</v>
      </c>
      <c r="J68" s="52">
        <v>1050</v>
      </c>
      <c r="K68" s="50" t="s">
        <v>401</v>
      </c>
      <c r="N68" t="s">
        <v>561</v>
      </c>
    </row>
    <row r="69" spans="1:14" ht="15" customHeight="1" x14ac:dyDescent="0.2">
      <c r="A69" s="9" t="s">
        <v>173</v>
      </c>
      <c r="B69" s="7" t="s">
        <v>174</v>
      </c>
      <c r="C69" s="12" t="s">
        <v>32</v>
      </c>
      <c r="D69" s="9" t="s">
        <v>393</v>
      </c>
      <c r="E69" s="49" t="s">
        <v>562</v>
      </c>
      <c r="F69" s="49" t="s">
        <v>418</v>
      </c>
      <c r="G69" s="50" t="s">
        <v>396</v>
      </c>
      <c r="H69" s="51">
        <v>33.479680500000001</v>
      </c>
      <c r="I69" s="51">
        <v>-112.219328</v>
      </c>
      <c r="J69" s="52">
        <v>700</v>
      </c>
      <c r="K69" s="50" t="s">
        <v>401</v>
      </c>
      <c r="N69" t="s">
        <v>563</v>
      </c>
    </row>
    <row r="70" spans="1:14" ht="15" customHeight="1" x14ac:dyDescent="0.2">
      <c r="A70" s="4" t="s">
        <v>175</v>
      </c>
      <c r="B70" s="2" t="s">
        <v>176</v>
      </c>
      <c r="C70" s="3" t="s">
        <v>39</v>
      </c>
      <c r="D70" s="4" t="s">
        <v>420</v>
      </c>
      <c r="E70" s="49" t="s">
        <v>564</v>
      </c>
      <c r="F70" s="49" t="s">
        <v>475</v>
      </c>
      <c r="G70" s="50" t="s">
        <v>396</v>
      </c>
      <c r="H70" s="51">
        <v>33.245573</v>
      </c>
      <c r="I70" s="51">
        <v>-111.842597</v>
      </c>
      <c r="J70" s="52">
        <v>950</v>
      </c>
      <c r="K70" s="50" t="s">
        <v>401</v>
      </c>
    </row>
    <row r="71" spans="1:14" ht="15" customHeight="1" x14ac:dyDescent="0.2">
      <c r="A71" s="9" t="s">
        <v>177</v>
      </c>
      <c r="B71" s="7" t="s">
        <v>178</v>
      </c>
      <c r="C71" s="8" t="s">
        <v>52</v>
      </c>
      <c r="D71" s="9" t="s">
        <v>478</v>
      </c>
      <c r="E71" s="49" t="s">
        <v>565</v>
      </c>
      <c r="F71" s="49" t="s">
        <v>418</v>
      </c>
      <c r="G71" s="50" t="s">
        <v>396</v>
      </c>
      <c r="H71" s="51">
        <v>33.582157000000002</v>
      </c>
      <c r="I71" s="51">
        <v>-112.0140438</v>
      </c>
      <c r="J71" s="52">
        <v>900</v>
      </c>
      <c r="K71" s="50" t="s">
        <v>401</v>
      </c>
    </row>
    <row r="72" spans="1:14" ht="15" customHeight="1" x14ac:dyDescent="0.2">
      <c r="A72" s="4" t="s">
        <v>179</v>
      </c>
      <c r="B72" s="2" t="s">
        <v>180</v>
      </c>
      <c r="C72" s="13" t="s">
        <v>44</v>
      </c>
      <c r="D72" s="4" t="s">
        <v>425</v>
      </c>
      <c r="E72" s="49" t="s">
        <v>566</v>
      </c>
      <c r="F72" s="49" t="s">
        <v>427</v>
      </c>
      <c r="G72" s="50" t="s">
        <v>396</v>
      </c>
      <c r="H72" s="51">
        <v>33.4630917</v>
      </c>
      <c r="I72" s="51">
        <v>-112.34565859999999</v>
      </c>
      <c r="J72" s="52">
        <v>950</v>
      </c>
      <c r="K72" s="50" t="s">
        <v>401</v>
      </c>
      <c r="N72" t="s">
        <v>567</v>
      </c>
    </row>
    <row r="73" spans="1:14" ht="15" customHeight="1" x14ac:dyDescent="0.2">
      <c r="A73" s="9" t="s">
        <v>181</v>
      </c>
      <c r="B73" s="7" t="s">
        <v>182</v>
      </c>
      <c r="C73" s="8" t="s">
        <v>52</v>
      </c>
      <c r="D73" s="9" t="s">
        <v>416</v>
      </c>
      <c r="E73" s="49" t="s">
        <v>568</v>
      </c>
      <c r="F73" s="49" t="s">
        <v>418</v>
      </c>
      <c r="G73" s="50" t="s">
        <v>396</v>
      </c>
      <c r="H73" s="51">
        <v>33.4953188</v>
      </c>
      <c r="I73" s="51">
        <v>-112.02076289999999</v>
      </c>
      <c r="J73" s="52">
        <v>1000</v>
      </c>
      <c r="K73" s="50" t="s">
        <v>401</v>
      </c>
      <c r="N73" t="s">
        <v>569</v>
      </c>
    </row>
    <row r="74" spans="1:14" ht="15" customHeight="1" x14ac:dyDescent="0.2">
      <c r="A74" s="4" t="s">
        <v>183</v>
      </c>
      <c r="B74" s="2" t="s">
        <v>184</v>
      </c>
      <c r="C74" s="8" t="s">
        <v>52</v>
      </c>
      <c r="D74" s="4" t="s">
        <v>478</v>
      </c>
      <c r="E74" s="49" t="s">
        <v>570</v>
      </c>
      <c r="F74" s="49" t="s">
        <v>408</v>
      </c>
      <c r="G74" s="50" t="s">
        <v>396</v>
      </c>
      <c r="H74" s="51">
        <v>33.639774199999998</v>
      </c>
      <c r="I74" s="51">
        <v>-112.0877381</v>
      </c>
      <c r="J74" s="52">
        <v>1050</v>
      </c>
      <c r="K74" s="50" t="s">
        <v>401</v>
      </c>
      <c r="N74" t="s">
        <v>571</v>
      </c>
    </row>
    <row r="75" spans="1:14" ht="15" customHeight="1" x14ac:dyDescent="0.2">
      <c r="A75" s="9" t="s">
        <v>185</v>
      </c>
      <c r="B75" s="7" t="s">
        <v>186</v>
      </c>
      <c r="C75" s="3" t="s">
        <v>39</v>
      </c>
      <c r="D75" s="9" t="s">
        <v>481</v>
      </c>
      <c r="E75" s="49" t="s">
        <v>572</v>
      </c>
      <c r="F75" s="49" t="s">
        <v>517</v>
      </c>
      <c r="G75" s="50" t="s">
        <v>396</v>
      </c>
      <c r="H75" s="51">
        <v>33.393507999999997</v>
      </c>
      <c r="I75" s="51">
        <v>-111.88825679999999</v>
      </c>
      <c r="J75" s="52">
        <v>950</v>
      </c>
      <c r="K75" s="50" t="s">
        <v>401</v>
      </c>
      <c r="N75" t="s">
        <v>573</v>
      </c>
    </row>
    <row r="76" spans="1:14" ht="15" customHeight="1" x14ac:dyDescent="0.2">
      <c r="A76" s="4" t="s">
        <v>187</v>
      </c>
      <c r="B76" s="2" t="s">
        <v>188</v>
      </c>
      <c r="C76" s="3" t="s">
        <v>39</v>
      </c>
      <c r="D76" s="4" t="s">
        <v>403</v>
      </c>
      <c r="E76" s="49" t="s">
        <v>574</v>
      </c>
      <c r="F76" s="49" t="s">
        <v>405</v>
      </c>
      <c r="G76" s="50" t="s">
        <v>396</v>
      </c>
      <c r="H76" s="51">
        <v>33.575033699999999</v>
      </c>
      <c r="I76" s="51">
        <v>-111.8882476</v>
      </c>
      <c r="J76" s="52">
        <v>900</v>
      </c>
      <c r="K76" s="50" t="s">
        <v>401</v>
      </c>
      <c r="N76" t="s">
        <v>575</v>
      </c>
    </row>
    <row r="77" spans="1:14" ht="15" customHeight="1" x14ac:dyDescent="0.2">
      <c r="A77" s="9" t="s">
        <v>189</v>
      </c>
      <c r="B77" s="7" t="s">
        <v>190</v>
      </c>
      <c r="C77" s="12" t="s">
        <v>32</v>
      </c>
      <c r="D77" s="9" t="s">
        <v>399</v>
      </c>
      <c r="E77" s="49" t="s">
        <v>576</v>
      </c>
      <c r="F77" s="49" t="s">
        <v>462</v>
      </c>
      <c r="G77" s="50" t="s">
        <v>396</v>
      </c>
      <c r="H77" s="51">
        <v>33.582299599999999</v>
      </c>
      <c r="I77" s="51">
        <v>-112.1807082</v>
      </c>
      <c r="J77" s="52">
        <v>1050</v>
      </c>
      <c r="K77" s="50" t="s">
        <v>401</v>
      </c>
      <c r="N77" t="s">
        <v>577</v>
      </c>
    </row>
    <row r="78" spans="1:14" ht="15" customHeight="1" x14ac:dyDescent="0.2">
      <c r="A78" s="4" t="s">
        <v>191</v>
      </c>
      <c r="B78" s="2" t="s">
        <v>192</v>
      </c>
      <c r="C78" s="3" t="s">
        <v>39</v>
      </c>
      <c r="D78" s="4" t="s">
        <v>403</v>
      </c>
      <c r="E78" s="49" t="s">
        <v>578</v>
      </c>
      <c r="F78" s="49" t="s">
        <v>405</v>
      </c>
      <c r="G78" s="50" t="s">
        <v>396</v>
      </c>
      <c r="H78" s="51">
        <v>33.624665800000002</v>
      </c>
      <c r="I78" s="51">
        <v>-111.9241166</v>
      </c>
      <c r="J78" s="52">
        <v>350</v>
      </c>
      <c r="K78" s="50" t="s">
        <v>401</v>
      </c>
      <c r="N78" t="s">
        <v>579</v>
      </c>
    </row>
    <row r="79" spans="1:14" ht="15" customHeight="1" x14ac:dyDescent="0.2">
      <c r="A79" s="9" t="s">
        <v>193</v>
      </c>
      <c r="B79" s="7" t="s">
        <v>194</v>
      </c>
      <c r="C79" s="3" t="s">
        <v>39</v>
      </c>
      <c r="D79" s="9" t="s">
        <v>529</v>
      </c>
      <c r="E79" s="49" t="s">
        <v>580</v>
      </c>
      <c r="F79" s="49" t="s">
        <v>531</v>
      </c>
      <c r="G79" s="50" t="s">
        <v>396</v>
      </c>
      <c r="H79" s="51">
        <v>33.829157000000002</v>
      </c>
      <c r="I79" s="51">
        <v>-111.9291688</v>
      </c>
      <c r="J79" s="52">
        <v>620</v>
      </c>
      <c r="K79" s="50" t="s">
        <v>397</v>
      </c>
      <c r="N79" t="s">
        <v>581</v>
      </c>
    </row>
    <row r="80" spans="1:14" ht="15" customHeight="1" x14ac:dyDescent="0.2">
      <c r="A80" s="4" t="s">
        <v>195</v>
      </c>
      <c r="B80" s="2" t="s">
        <v>196</v>
      </c>
      <c r="C80" s="3" t="s">
        <v>39</v>
      </c>
      <c r="D80" s="4" t="s">
        <v>420</v>
      </c>
      <c r="E80" s="49" t="s">
        <v>582</v>
      </c>
      <c r="F80" s="49" t="s">
        <v>459</v>
      </c>
      <c r="G80" s="50" t="s">
        <v>396</v>
      </c>
      <c r="H80" s="51">
        <v>33.293137899999998</v>
      </c>
      <c r="I80" s="51">
        <v>-111.82496260000001</v>
      </c>
      <c r="J80" s="52">
        <v>620</v>
      </c>
      <c r="K80" s="50" t="s">
        <v>397</v>
      </c>
    </row>
    <row r="81" spans="1:14" ht="15" customHeight="1" x14ac:dyDescent="0.2">
      <c r="A81" s="9" t="s">
        <v>197</v>
      </c>
      <c r="B81" s="7" t="s">
        <v>198</v>
      </c>
      <c r="C81" s="13" t="s">
        <v>44</v>
      </c>
      <c r="D81" s="9" t="s">
        <v>583</v>
      </c>
      <c r="E81" s="49" t="s">
        <v>584</v>
      </c>
      <c r="F81" s="49" t="s">
        <v>585</v>
      </c>
      <c r="G81" s="50" t="s">
        <v>396</v>
      </c>
      <c r="H81" s="51">
        <v>33.453455699999999</v>
      </c>
      <c r="I81" s="51">
        <v>-112.30494969999999</v>
      </c>
      <c r="J81" s="52">
        <v>1050</v>
      </c>
      <c r="K81" s="50" t="s">
        <v>401</v>
      </c>
      <c r="N81" t="s">
        <v>586</v>
      </c>
    </row>
    <row r="82" spans="1:14" ht="15" customHeight="1" x14ac:dyDescent="0.2">
      <c r="A82" s="4" t="s">
        <v>199</v>
      </c>
      <c r="B82" s="2" t="s">
        <v>200</v>
      </c>
      <c r="C82" s="3" t="s">
        <v>39</v>
      </c>
      <c r="D82" s="4" t="s">
        <v>481</v>
      </c>
      <c r="E82" s="49" t="s">
        <v>587</v>
      </c>
      <c r="F82" s="49" t="s">
        <v>515</v>
      </c>
      <c r="G82" s="50" t="s">
        <v>396</v>
      </c>
      <c r="H82" s="51">
        <v>33.428745999999997</v>
      </c>
      <c r="I82" s="51">
        <v>-111.965056</v>
      </c>
      <c r="J82" s="52">
        <v>2000</v>
      </c>
      <c r="K82" s="50" t="s">
        <v>401</v>
      </c>
      <c r="N82" t="s">
        <v>588</v>
      </c>
    </row>
    <row r="83" spans="1:14" ht="15" customHeight="1" x14ac:dyDescent="0.2">
      <c r="A83" s="9" t="s">
        <v>201</v>
      </c>
      <c r="B83" s="7" t="s">
        <v>202</v>
      </c>
      <c r="C83" s="3" t="s">
        <v>39</v>
      </c>
      <c r="D83" s="9" t="s">
        <v>443</v>
      </c>
      <c r="E83" s="49" t="s">
        <v>589</v>
      </c>
      <c r="F83" s="49" t="s">
        <v>418</v>
      </c>
      <c r="G83" s="50" t="s">
        <v>396</v>
      </c>
      <c r="H83" s="51">
        <v>33.495007600000001</v>
      </c>
      <c r="I83" s="51">
        <v>-111.9758635</v>
      </c>
      <c r="J83" s="52">
        <v>1050</v>
      </c>
      <c r="K83" s="50" t="s">
        <v>401</v>
      </c>
      <c r="N83" t="s">
        <v>590</v>
      </c>
    </row>
    <row r="84" spans="1:14" ht="15" customHeight="1" x14ac:dyDescent="0.2">
      <c r="A84" s="4" t="s">
        <v>203</v>
      </c>
      <c r="B84" s="2" t="s">
        <v>204</v>
      </c>
      <c r="C84" s="11" t="s">
        <v>57</v>
      </c>
      <c r="D84" s="4" t="s">
        <v>500</v>
      </c>
      <c r="E84" s="49" t="s">
        <v>591</v>
      </c>
      <c r="F84" s="49" t="s">
        <v>423</v>
      </c>
      <c r="G84" s="50" t="s">
        <v>396</v>
      </c>
      <c r="H84" s="51">
        <v>33.356210900000001</v>
      </c>
      <c r="I84" s="51">
        <v>-111.7893894</v>
      </c>
      <c r="J84" s="52">
        <v>1800</v>
      </c>
      <c r="K84" s="50" t="s">
        <v>401</v>
      </c>
      <c r="N84" t="s">
        <v>592</v>
      </c>
    </row>
    <row r="85" spans="1:14" ht="15" customHeight="1" x14ac:dyDescent="0.2">
      <c r="A85" s="9" t="s">
        <v>205</v>
      </c>
      <c r="B85" s="7" t="s">
        <v>206</v>
      </c>
      <c r="C85" s="3" t="s">
        <v>39</v>
      </c>
      <c r="D85" s="9" t="s">
        <v>403</v>
      </c>
      <c r="E85" s="49" t="s">
        <v>593</v>
      </c>
      <c r="F85" s="49" t="s">
        <v>405</v>
      </c>
      <c r="G85" s="50" t="s">
        <v>396</v>
      </c>
      <c r="H85" s="51">
        <v>33.627865500000013</v>
      </c>
      <c r="I85" s="51">
        <v>-111.8934385</v>
      </c>
      <c r="J85" s="52">
        <v>1050</v>
      </c>
      <c r="K85" s="50" t="s">
        <v>401</v>
      </c>
      <c r="N85" t="s">
        <v>594</v>
      </c>
    </row>
    <row r="86" spans="1:14" ht="15" customHeight="1" x14ac:dyDescent="0.2">
      <c r="A86" s="4" t="s">
        <v>207</v>
      </c>
      <c r="B86" s="2" t="s">
        <v>208</v>
      </c>
      <c r="C86" s="3" t="s">
        <v>39</v>
      </c>
      <c r="D86" s="4" t="s">
        <v>403</v>
      </c>
      <c r="E86" s="49" t="s">
        <v>595</v>
      </c>
      <c r="F86" s="49" t="s">
        <v>418</v>
      </c>
      <c r="G86" s="50" t="s">
        <v>396</v>
      </c>
      <c r="H86" s="51">
        <v>33.5841627</v>
      </c>
      <c r="I86" s="51">
        <v>-111.9795489</v>
      </c>
      <c r="J86" s="52">
        <v>1050</v>
      </c>
      <c r="K86" s="50" t="s">
        <v>596</v>
      </c>
    </row>
    <row r="87" spans="1:14" ht="15" customHeight="1" x14ac:dyDescent="0.2">
      <c r="A87" s="9" t="s">
        <v>209</v>
      </c>
      <c r="B87" s="7" t="s">
        <v>210</v>
      </c>
      <c r="C87" s="3" t="s">
        <v>39</v>
      </c>
      <c r="D87" s="9" t="s">
        <v>403</v>
      </c>
      <c r="E87" s="49" t="s">
        <v>597</v>
      </c>
      <c r="F87" s="49" t="s">
        <v>512</v>
      </c>
      <c r="G87" s="50" t="s">
        <v>396</v>
      </c>
      <c r="H87" s="51">
        <v>33.627167800000002</v>
      </c>
      <c r="I87" s="51">
        <v>-111.89154139999999</v>
      </c>
      <c r="J87" s="52">
        <v>630</v>
      </c>
      <c r="K87" s="50" t="s">
        <v>401</v>
      </c>
      <c r="N87" t="s">
        <v>449</v>
      </c>
    </row>
    <row r="88" spans="1:14" ht="15" customHeight="1" x14ac:dyDescent="0.2">
      <c r="A88" s="4" t="s">
        <v>211</v>
      </c>
      <c r="B88" s="2" t="s">
        <v>212</v>
      </c>
      <c r="C88" s="12" t="s">
        <v>32</v>
      </c>
      <c r="D88" s="4" t="s">
        <v>399</v>
      </c>
      <c r="E88" s="49" t="s">
        <v>598</v>
      </c>
      <c r="F88" s="49" t="s">
        <v>395</v>
      </c>
      <c r="G88" s="50" t="s">
        <v>396</v>
      </c>
      <c r="H88" s="51">
        <v>33.638778500000001</v>
      </c>
      <c r="I88" s="51">
        <v>-112.2042015</v>
      </c>
      <c r="J88" s="52">
        <v>1050</v>
      </c>
      <c r="K88" s="50" t="s">
        <v>401</v>
      </c>
      <c r="N88" t="s">
        <v>599</v>
      </c>
    </row>
    <row r="89" spans="1:14" ht="15" customHeight="1" x14ac:dyDescent="0.2">
      <c r="A89" s="9" t="s">
        <v>213</v>
      </c>
      <c r="B89" s="7" t="s">
        <v>214</v>
      </c>
      <c r="C89" s="13" t="s">
        <v>44</v>
      </c>
      <c r="D89" s="9" t="s">
        <v>410</v>
      </c>
      <c r="E89" s="49" t="s">
        <v>600</v>
      </c>
      <c r="F89" s="49" t="s">
        <v>601</v>
      </c>
      <c r="G89" s="50" t="s">
        <v>396</v>
      </c>
      <c r="H89" s="51">
        <v>33.639402699999998</v>
      </c>
      <c r="I89" s="51">
        <v>-112.4230688</v>
      </c>
      <c r="J89" s="52">
        <v>630</v>
      </c>
      <c r="K89" s="50" t="s">
        <v>401</v>
      </c>
      <c r="N89" t="s">
        <v>449</v>
      </c>
    </row>
    <row r="90" spans="1:14" ht="15" customHeight="1" x14ac:dyDescent="0.2">
      <c r="A90" s="4" t="s">
        <v>215</v>
      </c>
      <c r="B90" s="2" t="s">
        <v>216</v>
      </c>
      <c r="C90" s="8" t="s">
        <v>52</v>
      </c>
      <c r="D90" s="4" t="s">
        <v>416</v>
      </c>
      <c r="E90" s="49" t="s">
        <v>602</v>
      </c>
      <c r="F90" s="49" t="s">
        <v>418</v>
      </c>
      <c r="G90" s="50" t="s">
        <v>396</v>
      </c>
      <c r="H90" s="51">
        <v>33.5094888</v>
      </c>
      <c r="I90" s="51">
        <v>-112.0602469</v>
      </c>
      <c r="J90" s="52">
        <v>450</v>
      </c>
      <c r="K90" s="50" t="s">
        <v>401</v>
      </c>
      <c r="N90" t="s">
        <v>603</v>
      </c>
    </row>
    <row r="91" spans="1:14" ht="15" customHeight="1" x14ac:dyDescent="0.2">
      <c r="A91" s="9" t="s">
        <v>217</v>
      </c>
      <c r="B91" s="7" t="s">
        <v>218</v>
      </c>
      <c r="C91" s="3" t="s">
        <v>39</v>
      </c>
      <c r="D91" s="9" t="s">
        <v>403</v>
      </c>
      <c r="E91" s="49" t="s">
        <v>604</v>
      </c>
      <c r="F91" s="49" t="s">
        <v>418</v>
      </c>
      <c r="G91" s="50" t="s">
        <v>396</v>
      </c>
      <c r="H91" s="51">
        <v>33.599670099999997</v>
      </c>
      <c r="I91" s="51">
        <v>-111.9823088</v>
      </c>
      <c r="J91" s="52">
        <v>630</v>
      </c>
      <c r="K91" s="50" t="s">
        <v>401</v>
      </c>
      <c r="N91" t="s">
        <v>605</v>
      </c>
    </row>
    <row r="92" spans="1:14" ht="15" customHeight="1" x14ac:dyDescent="0.2">
      <c r="A92" s="4" t="s">
        <v>219</v>
      </c>
      <c r="B92" s="2" t="s">
        <v>220</v>
      </c>
      <c r="C92" s="3" t="s">
        <v>39</v>
      </c>
      <c r="D92" s="4" t="s">
        <v>529</v>
      </c>
      <c r="E92" s="49" t="s">
        <v>606</v>
      </c>
      <c r="F92" s="49" t="s">
        <v>531</v>
      </c>
      <c r="G92" s="50" t="s">
        <v>396</v>
      </c>
      <c r="H92" s="51">
        <v>33.827916199999997</v>
      </c>
      <c r="I92" s="51">
        <v>-111.9546909</v>
      </c>
      <c r="J92" s="52">
        <v>480</v>
      </c>
      <c r="K92" s="50" t="s">
        <v>401</v>
      </c>
      <c r="N92" t="s">
        <v>607</v>
      </c>
    </row>
    <row r="93" spans="1:14" ht="15" customHeight="1" x14ac:dyDescent="0.2">
      <c r="A93" s="9" t="s">
        <v>221</v>
      </c>
      <c r="B93" s="7" t="s">
        <v>222</v>
      </c>
      <c r="C93" s="3" t="s">
        <v>39</v>
      </c>
      <c r="D93" s="9" t="s">
        <v>481</v>
      </c>
      <c r="E93" s="49" t="s">
        <v>608</v>
      </c>
      <c r="F93" s="49" t="s">
        <v>517</v>
      </c>
      <c r="G93" s="50" t="s">
        <v>396</v>
      </c>
      <c r="H93" s="51">
        <v>33.348653400000003</v>
      </c>
      <c r="I93" s="51">
        <v>-111.9626165</v>
      </c>
      <c r="J93" s="52">
        <v>630</v>
      </c>
      <c r="K93" s="50" t="s">
        <v>401</v>
      </c>
      <c r="N93" t="s">
        <v>609</v>
      </c>
    </row>
    <row r="94" spans="1:14" ht="15" customHeight="1" x14ac:dyDescent="0.2">
      <c r="A94" s="4" t="s">
        <v>223</v>
      </c>
      <c r="B94" s="2" t="s">
        <v>224</v>
      </c>
      <c r="C94" s="11" t="s">
        <v>57</v>
      </c>
      <c r="D94" s="4" t="s">
        <v>500</v>
      </c>
      <c r="E94" s="49" t="s">
        <v>610</v>
      </c>
      <c r="F94" s="49" t="s">
        <v>423</v>
      </c>
      <c r="G94" s="50" t="s">
        <v>396</v>
      </c>
      <c r="H94" s="51">
        <v>33.355855600000012</v>
      </c>
      <c r="I94" s="51">
        <v>-111.7899633</v>
      </c>
      <c r="J94" s="52">
        <v>450</v>
      </c>
      <c r="K94" s="50" t="s">
        <v>401</v>
      </c>
      <c r="N94" t="s">
        <v>611</v>
      </c>
    </row>
    <row r="95" spans="1:14" ht="15" customHeight="1" x14ac:dyDescent="0.2">
      <c r="A95" s="9" t="s">
        <v>225</v>
      </c>
      <c r="B95" s="7" t="s">
        <v>226</v>
      </c>
      <c r="C95" s="3" t="s">
        <v>39</v>
      </c>
      <c r="D95" s="9" t="s">
        <v>420</v>
      </c>
      <c r="E95" s="49" t="s">
        <v>612</v>
      </c>
      <c r="F95" s="49" t="s">
        <v>475</v>
      </c>
      <c r="G95" s="50" t="s">
        <v>396</v>
      </c>
      <c r="H95" s="51">
        <v>33.277746499999999</v>
      </c>
      <c r="I95" s="51">
        <v>-111.8756684</v>
      </c>
      <c r="J95" s="52">
        <v>660</v>
      </c>
      <c r="K95" s="50" t="s">
        <v>401</v>
      </c>
      <c r="N95" t="s">
        <v>613</v>
      </c>
    </row>
    <row r="96" spans="1:14" ht="15" customHeight="1" x14ac:dyDescent="0.2">
      <c r="A96" s="4" t="s">
        <v>227</v>
      </c>
      <c r="B96" s="2" t="s">
        <v>228</v>
      </c>
      <c r="C96" s="3" t="s">
        <v>39</v>
      </c>
      <c r="D96" s="4" t="s">
        <v>403</v>
      </c>
      <c r="E96" s="53"/>
      <c r="F96" s="53"/>
      <c r="G96" s="50" t="s">
        <v>396</v>
      </c>
      <c r="H96" s="54"/>
      <c r="I96" s="54"/>
      <c r="J96" s="52">
        <v>500</v>
      </c>
      <c r="K96" s="50" t="s">
        <v>401</v>
      </c>
    </row>
    <row r="97" spans="1:14" ht="15" customHeight="1" x14ac:dyDescent="0.2">
      <c r="A97" s="9" t="s">
        <v>229</v>
      </c>
      <c r="B97" s="7" t="s">
        <v>230</v>
      </c>
      <c r="C97" s="13" t="s">
        <v>44</v>
      </c>
      <c r="D97" s="9" t="s">
        <v>425</v>
      </c>
      <c r="E97" s="49" t="s">
        <v>614</v>
      </c>
      <c r="F97" s="49" t="s">
        <v>427</v>
      </c>
      <c r="G97" s="50" t="s">
        <v>396</v>
      </c>
      <c r="H97" s="51">
        <v>33.464940499999997</v>
      </c>
      <c r="I97" s="51">
        <v>-112.3879295</v>
      </c>
      <c r="J97" s="52">
        <v>660</v>
      </c>
      <c r="K97" s="50" t="s">
        <v>401</v>
      </c>
      <c r="N97" t="s">
        <v>615</v>
      </c>
    </row>
    <row r="98" spans="1:14" ht="15" customHeight="1" x14ac:dyDescent="0.2">
      <c r="A98" s="4" t="s">
        <v>231</v>
      </c>
      <c r="B98" s="2" t="s">
        <v>232</v>
      </c>
      <c r="C98" s="11" t="s">
        <v>57</v>
      </c>
      <c r="D98" s="4" t="s">
        <v>422</v>
      </c>
      <c r="E98" s="49" t="s">
        <v>616</v>
      </c>
      <c r="F98" s="49" t="s">
        <v>617</v>
      </c>
      <c r="G98" s="50" t="s">
        <v>396</v>
      </c>
      <c r="H98" s="51">
        <v>33.253677600000003</v>
      </c>
      <c r="I98" s="51">
        <v>-111.6372362</v>
      </c>
      <c r="J98" s="52">
        <v>500</v>
      </c>
      <c r="K98" s="50" t="s">
        <v>401</v>
      </c>
      <c r="N98" t="s">
        <v>618</v>
      </c>
    </row>
    <row r="99" spans="1:14" ht="15" customHeight="1" x14ac:dyDescent="0.2">
      <c r="A99" s="9" t="s">
        <v>233</v>
      </c>
      <c r="B99" s="7" t="s">
        <v>234</v>
      </c>
      <c r="C99" s="3" t="s">
        <v>39</v>
      </c>
      <c r="D99" s="9" t="s">
        <v>481</v>
      </c>
      <c r="E99" s="49" t="s">
        <v>619</v>
      </c>
      <c r="F99" s="49" t="s">
        <v>433</v>
      </c>
      <c r="G99" s="50" t="s">
        <v>396</v>
      </c>
      <c r="H99" s="51">
        <v>33.393939899999999</v>
      </c>
      <c r="I99" s="51">
        <v>-111.8750816</v>
      </c>
      <c r="J99" s="52">
        <v>630</v>
      </c>
      <c r="K99" s="50" t="s">
        <v>401</v>
      </c>
      <c r="N99" t="s">
        <v>620</v>
      </c>
    </row>
    <row r="100" spans="1:14" ht="15" customHeight="1" x14ac:dyDescent="0.2">
      <c r="A100" s="4" t="s">
        <v>235</v>
      </c>
      <c r="B100" s="2" t="s">
        <v>236</v>
      </c>
      <c r="C100" s="11" t="s">
        <v>57</v>
      </c>
      <c r="D100" s="4" t="s">
        <v>500</v>
      </c>
      <c r="E100" s="49" t="s">
        <v>621</v>
      </c>
      <c r="F100" s="49" t="s">
        <v>433</v>
      </c>
      <c r="G100" s="50" t="s">
        <v>396</v>
      </c>
      <c r="H100" s="51">
        <v>33.383219799999999</v>
      </c>
      <c r="I100" s="51">
        <v>-111.68381479999999</v>
      </c>
      <c r="J100" s="52">
        <v>500</v>
      </c>
      <c r="K100" s="50" t="s">
        <v>401</v>
      </c>
      <c r="N100" t="s">
        <v>449</v>
      </c>
    </row>
    <row r="101" spans="1:14" ht="15" customHeight="1" x14ac:dyDescent="0.2">
      <c r="A101" s="9" t="s">
        <v>237</v>
      </c>
      <c r="B101" s="7" t="s">
        <v>238</v>
      </c>
      <c r="C101" s="3" t="s">
        <v>39</v>
      </c>
      <c r="D101" s="9" t="s">
        <v>443</v>
      </c>
      <c r="E101" s="49" t="s">
        <v>622</v>
      </c>
      <c r="F101" s="49" t="s">
        <v>405</v>
      </c>
      <c r="G101" s="50" t="s">
        <v>396</v>
      </c>
      <c r="H101" s="51">
        <v>33.483285199999997</v>
      </c>
      <c r="I101" s="51">
        <v>-111.9267136</v>
      </c>
      <c r="J101" s="52">
        <v>660</v>
      </c>
      <c r="K101" s="50" t="s">
        <v>401</v>
      </c>
      <c r="N101" t="s">
        <v>623</v>
      </c>
    </row>
    <row r="102" spans="1:14" ht="15" customHeight="1" x14ac:dyDescent="0.2">
      <c r="A102" s="4" t="s">
        <v>239</v>
      </c>
      <c r="B102" s="2" t="s">
        <v>240</v>
      </c>
      <c r="C102" s="11" t="s">
        <v>57</v>
      </c>
      <c r="D102" s="4" t="s">
        <v>422</v>
      </c>
      <c r="E102" s="49" t="s">
        <v>624</v>
      </c>
      <c r="F102" s="49" t="s">
        <v>423</v>
      </c>
      <c r="G102" s="50" t="s">
        <v>396</v>
      </c>
      <c r="H102" s="51">
        <v>33.306136599999988</v>
      </c>
      <c r="I102" s="51">
        <v>-111.7047128</v>
      </c>
      <c r="J102" s="52">
        <v>350</v>
      </c>
      <c r="K102" s="50" t="s">
        <v>401</v>
      </c>
      <c r="N102" t="s">
        <v>625</v>
      </c>
    </row>
    <row r="103" spans="1:14" ht="15" customHeight="1" x14ac:dyDescent="0.2">
      <c r="A103" s="9" t="s">
        <v>241</v>
      </c>
      <c r="B103" s="7" t="s">
        <v>242</v>
      </c>
      <c r="C103" s="3" t="s">
        <v>39</v>
      </c>
      <c r="D103" s="9" t="s">
        <v>443</v>
      </c>
      <c r="E103" s="49" t="s">
        <v>626</v>
      </c>
      <c r="F103" s="49" t="s">
        <v>418</v>
      </c>
      <c r="G103" s="50" t="s">
        <v>396</v>
      </c>
      <c r="H103" s="51">
        <v>33.495720900000002</v>
      </c>
      <c r="I103" s="51">
        <v>-111.9866128</v>
      </c>
      <c r="J103" s="52">
        <v>950</v>
      </c>
      <c r="K103" s="50" t="s">
        <v>397</v>
      </c>
      <c r="N103" t="s">
        <v>627</v>
      </c>
    </row>
    <row r="104" spans="1:14" ht="15" customHeight="1" x14ac:dyDescent="0.2">
      <c r="A104" s="4" t="s">
        <v>243</v>
      </c>
      <c r="B104" s="2" t="s">
        <v>244</v>
      </c>
      <c r="C104" s="3" t="s">
        <v>39</v>
      </c>
      <c r="D104" s="4" t="s">
        <v>481</v>
      </c>
      <c r="E104" s="49" t="s">
        <v>628</v>
      </c>
      <c r="F104" s="49" t="s">
        <v>517</v>
      </c>
      <c r="G104" s="50" t="s">
        <v>396</v>
      </c>
      <c r="H104" s="51">
        <v>33.414431499999999</v>
      </c>
      <c r="I104" s="51">
        <v>-111.9237294</v>
      </c>
      <c r="J104" s="52">
        <v>950</v>
      </c>
      <c r="K104" s="50" t="s">
        <v>397</v>
      </c>
      <c r="N104" t="s">
        <v>629</v>
      </c>
    </row>
    <row r="105" spans="1:14" ht="15" customHeight="1" x14ac:dyDescent="0.2">
      <c r="A105" s="9" t="s">
        <v>245</v>
      </c>
      <c r="B105" s="7" t="s">
        <v>246</v>
      </c>
      <c r="C105" s="8" t="s">
        <v>52</v>
      </c>
      <c r="D105" s="9" t="s">
        <v>455</v>
      </c>
      <c r="E105" s="49" t="s">
        <v>630</v>
      </c>
      <c r="F105" s="49" t="s">
        <v>418</v>
      </c>
      <c r="G105" s="50" t="s">
        <v>396</v>
      </c>
      <c r="H105" s="51">
        <v>33.436498399999998</v>
      </c>
      <c r="I105" s="51">
        <v>-112.0584386</v>
      </c>
      <c r="J105" s="52">
        <v>950</v>
      </c>
      <c r="K105" s="50" t="s">
        <v>397</v>
      </c>
      <c r="N105" t="s">
        <v>631</v>
      </c>
    </row>
    <row r="106" spans="1:14" ht="15" customHeight="1" x14ac:dyDescent="0.2">
      <c r="A106" s="4" t="s">
        <v>247</v>
      </c>
      <c r="B106" s="2" t="s">
        <v>248</v>
      </c>
      <c r="C106" s="8" t="s">
        <v>52</v>
      </c>
      <c r="D106" s="4" t="s">
        <v>455</v>
      </c>
      <c r="E106" s="49" t="s">
        <v>632</v>
      </c>
      <c r="F106" s="49" t="s">
        <v>418</v>
      </c>
      <c r="G106" s="50" t="s">
        <v>396</v>
      </c>
      <c r="H106" s="51">
        <v>33.410806299999997</v>
      </c>
      <c r="I106" s="51">
        <v>-112.073633</v>
      </c>
      <c r="J106" s="52">
        <v>950</v>
      </c>
      <c r="K106" s="50" t="s">
        <v>397</v>
      </c>
      <c r="N106" t="s">
        <v>633</v>
      </c>
    </row>
    <row r="107" spans="1:14" ht="15" customHeight="1" x14ac:dyDescent="0.2">
      <c r="A107" s="9" t="s">
        <v>249</v>
      </c>
      <c r="B107" s="7" t="s">
        <v>250</v>
      </c>
      <c r="C107" s="12" t="s">
        <v>32</v>
      </c>
      <c r="D107" s="9" t="s">
        <v>393</v>
      </c>
      <c r="E107" s="49" t="s">
        <v>634</v>
      </c>
      <c r="F107" s="49" t="s">
        <v>395</v>
      </c>
      <c r="G107" s="50" t="s">
        <v>396</v>
      </c>
      <c r="H107" s="51">
        <v>33.5387591</v>
      </c>
      <c r="I107" s="51">
        <v>-112.1783937</v>
      </c>
      <c r="J107" s="52">
        <v>950</v>
      </c>
      <c r="K107" s="50" t="s">
        <v>397</v>
      </c>
      <c r="N107" t="s">
        <v>635</v>
      </c>
    </row>
    <row r="108" spans="1:14" ht="15" customHeight="1" x14ac:dyDescent="0.2">
      <c r="A108" s="4" t="s">
        <v>251</v>
      </c>
      <c r="B108" s="2" t="s">
        <v>252</v>
      </c>
      <c r="C108" s="3" t="s">
        <v>39</v>
      </c>
      <c r="D108" s="4" t="s">
        <v>481</v>
      </c>
      <c r="E108" s="49" t="s">
        <v>636</v>
      </c>
      <c r="F108" s="49" t="s">
        <v>433</v>
      </c>
      <c r="G108" s="50" t="s">
        <v>396</v>
      </c>
      <c r="H108" s="51">
        <v>33.414418400000002</v>
      </c>
      <c r="I108" s="51">
        <v>-111.8233194</v>
      </c>
      <c r="J108" s="52">
        <v>1950</v>
      </c>
      <c r="K108" s="50" t="s">
        <v>397</v>
      </c>
      <c r="N108" t="s">
        <v>637</v>
      </c>
    </row>
    <row r="109" spans="1:14" ht="15" customHeight="1" x14ac:dyDescent="0.2">
      <c r="A109" s="9" t="s">
        <v>253</v>
      </c>
      <c r="B109" s="7" t="s">
        <v>254</v>
      </c>
      <c r="C109" s="12" t="s">
        <v>32</v>
      </c>
      <c r="D109" s="9" t="s">
        <v>559</v>
      </c>
      <c r="E109" s="49" t="s">
        <v>638</v>
      </c>
      <c r="F109" s="49" t="s">
        <v>639</v>
      </c>
      <c r="G109" s="50" t="s">
        <v>396</v>
      </c>
      <c r="H109" s="51">
        <v>33.450061900000001</v>
      </c>
      <c r="I109" s="51">
        <v>-112.26033080000001</v>
      </c>
      <c r="J109" s="52">
        <v>1950</v>
      </c>
      <c r="K109" s="50" t="s">
        <v>397</v>
      </c>
      <c r="N109" t="s">
        <v>640</v>
      </c>
    </row>
    <row r="110" spans="1:14" ht="15" customHeight="1" x14ac:dyDescent="0.2">
      <c r="A110" s="4" t="s">
        <v>255</v>
      </c>
      <c r="B110" s="2" t="s">
        <v>256</v>
      </c>
      <c r="C110" s="8" t="s">
        <v>52</v>
      </c>
      <c r="D110" s="4" t="s">
        <v>455</v>
      </c>
      <c r="E110" s="49" t="s">
        <v>641</v>
      </c>
      <c r="F110" s="49" t="s">
        <v>418</v>
      </c>
      <c r="G110" s="50" t="s">
        <v>396</v>
      </c>
      <c r="H110" s="51">
        <v>33.451374800000004</v>
      </c>
      <c r="I110" s="51">
        <v>-112.1165443</v>
      </c>
      <c r="J110" s="52">
        <v>950</v>
      </c>
      <c r="K110" s="50" t="s">
        <v>397</v>
      </c>
      <c r="N110" t="s">
        <v>642</v>
      </c>
    </row>
    <row r="111" spans="1:14" ht="15" customHeight="1" x14ac:dyDescent="0.2">
      <c r="A111" s="9" t="s">
        <v>257</v>
      </c>
      <c r="B111" s="7" t="s">
        <v>258</v>
      </c>
      <c r="C111" s="3" t="s">
        <v>39</v>
      </c>
      <c r="D111" s="9" t="s">
        <v>420</v>
      </c>
      <c r="E111" s="49" t="s">
        <v>643</v>
      </c>
      <c r="F111" s="49" t="s">
        <v>475</v>
      </c>
      <c r="G111" s="50" t="s">
        <v>396</v>
      </c>
      <c r="H111" s="51">
        <v>33.300450300000001</v>
      </c>
      <c r="I111" s="51">
        <v>-111.84174400000001</v>
      </c>
      <c r="J111" s="52">
        <v>950</v>
      </c>
      <c r="K111" s="50" t="s">
        <v>397</v>
      </c>
    </row>
    <row r="112" spans="1:14" ht="15" customHeight="1" x14ac:dyDescent="0.2">
      <c r="A112" s="4" t="s">
        <v>259</v>
      </c>
      <c r="B112" s="2" t="s">
        <v>260</v>
      </c>
      <c r="C112" s="11" t="s">
        <v>57</v>
      </c>
      <c r="D112" s="4" t="s">
        <v>500</v>
      </c>
      <c r="E112" s="49" t="s">
        <v>644</v>
      </c>
      <c r="F112" s="49" t="s">
        <v>433</v>
      </c>
      <c r="G112" s="50" t="s">
        <v>396</v>
      </c>
      <c r="H112" s="51">
        <v>33.423738200000003</v>
      </c>
      <c r="I112" s="51">
        <v>-111.7705505</v>
      </c>
      <c r="J112" s="52">
        <v>950</v>
      </c>
      <c r="K112" s="50" t="s">
        <v>397</v>
      </c>
      <c r="N112" t="s">
        <v>645</v>
      </c>
    </row>
    <row r="113" spans="1:14" ht="15" customHeight="1" x14ac:dyDescent="0.2">
      <c r="A113" s="9" t="s">
        <v>261</v>
      </c>
      <c r="B113" s="7" t="s">
        <v>262</v>
      </c>
      <c r="C113" s="12" t="s">
        <v>32</v>
      </c>
      <c r="D113" s="9" t="s">
        <v>399</v>
      </c>
      <c r="E113" s="49" t="s">
        <v>646</v>
      </c>
      <c r="F113" s="49" t="s">
        <v>395</v>
      </c>
      <c r="G113" s="50" t="s">
        <v>396</v>
      </c>
      <c r="H113" s="51">
        <v>33.639794000000002</v>
      </c>
      <c r="I113" s="51">
        <v>-112.1860267</v>
      </c>
      <c r="J113" s="52">
        <v>1950</v>
      </c>
      <c r="K113" s="50" t="s">
        <v>401</v>
      </c>
      <c r="N113" t="s">
        <v>647</v>
      </c>
    </row>
    <row r="114" spans="1:14" ht="15" customHeight="1" x14ac:dyDescent="0.2">
      <c r="A114" s="4" t="s">
        <v>263</v>
      </c>
      <c r="B114" s="2" t="s">
        <v>264</v>
      </c>
      <c r="C114" s="12" t="s">
        <v>32</v>
      </c>
      <c r="D114" s="4" t="s">
        <v>393</v>
      </c>
      <c r="E114" s="49" t="s">
        <v>648</v>
      </c>
      <c r="F114" s="49" t="s">
        <v>418</v>
      </c>
      <c r="G114" s="50" t="s">
        <v>396</v>
      </c>
      <c r="H114" s="51">
        <v>33.495276799999999</v>
      </c>
      <c r="I114" s="51">
        <v>-112.20212239999999</v>
      </c>
      <c r="J114" s="52">
        <v>1950</v>
      </c>
      <c r="K114" s="50" t="s">
        <v>397</v>
      </c>
      <c r="N114" t="s">
        <v>649</v>
      </c>
    </row>
    <row r="115" spans="1:14" ht="15" customHeight="1" x14ac:dyDescent="0.2">
      <c r="A115" s="9" t="s">
        <v>265</v>
      </c>
      <c r="B115" s="7" t="s">
        <v>266</v>
      </c>
      <c r="C115" s="13" t="s">
        <v>44</v>
      </c>
      <c r="D115" s="9" t="s">
        <v>650</v>
      </c>
      <c r="E115" s="49" t="s">
        <v>651</v>
      </c>
      <c r="F115" s="49" t="s">
        <v>652</v>
      </c>
      <c r="G115" s="50" t="s">
        <v>396</v>
      </c>
      <c r="H115" s="51">
        <v>33.968950599999999</v>
      </c>
      <c r="I115" s="51">
        <v>-112.7294813</v>
      </c>
      <c r="J115" s="52">
        <v>1950</v>
      </c>
      <c r="K115" s="50" t="s">
        <v>401</v>
      </c>
      <c r="N115" t="s">
        <v>653</v>
      </c>
    </row>
    <row r="116" spans="1:14" ht="15" customHeight="1" x14ac:dyDescent="0.2">
      <c r="A116" s="4" t="s">
        <v>267</v>
      </c>
      <c r="B116" s="2" t="s">
        <v>268</v>
      </c>
      <c r="C116" s="11" t="s">
        <v>57</v>
      </c>
      <c r="D116" s="4" t="s">
        <v>431</v>
      </c>
      <c r="E116" s="49" t="s">
        <v>654</v>
      </c>
      <c r="F116" s="49" t="s">
        <v>433</v>
      </c>
      <c r="G116" s="50" t="s">
        <v>396</v>
      </c>
      <c r="H116" s="51">
        <v>33.466821099999997</v>
      </c>
      <c r="I116" s="51">
        <v>-111.68501310000001</v>
      </c>
      <c r="J116" s="52">
        <v>660</v>
      </c>
      <c r="K116" s="50" t="s">
        <v>401</v>
      </c>
      <c r="N116" t="s">
        <v>655</v>
      </c>
    </row>
    <row r="117" spans="1:14" ht="15" customHeight="1" x14ac:dyDescent="0.2">
      <c r="A117" s="9" t="s">
        <v>269</v>
      </c>
      <c r="B117" s="7" t="s">
        <v>270</v>
      </c>
      <c r="C117" s="8" t="s">
        <v>52</v>
      </c>
      <c r="D117" s="9" t="s">
        <v>416</v>
      </c>
      <c r="E117" s="49" t="s">
        <v>656</v>
      </c>
      <c r="F117" s="49" t="s">
        <v>515</v>
      </c>
      <c r="G117" s="50" t="s">
        <v>396</v>
      </c>
      <c r="H117" s="51">
        <v>33.393490300000003</v>
      </c>
      <c r="I117" s="51">
        <v>-111.9423309</v>
      </c>
      <c r="J117" s="52">
        <v>660</v>
      </c>
      <c r="K117" s="50" t="s">
        <v>397</v>
      </c>
    </row>
    <row r="118" spans="1:14" ht="15" customHeight="1" x14ac:dyDescent="0.2">
      <c r="A118" s="4" t="s">
        <v>271</v>
      </c>
      <c r="B118" s="2" t="s">
        <v>272</v>
      </c>
      <c r="C118" s="12" t="s">
        <v>32</v>
      </c>
      <c r="D118" s="4" t="s">
        <v>399</v>
      </c>
      <c r="E118" s="49" t="s">
        <v>657</v>
      </c>
      <c r="F118" s="49" t="s">
        <v>462</v>
      </c>
      <c r="G118" s="50" t="s">
        <v>396</v>
      </c>
      <c r="H118" s="51">
        <v>33.653517999999998</v>
      </c>
      <c r="I118" s="51">
        <v>-112.23362830000001</v>
      </c>
      <c r="J118" s="52">
        <v>1050</v>
      </c>
      <c r="K118" s="50" t="s">
        <v>401</v>
      </c>
      <c r="N118" t="s">
        <v>658</v>
      </c>
    </row>
    <row r="119" spans="1:14" ht="15" customHeight="1" x14ac:dyDescent="0.2">
      <c r="A119" s="9" t="s">
        <v>273</v>
      </c>
      <c r="B119" s="7" t="s">
        <v>274</v>
      </c>
      <c r="C119" s="8" t="s">
        <v>52</v>
      </c>
      <c r="D119" s="9" t="s">
        <v>478</v>
      </c>
      <c r="E119" s="49" t="s">
        <v>659</v>
      </c>
      <c r="F119" s="49" t="s">
        <v>418</v>
      </c>
      <c r="G119" s="50" t="s">
        <v>396</v>
      </c>
      <c r="H119" s="51">
        <v>33.641054500000003</v>
      </c>
      <c r="I119" s="51">
        <v>-112.01786420000001</v>
      </c>
      <c r="J119" s="52">
        <v>450</v>
      </c>
      <c r="K119" s="50" t="s">
        <v>397</v>
      </c>
      <c r="N119" t="s">
        <v>660</v>
      </c>
    </row>
    <row r="120" spans="1:14" ht="15" customHeight="1" x14ac:dyDescent="0.2">
      <c r="A120" s="4" t="s">
        <v>275</v>
      </c>
      <c r="B120" s="2" t="s">
        <v>276</v>
      </c>
      <c r="C120" s="8" t="s">
        <v>52</v>
      </c>
      <c r="D120" s="4" t="s">
        <v>416</v>
      </c>
      <c r="E120" s="49" t="s">
        <v>661</v>
      </c>
      <c r="F120" s="49" t="s">
        <v>418</v>
      </c>
      <c r="G120" s="50" t="s">
        <v>396</v>
      </c>
      <c r="H120" s="51">
        <v>33.466081799999998</v>
      </c>
      <c r="I120" s="51">
        <v>-112.01547619999999</v>
      </c>
      <c r="J120" s="52">
        <v>950</v>
      </c>
      <c r="K120" s="50" t="s">
        <v>397</v>
      </c>
      <c r="N120" t="s">
        <v>662</v>
      </c>
    </row>
    <row r="121" spans="1:14" ht="15" customHeight="1" x14ac:dyDescent="0.2">
      <c r="A121" s="9" t="s">
        <v>277</v>
      </c>
      <c r="B121" s="7" t="s">
        <v>278</v>
      </c>
      <c r="C121" s="8" t="s">
        <v>52</v>
      </c>
      <c r="D121" s="9" t="s">
        <v>663</v>
      </c>
      <c r="E121" s="49" t="s">
        <v>664</v>
      </c>
      <c r="F121" s="49" t="s">
        <v>665</v>
      </c>
      <c r="G121" s="50" t="s">
        <v>396</v>
      </c>
      <c r="H121" s="51">
        <v>33.918937200000009</v>
      </c>
      <c r="I121" s="51">
        <v>-112.1401541</v>
      </c>
      <c r="J121" s="52">
        <v>1850</v>
      </c>
      <c r="K121" s="50" t="s">
        <v>401</v>
      </c>
      <c r="N121" t="s">
        <v>666</v>
      </c>
    </row>
    <row r="122" spans="1:14" ht="15" customHeight="1" x14ac:dyDescent="0.2">
      <c r="A122" s="4" t="s">
        <v>279</v>
      </c>
      <c r="B122" s="2" t="s">
        <v>280</v>
      </c>
      <c r="C122" s="11" t="s">
        <v>57</v>
      </c>
      <c r="D122" s="4" t="s">
        <v>500</v>
      </c>
      <c r="E122" s="49" t="s">
        <v>667</v>
      </c>
      <c r="F122" s="49" t="s">
        <v>502</v>
      </c>
      <c r="G122" s="50" t="s">
        <v>396</v>
      </c>
      <c r="H122" s="51">
        <v>33.4174814</v>
      </c>
      <c r="I122" s="51">
        <v>-111.5469768</v>
      </c>
      <c r="J122" s="52">
        <v>1050</v>
      </c>
      <c r="K122" s="50" t="s">
        <v>401</v>
      </c>
      <c r="N122" t="s">
        <v>668</v>
      </c>
    </row>
    <row r="123" spans="1:14" ht="15" customHeight="1" x14ac:dyDescent="0.2">
      <c r="A123" s="9" t="s">
        <v>281</v>
      </c>
      <c r="B123" s="7" t="s">
        <v>282</v>
      </c>
      <c r="C123" s="13" t="s">
        <v>44</v>
      </c>
      <c r="D123" s="9" t="s">
        <v>583</v>
      </c>
      <c r="E123" s="49" t="s">
        <v>669</v>
      </c>
      <c r="F123" s="49" t="s">
        <v>427</v>
      </c>
      <c r="G123" s="50" t="s">
        <v>396</v>
      </c>
      <c r="H123" s="51">
        <v>33.456409000000008</v>
      </c>
      <c r="I123" s="51">
        <v>-112.395652</v>
      </c>
      <c r="J123" s="52">
        <v>1100</v>
      </c>
      <c r="K123" s="50" t="s">
        <v>397</v>
      </c>
      <c r="N123" t="s">
        <v>670</v>
      </c>
    </row>
    <row r="124" spans="1:14" ht="15" customHeight="1" x14ac:dyDescent="0.2">
      <c r="A124" s="4" t="s">
        <v>283</v>
      </c>
      <c r="B124" s="2" t="s">
        <v>284</v>
      </c>
      <c r="C124" s="12" t="s">
        <v>32</v>
      </c>
      <c r="D124" s="4" t="s">
        <v>399</v>
      </c>
      <c r="E124" s="49" t="s">
        <v>671</v>
      </c>
      <c r="F124" s="49" t="s">
        <v>496</v>
      </c>
      <c r="G124" s="50" t="s">
        <v>396</v>
      </c>
      <c r="H124" s="51">
        <v>33.670362099999998</v>
      </c>
      <c r="I124" s="51">
        <v>-112.23835510000001</v>
      </c>
      <c r="J124" s="52">
        <v>620</v>
      </c>
      <c r="K124" s="50" t="s">
        <v>401</v>
      </c>
      <c r="N124" t="s">
        <v>672</v>
      </c>
    </row>
    <row r="125" spans="1:14" ht="15" customHeight="1" x14ac:dyDescent="0.2">
      <c r="A125" s="9" t="s">
        <v>285</v>
      </c>
      <c r="B125" s="7" t="s">
        <v>286</v>
      </c>
      <c r="C125" s="8" t="s">
        <v>52</v>
      </c>
      <c r="D125" s="9" t="s">
        <v>478</v>
      </c>
      <c r="E125" s="49" t="s">
        <v>673</v>
      </c>
      <c r="F125" s="49" t="s">
        <v>418</v>
      </c>
      <c r="G125" s="50" t="s">
        <v>396</v>
      </c>
      <c r="H125" s="51">
        <v>33.6559375</v>
      </c>
      <c r="I125" s="51">
        <v>-112.09793790000001</v>
      </c>
      <c r="J125" s="52">
        <v>620</v>
      </c>
      <c r="K125" s="50" t="s">
        <v>401</v>
      </c>
      <c r="N125" t="s">
        <v>674</v>
      </c>
    </row>
    <row r="126" spans="1:14" ht="15" customHeight="1" x14ac:dyDescent="0.2">
      <c r="A126" s="4" t="s">
        <v>287</v>
      </c>
      <c r="B126" s="2" t="s">
        <v>288</v>
      </c>
      <c r="C126" s="8" t="s">
        <v>52</v>
      </c>
      <c r="D126" s="4" t="s">
        <v>478</v>
      </c>
      <c r="E126" s="49" t="s">
        <v>675</v>
      </c>
      <c r="F126" s="49" t="s">
        <v>418</v>
      </c>
      <c r="G126" s="50" t="s">
        <v>396</v>
      </c>
      <c r="H126" s="51">
        <v>33.598052899999999</v>
      </c>
      <c r="I126" s="51">
        <v>-112.1509389</v>
      </c>
      <c r="J126" s="52">
        <v>620</v>
      </c>
      <c r="K126" s="50" t="s">
        <v>401</v>
      </c>
    </row>
    <row r="127" spans="1:14" ht="15" customHeight="1" x14ac:dyDescent="0.2">
      <c r="A127" s="9" t="s">
        <v>289</v>
      </c>
      <c r="B127" s="7" t="s">
        <v>290</v>
      </c>
      <c r="C127" s="8" t="s">
        <v>52</v>
      </c>
      <c r="D127" s="9" t="s">
        <v>416</v>
      </c>
      <c r="E127" s="49" t="s">
        <v>676</v>
      </c>
      <c r="F127" s="49" t="s">
        <v>395</v>
      </c>
      <c r="G127" s="50" t="s">
        <v>396</v>
      </c>
      <c r="H127" s="51">
        <v>33.567888699999997</v>
      </c>
      <c r="I127" s="51">
        <v>-112.1538264</v>
      </c>
      <c r="J127" s="52">
        <v>350</v>
      </c>
      <c r="K127" s="50" t="s">
        <v>401</v>
      </c>
    </row>
    <row r="128" spans="1:14" ht="15" customHeight="1" x14ac:dyDescent="0.2">
      <c r="A128" s="4" t="s">
        <v>291</v>
      </c>
      <c r="B128" s="2" t="s">
        <v>292</v>
      </c>
      <c r="C128" s="8" t="s">
        <v>52</v>
      </c>
      <c r="D128" s="4" t="s">
        <v>416</v>
      </c>
      <c r="E128" s="49" t="s">
        <v>677</v>
      </c>
      <c r="F128" s="49" t="s">
        <v>418</v>
      </c>
      <c r="G128" s="50" t="s">
        <v>396</v>
      </c>
      <c r="H128" s="51">
        <v>33.502972</v>
      </c>
      <c r="I128" s="51">
        <v>-112.116158</v>
      </c>
      <c r="J128" s="52">
        <v>450</v>
      </c>
      <c r="K128" s="50" t="s">
        <v>401</v>
      </c>
      <c r="N128" t="s">
        <v>678</v>
      </c>
    </row>
    <row r="129" spans="1:14" ht="15" customHeight="1" x14ac:dyDescent="0.2">
      <c r="A129" s="9" t="s">
        <v>293</v>
      </c>
      <c r="B129" s="7" t="s">
        <v>294</v>
      </c>
      <c r="C129" s="3" t="s">
        <v>39</v>
      </c>
      <c r="D129" s="9" t="s">
        <v>443</v>
      </c>
      <c r="E129" s="49" t="s">
        <v>679</v>
      </c>
      <c r="F129" s="49" t="s">
        <v>405</v>
      </c>
      <c r="G129" s="50" t="s">
        <v>396</v>
      </c>
      <c r="H129" s="51">
        <v>33.498759900000003</v>
      </c>
      <c r="I129" s="51">
        <v>-111.9246156</v>
      </c>
      <c r="J129" s="52">
        <v>1500</v>
      </c>
      <c r="K129" s="50" t="s">
        <v>401</v>
      </c>
      <c r="N129" t="s">
        <v>680</v>
      </c>
    </row>
    <row r="130" spans="1:14" ht="15" customHeight="1" x14ac:dyDescent="0.2">
      <c r="A130" s="4" t="s">
        <v>295</v>
      </c>
      <c r="B130" s="2" t="s">
        <v>296</v>
      </c>
      <c r="C130" s="3" t="s">
        <v>39</v>
      </c>
      <c r="D130" s="4" t="s">
        <v>403</v>
      </c>
      <c r="E130" s="49" t="s">
        <v>681</v>
      </c>
      <c r="F130" s="49" t="s">
        <v>512</v>
      </c>
      <c r="G130" s="50" t="s">
        <v>396</v>
      </c>
      <c r="H130" s="51">
        <v>33.622056000000001</v>
      </c>
      <c r="I130" s="51">
        <v>-111.90449599999999</v>
      </c>
      <c r="J130" s="52">
        <v>480</v>
      </c>
      <c r="K130" s="50" t="s">
        <v>397</v>
      </c>
      <c r="N130" t="s">
        <v>682</v>
      </c>
    </row>
    <row r="131" spans="1:14" ht="15" customHeight="1" x14ac:dyDescent="0.2">
      <c r="A131" s="9" t="s">
        <v>297</v>
      </c>
      <c r="B131" s="7" t="s">
        <v>298</v>
      </c>
      <c r="C131" s="13" t="s">
        <v>44</v>
      </c>
      <c r="D131" s="9" t="s">
        <v>410</v>
      </c>
      <c r="E131" s="49" t="s">
        <v>683</v>
      </c>
      <c r="F131" s="49" t="s">
        <v>684</v>
      </c>
      <c r="G131" s="50" t="s">
        <v>396</v>
      </c>
      <c r="H131" s="51">
        <v>33.638244800000002</v>
      </c>
      <c r="I131" s="51">
        <v>-112.357798</v>
      </c>
      <c r="J131" s="52">
        <v>950</v>
      </c>
      <c r="K131" s="50" t="s">
        <v>401</v>
      </c>
      <c r="N131" t="s">
        <v>685</v>
      </c>
    </row>
    <row r="132" spans="1:14" ht="15" customHeight="1" x14ac:dyDescent="0.2">
      <c r="A132" s="4" t="s">
        <v>299</v>
      </c>
      <c r="B132" s="2" t="s">
        <v>300</v>
      </c>
      <c r="C132" s="3" t="s">
        <v>39</v>
      </c>
      <c r="D132" s="4" t="s">
        <v>403</v>
      </c>
      <c r="E132" s="49" t="s">
        <v>686</v>
      </c>
      <c r="F132" s="49" t="s">
        <v>405</v>
      </c>
      <c r="G132" s="50" t="s">
        <v>396</v>
      </c>
      <c r="H132" s="51">
        <v>33.628121200000002</v>
      </c>
      <c r="I132" s="51">
        <v>-111.8964059</v>
      </c>
      <c r="J132" s="52">
        <v>350</v>
      </c>
      <c r="K132" s="50" t="s">
        <v>397</v>
      </c>
    </row>
    <row r="133" spans="1:14" ht="15" customHeight="1" x14ac:dyDescent="0.2">
      <c r="A133" s="9" t="s">
        <v>301</v>
      </c>
      <c r="B133" s="7" t="s">
        <v>302</v>
      </c>
      <c r="C133" s="12" t="s">
        <v>32</v>
      </c>
      <c r="D133" s="9" t="s">
        <v>393</v>
      </c>
      <c r="E133" s="49" t="s">
        <v>687</v>
      </c>
      <c r="F133" s="49" t="s">
        <v>462</v>
      </c>
      <c r="G133" s="50" t="s">
        <v>396</v>
      </c>
      <c r="H133" s="51">
        <v>33.5339016</v>
      </c>
      <c r="I133" s="51">
        <v>-112.260605</v>
      </c>
      <c r="J133" s="52">
        <v>350</v>
      </c>
      <c r="K133" s="50" t="s">
        <v>401</v>
      </c>
    </row>
    <row r="134" spans="1:14" ht="15" customHeight="1" x14ac:dyDescent="0.2">
      <c r="A134" s="4" t="s">
        <v>303</v>
      </c>
      <c r="B134" s="2" t="s">
        <v>304</v>
      </c>
      <c r="C134" s="8" t="s">
        <v>52</v>
      </c>
      <c r="D134" s="4" t="s">
        <v>688</v>
      </c>
      <c r="E134" s="49" t="s">
        <v>689</v>
      </c>
      <c r="F134" s="49" t="s">
        <v>408</v>
      </c>
      <c r="G134" s="50" t="s">
        <v>396</v>
      </c>
      <c r="H134" s="51">
        <v>33.715291100000009</v>
      </c>
      <c r="I134" s="51">
        <v>-112.11364260000001</v>
      </c>
      <c r="J134" s="52">
        <v>350</v>
      </c>
      <c r="K134" s="50" t="s">
        <v>401</v>
      </c>
    </row>
    <row r="135" spans="1:14" ht="15" customHeight="1" x14ac:dyDescent="0.2">
      <c r="A135" s="9" t="s">
        <v>305</v>
      </c>
      <c r="B135" s="7" t="s">
        <v>306</v>
      </c>
      <c r="C135" s="3" t="s">
        <v>39</v>
      </c>
      <c r="D135" s="9" t="s">
        <v>403</v>
      </c>
      <c r="E135" s="49" t="s">
        <v>690</v>
      </c>
      <c r="F135" s="49" t="s">
        <v>405</v>
      </c>
      <c r="G135" s="50" t="s">
        <v>396</v>
      </c>
      <c r="H135" s="51">
        <v>33.622039999999998</v>
      </c>
      <c r="I135" s="51">
        <v>-111.90441439999999</v>
      </c>
      <c r="J135" s="52">
        <v>1050</v>
      </c>
      <c r="K135" s="50" t="s">
        <v>397</v>
      </c>
      <c r="N135" t="s">
        <v>691</v>
      </c>
    </row>
    <row r="136" spans="1:14" ht="15" customHeight="1" x14ac:dyDescent="0.2">
      <c r="A136" s="4" t="s">
        <v>307</v>
      </c>
      <c r="B136" s="2" t="s">
        <v>308</v>
      </c>
      <c r="C136" s="8" t="s">
        <v>52</v>
      </c>
      <c r="D136" s="4" t="s">
        <v>478</v>
      </c>
      <c r="E136" s="49" t="s">
        <v>692</v>
      </c>
      <c r="F136" s="49" t="s">
        <v>515</v>
      </c>
      <c r="G136" s="50" t="s">
        <v>396</v>
      </c>
      <c r="H136" s="51">
        <v>33.378718900000003</v>
      </c>
      <c r="I136" s="51">
        <v>-111.9301978</v>
      </c>
      <c r="J136" s="52">
        <v>500</v>
      </c>
      <c r="K136" s="50" t="s">
        <v>397</v>
      </c>
      <c r="N136" t="s">
        <v>693</v>
      </c>
    </row>
    <row r="137" spans="1:14" ht="15" customHeight="1" x14ac:dyDescent="0.2">
      <c r="A137" s="9" t="s">
        <v>309</v>
      </c>
      <c r="B137" s="7" t="s">
        <v>310</v>
      </c>
      <c r="C137" s="8" t="s">
        <v>52</v>
      </c>
      <c r="D137" s="9" t="s">
        <v>416</v>
      </c>
      <c r="E137" s="49" t="s">
        <v>694</v>
      </c>
      <c r="F137" s="49" t="s">
        <v>408</v>
      </c>
      <c r="G137" s="50" t="s">
        <v>396</v>
      </c>
      <c r="H137" s="51">
        <v>33.4877599</v>
      </c>
      <c r="I137" s="51">
        <v>-112.06568489999999</v>
      </c>
      <c r="J137" s="52">
        <v>1050</v>
      </c>
      <c r="K137" s="50" t="s">
        <v>401</v>
      </c>
    </row>
    <row r="138" spans="1:14" ht="15" customHeight="1" x14ac:dyDescent="0.2">
      <c r="A138" s="4" t="s">
        <v>311</v>
      </c>
      <c r="B138" s="2" t="s">
        <v>312</v>
      </c>
      <c r="C138" s="12" t="s">
        <v>32</v>
      </c>
      <c r="D138" s="4" t="s">
        <v>399</v>
      </c>
      <c r="E138" s="49" t="s">
        <v>695</v>
      </c>
      <c r="F138" s="49" t="s">
        <v>696</v>
      </c>
      <c r="G138" s="50" t="s">
        <v>396</v>
      </c>
      <c r="H138" s="51">
        <v>33.678324699999997</v>
      </c>
      <c r="I138" s="51">
        <v>-112.2768177</v>
      </c>
      <c r="J138" s="52">
        <v>1050</v>
      </c>
      <c r="K138" s="50" t="s">
        <v>401</v>
      </c>
      <c r="N138" t="s">
        <v>697</v>
      </c>
    </row>
    <row r="139" spans="1:14" ht="15" customHeight="1" x14ac:dyDescent="0.2">
      <c r="A139" s="9" t="s">
        <v>313</v>
      </c>
      <c r="B139" s="7" t="s">
        <v>314</v>
      </c>
      <c r="C139" s="13" t="s">
        <v>44</v>
      </c>
      <c r="D139" s="9" t="s">
        <v>410</v>
      </c>
      <c r="E139" s="49" t="s">
        <v>698</v>
      </c>
      <c r="F139" s="49" t="s">
        <v>412</v>
      </c>
      <c r="G139" s="50" t="s">
        <v>396</v>
      </c>
      <c r="H139" s="51">
        <v>33.636786000000001</v>
      </c>
      <c r="I139" s="51">
        <v>-112.3946409</v>
      </c>
      <c r="J139" s="52">
        <v>1050</v>
      </c>
      <c r="K139" s="50" t="s">
        <v>401</v>
      </c>
      <c r="N139" t="s">
        <v>699</v>
      </c>
    </row>
    <row r="140" spans="1:14" ht="15" customHeight="1" x14ac:dyDescent="0.2">
      <c r="A140" s="4" t="s">
        <v>315</v>
      </c>
      <c r="B140" s="2" t="s">
        <v>316</v>
      </c>
      <c r="C140" s="13" t="s">
        <v>44</v>
      </c>
      <c r="D140" s="4" t="s">
        <v>583</v>
      </c>
      <c r="E140" s="49" t="s">
        <v>700</v>
      </c>
      <c r="F140" s="49" t="s">
        <v>448</v>
      </c>
      <c r="G140" s="50" t="s">
        <v>396</v>
      </c>
      <c r="H140" s="51">
        <v>33.452567299999998</v>
      </c>
      <c r="I140" s="51">
        <v>-112.3939295</v>
      </c>
      <c r="J140" s="52">
        <v>1050</v>
      </c>
      <c r="K140" s="50" t="s">
        <v>401</v>
      </c>
      <c r="N140" t="s">
        <v>701</v>
      </c>
    </row>
    <row r="141" spans="1:14" ht="15" customHeight="1" x14ac:dyDescent="0.2">
      <c r="A141" s="9" t="s">
        <v>317</v>
      </c>
      <c r="B141" s="7" t="s">
        <v>318</v>
      </c>
      <c r="C141" s="12" t="s">
        <v>32</v>
      </c>
      <c r="D141" s="9" t="s">
        <v>393</v>
      </c>
      <c r="E141" s="49" t="s">
        <v>702</v>
      </c>
      <c r="F141" s="49" t="s">
        <v>703</v>
      </c>
      <c r="G141" s="50" t="s">
        <v>396</v>
      </c>
      <c r="H141" s="51">
        <v>33.5093666</v>
      </c>
      <c r="I141" s="51">
        <v>-112.342473</v>
      </c>
      <c r="J141" s="52">
        <v>1050</v>
      </c>
      <c r="K141" s="50" t="s">
        <v>397</v>
      </c>
      <c r="N141" t="s">
        <v>704</v>
      </c>
    </row>
    <row r="142" spans="1:14" ht="15" customHeight="1" x14ac:dyDescent="0.2">
      <c r="A142" s="4" t="s">
        <v>319</v>
      </c>
      <c r="B142" s="2" t="s">
        <v>320</v>
      </c>
      <c r="C142" s="13" t="s">
        <v>44</v>
      </c>
      <c r="D142" s="4" t="s">
        <v>583</v>
      </c>
      <c r="E142" s="49" t="s">
        <v>705</v>
      </c>
      <c r="F142" s="49" t="s">
        <v>706</v>
      </c>
      <c r="G142" s="50" t="s">
        <v>396</v>
      </c>
      <c r="H142" s="51">
        <v>33.442979000000001</v>
      </c>
      <c r="I142" s="51">
        <v>-112.55476350000001</v>
      </c>
      <c r="J142" s="52">
        <v>1050</v>
      </c>
      <c r="K142" s="50" t="s">
        <v>401</v>
      </c>
      <c r="N142" t="s">
        <v>707</v>
      </c>
    </row>
    <row r="143" spans="1:14" ht="15" customHeight="1" x14ac:dyDescent="0.2">
      <c r="A143" s="9" t="s">
        <v>321</v>
      </c>
      <c r="B143" s="7" t="s">
        <v>322</v>
      </c>
      <c r="C143" s="3" t="s">
        <v>39</v>
      </c>
      <c r="D143" s="9" t="s">
        <v>536</v>
      </c>
      <c r="E143" s="49" t="s">
        <v>708</v>
      </c>
      <c r="F143" s="49" t="s">
        <v>709</v>
      </c>
      <c r="G143" s="50" t="s">
        <v>396</v>
      </c>
      <c r="H143" s="51">
        <v>33.742255499999999</v>
      </c>
      <c r="I143" s="51">
        <v>-111.9798691</v>
      </c>
      <c r="J143" s="52">
        <v>1050</v>
      </c>
      <c r="K143" s="50" t="s">
        <v>401</v>
      </c>
      <c r="N143" t="s">
        <v>710</v>
      </c>
    </row>
    <row r="144" spans="1:14" ht="15" customHeight="1" x14ac:dyDescent="0.2">
      <c r="A144" s="4" t="s">
        <v>323</v>
      </c>
      <c r="B144" s="2" t="s">
        <v>324</v>
      </c>
      <c r="C144" s="3" t="s">
        <v>39</v>
      </c>
      <c r="D144" s="4" t="s">
        <v>536</v>
      </c>
      <c r="E144" s="49" t="s">
        <v>711</v>
      </c>
      <c r="F144" s="49" t="s">
        <v>408</v>
      </c>
      <c r="G144" s="50" t="s">
        <v>396</v>
      </c>
      <c r="H144" s="51">
        <v>33.640246400000002</v>
      </c>
      <c r="I144" s="51">
        <v>-112.0328493</v>
      </c>
      <c r="J144" s="52">
        <v>1050</v>
      </c>
      <c r="K144" s="50" t="s">
        <v>401</v>
      </c>
    </row>
    <row r="145" spans="1:14" ht="15" customHeight="1" x14ac:dyDescent="0.2">
      <c r="A145" s="9" t="s">
        <v>325</v>
      </c>
      <c r="B145" s="7" t="s">
        <v>326</v>
      </c>
      <c r="C145" s="13" t="s">
        <v>44</v>
      </c>
      <c r="D145" s="9" t="s">
        <v>410</v>
      </c>
      <c r="E145" s="49" t="s">
        <v>712</v>
      </c>
      <c r="F145" s="49" t="s">
        <v>601</v>
      </c>
      <c r="G145" s="50" t="s">
        <v>396</v>
      </c>
      <c r="H145" s="51">
        <v>33.608203400000001</v>
      </c>
      <c r="I145" s="51">
        <v>-112.3573367</v>
      </c>
      <c r="J145" s="52">
        <v>950</v>
      </c>
      <c r="K145" s="50" t="s">
        <v>397</v>
      </c>
      <c r="N145" t="s">
        <v>713</v>
      </c>
    </row>
    <row r="146" spans="1:14" ht="15" customHeight="1" x14ac:dyDescent="0.2">
      <c r="A146" s="4" t="s">
        <v>327</v>
      </c>
      <c r="B146" s="2" t="s">
        <v>328</v>
      </c>
      <c r="C146" s="3" t="s">
        <v>39</v>
      </c>
      <c r="D146" s="4" t="s">
        <v>403</v>
      </c>
      <c r="E146" s="49" t="s">
        <v>714</v>
      </c>
      <c r="F146" s="49" t="s">
        <v>405</v>
      </c>
      <c r="G146" s="50" t="s">
        <v>396</v>
      </c>
      <c r="H146" s="51">
        <v>33.543011399999997</v>
      </c>
      <c r="I146" s="51">
        <v>-111.9052496</v>
      </c>
      <c r="J146" s="52">
        <v>1050</v>
      </c>
      <c r="K146" s="50" t="s">
        <v>401</v>
      </c>
      <c r="N146" t="s">
        <v>715</v>
      </c>
    </row>
    <row r="147" spans="1:14" ht="15" customHeight="1" x14ac:dyDescent="0.2">
      <c r="A147" s="9" t="s">
        <v>329</v>
      </c>
      <c r="B147" s="7" t="s">
        <v>330</v>
      </c>
      <c r="C147" s="13" t="s">
        <v>44</v>
      </c>
      <c r="D147" s="9" t="s">
        <v>583</v>
      </c>
      <c r="E147" s="49" t="s">
        <v>716</v>
      </c>
      <c r="F147" s="49" t="s">
        <v>451</v>
      </c>
      <c r="G147" s="50" t="s">
        <v>396</v>
      </c>
      <c r="H147" s="51">
        <v>33.353912800000003</v>
      </c>
      <c r="I147" s="51">
        <v>-112.59184329999999</v>
      </c>
      <c r="J147" s="52">
        <v>1050</v>
      </c>
      <c r="K147" s="50" t="s">
        <v>401</v>
      </c>
    </row>
    <row r="148" spans="1:14" ht="15" customHeight="1" x14ac:dyDescent="0.2">
      <c r="A148" s="4" t="s">
        <v>331</v>
      </c>
      <c r="B148" s="2" t="s">
        <v>332</v>
      </c>
      <c r="C148" s="12" t="s">
        <v>32</v>
      </c>
      <c r="D148" s="4" t="s">
        <v>399</v>
      </c>
      <c r="E148" s="49" t="s">
        <v>717</v>
      </c>
      <c r="F148" s="49" t="s">
        <v>395</v>
      </c>
      <c r="G148" s="50" t="s">
        <v>396</v>
      </c>
      <c r="H148" s="51">
        <v>33.638676699999998</v>
      </c>
      <c r="I148" s="51">
        <v>-112.1709561</v>
      </c>
      <c r="J148" s="52">
        <v>1050</v>
      </c>
      <c r="K148" s="50" t="s">
        <v>401</v>
      </c>
      <c r="N148" t="s">
        <v>718</v>
      </c>
    </row>
    <row r="149" spans="1:14" ht="15" customHeight="1" x14ac:dyDescent="0.2">
      <c r="A149" s="9" t="s">
        <v>333</v>
      </c>
      <c r="B149" s="7" t="s">
        <v>334</v>
      </c>
      <c r="C149" s="11" t="s">
        <v>57</v>
      </c>
      <c r="D149" s="9" t="s">
        <v>500</v>
      </c>
      <c r="E149" s="49" t="s">
        <v>719</v>
      </c>
      <c r="F149" s="49" t="s">
        <v>483</v>
      </c>
      <c r="G149" s="50" t="s">
        <v>396</v>
      </c>
      <c r="H149" s="51">
        <v>33.383326500000003</v>
      </c>
      <c r="I149" s="51">
        <v>-111.7569014</v>
      </c>
      <c r="J149" s="52">
        <v>1050</v>
      </c>
      <c r="K149" s="50" t="s">
        <v>401</v>
      </c>
      <c r="N149" t="s">
        <v>715</v>
      </c>
    </row>
    <row r="150" spans="1:14" ht="15" customHeight="1" x14ac:dyDescent="0.2">
      <c r="A150" s="4" t="s">
        <v>335</v>
      </c>
      <c r="B150" s="2" t="s">
        <v>336</v>
      </c>
      <c r="C150" s="3" t="s">
        <v>39</v>
      </c>
      <c r="D150" s="4" t="s">
        <v>443</v>
      </c>
      <c r="E150" s="49" t="s">
        <v>720</v>
      </c>
      <c r="F150" s="49" t="s">
        <v>512</v>
      </c>
      <c r="G150" s="50" t="s">
        <v>396</v>
      </c>
      <c r="H150" s="51">
        <v>33.639537099999998</v>
      </c>
      <c r="I150" s="51">
        <v>-111.8617453</v>
      </c>
      <c r="J150" s="52">
        <v>1050</v>
      </c>
      <c r="K150" s="50" t="s">
        <v>401</v>
      </c>
      <c r="N150" t="s">
        <v>721</v>
      </c>
    </row>
    <row r="151" spans="1:14" ht="15" customHeight="1" x14ac:dyDescent="0.2">
      <c r="A151" s="9" t="s">
        <v>337</v>
      </c>
      <c r="B151" s="7" t="s">
        <v>338</v>
      </c>
      <c r="C151" s="3" t="s">
        <v>39</v>
      </c>
      <c r="D151" s="9" t="s">
        <v>443</v>
      </c>
      <c r="E151" s="49" t="s">
        <v>722</v>
      </c>
      <c r="F151" s="49" t="s">
        <v>723</v>
      </c>
      <c r="G151" s="50" t="s">
        <v>396</v>
      </c>
      <c r="H151" s="51">
        <v>33.518335700000002</v>
      </c>
      <c r="I151" s="51">
        <v>-112.00490449999999</v>
      </c>
      <c r="J151" s="52">
        <v>1050</v>
      </c>
      <c r="K151" s="50" t="s">
        <v>401</v>
      </c>
      <c r="N151" t="s">
        <v>724</v>
      </c>
    </row>
    <row r="152" spans="1:14" ht="15" customHeight="1" x14ac:dyDescent="0.2">
      <c r="A152" s="4" t="s">
        <v>339</v>
      </c>
      <c r="B152" s="2" t="s">
        <v>340</v>
      </c>
      <c r="C152" s="12" t="s">
        <v>32</v>
      </c>
      <c r="D152" s="4" t="s">
        <v>399</v>
      </c>
      <c r="E152" s="49" t="s">
        <v>725</v>
      </c>
      <c r="F152" s="49" t="s">
        <v>395</v>
      </c>
      <c r="G152" s="50" t="s">
        <v>396</v>
      </c>
      <c r="H152" s="51">
        <v>33.640470899999997</v>
      </c>
      <c r="I152" s="51">
        <v>-112.1860298</v>
      </c>
      <c r="J152" s="52">
        <v>300</v>
      </c>
      <c r="K152" s="50" t="s">
        <v>397</v>
      </c>
      <c r="N152" t="s">
        <v>726</v>
      </c>
    </row>
    <row r="153" spans="1:14" ht="15" customHeight="1" x14ac:dyDescent="0.2">
      <c r="A153" s="9" t="s">
        <v>341</v>
      </c>
      <c r="B153" s="7" t="s">
        <v>342</v>
      </c>
      <c r="C153" s="3" t="s">
        <v>39</v>
      </c>
      <c r="D153" s="9" t="s">
        <v>529</v>
      </c>
      <c r="E153" s="49" t="s">
        <v>727</v>
      </c>
      <c r="F153" s="49" t="s">
        <v>709</v>
      </c>
      <c r="G153" s="50" t="s">
        <v>396</v>
      </c>
      <c r="H153" s="51">
        <v>33.833152900000002</v>
      </c>
      <c r="I153" s="51">
        <v>-111.9561758</v>
      </c>
      <c r="J153" s="52">
        <v>630</v>
      </c>
      <c r="K153" s="50" t="s">
        <v>397</v>
      </c>
      <c r="N153" t="s">
        <v>728</v>
      </c>
    </row>
    <row r="154" spans="1:14" ht="15" customHeight="1" x14ac:dyDescent="0.2">
      <c r="A154" s="4" t="s">
        <v>343</v>
      </c>
      <c r="B154" s="2" t="s">
        <v>344</v>
      </c>
      <c r="C154" s="12" t="s">
        <v>32</v>
      </c>
      <c r="D154" s="4" t="s">
        <v>399</v>
      </c>
      <c r="E154" s="49" t="s">
        <v>729</v>
      </c>
      <c r="F154" s="49" t="s">
        <v>496</v>
      </c>
      <c r="G154" s="50" t="s">
        <v>396</v>
      </c>
      <c r="H154" s="51">
        <v>33.655749999999998</v>
      </c>
      <c r="I154" s="51">
        <v>-112.2370715</v>
      </c>
      <c r="J154" s="52">
        <v>1200</v>
      </c>
      <c r="K154" s="50" t="s">
        <v>397</v>
      </c>
      <c r="N154" t="s">
        <v>730</v>
      </c>
    </row>
    <row r="155" spans="1:14" ht="15" customHeight="1" x14ac:dyDescent="0.2">
      <c r="A155" s="9" t="s">
        <v>345</v>
      </c>
      <c r="B155" s="7" t="s">
        <v>346</v>
      </c>
      <c r="C155" s="8" t="s">
        <v>52</v>
      </c>
      <c r="D155" s="9" t="s">
        <v>478</v>
      </c>
      <c r="E155" s="49" t="s">
        <v>731</v>
      </c>
      <c r="F155" s="49" t="s">
        <v>418</v>
      </c>
      <c r="G155" s="50" t="s">
        <v>396</v>
      </c>
      <c r="H155" s="51">
        <v>33.582112199999997</v>
      </c>
      <c r="I155" s="51">
        <v>-112.0121697</v>
      </c>
      <c r="J155" s="52">
        <v>1850</v>
      </c>
      <c r="K155" s="50" t="s">
        <v>397</v>
      </c>
      <c r="N155" t="s">
        <v>730</v>
      </c>
    </row>
    <row r="156" spans="1:14" ht="15" customHeight="1" x14ac:dyDescent="0.2">
      <c r="A156" s="4" t="s">
        <v>349</v>
      </c>
      <c r="B156" s="2" t="s">
        <v>350</v>
      </c>
      <c r="C156" s="12" t="s">
        <v>32</v>
      </c>
      <c r="D156" s="4" t="s">
        <v>393</v>
      </c>
      <c r="E156" s="49" t="s">
        <v>732</v>
      </c>
      <c r="F156" s="49" t="s">
        <v>696</v>
      </c>
      <c r="G156" s="50" t="s">
        <v>396</v>
      </c>
      <c r="H156" s="51">
        <v>33.551618599999998</v>
      </c>
      <c r="I156" s="51">
        <v>-112.27091129999999</v>
      </c>
      <c r="J156" s="52">
        <v>1050</v>
      </c>
      <c r="K156" s="50" t="s">
        <v>401</v>
      </c>
      <c r="N156" t="s">
        <v>733</v>
      </c>
    </row>
    <row r="157" spans="1:14" ht="15" customHeight="1" x14ac:dyDescent="0.2">
      <c r="A157" s="9" t="s">
        <v>734</v>
      </c>
      <c r="B157" s="7" t="s">
        <v>364</v>
      </c>
      <c r="C157" s="60"/>
      <c r="D157" s="9" t="s">
        <v>735</v>
      </c>
      <c r="E157" s="49" t="s">
        <v>736</v>
      </c>
      <c r="F157" s="49" t="s">
        <v>737</v>
      </c>
      <c r="G157" s="50" t="s">
        <v>396</v>
      </c>
      <c r="H157" s="51">
        <v>32.249794399999999</v>
      </c>
      <c r="I157" s="51">
        <v>-110.99404699999999</v>
      </c>
      <c r="J157" s="52">
        <v>1000</v>
      </c>
      <c r="K157" s="50" t="s">
        <v>397</v>
      </c>
      <c r="N157" t="s">
        <v>738</v>
      </c>
    </row>
    <row r="158" spans="1:14" ht="15" customHeight="1" x14ac:dyDescent="0.2">
      <c r="A158" s="4" t="s">
        <v>739</v>
      </c>
      <c r="B158" s="2" t="s">
        <v>365</v>
      </c>
      <c r="C158" s="60"/>
      <c r="D158" s="4"/>
      <c r="E158" s="49" t="s">
        <v>740</v>
      </c>
      <c r="F158" s="49" t="s">
        <v>412</v>
      </c>
      <c r="G158" s="50" t="s">
        <v>396</v>
      </c>
      <c r="H158" s="51">
        <v>33.637075699999997</v>
      </c>
      <c r="I158" s="51">
        <v>-112.3951187</v>
      </c>
      <c r="J158" s="52">
        <v>700</v>
      </c>
      <c r="K158" s="50" t="s">
        <v>401</v>
      </c>
      <c r="N158" t="s">
        <v>741</v>
      </c>
    </row>
    <row r="159" spans="1:14" ht="15" customHeight="1" x14ac:dyDescent="0.2">
      <c r="A159" s="9" t="s">
        <v>742</v>
      </c>
      <c r="B159" s="7" t="s">
        <v>366</v>
      </c>
      <c r="C159" s="60" t="s">
        <v>32</v>
      </c>
      <c r="D159" s="9" t="s">
        <v>399</v>
      </c>
      <c r="E159" s="49" t="s">
        <v>743</v>
      </c>
      <c r="F159" s="49" t="s">
        <v>696</v>
      </c>
      <c r="G159" s="50" t="s">
        <v>396</v>
      </c>
      <c r="H159" s="51">
        <v>33.659877299999998</v>
      </c>
      <c r="I159" s="51">
        <v>-112.26597169999999</v>
      </c>
      <c r="J159" s="52">
        <v>350</v>
      </c>
      <c r="K159" s="50" t="s">
        <v>401</v>
      </c>
      <c r="N159" t="s">
        <v>744</v>
      </c>
    </row>
    <row r="160" spans="1:14" ht="15" customHeight="1" x14ac:dyDescent="0.2">
      <c r="A160" s="4" t="s">
        <v>745</v>
      </c>
      <c r="B160" s="2" t="s">
        <v>378</v>
      </c>
      <c r="C160" s="60"/>
      <c r="D160" s="4" t="s">
        <v>746</v>
      </c>
      <c r="E160" s="49" t="s">
        <v>747</v>
      </c>
      <c r="F160" s="49" t="s">
        <v>652</v>
      </c>
      <c r="G160" s="50" t="s">
        <v>396</v>
      </c>
      <c r="H160" s="51">
        <v>33.970954200000001</v>
      </c>
      <c r="I160" s="51">
        <v>-112.7222422</v>
      </c>
      <c r="J160" s="52">
        <v>950</v>
      </c>
      <c r="K160" s="50" t="s">
        <v>401</v>
      </c>
      <c r="N160" t="s">
        <v>748</v>
      </c>
    </row>
    <row r="161" spans="1:14" x14ac:dyDescent="0.2">
      <c r="A161" s="9" t="s">
        <v>749</v>
      </c>
      <c r="B161" s="7" t="s">
        <v>382</v>
      </c>
      <c r="C161" s="60"/>
      <c r="D161" s="9"/>
      <c r="E161" s="49" t="s">
        <v>750</v>
      </c>
      <c r="F161" s="49" t="s">
        <v>696</v>
      </c>
      <c r="G161" s="50" t="s">
        <v>396</v>
      </c>
      <c r="H161" s="51">
        <v>33.728045600000002</v>
      </c>
      <c r="I161" s="51">
        <v>-112.2428546</v>
      </c>
      <c r="J161" s="52">
        <v>350</v>
      </c>
      <c r="K161" s="50" t="s">
        <v>401</v>
      </c>
      <c r="N161" t="s">
        <v>751</v>
      </c>
    </row>
    <row r="162" spans="1:14" x14ac:dyDescent="0.2">
      <c r="A162" s="4" t="s">
        <v>752</v>
      </c>
      <c r="B162" s="2" t="s">
        <v>380</v>
      </c>
      <c r="C162" s="60"/>
      <c r="D162" s="4"/>
      <c r="E162" s="49" t="s">
        <v>753</v>
      </c>
      <c r="F162" s="49" t="s">
        <v>754</v>
      </c>
      <c r="G162" s="50" t="s">
        <v>396</v>
      </c>
      <c r="H162" s="51">
        <v>32.270746799999998</v>
      </c>
      <c r="I162" s="51">
        <v>-109.244125</v>
      </c>
      <c r="J162" s="52">
        <v>2500</v>
      </c>
      <c r="K162" s="50" t="s">
        <v>401</v>
      </c>
      <c r="N162" t="s">
        <v>755</v>
      </c>
    </row>
    <row r="163" spans="1:14" x14ac:dyDescent="0.2">
      <c r="A163" s="9" t="s">
        <v>756</v>
      </c>
      <c r="B163" s="7" t="s">
        <v>372</v>
      </c>
      <c r="C163" s="60"/>
      <c r="D163" s="9" t="s">
        <v>757</v>
      </c>
      <c r="E163" s="49" t="s">
        <v>758</v>
      </c>
      <c r="F163" s="49" t="s">
        <v>541</v>
      </c>
      <c r="G163" s="50" t="s">
        <v>396</v>
      </c>
      <c r="H163" s="51">
        <v>35.198408700000002</v>
      </c>
      <c r="I163" s="51">
        <v>-111.6472392</v>
      </c>
      <c r="J163" s="52">
        <v>700</v>
      </c>
      <c r="K163" s="50" t="s">
        <v>401</v>
      </c>
      <c r="N163" t="s">
        <v>759</v>
      </c>
    </row>
    <row r="164" spans="1:14" x14ac:dyDescent="0.2">
      <c r="A164" s="4" t="s">
        <v>760</v>
      </c>
      <c r="B164" s="2" t="s">
        <v>383</v>
      </c>
      <c r="C164" s="60"/>
      <c r="D164" s="4"/>
      <c r="E164" s="49" t="s">
        <v>761</v>
      </c>
      <c r="F164" s="49" t="s">
        <v>585</v>
      </c>
      <c r="G164" s="50" t="s">
        <v>396</v>
      </c>
      <c r="H164" s="51">
        <v>33.435552700000002</v>
      </c>
      <c r="I164" s="51">
        <v>-112.3466337</v>
      </c>
      <c r="J164" s="52">
        <v>350</v>
      </c>
      <c r="K164" s="50" t="s">
        <v>401</v>
      </c>
      <c r="N164" t="s">
        <v>762</v>
      </c>
    </row>
    <row r="165" spans="1:14" x14ac:dyDescent="0.2">
      <c r="A165" s="9" t="s">
        <v>763</v>
      </c>
      <c r="B165" s="7" t="s">
        <v>373</v>
      </c>
      <c r="C165" s="60"/>
      <c r="D165" s="9" t="s">
        <v>764</v>
      </c>
      <c r="E165" s="49" t="s">
        <v>765</v>
      </c>
      <c r="F165" s="49" t="s">
        <v>541</v>
      </c>
      <c r="G165" s="50" t="s">
        <v>396</v>
      </c>
      <c r="H165" s="51">
        <v>35.214451599999997</v>
      </c>
      <c r="I165" s="51">
        <v>-111.57920970000001</v>
      </c>
      <c r="J165" s="52">
        <v>950</v>
      </c>
      <c r="K165" s="50" t="s">
        <v>401</v>
      </c>
      <c r="N165" t="s">
        <v>449</v>
      </c>
    </row>
    <row r="166" spans="1:14" x14ac:dyDescent="0.2">
      <c r="A166" s="4" t="s">
        <v>766</v>
      </c>
      <c r="B166" s="2" t="s">
        <v>367</v>
      </c>
      <c r="C166" s="60"/>
      <c r="D166" s="4" t="s">
        <v>764</v>
      </c>
      <c r="E166" s="49" t="s">
        <v>767</v>
      </c>
      <c r="F166" s="49" t="s">
        <v>768</v>
      </c>
      <c r="G166" s="50" t="s">
        <v>396</v>
      </c>
      <c r="H166" s="51">
        <v>32.164645</v>
      </c>
      <c r="I166" s="51">
        <v>-110.990036</v>
      </c>
      <c r="J166" s="52">
        <v>500</v>
      </c>
      <c r="K166" s="50" t="s">
        <v>401</v>
      </c>
      <c r="N166" t="s">
        <v>449</v>
      </c>
    </row>
    <row r="167" spans="1:14" x14ac:dyDescent="0.2">
      <c r="A167" s="9" t="s">
        <v>769</v>
      </c>
      <c r="B167" s="7" t="s">
        <v>368</v>
      </c>
      <c r="C167" s="60"/>
      <c r="D167" s="9" t="s">
        <v>735</v>
      </c>
      <c r="E167" s="49" t="s">
        <v>770</v>
      </c>
      <c r="F167" s="49" t="s">
        <v>768</v>
      </c>
      <c r="G167" s="50" t="s">
        <v>396</v>
      </c>
      <c r="H167" s="51">
        <v>32.323158499999998</v>
      </c>
      <c r="I167" s="51">
        <v>-110.9736484</v>
      </c>
      <c r="J167" s="52">
        <v>950</v>
      </c>
      <c r="K167" s="50" t="s">
        <v>401</v>
      </c>
      <c r="N167" t="s">
        <v>771</v>
      </c>
    </row>
    <row r="168" spans="1:14" x14ac:dyDescent="0.2">
      <c r="A168" s="4" t="s">
        <v>772</v>
      </c>
      <c r="B168" s="2" t="s">
        <v>374</v>
      </c>
      <c r="C168" s="60"/>
      <c r="D168" s="4" t="s">
        <v>757</v>
      </c>
      <c r="E168" s="49" t="s">
        <v>773</v>
      </c>
      <c r="F168" s="49" t="s">
        <v>541</v>
      </c>
      <c r="G168" s="50" t="s">
        <v>396</v>
      </c>
      <c r="H168" s="51">
        <v>35.188986</v>
      </c>
      <c r="I168" s="51">
        <v>-111.6634641</v>
      </c>
      <c r="J168" s="52">
        <v>700</v>
      </c>
      <c r="K168" s="50" t="s">
        <v>401</v>
      </c>
      <c r="N168" t="s">
        <v>774</v>
      </c>
    </row>
    <row r="169" spans="1:14" x14ac:dyDescent="0.2">
      <c r="A169" s="9" t="s">
        <v>775</v>
      </c>
      <c r="B169" s="7" t="s">
        <v>369</v>
      </c>
      <c r="C169" s="60"/>
      <c r="D169" s="9" t="s">
        <v>735</v>
      </c>
      <c r="E169" s="49" t="s">
        <v>776</v>
      </c>
      <c r="F169" s="49" t="s">
        <v>768</v>
      </c>
      <c r="G169" s="50" t="s">
        <v>396</v>
      </c>
      <c r="H169" s="51">
        <v>32.235861900000003</v>
      </c>
      <c r="I169" s="51">
        <v>-110.88793560000001</v>
      </c>
      <c r="J169" s="52">
        <v>700</v>
      </c>
      <c r="K169" s="50" t="s">
        <v>401</v>
      </c>
      <c r="N169" t="s">
        <v>777</v>
      </c>
    </row>
    <row r="170" spans="1:14" x14ac:dyDescent="0.2">
      <c r="A170" s="4" t="s">
        <v>778</v>
      </c>
      <c r="B170" s="2" t="s">
        <v>376</v>
      </c>
      <c r="C170" s="60"/>
      <c r="D170" s="4" t="s">
        <v>779</v>
      </c>
      <c r="E170" s="49" t="s">
        <v>780</v>
      </c>
      <c r="F170" s="49" t="s">
        <v>781</v>
      </c>
      <c r="G170" s="50" t="s">
        <v>396</v>
      </c>
      <c r="H170" s="51">
        <v>34.541307600000003</v>
      </c>
      <c r="I170" s="51">
        <v>-112.47032299999999</v>
      </c>
      <c r="J170" s="52">
        <v>1800</v>
      </c>
      <c r="K170" s="50" t="s">
        <v>401</v>
      </c>
      <c r="N170" t="s">
        <v>782</v>
      </c>
    </row>
    <row r="171" spans="1:14" x14ac:dyDescent="0.2">
      <c r="A171" s="9" t="s">
        <v>783</v>
      </c>
      <c r="B171" s="7" t="s">
        <v>379</v>
      </c>
      <c r="C171" s="60"/>
      <c r="D171" s="9" t="s">
        <v>784</v>
      </c>
      <c r="E171" s="49" t="s">
        <v>785</v>
      </c>
      <c r="F171" s="49" t="s">
        <v>786</v>
      </c>
      <c r="G171" s="50" t="s">
        <v>396</v>
      </c>
      <c r="H171" s="51">
        <v>32.881369999999997</v>
      </c>
      <c r="I171" s="51">
        <v>-111.7569141</v>
      </c>
      <c r="J171" s="52">
        <v>700</v>
      </c>
      <c r="K171" s="50" t="s">
        <v>397</v>
      </c>
      <c r="N171" t="s">
        <v>787</v>
      </c>
    </row>
    <row r="172" spans="1:14" x14ac:dyDescent="0.2">
      <c r="A172" s="4" t="s">
        <v>788</v>
      </c>
      <c r="B172" s="2" t="s">
        <v>370</v>
      </c>
      <c r="C172" s="60" t="s">
        <v>44</v>
      </c>
      <c r="D172" s="4" t="s">
        <v>425</v>
      </c>
      <c r="E172" s="49" t="s">
        <v>789</v>
      </c>
      <c r="F172" s="49" t="s">
        <v>448</v>
      </c>
      <c r="G172" s="50" t="s">
        <v>465</v>
      </c>
      <c r="H172" s="51">
        <v>33.4640925</v>
      </c>
      <c r="I172" s="51">
        <v>-112.3899888</v>
      </c>
      <c r="J172" s="52">
        <v>2000</v>
      </c>
      <c r="K172" s="50" t="s">
        <v>401</v>
      </c>
    </row>
    <row r="173" spans="1:14" x14ac:dyDescent="0.2">
      <c r="A173" s="9" t="s">
        <v>790</v>
      </c>
      <c r="B173" s="7" t="s">
        <v>377</v>
      </c>
      <c r="C173" s="60"/>
      <c r="D173" s="9" t="s">
        <v>779</v>
      </c>
      <c r="E173" s="49" t="s">
        <v>791</v>
      </c>
      <c r="F173" s="49" t="s">
        <v>792</v>
      </c>
      <c r="G173" s="50" t="s">
        <v>396</v>
      </c>
      <c r="H173" s="51">
        <v>34.584835300000002</v>
      </c>
      <c r="I173" s="51">
        <v>-112.33899049999999</v>
      </c>
      <c r="J173" s="52">
        <v>1050</v>
      </c>
      <c r="K173" s="50" t="s">
        <v>401</v>
      </c>
    </row>
    <row r="174" spans="1:14" x14ac:dyDescent="0.2">
      <c r="A174" s="4"/>
      <c r="B174" s="2"/>
      <c r="C174" s="60"/>
      <c r="D174" s="4"/>
      <c r="E174" s="49"/>
      <c r="F174" s="49"/>
      <c r="G174" s="50"/>
      <c r="H174" s="51"/>
      <c r="I174" s="51"/>
      <c r="J174" s="52"/>
      <c r="K174" s="50"/>
    </row>
    <row r="175" spans="1:14" x14ac:dyDescent="0.2">
      <c r="A175" s="9"/>
      <c r="B175" s="7"/>
      <c r="C175" s="60"/>
      <c r="D175" s="9"/>
      <c r="E175" s="49"/>
      <c r="F175" s="49"/>
      <c r="G175" s="50"/>
      <c r="H175" s="51"/>
      <c r="I175" s="51"/>
      <c r="J175" s="52"/>
      <c r="K175" s="50"/>
    </row>
    <row r="176" spans="1:14" x14ac:dyDescent="0.2">
      <c r="A176" s="4"/>
      <c r="B176" s="2"/>
      <c r="C176" s="60"/>
      <c r="D176" s="4"/>
      <c r="E176" s="49"/>
      <c r="F176" s="49"/>
      <c r="G176" s="50"/>
      <c r="H176" s="51"/>
      <c r="I176" s="51"/>
      <c r="J176" s="52"/>
      <c r="K176" s="50"/>
    </row>
    <row r="177" spans="1:11" x14ac:dyDescent="0.2">
      <c r="A177" s="9"/>
      <c r="B177" s="7"/>
      <c r="C177" s="60"/>
      <c r="D177" s="9"/>
      <c r="E177" s="49"/>
      <c r="F177" s="49"/>
      <c r="G177" s="50"/>
      <c r="H177" s="51"/>
      <c r="I177" s="51"/>
      <c r="J177" s="52"/>
      <c r="K177" s="50"/>
    </row>
    <row r="178" spans="1:11" x14ac:dyDescent="0.2">
      <c r="A178" s="4"/>
      <c r="B178" s="2"/>
      <c r="C178" s="60"/>
      <c r="D178" s="4"/>
      <c r="E178" s="49"/>
      <c r="F178" s="49"/>
      <c r="G178" s="50"/>
      <c r="H178" s="51"/>
      <c r="I178" s="51"/>
      <c r="J178" s="52"/>
      <c r="K178" s="50"/>
    </row>
    <row r="179" spans="1:11" x14ac:dyDescent="0.2">
      <c r="A179" s="9"/>
      <c r="B179" s="7"/>
      <c r="C179" s="60"/>
      <c r="D179" s="9"/>
      <c r="E179" s="49"/>
      <c r="F179" s="49"/>
      <c r="G179" s="50"/>
      <c r="H179" s="51"/>
      <c r="I179" s="51"/>
      <c r="J179" s="52"/>
      <c r="K179" s="50"/>
    </row>
    <row r="180" spans="1:11" x14ac:dyDescent="0.2">
      <c r="A180" s="4"/>
      <c r="B180" s="2"/>
      <c r="C180" s="60"/>
      <c r="D180" s="4"/>
      <c r="E180" s="49"/>
      <c r="F180" s="49"/>
      <c r="G180" s="50"/>
      <c r="H180" s="51"/>
      <c r="I180" s="51"/>
      <c r="J180" s="52"/>
      <c r="K180" s="50"/>
    </row>
    <row r="181" spans="1:11" x14ac:dyDescent="0.2">
      <c r="A181" s="9"/>
      <c r="B181" s="7"/>
      <c r="C181" s="60"/>
      <c r="D181" s="9"/>
      <c r="E181" s="49"/>
      <c r="F181" s="49"/>
      <c r="G181" s="50"/>
      <c r="H181" s="51"/>
      <c r="I181" s="51"/>
      <c r="J181" s="52"/>
      <c r="K181" s="50"/>
    </row>
    <row r="182" spans="1:11" x14ac:dyDescent="0.2">
      <c r="A182" s="4"/>
      <c r="B182" s="2"/>
      <c r="C182" s="60"/>
      <c r="D182" s="4"/>
      <c r="E182" s="49"/>
      <c r="F182" s="49"/>
      <c r="G182" s="50"/>
      <c r="H182" s="51"/>
      <c r="I182" s="51"/>
      <c r="J182" s="52"/>
      <c r="K182" s="50"/>
    </row>
    <row r="183" spans="1:11" x14ac:dyDescent="0.2">
      <c r="A183" s="9"/>
      <c r="B183" s="7"/>
      <c r="C183" s="60"/>
      <c r="D183" s="9"/>
      <c r="E183" s="49"/>
      <c r="F183" s="49"/>
      <c r="G183" s="50"/>
      <c r="H183" s="51"/>
      <c r="I183" s="51"/>
      <c r="J183" s="52"/>
      <c r="K183" s="50"/>
    </row>
    <row r="184" spans="1:11" x14ac:dyDescent="0.2">
      <c r="A184" s="9"/>
      <c r="B184" s="7"/>
      <c r="C184" s="60"/>
      <c r="D184" s="9"/>
      <c r="E184" s="49"/>
      <c r="F184" s="49"/>
      <c r="G184" s="50"/>
      <c r="H184" s="51"/>
      <c r="I184" s="51"/>
      <c r="J184" s="52"/>
      <c r="K184" s="50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A020"/>
  </sheetPr>
  <dimension ref="A1:R162"/>
  <sheetViews>
    <sheetView showGridLines="0" zoomScale="140" zoomScaleNormal="140" workbookViewId="0">
      <pane ySplit="5" topLeftCell="A154" activePane="bottomLeft" state="frozen"/>
      <selection pane="bottomLeft" activeCell="M79" sqref="M79"/>
    </sheetView>
  </sheetViews>
  <sheetFormatPr baseColWidth="10" defaultColWidth="8.83203125" defaultRowHeight="15" x14ac:dyDescent="0.2"/>
  <cols>
    <col min="1" max="1" width="7" customWidth="1"/>
    <col min="2" max="2" width="44" customWidth="1"/>
    <col min="3" max="3" width="6.5" customWidth="1"/>
    <col min="4" max="4" width="34" customWidth="1"/>
    <col min="5" max="5" width="16.33203125" bestFit="1" customWidth="1"/>
    <col min="6" max="6" width="10" customWidth="1"/>
    <col min="7" max="7" width="12" customWidth="1"/>
    <col min="8" max="8" width="18.6640625" bestFit="1" customWidth="1"/>
    <col min="9" max="9" width="13" customWidth="1"/>
    <col min="10" max="10" width="9" customWidth="1"/>
    <col min="11" max="11" width="13" customWidth="1"/>
    <col min="12" max="13" width="11" customWidth="1"/>
    <col min="14" max="14" width="9" customWidth="1"/>
    <col min="15" max="15" width="11" customWidth="1"/>
    <col min="16" max="16" width="9" customWidth="1"/>
    <col min="17" max="17" width="10" customWidth="1"/>
    <col min="18" max="18" width="16" customWidth="1"/>
  </cols>
  <sheetData>
    <row r="1" spans="1:18" ht="28" customHeight="1" x14ac:dyDescent="0.2">
      <c r="A1" s="63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22" customHeight="1" x14ac:dyDescent="0.2">
      <c r="A2" s="20" t="s">
        <v>1</v>
      </c>
      <c r="B2" s="21"/>
      <c r="C2" s="20" t="s">
        <v>2</v>
      </c>
      <c r="D2" s="22">
        <v>7</v>
      </c>
      <c r="E2" s="20" t="s">
        <v>3</v>
      </c>
      <c r="F2" s="22">
        <v>600</v>
      </c>
      <c r="G2" s="20" t="s">
        <v>4</v>
      </c>
      <c r="H2" s="22">
        <v>30</v>
      </c>
    </row>
    <row r="3" spans="1:18" ht="14" customHeight="1" x14ac:dyDescent="0.2">
      <c r="A3" s="66" t="s">
        <v>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16" customHeight="1" x14ac:dyDescent="0.2">
      <c r="A4" s="68" t="s">
        <v>6</v>
      </c>
      <c r="B4" s="62"/>
      <c r="C4" s="62"/>
      <c r="D4" s="62"/>
      <c r="E4" s="62"/>
      <c r="F4" s="70" t="s">
        <v>7</v>
      </c>
      <c r="G4" s="62"/>
      <c r="H4" s="62"/>
      <c r="I4" s="69" t="s">
        <v>8</v>
      </c>
      <c r="J4" s="62"/>
      <c r="K4" s="67" t="s">
        <v>9</v>
      </c>
      <c r="L4" s="62"/>
      <c r="M4" s="62"/>
      <c r="N4" s="62"/>
      <c r="O4" s="64" t="s">
        <v>10</v>
      </c>
      <c r="P4" s="62"/>
      <c r="Q4" s="65" t="s">
        <v>11</v>
      </c>
      <c r="R4" s="62"/>
    </row>
    <row r="5" spans="1:18" ht="36" customHeight="1" x14ac:dyDescent="0.2">
      <c r="A5" s="23" t="s">
        <v>12</v>
      </c>
      <c r="B5" s="23" t="s">
        <v>13</v>
      </c>
      <c r="C5" s="23" t="s">
        <v>14</v>
      </c>
      <c r="D5" s="23" t="s">
        <v>15</v>
      </c>
      <c r="E5" s="23" t="s">
        <v>16</v>
      </c>
      <c r="F5" s="23" t="s">
        <v>17</v>
      </c>
      <c r="G5" s="23" t="s">
        <v>18</v>
      </c>
      <c r="H5" s="23" t="s">
        <v>19</v>
      </c>
      <c r="I5" s="23" t="s">
        <v>20</v>
      </c>
      <c r="J5" s="23" t="s">
        <v>21</v>
      </c>
      <c r="K5" s="23" t="s">
        <v>22</v>
      </c>
      <c r="L5" s="23" t="s">
        <v>23</v>
      </c>
      <c r="M5" s="23" t="s">
        <v>24</v>
      </c>
      <c r="N5" s="23" t="s">
        <v>25</v>
      </c>
      <c r="O5" s="23" t="s">
        <v>26</v>
      </c>
      <c r="P5" s="23" t="s">
        <v>27</v>
      </c>
      <c r="Q5" s="23" t="s">
        <v>28</v>
      </c>
      <c r="R5" s="23" t="s">
        <v>29</v>
      </c>
    </row>
    <row r="6" spans="1:18" ht="15" customHeight="1" x14ac:dyDescent="0.2">
      <c r="A6" s="24" t="s">
        <v>30</v>
      </c>
      <c r="B6" s="25" t="s">
        <v>31</v>
      </c>
      <c r="C6" s="12" t="s">
        <v>32</v>
      </c>
      <c r="D6" s="25" t="str">
        <f>IFERROR(VLOOKUP(B6,Client_List!$B:$K,4,0)&amp;", "&amp;VLOOKUP(B6,Client_List!$B:$K,5,0)&amp;" AZ","")</f>
        <v>5511 N 51St Ave, Glendale AZ</v>
      </c>
      <c r="E6" s="24" t="str">
        <f>IFERROR(VLOOKUP(B6,Client_List!$B:$K,7,0)&amp;", "&amp;VLOOKUP(B6,Client_List!$B:$K,8,0),"")</f>
        <v>33.5171994, -112.1681115</v>
      </c>
      <c r="F6" s="26">
        <f>IFERROR(VLOOKUP(B6,Client_List!$B:$K,9,0),"")</f>
        <v>350</v>
      </c>
      <c r="G6" s="27">
        <f>IFERROR(AVERAGEIFS(Delivery_Log!$I$4:$I$5000,Delivery_Log!$B$4:$B$5000,B6,Delivery_Log!$I$4:$I$5000,"&gt;"&amp;0),"")</f>
        <v>6.8965517241379306</v>
      </c>
      <c r="H6" s="24" t="str">
        <f>IFERROR(VLOOKUP(B6,Client_List!$B:$K,10,0),"")</f>
        <v>FRYERS CHOICE BLEND</v>
      </c>
      <c r="I6" s="28">
        <f>IFERROR(_xlfn.MAXIFS(Delivery_Log!$A$4:$A$5000,Delivery_Log!$B$4:$B$5000,B6),"—")</f>
        <v>46084</v>
      </c>
      <c r="J6" s="29">
        <f t="shared" ref="J6:J37" ca="1" si="0">IFERROR(IF(I6="—","",TODAY()-I6),"")</f>
        <v>45</v>
      </c>
      <c r="K6" s="30">
        <f t="shared" ref="K6:K37" ca="1" si="1">IFERROR(IF(OR(J6="",G6=""),"",MAX(F6*0.03,F6-J6*G6)),"")</f>
        <v>39.655172413793139</v>
      </c>
      <c r="L6" s="30">
        <f t="shared" ref="L6:L37" ca="1" si="2">IFERROR(IF(K6="","",F6-K6),"")</f>
        <v>310.34482758620686</v>
      </c>
      <c r="M6" s="31">
        <f t="shared" ref="M6:M37" ca="1" si="3">IFERROR(IF(OR(K6="",G6=""),"",MIN(21,MAX(0,(K6-F6*$B$2)/G6))),"")</f>
        <v>5.7500000000000053</v>
      </c>
      <c r="N6" s="32" t="str">
        <f t="shared" ref="N6:N37" ca="1" si="4">IFERROR(IF(M6="","—",IF(M6&lt;=$D$2,"YES","—")),"—")</f>
        <v>YES</v>
      </c>
      <c r="O6" s="33" t="s">
        <v>33</v>
      </c>
      <c r="P6" s="24">
        <v>2</v>
      </c>
      <c r="Q6" s="34"/>
      <c r="R6" s="24"/>
    </row>
    <row r="7" spans="1:18" ht="15" customHeight="1" x14ac:dyDescent="0.2">
      <c r="A7" s="35" t="s">
        <v>34</v>
      </c>
      <c r="B7" s="36" t="s">
        <v>35</v>
      </c>
      <c r="C7" s="12" t="s">
        <v>32</v>
      </c>
      <c r="D7" s="36" t="str">
        <f>IFERROR(VLOOKUP(B7,Client_List!$B:$K,4,0)&amp;", "&amp;VLOOKUP(B7,Client_List!$B:$K,5,0)&amp;" AZ","")</f>
        <v>7458 W Bell Rd, Glendale AZ</v>
      </c>
      <c r="E7" s="35" t="str">
        <f>IFERROR(VLOOKUP(B7,Client_List!$B:$K,7,0)&amp;", "&amp;VLOOKUP(B7,Client_List!$B:$K,8,0),"")</f>
        <v>33.6390173, -112.2197838</v>
      </c>
      <c r="F7" s="37">
        <f>IFERROR(VLOOKUP(B7,Client_List!$B:$K,9,0),"")</f>
        <v>950</v>
      </c>
      <c r="G7" s="27">
        <f>IFERROR(AVERAGEIFS(Delivery_Log!$I$4:$I$5000,Delivery_Log!$B$4:$B$5000,B7,Delivery_Log!$I$4:$I$5000,"&gt;"&amp;0),"")</f>
        <v>77.32420357420358</v>
      </c>
      <c r="H7" s="35" t="str">
        <f>IFERROR(VLOOKUP(B7,Client_List!$B:$K,10,0),"")</f>
        <v>CANOLA OIL</v>
      </c>
      <c r="I7" s="28">
        <f>IFERROR(_xlfn.MAXIFS(Delivery_Log!$A$4:$A$5000,Delivery_Log!$B$4:$B$5000,B7),"—")</f>
        <v>46119</v>
      </c>
      <c r="J7" s="29">
        <f t="shared" ca="1" si="0"/>
        <v>10</v>
      </c>
      <c r="K7" s="30">
        <f t="shared" ca="1" si="1"/>
        <v>176.7579642579642</v>
      </c>
      <c r="L7" s="30">
        <f t="shared" ca="1" si="2"/>
        <v>773.2420357420358</v>
      </c>
      <c r="M7" s="31">
        <f t="shared" ca="1" si="3"/>
        <v>2.2859332018640162</v>
      </c>
      <c r="N7" s="38" t="str">
        <f t="shared" ca="1" si="4"/>
        <v>YES</v>
      </c>
      <c r="O7" s="39" t="s">
        <v>36</v>
      </c>
      <c r="P7" s="35">
        <v>9</v>
      </c>
      <c r="Q7" s="34"/>
      <c r="R7" s="35"/>
    </row>
    <row r="8" spans="1:18" ht="15" customHeight="1" x14ac:dyDescent="0.2">
      <c r="A8" s="24" t="s">
        <v>37</v>
      </c>
      <c r="B8" s="25" t="s">
        <v>38</v>
      </c>
      <c r="C8" s="3" t="s">
        <v>39</v>
      </c>
      <c r="D8" s="25" t="str">
        <f>IFERROR(VLOOKUP(B8,Client_List!$B:$K,4,0)&amp;", "&amp;VLOOKUP(B8,Client_List!$B:$K,5,0)&amp;" AZ","")</f>
        <v>20751 N PIMA RD #105, Scottsdale AZ</v>
      </c>
      <c r="E8" s="24" t="str">
        <f>IFERROR(VLOOKUP(B8,Client_List!$B:$K,7,0)&amp;", "&amp;VLOOKUP(B8,Client_List!$B:$K,8,0),"")</f>
        <v>33.674519, -111.8880329</v>
      </c>
      <c r="F8" s="26">
        <f>IFERROR(VLOOKUP(B8,Client_List!$B:$K,9,0),"")</f>
        <v>900</v>
      </c>
      <c r="G8" s="27">
        <f>IFERROR(AVERAGEIFS(Delivery_Log!$I$4:$I$5000,Delivery_Log!$B$4:$B$5000,B8,Delivery_Log!$I$4:$I$5000,"&gt;"&amp;0),"")</f>
        <v>50.074834656084654</v>
      </c>
      <c r="H8" s="24" t="str">
        <f>IFERROR(VLOOKUP(B8,Client_List!$B:$K,10,0),"")</f>
        <v>CANOLA OIL</v>
      </c>
      <c r="I8" s="28">
        <f>IFERROR(_xlfn.MAXIFS(Delivery_Log!$A$4:$A$5000,Delivery_Log!$B$4:$B$5000,B8),"—")</f>
        <v>46112</v>
      </c>
      <c r="J8" s="29">
        <f t="shared" ca="1" si="0"/>
        <v>17</v>
      </c>
      <c r="K8" s="30">
        <f t="shared" ca="1" si="1"/>
        <v>48.727810846560828</v>
      </c>
      <c r="L8" s="30">
        <f t="shared" ca="1" si="2"/>
        <v>851.27218915343917</v>
      </c>
      <c r="M8" s="31">
        <f t="shared" ca="1" si="3"/>
        <v>0.97309978517602258</v>
      </c>
      <c r="N8" s="32" t="str">
        <f t="shared" ca="1" si="4"/>
        <v>YES</v>
      </c>
      <c r="O8" s="39" t="s">
        <v>36</v>
      </c>
      <c r="P8" s="24">
        <v>7</v>
      </c>
      <c r="Q8" s="34"/>
      <c r="R8" s="24"/>
    </row>
    <row r="9" spans="1:18" ht="15" customHeight="1" x14ac:dyDescent="0.2">
      <c r="A9" s="24" t="s">
        <v>40</v>
      </c>
      <c r="B9" s="25" t="s">
        <v>41</v>
      </c>
      <c r="C9" s="3" t="s">
        <v>39</v>
      </c>
      <c r="D9" s="25" t="str">
        <f>IFERROR(VLOOKUP(B9,Client_List!$B:$K,4,0)&amp;", "&amp;VLOOKUP(B9,Client_List!$B:$K,5,0)&amp;" AZ","")</f>
        <v>2656 N 37TH DR, PHOENIX AZ</v>
      </c>
      <c r="E9" s="24" t="str">
        <f>IFERROR(VLOOKUP(B9,Client_List!$B:$K,7,0)&amp;", "&amp;VLOOKUP(B9,Client_List!$B:$K,8,0),"")</f>
        <v>33.4782767, -112.140515</v>
      </c>
      <c r="F9" s="26">
        <f>IFERROR(VLOOKUP(B9,Client_List!$B:$K,9,0),"")</f>
        <v>2000</v>
      </c>
      <c r="G9" s="27">
        <f>IFERROR(AVERAGEIFS(Delivery_Log!$I$4:$I$5000,Delivery_Log!$B$4:$B$5000,B9,Delivery_Log!$I$4:$I$5000,"&gt;"&amp;0),"")</f>
        <v>10.236111111111111</v>
      </c>
      <c r="H9" s="24" t="str">
        <f>IFERROR(VLOOKUP(B9,Client_List!$B:$K,10,0),"")</f>
        <v>CANOLA OIL</v>
      </c>
      <c r="I9" s="28">
        <f>IFERROR(_xlfn.MAXIFS(Delivery_Log!$A$4:$A$5000,Delivery_Log!$B$4:$B$5000,B9),"—")</f>
        <v>46099</v>
      </c>
      <c r="J9" s="29">
        <f t="shared" ca="1" si="0"/>
        <v>30</v>
      </c>
      <c r="K9" s="30">
        <f t="shared" ca="1" si="1"/>
        <v>1692.9166666666667</v>
      </c>
      <c r="L9" s="30">
        <f t="shared" ca="1" si="2"/>
        <v>307.08333333333326</v>
      </c>
      <c r="M9" s="31">
        <f t="shared" ca="1" si="3"/>
        <v>21</v>
      </c>
      <c r="N9" s="32" t="str">
        <f t="shared" ca="1" si="4"/>
        <v>—</v>
      </c>
      <c r="O9" s="33" t="s">
        <v>33</v>
      </c>
      <c r="P9" s="24">
        <v>2</v>
      </c>
      <c r="Q9" s="34"/>
      <c r="R9" s="24"/>
    </row>
    <row r="10" spans="1:18" ht="15" customHeight="1" x14ac:dyDescent="0.2">
      <c r="A10" s="40" t="s">
        <v>42</v>
      </c>
      <c r="B10" s="41" t="s">
        <v>43</v>
      </c>
      <c r="C10" s="13" t="s">
        <v>44</v>
      </c>
      <c r="D10" s="41" t="str">
        <f>IFERROR(VLOOKUP(B10,Client_List!$B:$K,4,0)&amp;", "&amp;VLOOKUP(B10,Client_List!$B:$K,5,0)&amp;" AZ","")</f>
        <v>11340 W BELL RD SUITE 118, SURPRISE AZ</v>
      </c>
      <c r="E10" s="40" t="str">
        <f>IFERROR(VLOOKUP(B10,Client_List!$B:$K,7,0)&amp;", "&amp;VLOOKUP(B10,Client_List!$B:$K,8,0),"")</f>
        <v>33.6399393, -112.3041939</v>
      </c>
      <c r="F10" s="42">
        <f>IFERROR(VLOOKUP(B10,Client_List!$B:$K,9,0),"")</f>
        <v>620</v>
      </c>
      <c r="G10" s="27">
        <f>IFERROR(AVERAGEIFS(Delivery_Log!$I$4:$I$5000,Delivery_Log!$B$4:$B$5000,B10,Delivery_Log!$I$4:$I$5000,"&gt;"&amp;0),"")</f>
        <v>44.030090569153067</v>
      </c>
      <c r="H10" s="40" t="str">
        <f>IFERROR(VLOOKUP(B10,Client_List!$B:$K,10,0),"")</f>
        <v>FRYERS CHOICE BLEND</v>
      </c>
      <c r="I10" s="28">
        <f>IFERROR(_xlfn.MAXIFS(Delivery_Log!$A$4:$A$5000,Delivery_Log!$B$4:$B$5000,B10),"—")</f>
        <v>46120</v>
      </c>
      <c r="J10" s="29">
        <f t="shared" ca="1" si="0"/>
        <v>9</v>
      </c>
      <c r="K10" s="30">
        <f t="shared" ca="1" si="1"/>
        <v>223.7291848776224</v>
      </c>
      <c r="L10" s="30">
        <f t="shared" ca="1" si="2"/>
        <v>396.2708151223776</v>
      </c>
      <c r="M10" s="31">
        <f t="shared" ca="1" si="3"/>
        <v>5.081279233941987</v>
      </c>
      <c r="N10" s="38" t="str">
        <f t="shared" ca="1" si="4"/>
        <v>YES</v>
      </c>
      <c r="O10" s="39" t="s">
        <v>36</v>
      </c>
      <c r="P10" s="40">
        <v>8</v>
      </c>
      <c r="Q10" s="34"/>
      <c r="R10" s="40"/>
    </row>
    <row r="11" spans="1:18" ht="15" customHeight="1" x14ac:dyDescent="0.2">
      <c r="A11" s="40" t="s">
        <v>45</v>
      </c>
      <c r="B11" s="41" t="s">
        <v>46</v>
      </c>
      <c r="C11" s="13" t="s">
        <v>44</v>
      </c>
      <c r="D11" s="41" t="str">
        <f>IFERROR(VLOOKUP(B11,Client_List!$B:$K,4,0)&amp;", "&amp;VLOOKUP(B11,Client_List!$B:$K,5,0)&amp;" AZ","")</f>
        <v/>
      </c>
      <c r="E11" s="40" t="str">
        <f>IFERROR(VLOOKUP(B11,Client_List!$B:$K,7,0)&amp;", "&amp;VLOOKUP(B11,Client_List!$B:$K,8,0),"")</f>
        <v/>
      </c>
      <c r="F11" s="42" t="str">
        <f>IFERROR(VLOOKUP(B11,Client_List!$B:$K,9,0),"")</f>
        <v/>
      </c>
      <c r="G11" s="27" t="str">
        <f>IFERROR(AVERAGEIFS(Delivery_Log!$I$4:$I$5000,Delivery_Log!$B$4:$B$5000,B11,Delivery_Log!$I$4:$I$5000,"&gt;"&amp;0),"")</f>
        <v/>
      </c>
      <c r="H11" s="40" t="str">
        <f>IFERROR(VLOOKUP(B11,Client_List!$B:$K,10,0),"")</f>
        <v/>
      </c>
      <c r="I11" s="28">
        <f>IFERROR(_xlfn.MAXIFS(Delivery_Log!$A$4:$A$5000,Delivery_Log!$B$4:$B$5000,B11),"—")</f>
        <v>0</v>
      </c>
      <c r="J11" s="29">
        <f t="shared" ca="1" si="0"/>
        <v>46129</v>
      </c>
      <c r="K11" s="30" t="str">
        <f t="shared" ca="1" si="1"/>
        <v/>
      </c>
      <c r="L11" s="30" t="str">
        <f t="shared" ca="1" si="2"/>
        <v/>
      </c>
      <c r="M11" s="31" t="str">
        <f t="shared" ca="1" si="3"/>
        <v/>
      </c>
      <c r="N11" s="38" t="str">
        <f t="shared" ca="1" si="4"/>
        <v>—</v>
      </c>
      <c r="O11" s="43" t="s">
        <v>47</v>
      </c>
      <c r="P11" s="40">
        <v>23</v>
      </c>
      <c r="Q11" s="34"/>
      <c r="R11" s="40"/>
    </row>
    <row r="12" spans="1:18" ht="15" customHeight="1" x14ac:dyDescent="0.2">
      <c r="A12" s="44" t="s">
        <v>48</v>
      </c>
      <c r="B12" s="45" t="s">
        <v>49</v>
      </c>
      <c r="C12" s="12" t="s">
        <v>32</v>
      </c>
      <c r="D12" s="45" t="str">
        <f>IFERROR(VLOOKUP(B12,Client_List!$B:$K,4,0)&amp;", "&amp;VLOOKUP(B12,Client_List!$B:$K,5,0)&amp;" AZ","")</f>
        <v>17211 N 79Th Ave, Glendale AZ</v>
      </c>
      <c r="E12" s="44" t="str">
        <f>IFERROR(VLOOKUP(B12,Client_List!$B:$K,7,0)&amp;", "&amp;VLOOKUP(B12,Client_List!$B:$K,8,0),"")</f>
        <v>33.6402137, -112.2294109</v>
      </c>
      <c r="F12" s="46">
        <f>IFERROR(VLOOKUP(B12,Client_List!$B:$K,9,0),"")</f>
        <v>950</v>
      </c>
      <c r="G12" s="27">
        <f>IFERROR(AVERAGEIFS(Delivery_Log!$I$4:$I$5000,Delivery_Log!$B$4:$B$5000,B12,Delivery_Log!$I$4:$I$5000,"&gt;"&amp;0),"")</f>
        <v>73.041975308641966</v>
      </c>
      <c r="H12" s="44" t="str">
        <f>IFERROR(VLOOKUP(B12,Client_List!$B:$K,10,0),"")</f>
        <v>CANOLA OIL</v>
      </c>
      <c r="I12" s="28">
        <f>IFERROR(_xlfn.MAXIFS(Delivery_Log!$A$4:$A$5000,Delivery_Log!$B$4:$B$5000,B12),"—")</f>
        <v>46120</v>
      </c>
      <c r="J12" s="29">
        <f t="shared" ca="1" si="0"/>
        <v>9</v>
      </c>
      <c r="K12" s="30">
        <f t="shared" ca="1" si="1"/>
        <v>292.62222222222226</v>
      </c>
      <c r="L12" s="30">
        <f t="shared" ca="1" si="2"/>
        <v>657.37777777777774</v>
      </c>
      <c r="M12" s="31">
        <f t="shared" ca="1" si="3"/>
        <v>4.0062199986478273</v>
      </c>
      <c r="N12" s="38" t="str">
        <f t="shared" ca="1" si="4"/>
        <v>YES</v>
      </c>
      <c r="O12" s="39" t="s">
        <v>36</v>
      </c>
      <c r="P12" s="44">
        <v>9</v>
      </c>
      <c r="Q12" s="34"/>
      <c r="R12" s="44"/>
    </row>
    <row r="13" spans="1:18" ht="15" customHeight="1" x14ac:dyDescent="0.2">
      <c r="A13" s="40" t="s">
        <v>50</v>
      </c>
      <c r="B13" s="41" t="s">
        <v>51</v>
      </c>
      <c r="C13" s="8" t="s">
        <v>52</v>
      </c>
      <c r="D13" s="41" t="str">
        <f>IFERROR(VLOOKUP(B13,Client_List!$B:$K,4,0)&amp;", "&amp;VLOOKUP(B13,Client_List!$B:$K,5,0)&amp;" AZ","")</f>
        <v>1812 E Camelback Rd, Phoenix AZ</v>
      </c>
      <c r="E13" s="40" t="str">
        <f>IFERROR(VLOOKUP(B13,Client_List!$B:$K,7,0)&amp;", "&amp;VLOOKUP(B13,Client_List!$B:$K,8,0),"")</f>
        <v>33.50958, -112.042591</v>
      </c>
      <c r="F13" s="42">
        <f>IFERROR(VLOOKUP(B13,Client_List!$B:$K,9,0),"")</f>
        <v>700</v>
      </c>
      <c r="G13" s="27">
        <f>IFERROR(AVERAGEIFS(Delivery_Log!$I$4:$I$5000,Delivery_Log!$B$4:$B$5000,B13,Delivery_Log!$I$4:$I$5000,"&gt;"&amp;0),"")</f>
        <v>61.722134115884124</v>
      </c>
      <c r="H13" s="40" t="str">
        <f>IFERROR(VLOOKUP(B13,Client_List!$B:$K,10,0),"")</f>
        <v>CANOLA OIL</v>
      </c>
      <c r="I13" s="28">
        <f>IFERROR(_xlfn.MAXIFS(Delivery_Log!$A$4:$A$5000,Delivery_Log!$B$4:$B$5000,B13),"—")</f>
        <v>46119</v>
      </c>
      <c r="J13" s="29">
        <f t="shared" ca="1" si="0"/>
        <v>10</v>
      </c>
      <c r="K13" s="30">
        <f t="shared" ca="1" si="1"/>
        <v>82.778658841158745</v>
      </c>
      <c r="L13" s="30">
        <f t="shared" ca="1" si="2"/>
        <v>617.22134115884126</v>
      </c>
      <c r="M13" s="31">
        <f t="shared" ca="1" si="3"/>
        <v>1.341150302511263</v>
      </c>
      <c r="N13" s="38" t="str">
        <f t="shared" ca="1" si="4"/>
        <v>YES</v>
      </c>
      <c r="O13" s="39" t="s">
        <v>36</v>
      </c>
      <c r="P13" s="40">
        <v>8</v>
      </c>
      <c r="Q13" s="34"/>
      <c r="R13" s="40"/>
    </row>
    <row r="14" spans="1:18" ht="15" customHeight="1" x14ac:dyDescent="0.2">
      <c r="A14" s="44" t="s">
        <v>53</v>
      </c>
      <c r="B14" s="45" t="s">
        <v>54</v>
      </c>
      <c r="C14" s="3" t="s">
        <v>39</v>
      </c>
      <c r="D14" s="45" t="str">
        <f>IFERROR(VLOOKUP(B14,Client_List!$B:$K,4,0)&amp;", "&amp;VLOOKUP(B14,Client_List!$B:$K,5,0)&amp;" AZ","")</f>
        <v>4649 E Chandler Blvd, Phoenix AZ</v>
      </c>
      <c r="E14" s="44" t="str">
        <f>IFERROR(VLOOKUP(B14,Client_List!$B:$K,7,0)&amp;", "&amp;VLOOKUP(B14,Client_List!$B:$K,8,0),"")</f>
        <v>33.3048264, -111.9816146</v>
      </c>
      <c r="F14" s="46">
        <f>IFERROR(VLOOKUP(B14,Client_List!$B:$K,9,0),"")</f>
        <v>1000</v>
      </c>
      <c r="G14" s="27">
        <f>IFERROR(AVERAGEIFS(Delivery_Log!$I$4:$I$5000,Delivery_Log!$B$4:$B$5000,B14,Delivery_Log!$I$4:$I$5000,"&gt;"&amp;0),"")</f>
        <v>68.782312925170075</v>
      </c>
      <c r="H14" s="44" t="str">
        <f>IFERROR(VLOOKUP(B14,Client_List!$B:$K,10,0),"")</f>
        <v>CANOLA OIL</v>
      </c>
      <c r="I14" s="28">
        <f>IFERROR(_xlfn.MAXIFS(Delivery_Log!$A$4:$A$5000,Delivery_Log!$B$4:$B$5000,B14),"—")</f>
        <v>46122</v>
      </c>
      <c r="J14" s="29">
        <f t="shared" ca="1" si="0"/>
        <v>7</v>
      </c>
      <c r="K14" s="30">
        <f t="shared" ca="1" si="1"/>
        <v>518.5238095238094</v>
      </c>
      <c r="L14" s="30">
        <f t="shared" ca="1" si="2"/>
        <v>481.4761904761906</v>
      </c>
      <c r="M14" s="31">
        <f t="shared" ca="1" si="3"/>
        <v>7.5386213035308058</v>
      </c>
      <c r="N14" s="38" t="str">
        <f t="shared" ca="1" si="4"/>
        <v>—</v>
      </c>
      <c r="O14" s="39" t="s">
        <v>36</v>
      </c>
      <c r="P14" s="44">
        <v>7</v>
      </c>
      <c r="Q14" s="34"/>
      <c r="R14" s="44"/>
    </row>
    <row r="15" spans="1:18" ht="15" customHeight="1" x14ac:dyDescent="0.2">
      <c r="A15" s="40" t="s">
        <v>55</v>
      </c>
      <c r="B15" s="41" t="s">
        <v>56</v>
      </c>
      <c r="C15" s="11" t="s">
        <v>57</v>
      </c>
      <c r="D15" s="41" t="str">
        <f>IFERROR(VLOOKUP(B15,Client_List!$B:$K,4,0)&amp;", "&amp;VLOOKUP(B15,Client_List!$B:$K,5,0)&amp;" AZ","")</f>
        <v>2855 S Market St, Gilbert, AZ 85295, Gilbert AZ</v>
      </c>
      <c r="E15" s="40" t="str">
        <f>IFERROR(VLOOKUP(B15,Client_List!$B:$K,7,0)&amp;", "&amp;VLOOKUP(B15,Client_List!$B:$K,8,0),"")</f>
        <v>33.29809, -111.744273</v>
      </c>
      <c r="F15" s="42">
        <f>IFERROR(VLOOKUP(B15,Client_List!$B:$K,9,0),"")</f>
        <v>900</v>
      </c>
      <c r="G15" s="27">
        <f>IFERROR(AVERAGEIFS(Delivery_Log!$I$4:$I$5000,Delivery_Log!$B$4:$B$5000,B15,Delivery_Log!$I$4:$I$5000,"&gt;"&amp;0),"")</f>
        <v>58.116937229437227</v>
      </c>
      <c r="H15" s="40" t="str">
        <f>IFERROR(VLOOKUP(B15,Client_List!$B:$K,10,0),"")</f>
        <v>CANOLA OIL</v>
      </c>
      <c r="I15" s="28">
        <f>IFERROR(_xlfn.MAXIFS(Delivery_Log!$A$4:$A$5000,Delivery_Log!$B$4:$B$5000,B15),"—")</f>
        <v>46119</v>
      </c>
      <c r="J15" s="29">
        <f t="shared" ca="1" si="0"/>
        <v>10</v>
      </c>
      <c r="K15" s="30">
        <f t="shared" ca="1" si="1"/>
        <v>318.83062770562776</v>
      </c>
      <c r="L15" s="30">
        <f t="shared" ca="1" si="2"/>
        <v>581.16937229437224</v>
      </c>
      <c r="M15" s="31">
        <f t="shared" ca="1" si="3"/>
        <v>5.4860191005408758</v>
      </c>
      <c r="N15" s="38" t="str">
        <f t="shared" ca="1" si="4"/>
        <v>YES</v>
      </c>
      <c r="O15" s="39" t="s">
        <v>36</v>
      </c>
      <c r="P15" s="40">
        <v>7</v>
      </c>
      <c r="Q15" s="34"/>
      <c r="R15" s="40"/>
    </row>
    <row r="16" spans="1:18" ht="15" customHeight="1" x14ac:dyDescent="0.2">
      <c r="A16" s="40" t="s">
        <v>58</v>
      </c>
      <c r="B16" s="41" t="s">
        <v>59</v>
      </c>
      <c r="C16" s="13" t="s">
        <v>44</v>
      </c>
      <c r="D16" s="41" t="str">
        <f>IFERROR(VLOOKUP(B16,Client_List!$B:$K,4,0)&amp;", "&amp;VLOOKUP(B16,Client_List!$B:$K,5,0)&amp;" AZ","")</f>
        <v>15370 W McDowell Rd, Goodyear AZ</v>
      </c>
      <c r="E16" s="40" t="str">
        <f>IFERROR(VLOOKUP(B16,Client_List!$B:$K,7,0)&amp;", "&amp;VLOOKUP(B16,Client_List!$B:$K,8,0),"")</f>
        <v>33.46499, -112.389902</v>
      </c>
      <c r="F16" s="42">
        <f>IFERROR(VLOOKUP(B16,Client_List!$B:$K,9,0),"")</f>
        <v>900</v>
      </c>
      <c r="G16" s="27">
        <f>IFERROR(AVERAGEIFS(Delivery_Log!$I$4:$I$5000,Delivery_Log!$B$4:$B$5000,B16,Delivery_Log!$I$4:$I$5000,"&gt;"&amp;0),"")</f>
        <v>78.960185185185182</v>
      </c>
      <c r="H16" s="40" t="str">
        <f>IFERROR(VLOOKUP(B16,Client_List!$B:$K,10,0),"")</f>
        <v>CANOLA OIL</v>
      </c>
      <c r="I16" s="28">
        <f>IFERROR(_xlfn.MAXIFS(Delivery_Log!$A$4:$A$5000,Delivery_Log!$B$4:$B$5000,B16),"—")</f>
        <v>46119</v>
      </c>
      <c r="J16" s="29">
        <f t="shared" ca="1" si="0"/>
        <v>10</v>
      </c>
      <c r="K16" s="30">
        <f t="shared" ca="1" si="1"/>
        <v>110.39814814814815</v>
      </c>
      <c r="L16" s="30">
        <f t="shared" ca="1" si="2"/>
        <v>789.60185185185185</v>
      </c>
      <c r="M16" s="31">
        <f t="shared" ca="1" si="3"/>
        <v>1.3981495596702511</v>
      </c>
      <c r="N16" s="38" t="str">
        <f t="shared" ca="1" si="4"/>
        <v>YES</v>
      </c>
      <c r="O16" s="39" t="s">
        <v>36</v>
      </c>
      <c r="P16" s="40">
        <v>9</v>
      </c>
      <c r="Q16" s="34"/>
      <c r="R16" s="40"/>
    </row>
    <row r="17" spans="1:18" ht="15" customHeight="1" x14ac:dyDescent="0.2">
      <c r="A17" s="40" t="s">
        <v>60</v>
      </c>
      <c r="B17" s="41" t="s">
        <v>61</v>
      </c>
      <c r="C17" s="8" t="s">
        <v>52</v>
      </c>
      <c r="D17" s="41" t="str">
        <f>IFERROR(VLOOKUP(B17,Client_List!$B:$K,4,0)&amp;", "&amp;VLOOKUP(B17,Client_List!$B:$K,5,0)&amp;" AZ","")</f>
        <v>330 E ROOSEVELT RD, PHOENIX AZ</v>
      </c>
      <c r="E17" s="40" t="str">
        <f>IFERROR(VLOOKUP(B17,Client_List!$B:$K,7,0)&amp;", "&amp;VLOOKUP(B17,Client_List!$B:$K,8,0),"")</f>
        <v>33.4589406, -112.0685493</v>
      </c>
      <c r="F17" s="42">
        <f>IFERROR(VLOOKUP(B17,Client_List!$B:$K,9,0),"")</f>
        <v>350</v>
      </c>
      <c r="G17" s="27">
        <f>IFERROR(AVERAGEIFS(Delivery_Log!$I$4:$I$5000,Delivery_Log!$B$4:$B$5000,B17,Delivery_Log!$I$4:$I$5000,"&gt;"&amp;0),"")</f>
        <v>42.610863095238095</v>
      </c>
      <c r="H17" s="40" t="str">
        <f>IFERROR(VLOOKUP(B17,Client_List!$B:$K,10,0),"")</f>
        <v>CANOLA OIL</v>
      </c>
      <c r="I17" s="28">
        <f>IFERROR(_xlfn.MAXIFS(Delivery_Log!$A$4:$A$5000,Delivery_Log!$B$4:$B$5000,B17),"—")</f>
        <v>46098</v>
      </c>
      <c r="J17" s="29">
        <f t="shared" ca="1" si="0"/>
        <v>31</v>
      </c>
      <c r="K17" s="30">
        <f t="shared" ca="1" si="1"/>
        <v>10.5</v>
      </c>
      <c r="L17" s="30">
        <f t="shared" ca="1" si="2"/>
        <v>339.5</v>
      </c>
      <c r="M17" s="31">
        <f t="shared" ca="1" si="3"/>
        <v>0.24641603659920724</v>
      </c>
      <c r="N17" s="38" t="str">
        <f t="shared" ca="1" si="4"/>
        <v>YES</v>
      </c>
      <c r="O17" s="39" t="s">
        <v>36</v>
      </c>
      <c r="P17" s="40">
        <v>11</v>
      </c>
      <c r="Q17" s="34"/>
      <c r="R17" s="40"/>
    </row>
    <row r="18" spans="1:18" ht="15" customHeight="1" x14ac:dyDescent="0.2">
      <c r="A18" s="44" t="s">
        <v>62</v>
      </c>
      <c r="B18" s="45" t="s">
        <v>63</v>
      </c>
      <c r="C18" s="11" t="s">
        <v>57</v>
      </c>
      <c r="D18" s="45" t="str">
        <f>IFERROR(VLOOKUP(B18,Client_List!$B:$K,4,0)&amp;", "&amp;VLOOKUP(B18,Client_List!$B:$K,5,0)&amp;" AZ","")</f>
        <v>6837 E MAIN ST, Mesa AZ</v>
      </c>
      <c r="E18" s="44" t="str">
        <f>IFERROR(VLOOKUP(B18,Client_List!$B:$K,7,0)&amp;", "&amp;VLOOKUP(B18,Client_List!$B:$K,8,0),"")</f>
        <v>33.4151472, -111.6831813</v>
      </c>
      <c r="F18" s="46">
        <f>IFERROR(VLOOKUP(B18,Client_List!$B:$K,9,0),"")</f>
        <v>425</v>
      </c>
      <c r="G18" s="27">
        <f>IFERROR(AVERAGEIFS(Delivery_Log!$I$4:$I$5000,Delivery_Log!$B$4:$B$5000,B18,Delivery_Log!$I$4:$I$5000,"&gt;"&amp;0),"")</f>
        <v>69.889484126984115</v>
      </c>
      <c r="H18" s="44" t="str">
        <f>IFERROR(VLOOKUP(B18,Client_List!$B:$K,10,0),"")</f>
        <v>CANOLA OIL</v>
      </c>
      <c r="I18" s="28">
        <f>IFERROR(_xlfn.MAXIFS(Delivery_Log!$A$4:$A$5000,Delivery_Log!$B$4:$B$5000,B18),"—")</f>
        <v>46126</v>
      </c>
      <c r="J18" s="29">
        <f t="shared" ca="1" si="0"/>
        <v>3</v>
      </c>
      <c r="K18" s="30">
        <f t="shared" ca="1" si="1"/>
        <v>215.33154761904765</v>
      </c>
      <c r="L18" s="30">
        <f t="shared" ca="1" si="2"/>
        <v>209.66845238095235</v>
      </c>
      <c r="M18" s="31">
        <f t="shared" ca="1" si="3"/>
        <v>3.0810292894393938</v>
      </c>
      <c r="N18" s="38" t="str">
        <f t="shared" ca="1" si="4"/>
        <v>YES</v>
      </c>
      <c r="O18" s="39" t="s">
        <v>36</v>
      </c>
      <c r="P18" s="44">
        <v>14</v>
      </c>
      <c r="Q18" s="34"/>
      <c r="R18" s="44"/>
    </row>
    <row r="19" spans="1:18" ht="15" customHeight="1" x14ac:dyDescent="0.2">
      <c r="A19" s="24" t="s">
        <v>64</v>
      </c>
      <c r="B19" s="25" t="s">
        <v>65</v>
      </c>
      <c r="C19" s="11" t="s">
        <v>57</v>
      </c>
      <c r="D19" s="25" t="str">
        <f>IFERROR(VLOOKUP(B19,Client_List!$B:$K,4,0)&amp;", "&amp;VLOOKUP(B19,Client_List!$B:$K,5,0)&amp;" AZ","")</f>
        <v>BACKYARD (SANDBAR) GILBERT, Gilbert AZ</v>
      </c>
      <c r="E19" s="24" t="str">
        <f>IFERROR(VLOOKUP(B19,Client_List!$B:$K,7,0)&amp;", "&amp;VLOOKUP(B19,Client_List!$B:$K,8,0),"")</f>
        <v>33.3062162, -111.7475515</v>
      </c>
      <c r="F19" s="26">
        <f>IFERROR(VLOOKUP(B19,Client_List!$B:$K,9,0),"")</f>
        <v>1050</v>
      </c>
      <c r="G19" s="27">
        <f>IFERROR(AVERAGEIFS(Delivery_Log!$I$4:$I$5000,Delivery_Log!$B$4:$B$5000,B19,Delivery_Log!$I$4:$I$5000,"&gt;"&amp;0),"")</f>
        <v>42.932520529579357</v>
      </c>
      <c r="H19" s="24" t="str">
        <f>IFERROR(VLOOKUP(B19,Client_List!$B:$K,10,0),"")</f>
        <v>FRYERS CHOICE BLEND</v>
      </c>
      <c r="I19" s="28">
        <f>IFERROR(_xlfn.MAXIFS(Delivery_Log!$A$4:$A$5000,Delivery_Log!$B$4:$B$5000,B19),"—")</f>
        <v>46122</v>
      </c>
      <c r="J19" s="29">
        <f t="shared" ca="1" si="0"/>
        <v>7</v>
      </c>
      <c r="K19" s="30">
        <f t="shared" ca="1" si="1"/>
        <v>749.47235629294448</v>
      </c>
      <c r="L19" s="30">
        <f t="shared" ca="1" si="2"/>
        <v>300.52764370705552</v>
      </c>
      <c r="M19" s="31">
        <f t="shared" ca="1" si="3"/>
        <v>17.456984753005081</v>
      </c>
      <c r="N19" s="32" t="str">
        <f t="shared" ca="1" si="4"/>
        <v>—</v>
      </c>
      <c r="O19" s="39" t="s">
        <v>36</v>
      </c>
      <c r="P19" s="24">
        <v>6</v>
      </c>
      <c r="Q19" s="34"/>
      <c r="R19" s="24"/>
    </row>
    <row r="20" spans="1:18" ht="15" customHeight="1" x14ac:dyDescent="0.2">
      <c r="A20" s="35" t="s">
        <v>66</v>
      </c>
      <c r="B20" s="36" t="s">
        <v>67</v>
      </c>
      <c r="C20" s="3" t="s">
        <v>39</v>
      </c>
      <c r="D20" s="36" t="str">
        <f>IFERROR(VLOOKUP(B20,Client_List!$B:$K,4,0)&amp;", "&amp;VLOOKUP(B20,Client_List!$B:$K,5,0)&amp;" AZ","")</f>
        <v>21001 N Tatum Blvd, Phoenix AZ</v>
      </c>
      <c r="E20" s="35" t="str">
        <f>IFERROR(VLOOKUP(B20,Client_List!$B:$K,7,0)&amp;", "&amp;VLOOKUP(B20,Client_List!$B:$K,8,0),"")</f>
        <v>33.6766428, -111.9746059</v>
      </c>
      <c r="F20" s="37">
        <f>IFERROR(VLOOKUP(B20,Client_List!$B:$K,9,0),"")</f>
        <v>950</v>
      </c>
      <c r="G20" s="27">
        <f>IFERROR(AVERAGEIFS(Delivery_Log!$I$4:$I$5000,Delivery_Log!$B$4:$B$5000,B20,Delivery_Log!$I$4:$I$5000,"&gt;"&amp;0),"")</f>
        <v>156.78287724180581</v>
      </c>
      <c r="H20" s="35" t="str">
        <f>IFERROR(VLOOKUP(B20,Client_List!$B:$K,10,0),"")</f>
        <v>CANOLA OIL</v>
      </c>
      <c r="I20" s="28">
        <f>IFERROR(_xlfn.MAXIFS(Delivery_Log!$A$4:$A$5000,Delivery_Log!$B$4:$B$5000,B20),"—")</f>
        <v>46122</v>
      </c>
      <c r="J20" s="29">
        <f t="shared" ca="1" si="0"/>
        <v>7</v>
      </c>
      <c r="K20" s="30">
        <f t="shared" ca="1" si="1"/>
        <v>28.5</v>
      </c>
      <c r="L20" s="30">
        <f t="shared" ca="1" si="2"/>
        <v>921.5</v>
      </c>
      <c r="M20" s="31">
        <f t="shared" ca="1" si="3"/>
        <v>0.18178005469337399</v>
      </c>
      <c r="N20" s="38" t="str">
        <f t="shared" ca="1" si="4"/>
        <v>YES</v>
      </c>
      <c r="O20" s="39" t="s">
        <v>36</v>
      </c>
      <c r="P20" s="35">
        <v>10</v>
      </c>
      <c r="Q20" s="34"/>
      <c r="R20" s="35"/>
    </row>
    <row r="21" spans="1:18" ht="15" customHeight="1" x14ac:dyDescent="0.2">
      <c r="A21" s="24" t="s">
        <v>68</v>
      </c>
      <c r="B21" s="25" t="s">
        <v>69</v>
      </c>
      <c r="C21" s="11" t="s">
        <v>57</v>
      </c>
      <c r="D21" s="25" t="str">
        <f>IFERROR(VLOOKUP(B21,Client_List!$B:$K,4,0)&amp;", "&amp;VLOOKUP(B21,Client_List!$B:$K,5,0)&amp;" AZ","")</f>
        <v>1927 N Gilbert Road, Gilbert AZ</v>
      </c>
      <c r="E21" s="24" t="str">
        <f>IFERROR(VLOOKUP(B21,Client_List!$B:$K,7,0)&amp;", "&amp;VLOOKUP(B21,Client_List!$B:$K,8,0),"")</f>
        <v>33.4507253, -111.7864322</v>
      </c>
      <c r="F21" s="26">
        <f>IFERROR(VLOOKUP(B21,Client_List!$B:$K,9,0),"")</f>
        <v>1050</v>
      </c>
      <c r="G21" s="27">
        <f>IFERROR(AVERAGEIFS(Delivery_Log!$I$4:$I$5000,Delivery_Log!$B$4:$B$5000,B21,Delivery_Log!$I$4:$I$5000,"&gt;"&amp;0),"")</f>
        <v>60.658329517704516</v>
      </c>
      <c r="H21" s="24" t="str">
        <f>IFERROR(VLOOKUP(B21,Client_List!$B:$K,10,0),"")</f>
        <v>CANOLA OIL</v>
      </c>
      <c r="I21" s="28">
        <f>IFERROR(_xlfn.MAXIFS(Delivery_Log!$A$4:$A$5000,Delivery_Log!$B$4:$B$5000,B21),"—")</f>
        <v>46098</v>
      </c>
      <c r="J21" s="29">
        <f t="shared" ca="1" si="0"/>
        <v>31</v>
      </c>
      <c r="K21" s="30">
        <f t="shared" ca="1" si="1"/>
        <v>31.5</v>
      </c>
      <c r="L21" s="30">
        <f t="shared" ca="1" si="2"/>
        <v>1018.5</v>
      </c>
      <c r="M21" s="31">
        <f t="shared" ca="1" si="3"/>
        <v>0.51930213460306396</v>
      </c>
      <c r="N21" s="32" t="str">
        <f t="shared" ca="1" si="4"/>
        <v>YES</v>
      </c>
      <c r="O21" s="39" t="s">
        <v>36</v>
      </c>
      <c r="P21" s="24">
        <v>6</v>
      </c>
      <c r="Q21" s="34"/>
      <c r="R21" s="24"/>
    </row>
    <row r="22" spans="1:18" ht="15" customHeight="1" x14ac:dyDescent="0.2">
      <c r="A22" s="40" t="s">
        <v>70</v>
      </c>
      <c r="B22" s="41" t="s">
        <v>71</v>
      </c>
      <c r="C22" s="11" t="s">
        <v>57</v>
      </c>
      <c r="D22" s="41" t="str">
        <f>IFERROR(VLOOKUP(B22,Client_List!$B:$K,4,0)&amp;", "&amp;VLOOKUP(B22,Client_List!$B:$K,5,0)&amp;" AZ","")</f>
        <v>5803 S Sossaman Rd, Mesa AZ</v>
      </c>
      <c r="E22" s="40" t="str">
        <f>IFERROR(VLOOKUP(B22,Client_List!$B:$K,7,0)&amp;", "&amp;VLOOKUP(B22,Client_List!$B:$K,8,0),"")</f>
        <v>33.3107427, -111.6698733</v>
      </c>
      <c r="F22" s="42">
        <f>IFERROR(VLOOKUP(B22,Client_List!$B:$K,9,0),"")</f>
        <v>350</v>
      </c>
      <c r="G22" s="27">
        <f>IFERROR(AVERAGEIFS(Delivery_Log!$I$4:$I$5000,Delivery_Log!$B$4:$B$5000,B22,Delivery_Log!$I$4:$I$5000,"&gt;"&amp;0),"")</f>
        <v>32.48882074715408</v>
      </c>
      <c r="H22" s="40" t="str">
        <f>IFERROR(VLOOKUP(B22,Client_List!$B:$K,10,0),"")</f>
        <v>CANOLA OIL</v>
      </c>
      <c r="I22" s="28">
        <f>IFERROR(_xlfn.MAXIFS(Delivery_Log!$A$4:$A$5000,Delivery_Log!$B$4:$B$5000,B22),"—")</f>
        <v>46106</v>
      </c>
      <c r="J22" s="29">
        <f t="shared" ca="1" si="0"/>
        <v>23</v>
      </c>
      <c r="K22" s="30">
        <f t="shared" ca="1" si="1"/>
        <v>10.5</v>
      </c>
      <c r="L22" s="30">
        <f t="shared" ca="1" si="2"/>
        <v>339.5</v>
      </c>
      <c r="M22" s="31">
        <f t="shared" ca="1" si="3"/>
        <v>0.32318809235080553</v>
      </c>
      <c r="N22" s="38" t="str">
        <f t="shared" ca="1" si="4"/>
        <v>YES</v>
      </c>
      <c r="O22" s="43" t="s">
        <v>47</v>
      </c>
      <c r="P22" s="40">
        <v>11</v>
      </c>
      <c r="Q22" s="34"/>
      <c r="R22" s="40"/>
    </row>
    <row r="23" spans="1:18" ht="15" customHeight="1" x14ac:dyDescent="0.2">
      <c r="A23" s="24" t="s">
        <v>72</v>
      </c>
      <c r="B23" s="25" t="s">
        <v>73</v>
      </c>
      <c r="C23" s="3" t="s">
        <v>39</v>
      </c>
      <c r="D23" s="25" t="str">
        <f>IFERROR(VLOOKUP(B23,Client_List!$B:$K,4,0)&amp;", "&amp;VLOOKUP(B23,Client_List!$B:$K,5,0)&amp;" AZ","")</f>
        <v>7212 E MAIN ST, Scottsdale AZ</v>
      </c>
      <c r="E23" s="24" t="str">
        <f>IFERROR(VLOOKUP(B23,Client_List!$B:$K,7,0)&amp;", "&amp;VLOOKUP(B23,Client_List!$B:$K,8,0),"")</f>
        <v>33.4933908, -111.925632</v>
      </c>
      <c r="F23" s="26">
        <f>IFERROR(VLOOKUP(B23,Client_List!$B:$K,9,0),"")</f>
        <v>620</v>
      </c>
      <c r="G23" s="27">
        <f>IFERROR(AVERAGEIFS(Delivery_Log!$I$4:$I$5000,Delivery_Log!$B$4:$B$5000,B23,Delivery_Log!$I$4:$I$5000,"&gt;"&amp;0),"")</f>
        <v>53.567482864357864</v>
      </c>
      <c r="H23" s="24" t="str">
        <f>IFERROR(VLOOKUP(B23,Client_List!$B:$K,10,0),"")</f>
        <v>CANOLA OIL</v>
      </c>
      <c r="I23" s="28">
        <f>IFERROR(_xlfn.MAXIFS(Delivery_Log!$A$4:$A$5000,Delivery_Log!$B$4:$B$5000,B23),"—")</f>
        <v>46106</v>
      </c>
      <c r="J23" s="29">
        <f t="shared" ca="1" si="0"/>
        <v>23</v>
      </c>
      <c r="K23" s="30">
        <f t="shared" ca="1" si="1"/>
        <v>18.599999999999998</v>
      </c>
      <c r="L23" s="30">
        <f t="shared" ca="1" si="2"/>
        <v>601.4</v>
      </c>
      <c r="M23" s="31">
        <f t="shared" ca="1" si="3"/>
        <v>0.34722557427419948</v>
      </c>
      <c r="N23" s="32" t="str">
        <f t="shared" ca="1" si="4"/>
        <v>YES</v>
      </c>
      <c r="O23" s="39" t="s">
        <v>36</v>
      </c>
      <c r="P23" s="24">
        <v>10</v>
      </c>
      <c r="Q23" s="34"/>
      <c r="R23" s="24"/>
    </row>
    <row r="24" spans="1:18" ht="15" customHeight="1" x14ac:dyDescent="0.2">
      <c r="A24" s="35" t="s">
        <v>74</v>
      </c>
      <c r="B24" s="36" t="s">
        <v>75</v>
      </c>
      <c r="C24" s="13" t="s">
        <v>44</v>
      </c>
      <c r="D24" s="36" t="str">
        <f>IFERROR(VLOOKUP(B24,Client_List!$B:$K,4,0)&amp;", "&amp;VLOOKUP(B24,Client_List!$B:$K,5,0)&amp;" AZ","")</f>
        <v>13375 W MCDOWELL RD STE 101, GOODYEAR AZ</v>
      </c>
      <c r="E24" s="35" t="str">
        <f>IFERROR(VLOOKUP(B24,Client_List!$B:$K,7,0)&amp;", "&amp;VLOOKUP(B24,Client_List!$B:$K,8,0),"")</f>
        <v>33.463417, -112.3468017</v>
      </c>
      <c r="F24" s="37">
        <f>IFERROR(VLOOKUP(B24,Client_List!$B:$K,9,0),"")</f>
        <v>620</v>
      </c>
      <c r="G24" s="27">
        <f>IFERROR(AVERAGEIFS(Delivery_Log!$I$4:$I$5000,Delivery_Log!$B$4:$B$5000,B24,Delivery_Log!$I$4:$I$5000,"&gt;"&amp;0),"")</f>
        <v>98.962539682539685</v>
      </c>
      <c r="H24" s="35" t="str">
        <f>IFERROR(VLOOKUP(B24,Client_List!$B:$K,10,0),"")</f>
        <v>CANOLA OIL</v>
      </c>
      <c r="I24" s="28">
        <f>IFERROR(_xlfn.MAXIFS(Delivery_Log!$A$4:$A$5000,Delivery_Log!$B$4:$B$5000,B24),"—")</f>
        <v>46123</v>
      </c>
      <c r="J24" s="29">
        <f t="shared" ca="1" si="0"/>
        <v>6</v>
      </c>
      <c r="K24" s="30">
        <f t="shared" ca="1" si="1"/>
        <v>26.224761904761863</v>
      </c>
      <c r="L24" s="30">
        <f t="shared" ca="1" si="2"/>
        <v>593.77523809523814</v>
      </c>
      <c r="M24" s="31">
        <f t="shared" ca="1" si="3"/>
        <v>0.26499685627397851</v>
      </c>
      <c r="N24" s="38" t="str">
        <f t="shared" ca="1" si="4"/>
        <v>YES</v>
      </c>
      <c r="O24" s="39" t="s">
        <v>36</v>
      </c>
      <c r="P24" s="35">
        <v>15</v>
      </c>
      <c r="Q24" s="34"/>
      <c r="R24" s="35"/>
    </row>
    <row r="25" spans="1:18" ht="15" customHeight="1" x14ac:dyDescent="0.2">
      <c r="A25" s="35" t="s">
        <v>76</v>
      </c>
      <c r="B25" s="36" t="s">
        <v>77</v>
      </c>
      <c r="C25" s="13" t="s">
        <v>44</v>
      </c>
      <c r="D25" s="36" t="str">
        <f>IFERROR(VLOOKUP(B25,Client_List!$B:$K,4,0)&amp;", "&amp;VLOOKUP(B25,Client_List!$B:$K,5,0)&amp;" AZ","")</f>
        <v>1300 S Watson Rd Ste 109, Buckeye AZ</v>
      </c>
      <c r="E25" s="35" t="str">
        <f>IFERROR(VLOOKUP(B25,Client_List!$B:$K,7,0)&amp;", "&amp;VLOOKUP(B25,Client_List!$B:$K,8,0),"")</f>
        <v>33.4347806, -112.558596</v>
      </c>
      <c r="F25" s="37">
        <f>IFERROR(VLOOKUP(B25,Client_List!$B:$K,9,0),"")</f>
        <v>620</v>
      </c>
      <c r="G25" s="27">
        <f>IFERROR(AVERAGEIFS(Delivery_Log!$I$4:$I$5000,Delivery_Log!$B$4:$B$5000,B25,Delivery_Log!$I$4:$I$5000,"&gt;"&amp;0),"")</f>
        <v>67.128373015873009</v>
      </c>
      <c r="H25" s="35" t="str">
        <f>IFERROR(VLOOKUP(B25,Client_List!$B:$K,10,0),"")</f>
        <v>CANOLA OIL</v>
      </c>
      <c r="I25" s="28">
        <f>IFERROR(_xlfn.MAXIFS(Delivery_Log!$A$4:$A$5000,Delivery_Log!$B$4:$B$5000,B25),"—")</f>
        <v>46121</v>
      </c>
      <c r="J25" s="29">
        <f t="shared" ca="1" si="0"/>
        <v>8</v>
      </c>
      <c r="K25" s="30">
        <f t="shared" ca="1" si="1"/>
        <v>82.973015873015925</v>
      </c>
      <c r="L25" s="30">
        <f t="shared" ca="1" si="2"/>
        <v>537.02698412698408</v>
      </c>
      <c r="M25" s="31">
        <f t="shared" ca="1" si="3"/>
        <v>1.2360349602603407</v>
      </c>
      <c r="N25" s="38" t="str">
        <f t="shared" ca="1" si="4"/>
        <v>YES</v>
      </c>
      <c r="O25" s="39" t="s">
        <v>36</v>
      </c>
      <c r="P25" s="35">
        <v>12</v>
      </c>
      <c r="Q25" s="34"/>
      <c r="R25" s="35"/>
    </row>
    <row r="26" spans="1:18" ht="15" customHeight="1" x14ac:dyDescent="0.2">
      <c r="A26" s="24" t="s">
        <v>78</v>
      </c>
      <c r="B26" s="25" t="s">
        <v>79</v>
      </c>
      <c r="C26" s="3" t="s">
        <v>39</v>
      </c>
      <c r="D26" s="25" t="str">
        <f>IFERROR(VLOOKUP(B26,Client_List!$B:$K,4,0)&amp;", "&amp;VLOOKUP(B26,Client_List!$B:$K,5,0)&amp;" AZ","")</f>
        <v>7340 E Indian Plz, Scottsdale AZ</v>
      </c>
      <c r="E26" s="24" t="str">
        <f>IFERROR(VLOOKUP(B26,Client_List!$B:$K,7,0)&amp;", "&amp;VLOOKUP(B26,Client_List!$B:$K,8,0),"")</f>
        <v>33.5016531, -111.9227254</v>
      </c>
      <c r="F26" s="26">
        <f>IFERROR(VLOOKUP(B26,Client_List!$B:$K,9,0),"")</f>
        <v>500</v>
      </c>
      <c r="G26" s="27" t="str">
        <f>IFERROR(AVERAGEIFS(Delivery_Log!$I$4:$I$5000,Delivery_Log!$B$4:$B$5000,B26,Delivery_Log!$I$4:$I$5000,"&gt;"&amp;0),"")</f>
        <v/>
      </c>
      <c r="H26" s="24" t="str">
        <f>IFERROR(VLOOKUP(B26,Client_List!$B:$K,10,0),"")</f>
        <v>CANOLA OIL</v>
      </c>
      <c r="I26" s="28">
        <f>IFERROR(_xlfn.MAXIFS(Delivery_Log!$A$4:$A$5000,Delivery_Log!$B$4:$B$5000,B26),"—")</f>
        <v>46088</v>
      </c>
      <c r="J26" s="29">
        <f t="shared" ca="1" si="0"/>
        <v>41</v>
      </c>
      <c r="K26" s="30" t="str">
        <f t="shared" ca="1" si="1"/>
        <v/>
      </c>
      <c r="L26" s="30" t="str">
        <f t="shared" ca="1" si="2"/>
        <v/>
      </c>
      <c r="M26" s="31" t="str">
        <f t="shared" ca="1" si="3"/>
        <v/>
      </c>
      <c r="N26" s="32" t="str">
        <f t="shared" ca="1" si="4"/>
        <v>—</v>
      </c>
      <c r="O26" s="33" t="s">
        <v>33</v>
      </c>
      <c r="P26" s="24">
        <v>1</v>
      </c>
      <c r="Q26" s="34"/>
      <c r="R26" s="24"/>
    </row>
    <row r="27" spans="1:18" ht="15" customHeight="1" x14ac:dyDescent="0.2">
      <c r="A27" s="24" t="s">
        <v>80</v>
      </c>
      <c r="B27" s="25" t="s">
        <v>81</v>
      </c>
      <c r="C27" s="8" t="s">
        <v>52</v>
      </c>
      <c r="D27" s="25" t="str">
        <f>IFERROR(VLOOKUP(B27,Client_List!$B:$K,4,0)&amp;", "&amp;VLOOKUP(B27,Client_List!$B:$K,5,0)&amp;" AZ","")</f>
        <v>10720 W Indian School Rd, Phoenix AZ</v>
      </c>
      <c r="E27" s="24" t="str">
        <f>IFERROR(VLOOKUP(B27,Client_List!$B:$K,7,0)&amp;", "&amp;VLOOKUP(B27,Client_List!$B:$K,8,0),"")</f>
        <v>33.4953182, -112.2907004</v>
      </c>
      <c r="F27" s="26">
        <f>IFERROR(VLOOKUP(B27,Client_List!$B:$K,9,0),"")</f>
        <v>350</v>
      </c>
      <c r="G27" s="27">
        <f>IFERROR(AVERAGEIFS(Delivery_Log!$I$4:$I$5000,Delivery_Log!$B$4:$B$5000,B27,Delivery_Log!$I$4:$I$5000,"&gt;"&amp;0),"")</f>
        <v>18.877248677248677</v>
      </c>
      <c r="H27" s="24" t="str">
        <f>IFERROR(VLOOKUP(B27,Client_List!$B:$K,10,0),"")</f>
        <v>CANOLA OIL</v>
      </c>
      <c r="I27" s="28">
        <f>IFERROR(_xlfn.MAXIFS(Delivery_Log!$A$4:$A$5000,Delivery_Log!$B$4:$B$5000,B27),"—")</f>
        <v>46114</v>
      </c>
      <c r="J27" s="29">
        <f t="shared" ca="1" si="0"/>
        <v>15</v>
      </c>
      <c r="K27" s="30">
        <f t="shared" ca="1" si="1"/>
        <v>66.841269841269877</v>
      </c>
      <c r="L27" s="30">
        <f t="shared" ca="1" si="2"/>
        <v>283.15873015873012</v>
      </c>
      <c r="M27" s="31">
        <f t="shared" ca="1" si="3"/>
        <v>3.540837490890747</v>
      </c>
      <c r="N27" s="32" t="str">
        <f t="shared" ca="1" si="4"/>
        <v>YES</v>
      </c>
      <c r="O27" s="39" t="s">
        <v>36</v>
      </c>
      <c r="P27" s="24">
        <v>7</v>
      </c>
      <c r="Q27" s="34"/>
      <c r="R27" s="24"/>
    </row>
    <row r="28" spans="1:18" ht="15" customHeight="1" x14ac:dyDescent="0.2">
      <c r="A28" s="35" t="s">
        <v>82</v>
      </c>
      <c r="B28" s="36" t="s">
        <v>83</v>
      </c>
      <c r="C28" s="3" t="s">
        <v>39</v>
      </c>
      <c r="D28" s="36" t="str">
        <f>IFERROR(VLOOKUP(B28,Client_List!$B:$K,4,0)&amp;", "&amp;VLOOKUP(B28,Client_List!$B:$K,5,0)&amp;" AZ","")</f>
        <v>1920 W GERMANN RD, CHANDLER AZ</v>
      </c>
      <c r="E28" s="35" t="str">
        <f>IFERROR(VLOOKUP(B28,Client_List!$B:$K,7,0)&amp;", "&amp;VLOOKUP(B28,Client_List!$B:$K,8,0),"")</f>
        <v>33.2769448, -111.8747704</v>
      </c>
      <c r="F28" s="37">
        <f>IFERROR(VLOOKUP(B28,Client_List!$B:$K,9,0),"")</f>
        <v>350</v>
      </c>
      <c r="G28" s="27">
        <f>IFERROR(AVERAGEIFS(Delivery_Log!$I$4:$I$5000,Delivery_Log!$B$4:$B$5000,B28,Delivery_Log!$I$4:$I$5000,"&gt;"&amp;0),"")</f>
        <v>35.462632275132272</v>
      </c>
      <c r="H28" s="35" t="str">
        <f>IFERROR(VLOOKUP(B28,Client_List!$B:$K,10,0),"")</f>
        <v>FRYERS CHOICE BLEND</v>
      </c>
      <c r="I28" s="28">
        <f>IFERROR(_xlfn.MAXIFS(Delivery_Log!$A$4:$A$5000,Delivery_Log!$B$4:$B$5000,B28),"—")</f>
        <v>46123</v>
      </c>
      <c r="J28" s="29">
        <f t="shared" ca="1" si="0"/>
        <v>6</v>
      </c>
      <c r="K28" s="30">
        <f t="shared" ca="1" si="1"/>
        <v>137.22420634920638</v>
      </c>
      <c r="L28" s="30">
        <f t="shared" ca="1" si="2"/>
        <v>212.77579365079362</v>
      </c>
      <c r="M28" s="31">
        <f t="shared" ca="1" si="3"/>
        <v>3.8695437294267956</v>
      </c>
      <c r="N28" s="38" t="str">
        <f t="shared" ca="1" si="4"/>
        <v>YES</v>
      </c>
      <c r="O28" s="39" t="s">
        <v>36</v>
      </c>
      <c r="P28" s="35">
        <v>13</v>
      </c>
      <c r="Q28" s="34"/>
      <c r="R28" s="35"/>
    </row>
    <row r="29" spans="1:18" ht="15" customHeight="1" x14ac:dyDescent="0.2">
      <c r="A29" s="24" t="s">
        <v>84</v>
      </c>
      <c r="B29" s="25" t="s">
        <v>85</v>
      </c>
      <c r="C29" s="12" t="s">
        <v>32</v>
      </c>
      <c r="D29" s="25" t="str">
        <f>IFERROR(VLOOKUP(B29,Client_List!$B:$K,4,0)&amp;", "&amp;VLOOKUP(B29,Client_List!$B:$K,5,0)&amp;" AZ","")</f>
        <v>6670 W CACTUS RD, GLENDALE AZ</v>
      </c>
      <c r="E29" s="24" t="str">
        <f>IFERROR(VLOOKUP(B29,Client_List!$B:$K,7,0)&amp;", "&amp;VLOOKUP(B29,Client_List!$B:$K,8,0),"")</f>
        <v>33.5974556, -112.2020183</v>
      </c>
      <c r="F29" s="26">
        <f>IFERROR(VLOOKUP(B29,Client_List!$B:$K,9,0),"")</f>
        <v>1050</v>
      </c>
      <c r="G29" s="27">
        <f>IFERROR(AVERAGEIFS(Delivery_Log!$I$4:$I$5000,Delivery_Log!$B$4:$B$5000,B29,Delivery_Log!$I$4:$I$5000,"&gt;"&amp;0),"")</f>
        <v>21.295454545454547</v>
      </c>
      <c r="H29" s="24" t="str">
        <f>IFERROR(VLOOKUP(B29,Client_List!$B:$K,10,0),"")</f>
        <v>CANOLA OIL</v>
      </c>
      <c r="I29" s="28">
        <f>IFERROR(_xlfn.MAXIFS(Delivery_Log!$A$4:$A$5000,Delivery_Log!$B$4:$B$5000,B29),"—")</f>
        <v>46093</v>
      </c>
      <c r="J29" s="29">
        <f t="shared" ca="1" si="0"/>
        <v>36</v>
      </c>
      <c r="K29" s="30">
        <f t="shared" ca="1" si="1"/>
        <v>283.36363636363626</v>
      </c>
      <c r="L29" s="30">
        <f t="shared" ca="1" si="2"/>
        <v>766.63636363636374</v>
      </c>
      <c r="M29" s="31">
        <f t="shared" ca="1" si="3"/>
        <v>13.30629669156883</v>
      </c>
      <c r="N29" s="32" t="str">
        <f t="shared" ca="1" si="4"/>
        <v>—</v>
      </c>
      <c r="O29" s="33" t="s">
        <v>33</v>
      </c>
      <c r="P29" s="24">
        <v>2</v>
      </c>
      <c r="Q29" s="34"/>
      <c r="R29" s="24"/>
    </row>
    <row r="30" spans="1:18" ht="15" customHeight="1" x14ac:dyDescent="0.2">
      <c r="A30" s="40" t="s">
        <v>86</v>
      </c>
      <c r="B30" s="41" t="s">
        <v>87</v>
      </c>
      <c r="C30" s="12" t="s">
        <v>32</v>
      </c>
      <c r="D30" s="41" t="str">
        <f>IFERROR(VLOOKUP(B30,Client_List!$B:$K,4,0)&amp;", "&amp;VLOOKUP(B30,Client_List!$B:$K,5,0)&amp;" AZ","")</f>
        <v>1 CARDINAL DR, GLENDALE AZ</v>
      </c>
      <c r="E30" s="40" t="str">
        <f>IFERROR(VLOOKUP(B30,Client_List!$B:$K,7,0)&amp;", "&amp;VLOOKUP(B30,Client_List!$B:$K,8,0),"")</f>
        <v>33.5262332, -112.2661138</v>
      </c>
      <c r="F30" s="42">
        <f>IFERROR(VLOOKUP(B30,Client_List!$B:$K,9,0),"")</f>
        <v>2500</v>
      </c>
      <c r="G30" s="27">
        <f>IFERROR(AVERAGEIFS(Delivery_Log!$I$4:$I$5000,Delivery_Log!$B$4:$B$5000,B30,Delivery_Log!$I$4:$I$5000,"&gt;"&amp;0),"")</f>
        <v>91.119047619047606</v>
      </c>
      <c r="H30" s="40" t="str">
        <f>IFERROR(VLOOKUP(B30,Client_List!$B:$K,10,0),"")</f>
        <v>CANOLA OIL</v>
      </c>
      <c r="I30" s="28">
        <f>IFERROR(_xlfn.MAXIFS(Delivery_Log!$A$4:$A$5000,Delivery_Log!$B$4:$B$5000,B30),"—")</f>
        <v>46079</v>
      </c>
      <c r="J30" s="29">
        <f t="shared" ca="1" si="0"/>
        <v>50</v>
      </c>
      <c r="K30" s="30">
        <f t="shared" ca="1" si="1"/>
        <v>75</v>
      </c>
      <c r="L30" s="30">
        <f t="shared" ca="1" si="2"/>
        <v>2425</v>
      </c>
      <c r="M30" s="31">
        <f t="shared" ca="1" si="3"/>
        <v>0.82309903318526267</v>
      </c>
      <c r="N30" s="38" t="str">
        <f t="shared" ca="1" si="4"/>
        <v>YES</v>
      </c>
      <c r="O30" s="47" t="s">
        <v>88</v>
      </c>
      <c r="P30" s="40">
        <v>4</v>
      </c>
      <c r="Q30" s="34"/>
      <c r="R30" s="40"/>
    </row>
    <row r="31" spans="1:18" ht="15" customHeight="1" x14ac:dyDescent="0.2">
      <c r="A31" s="24" t="s">
        <v>89</v>
      </c>
      <c r="B31" s="25" t="s">
        <v>90</v>
      </c>
      <c r="C31" s="12" t="s">
        <v>32</v>
      </c>
      <c r="D31" s="25" t="str">
        <f>IFERROR(VLOOKUP(B31,Client_List!$B:$K,4,0)&amp;", "&amp;VLOOKUP(B31,Client_List!$B:$K,5,0)&amp;" AZ","")</f>
        <v>4920 W Thunderbird Rd, Glendale AZ</v>
      </c>
      <c r="E31" s="24" t="str">
        <f>IFERROR(VLOOKUP(B31,Client_List!$B:$K,7,0)&amp;", "&amp;VLOOKUP(B31,Client_List!$B:$K,8,0),"")</f>
        <v>33.6116326, -112.1654111</v>
      </c>
      <c r="F31" s="26">
        <f>IFERROR(VLOOKUP(B31,Client_List!$B:$K,9,0),"")</f>
        <v>1000</v>
      </c>
      <c r="G31" s="27">
        <f>IFERROR(AVERAGEIFS(Delivery_Log!$I$4:$I$5000,Delivery_Log!$B$4:$B$5000,B31,Delivery_Log!$I$4:$I$5000,"&gt;"&amp;0),"")</f>
        <v>28.727777777777778</v>
      </c>
      <c r="H31" s="24" t="str">
        <f>IFERROR(VLOOKUP(B31,Client_List!$B:$K,10,0),"")</f>
        <v>CANOLA OIL</v>
      </c>
      <c r="I31" s="28">
        <f>IFERROR(_xlfn.MAXIFS(Delivery_Log!$A$4:$A$5000,Delivery_Log!$B$4:$B$5000,B31),"—")</f>
        <v>46101</v>
      </c>
      <c r="J31" s="29">
        <f t="shared" ca="1" si="0"/>
        <v>28</v>
      </c>
      <c r="K31" s="30">
        <f t="shared" ca="1" si="1"/>
        <v>195.62222222222226</v>
      </c>
      <c r="L31" s="30">
        <f t="shared" ca="1" si="2"/>
        <v>804.37777777777774</v>
      </c>
      <c r="M31" s="31">
        <f t="shared" ca="1" si="3"/>
        <v>6.809514600657514</v>
      </c>
      <c r="N31" s="32" t="str">
        <f t="shared" ca="1" si="4"/>
        <v>YES</v>
      </c>
      <c r="O31" s="33" t="s">
        <v>33</v>
      </c>
      <c r="P31" s="24">
        <v>3</v>
      </c>
      <c r="Q31" s="34"/>
      <c r="R31" s="24"/>
    </row>
    <row r="32" spans="1:18" ht="15" customHeight="1" x14ac:dyDescent="0.2">
      <c r="A32" s="44" t="s">
        <v>91</v>
      </c>
      <c r="B32" s="45" t="s">
        <v>92</v>
      </c>
      <c r="C32" s="12" t="s">
        <v>32</v>
      </c>
      <c r="D32" s="45" t="str">
        <f>IFERROR(VLOOKUP(B32,Client_List!$B:$K,4,0)&amp;", "&amp;VLOOKUP(B32,Client_List!$B:$K,5,0)&amp;" AZ","")</f>
        <v/>
      </c>
      <c r="E32" s="44" t="str">
        <f>IFERROR(VLOOKUP(B32,Client_List!$B:$K,7,0)&amp;", "&amp;VLOOKUP(B32,Client_List!$B:$K,8,0),"")</f>
        <v/>
      </c>
      <c r="F32" s="46" t="str">
        <f>IFERROR(VLOOKUP(B32,Client_List!$B:$K,9,0),"")</f>
        <v/>
      </c>
      <c r="G32" s="27" t="str">
        <f>IFERROR(AVERAGEIFS(Delivery_Log!$I$4:$I$5000,Delivery_Log!$B$4:$B$5000,B32,Delivery_Log!$I$4:$I$5000,"&gt;"&amp;0),"")</f>
        <v/>
      </c>
      <c r="H32" s="44" t="str">
        <f>IFERROR(VLOOKUP(B32,Client_List!$B:$K,10,0),"")</f>
        <v/>
      </c>
      <c r="I32" s="28">
        <f>IFERROR(_xlfn.MAXIFS(Delivery_Log!$A$4:$A$5000,Delivery_Log!$B$4:$B$5000,B32),"—")</f>
        <v>0</v>
      </c>
      <c r="J32" s="29">
        <f t="shared" ca="1" si="0"/>
        <v>46129</v>
      </c>
      <c r="K32" s="30" t="str">
        <f t="shared" ca="1" si="1"/>
        <v/>
      </c>
      <c r="L32" s="30" t="str">
        <f t="shared" ca="1" si="2"/>
        <v/>
      </c>
      <c r="M32" s="31" t="str">
        <f t="shared" ca="1" si="3"/>
        <v/>
      </c>
      <c r="N32" s="38" t="str">
        <f t="shared" ca="1" si="4"/>
        <v>—</v>
      </c>
      <c r="O32" s="39" t="s">
        <v>36</v>
      </c>
      <c r="P32" s="44">
        <v>5</v>
      </c>
      <c r="Q32" s="34"/>
      <c r="R32" s="44"/>
    </row>
    <row r="33" spans="1:18" ht="15" customHeight="1" x14ac:dyDescent="0.2">
      <c r="A33" s="44" t="s">
        <v>93</v>
      </c>
      <c r="B33" s="45" t="s">
        <v>94</v>
      </c>
      <c r="C33" s="12" t="s">
        <v>32</v>
      </c>
      <c r="D33" s="45" t="str">
        <f>IFERROR(VLOOKUP(B33,Client_List!$B:$K,4,0)&amp;", "&amp;VLOOKUP(B33,Client_List!$B:$K,5,0)&amp;" AZ","")</f>
        <v>CRAZY MIKES CHICKEN, Glendale AZ</v>
      </c>
      <c r="E33" s="44" t="str">
        <f>IFERROR(VLOOKUP(B33,Client_List!$B:$K,7,0)&amp;", "&amp;VLOOKUP(B33,Client_List!$B:$K,8,0),"")</f>
        <v>33.6397868, -112.1738598</v>
      </c>
      <c r="F33" s="46">
        <f>IFERROR(VLOOKUP(B33,Client_List!$B:$K,9,0),"")</f>
        <v>450</v>
      </c>
      <c r="G33" s="27">
        <f>IFERROR(AVERAGEIFS(Delivery_Log!$I$4:$I$5000,Delivery_Log!$B$4:$B$5000,B33,Delivery_Log!$I$4:$I$5000,"&gt;"&amp;0),"")</f>
        <v>33.905041486291488</v>
      </c>
      <c r="H33" s="44" t="str">
        <f>IFERROR(VLOOKUP(B33,Client_List!$B:$K,10,0),"")</f>
        <v>CANOLA OIL</v>
      </c>
      <c r="I33" s="28">
        <f>IFERROR(_xlfn.MAXIFS(Delivery_Log!$A$4:$A$5000,Delivery_Log!$B$4:$B$5000,B33),"—")</f>
        <v>46114</v>
      </c>
      <c r="J33" s="29">
        <f t="shared" ca="1" si="0"/>
        <v>15</v>
      </c>
      <c r="K33" s="30">
        <f t="shared" ca="1" si="1"/>
        <v>13.5</v>
      </c>
      <c r="L33" s="30">
        <f t="shared" ca="1" si="2"/>
        <v>436.5</v>
      </c>
      <c r="M33" s="31">
        <f t="shared" ca="1" si="3"/>
        <v>0.39817087395272266</v>
      </c>
      <c r="N33" s="38" t="str">
        <f t="shared" ca="1" si="4"/>
        <v>YES</v>
      </c>
      <c r="O33" s="39" t="s">
        <v>36</v>
      </c>
      <c r="P33" s="44">
        <v>9</v>
      </c>
      <c r="Q33" s="34"/>
      <c r="R33" s="44"/>
    </row>
    <row r="34" spans="1:18" ht="15" customHeight="1" x14ac:dyDescent="0.2">
      <c r="A34" s="24" t="s">
        <v>95</v>
      </c>
      <c r="B34" s="25" t="s">
        <v>96</v>
      </c>
      <c r="C34" s="12" t="s">
        <v>32</v>
      </c>
      <c r="D34" s="25" t="str">
        <f>IFERROR(VLOOKUP(B34,Client_List!$B:$K,4,0)&amp;", "&amp;VLOOKUP(B34,Client_List!$B:$K,5,0)&amp;" AZ","")</f>
        <v>CRAZY MIKE'S GOODYEAR, Goodyear AZ</v>
      </c>
      <c r="E34" s="24" t="str">
        <f>IFERROR(VLOOKUP(B34,Client_List!$B:$K,7,0)&amp;", "&amp;VLOOKUP(B34,Client_List!$B:$K,8,0),"")</f>
        <v>33.4839957, -112.3651191</v>
      </c>
      <c r="F34" s="26">
        <f>IFERROR(VLOOKUP(B34,Client_List!$B:$K,9,0),"")</f>
        <v>1000</v>
      </c>
      <c r="G34" s="27">
        <f>IFERROR(AVERAGEIFS(Delivery_Log!$I$4:$I$5000,Delivery_Log!$B$4:$B$5000,B34,Delivery_Log!$I$4:$I$5000,"&gt;"&amp;0),"")</f>
        <v>35.916486291486294</v>
      </c>
      <c r="H34" s="24" t="str">
        <f>IFERROR(VLOOKUP(B34,Client_List!$B:$K,10,0),"")</f>
        <v>CANOLA OIL</v>
      </c>
      <c r="I34" s="28">
        <f>IFERROR(_xlfn.MAXIFS(Delivery_Log!$A$4:$A$5000,Delivery_Log!$B$4:$B$5000,B34),"—")</f>
        <v>46115</v>
      </c>
      <c r="J34" s="29">
        <f t="shared" ca="1" si="0"/>
        <v>14</v>
      </c>
      <c r="K34" s="30">
        <f t="shared" ca="1" si="1"/>
        <v>497.16919191919192</v>
      </c>
      <c r="L34" s="30">
        <f t="shared" ca="1" si="2"/>
        <v>502.83080808080808</v>
      </c>
      <c r="M34" s="31">
        <f t="shared" ca="1" si="3"/>
        <v>13.842367203860968</v>
      </c>
      <c r="N34" s="32" t="str">
        <f t="shared" ca="1" si="4"/>
        <v>—</v>
      </c>
      <c r="O34" s="47" t="s">
        <v>88</v>
      </c>
      <c r="P34" s="24">
        <v>5</v>
      </c>
      <c r="Q34" s="34"/>
      <c r="R34" s="24"/>
    </row>
    <row r="35" spans="1:18" ht="15" customHeight="1" x14ac:dyDescent="0.2">
      <c r="A35" s="24" t="s">
        <v>97</v>
      </c>
      <c r="B35" s="25" t="s">
        <v>98</v>
      </c>
      <c r="C35" s="3" t="s">
        <v>39</v>
      </c>
      <c r="D35" s="25" t="str">
        <f>IFERROR(VLOOKUP(B35,Client_List!$B:$K,4,0)&amp;", "&amp;VLOOKUP(B35,Client_List!$B:$K,5,0)&amp;" AZ","")</f>
        <v>6736 E Avalon Dr, Scottsdale AZ</v>
      </c>
      <c r="E35" s="24" t="str">
        <f>IFERROR(VLOOKUP(B35,Client_List!$B:$K,7,0)&amp;", "&amp;VLOOKUP(B35,Client_List!$B:$K,8,0),"")</f>
        <v>33.4830758, -111.9358104</v>
      </c>
      <c r="F35" s="26">
        <f>IFERROR(VLOOKUP(B35,Client_List!$B:$K,9,0),"")</f>
        <v>350</v>
      </c>
      <c r="G35" s="27">
        <f>IFERROR(AVERAGEIFS(Delivery_Log!$I$4:$I$5000,Delivery_Log!$B$4:$B$5000,B35,Delivery_Log!$I$4:$I$5000,"&gt;"&amp;0),"")</f>
        <v>9.622727272727273</v>
      </c>
      <c r="H35" s="24" t="str">
        <f>IFERROR(VLOOKUP(B35,Client_List!$B:$K,10,0),"")</f>
        <v>CANOLA OIL</v>
      </c>
      <c r="I35" s="28">
        <f>IFERROR(_xlfn.MAXIFS(Delivery_Log!$A$4:$A$5000,Delivery_Log!$B$4:$B$5000,B35),"—")</f>
        <v>46106</v>
      </c>
      <c r="J35" s="29">
        <f t="shared" ca="1" si="0"/>
        <v>23</v>
      </c>
      <c r="K35" s="30">
        <f t="shared" ca="1" si="1"/>
        <v>128.67727272727271</v>
      </c>
      <c r="L35" s="30">
        <f t="shared" ca="1" si="2"/>
        <v>221.32272727272729</v>
      </c>
      <c r="M35" s="31">
        <f t="shared" ca="1" si="3"/>
        <v>13.372224846480867</v>
      </c>
      <c r="N35" s="32" t="str">
        <f t="shared" ca="1" si="4"/>
        <v>—</v>
      </c>
      <c r="O35" s="33" t="s">
        <v>33</v>
      </c>
      <c r="P35" s="24">
        <v>3</v>
      </c>
      <c r="Q35" s="34"/>
      <c r="R35" s="24"/>
    </row>
    <row r="36" spans="1:18" ht="15" customHeight="1" x14ac:dyDescent="0.2">
      <c r="A36" s="35" t="s">
        <v>99</v>
      </c>
      <c r="B36" s="36" t="s">
        <v>100</v>
      </c>
      <c r="C36" s="3" t="s">
        <v>39</v>
      </c>
      <c r="D36" s="36" t="str">
        <f>IFERROR(VLOOKUP(B36,Client_List!$B:$K,4,0)&amp;", "&amp;VLOOKUP(B36,Client_List!$B:$K,5,0)&amp;" AZ","")</f>
        <v>One N San Marcos Pl, Chandler AZ</v>
      </c>
      <c r="E36" s="35" t="str">
        <f>IFERROR(VLOOKUP(B36,Client_List!$B:$K,7,0)&amp;", "&amp;VLOOKUP(B36,Client_List!$B:$K,8,0),"")</f>
        <v>33.3206372, -111.8437719</v>
      </c>
      <c r="F36" s="37">
        <f>IFERROR(VLOOKUP(B36,Client_List!$B:$K,9,0),"")</f>
        <v>700</v>
      </c>
      <c r="G36" s="27">
        <f>IFERROR(AVERAGEIFS(Delivery_Log!$I$4:$I$5000,Delivery_Log!$B$4:$B$5000,B36,Delivery_Log!$I$4:$I$5000,"&gt;"&amp;0),"")</f>
        <v>28.93060776942356</v>
      </c>
      <c r="H36" s="35" t="str">
        <f>IFERROR(VLOOKUP(B36,Client_List!$B:$K,10,0),"")</f>
        <v>CANOLA OIL</v>
      </c>
      <c r="I36" s="28">
        <f>IFERROR(_xlfn.MAXIFS(Delivery_Log!$A$4:$A$5000,Delivery_Log!$B$4:$B$5000,B36),"—")</f>
        <v>46119</v>
      </c>
      <c r="J36" s="29">
        <f t="shared" ca="1" si="0"/>
        <v>10</v>
      </c>
      <c r="K36" s="30">
        <f t="shared" ca="1" si="1"/>
        <v>410.69392230576443</v>
      </c>
      <c r="L36" s="30">
        <f t="shared" ca="1" si="2"/>
        <v>289.30607769423557</v>
      </c>
      <c r="M36" s="31">
        <f t="shared" ca="1" si="3"/>
        <v>14.195827670783409</v>
      </c>
      <c r="N36" s="38" t="str">
        <f t="shared" ca="1" si="4"/>
        <v>—</v>
      </c>
      <c r="O36" s="39" t="s">
        <v>36</v>
      </c>
      <c r="P36" s="35">
        <v>4</v>
      </c>
      <c r="Q36" s="34"/>
      <c r="R36" s="35"/>
    </row>
    <row r="37" spans="1:18" ht="15" customHeight="1" x14ac:dyDescent="0.2">
      <c r="A37" s="24" t="s">
        <v>101</v>
      </c>
      <c r="B37" s="25" t="s">
        <v>102</v>
      </c>
      <c r="C37" s="8" t="s">
        <v>52</v>
      </c>
      <c r="D37" s="25" t="str">
        <f>IFERROR(VLOOKUP(B37,Client_List!$B:$K,4,0)&amp;", "&amp;VLOOKUP(B37,Client_List!$B:$K,5,0)&amp;" AZ","")</f>
        <v>3550 E BELL ROAD, PHOENIX AZ</v>
      </c>
      <c r="E37" s="24" t="str">
        <f>IFERROR(VLOOKUP(B37,Client_List!$B:$K,7,0)&amp;", "&amp;VLOOKUP(B37,Client_List!$B:$K,8,0),"")</f>
        <v>33.6410013, -112.0051915</v>
      </c>
      <c r="F37" s="26">
        <f>IFERROR(VLOOKUP(B37,Client_List!$B:$K,9,0),"")</f>
        <v>500</v>
      </c>
      <c r="G37" s="27">
        <f>IFERROR(AVERAGEIFS(Delivery_Log!$I$4:$I$5000,Delivery_Log!$B$4:$B$5000,B37,Delivery_Log!$I$4:$I$5000,"&gt;"&amp;0),"")</f>
        <v>33.715750915750917</v>
      </c>
      <c r="H37" s="24" t="str">
        <f>IFERROR(VLOOKUP(B37,Client_List!$B:$K,10,0),"")</f>
        <v>CANOLA OIL</v>
      </c>
      <c r="I37" s="28">
        <f>IFERROR(_xlfn.MAXIFS(Delivery_Log!$A$4:$A$5000,Delivery_Log!$B$4:$B$5000,B37),"—")</f>
        <v>46126</v>
      </c>
      <c r="J37" s="29">
        <f t="shared" ca="1" si="0"/>
        <v>3</v>
      </c>
      <c r="K37" s="30">
        <f t="shared" ca="1" si="1"/>
        <v>398.85274725274724</v>
      </c>
      <c r="L37" s="30">
        <f t="shared" ca="1" si="2"/>
        <v>101.14725274725276</v>
      </c>
      <c r="M37" s="31">
        <f t="shared" ca="1" si="3"/>
        <v>11.82986397809743</v>
      </c>
      <c r="N37" s="32" t="str">
        <f t="shared" ca="1" si="4"/>
        <v>—</v>
      </c>
      <c r="O37" s="39" t="s">
        <v>36</v>
      </c>
      <c r="P37" s="24">
        <v>7</v>
      </c>
      <c r="Q37" s="34"/>
      <c r="R37" s="24"/>
    </row>
    <row r="38" spans="1:18" ht="15" customHeight="1" x14ac:dyDescent="0.2">
      <c r="A38" s="24" t="s">
        <v>103</v>
      </c>
      <c r="B38" s="25" t="s">
        <v>104</v>
      </c>
      <c r="C38" s="3" t="s">
        <v>39</v>
      </c>
      <c r="D38" s="25" t="str">
        <f>IFERROR(VLOOKUP(B38,Client_List!$B:$K,4,0)&amp;", "&amp;VLOOKUP(B38,Client_List!$B:$K,5,0)&amp;" AZ","")</f>
        <v>1116 E DOBSON RD, MESA AZ</v>
      </c>
      <c r="E38" s="24" t="str">
        <f>IFERROR(VLOOKUP(B38,Client_List!$B:$K,7,0)&amp;", "&amp;VLOOKUP(B38,Client_List!$B:$K,8,0),"")</f>
        <v>33.3947597, -111.8753592</v>
      </c>
      <c r="F38" s="26">
        <f>IFERROR(VLOOKUP(B38,Client_List!$B:$K,9,0),"")</f>
        <v>350</v>
      </c>
      <c r="G38" s="27">
        <f>IFERROR(AVERAGEIFS(Delivery_Log!$I$4:$I$5000,Delivery_Log!$B$4:$B$5000,B38,Delivery_Log!$I$4:$I$5000,"&gt;"&amp;0),"")</f>
        <v>18.104365079365078</v>
      </c>
      <c r="H38" s="24" t="str">
        <f>IFERROR(VLOOKUP(B38,Client_List!$B:$K,10,0),"")</f>
        <v>CANOLA OIL</v>
      </c>
      <c r="I38" s="28">
        <f>IFERROR(_xlfn.MAXIFS(Delivery_Log!$A$4:$A$5000,Delivery_Log!$B$4:$B$5000,B38),"—")</f>
        <v>46116</v>
      </c>
      <c r="J38" s="29">
        <f t="shared" ref="J38:J69" ca="1" si="5">IFERROR(IF(I38="—","",TODAY()-I38),"")</f>
        <v>13</v>
      </c>
      <c r="K38" s="30">
        <f t="shared" ref="K38:K69" ca="1" si="6">IFERROR(IF(OR(J38="",G38=""),"",MAX(F38*0.03,F38-J38*G38)),"")</f>
        <v>114.64325396825399</v>
      </c>
      <c r="L38" s="30">
        <f t="shared" ref="L38:L69" ca="1" si="7">IFERROR(IF(K38="","",F38-K38),"")</f>
        <v>235.35674603174601</v>
      </c>
      <c r="M38" s="31">
        <f t="shared" ref="M38:M69" ca="1" si="8">IFERROR(IF(OR(K38="",G38=""),"",MIN(21,MAX(0,(K38-F38*$B$2)/G38))),"")</f>
        <v>6.3323542949827951</v>
      </c>
      <c r="N38" s="32" t="str">
        <f t="shared" ref="N38:N69" ca="1" si="9">IFERROR(IF(M38="","—",IF(M38&lt;=$D$2,"YES","—")),"—")</f>
        <v>YES</v>
      </c>
      <c r="O38" s="43" t="s">
        <v>47</v>
      </c>
      <c r="P38" s="24">
        <v>6</v>
      </c>
      <c r="Q38" s="34"/>
      <c r="R38" s="24"/>
    </row>
    <row r="39" spans="1:18" ht="15" customHeight="1" x14ac:dyDescent="0.2">
      <c r="A39" s="40" t="s">
        <v>105</v>
      </c>
      <c r="B39" s="41" t="s">
        <v>106</v>
      </c>
      <c r="C39" s="3" t="s">
        <v>39</v>
      </c>
      <c r="D39" s="41" t="str">
        <f>IFERROR(VLOOKUP(B39,Client_List!$B:$K,4,0)&amp;", "&amp;VLOOKUP(B39,Client_List!$B:$K,5,0)&amp;" AZ","")</f>
        <v>2650 E UNIVERSITY DR, MESA AZ</v>
      </c>
      <c r="E39" s="40" t="str">
        <f>IFERROR(VLOOKUP(B39,Client_List!$B:$K,7,0)&amp;", "&amp;VLOOKUP(B39,Client_List!$B:$K,8,0),"")</f>
        <v>33.4234572, -111.7735998</v>
      </c>
      <c r="F39" s="42">
        <f>IFERROR(VLOOKUP(B39,Client_List!$B:$K,9,0),"")</f>
        <v>350</v>
      </c>
      <c r="G39" s="27">
        <f>IFERROR(AVERAGEIFS(Delivery_Log!$I$4:$I$5000,Delivery_Log!$B$4:$B$5000,B39,Delivery_Log!$I$4:$I$5000,"&gt;"&amp;0),"")</f>
        <v>14.412763709172378</v>
      </c>
      <c r="H39" s="40" t="str">
        <f>IFERROR(VLOOKUP(B39,Client_List!$B:$K,10,0),"")</f>
        <v>CANOLA OIL</v>
      </c>
      <c r="I39" s="28">
        <f>IFERROR(_xlfn.MAXIFS(Delivery_Log!$A$4:$A$5000,Delivery_Log!$B$4:$B$5000,B39),"—")</f>
        <v>46120</v>
      </c>
      <c r="J39" s="29">
        <f t="shared" ca="1" si="5"/>
        <v>9</v>
      </c>
      <c r="K39" s="30">
        <f t="shared" ca="1" si="6"/>
        <v>220.28512661744861</v>
      </c>
      <c r="L39" s="30">
        <f t="shared" ca="1" si="7"/>
        <v>129.71487338255139</v>
      </c>
      <c r="M39" s="31">
        <f t="shared" ca="1" si="8"/>
        <v>15.284030950792436</v>
      </c>
      <c r="N39" s="38" t="str">
        <f t="shared" ca="1" si="9"/>
        <v>—</v>
      </c>
      <c r="O39" s="43" t="s">
        <v>47</v>
      </c>
      <c r="P39" s="40">
        <v>5</v>
      </c>
      <c r="Q39" s="34"/>
      <c r="R39" s="40"/>
    </row>
    <row r="40" spans="1:18" ht="15" customHeight="1" x14ac:dyDescent="0.2">
      <c r="A40" s="44" t="s">
        <v>107</v>
      </c>
      <c r="B40" s="45" t="s">
        <v>108</v>
      </c>
      <c r="C40" s="13" t="s">
        <v>44</v>
      </c>
      <c r="D40" s="45" t="str">
        <f>IFERROR(VLOOKUP(B40,Client_List!$B:$K,4,0)&amp;", "&amp;VLOOKUP(B40,Client_List!$B:$K,5,0)&amp;" AZ","")</f>
        <v>16335 W Northern Ave, Litchfield Pk AZ</v>
      </c>
      <c r="E40" s="44" t="str">
        <f>IFERROR(VLOOKUP(B40,Client_List!$B:$K,7,0)&amp;", "&amp;VLOOKUP(B40,Client_List!$B:$K,8,0),"")</f>
        <v>33.5499854, -112.4107069</v>
      </c>
      <c r="F40" s="46">
        <f>IFERROR(VLOOKUP(B40,Client_List!$B:$K,9,0),"")</f>
        <v>1050</v>
      </c>
      <c r="G40" s="27">
        <f>IFERROR(AVERAGEIFS(Delivery_Log!$I$4:$I$5000,Delivery_Log!$B$4:$B$5000,B40,Delivery_Log!$I$4:$I$5000,"&gt;"&amp;0),"")</f>
        <v>50.646182764603822</v>
      </c>
      <c r="H40" s="44" t="str">
        <f>IFERROR(VLOOKUP(B40,Client_List!$B:$K,10,0),"")</f>
        <v>FRYERS CHOICE BLEND</v>
      </c>
      <c r="I40" s="28">
        <f>IFERROR(_xlfn.MAXIFS(Delivery_Log!$A$4:$A$5000,Delivery_Log!$B$4:$B$5000,B40),"—")</f>
        <v>46120</v>
      </c>
      <c r="J40" s="29">
        <f t="shared" ca="1" si="5"/>
        <v>9</v>
      </c>
      <c r="K40" s="30">
        <f t="shared" ca="1" si="6"/>
        <v>594.18435511856558</v>
      </c>
      <c r="L40" s="30">
        <f t="shared" ca="1" si="7"/>
        <v>455.81564488143442</v>
      </c>
      <c r="M40" s="31">
        <f t="shared" ca="1" si="8"/>
        <v>11.73206592647365</v>
      </c>
      <c r="N40" s="38" t="str">
        <f t="shared" ca="1" si="9"/>
        <v>—</v>
      </c>
      <c r="O40" s="39" t="s">
        <v>36</v>
      </c>
      <c r="P40" s="44">
        <v>6</v>
      </c>
      <c r="Q40" s="34"/>
      <c r="R40" s="44"/>
    </row>
    <row r="41" spans="1:18" ht="15" customHeight="1" x14ac:dyDescent="0.2">
      <c r="A41" s="24" t="s">
        <v>109</v>
      </c>
      <c r="B41" s="25" t="s">
        <v>110</v>
      </c>
      <c r="C41" s="13" t="s">
        <v>44</v>
      </c>
      <c r="D41" s="25" t="str">
        <f>IFERROR(VLOOKUP(B41,Client_List!$B:$K,4,0)&amp;", "&amp;VLOOKUP(B41,Client_List!$B:$K,5,0)&amp;" AZ","")</f>
        <v>37838 W GRAND AVE, MORISTOWN AZ</v>
      </c>
      <c r="E41" s="24" t="str">
        <f>IFERROR(VLOOKUP(B41,Client_List!$B:$K,7,0)&amp;", "&amp;VLOOKUP(B41,Client_List!$B:$K,8,0),"")</f>
        <v>33.8290398, -112.5948689</v>
      </c>
      <c r="F41" s="26">
        <f>IFERROR(VLOOKUP(B41,Client_List!$B:$K,9,0),"")</f>
        <v>1050</v>
      </c>
      <c r="G41" s="27">
        <f>IFERROR(AVERAGEIFS(Delivery_Log!$I$4:$I$5000,Delivery_Log!$B$4:$B$5000,B41,Delivery_Log!$I$4:$I$5000,"&gt;"&amp;0),"")</f>
        <v>39.293750000000003</v>
      </c>
      <c r="H41" s="24" t="str">
        <f>IFERROR(VLOOKUP(B41,Client_List!$B:$K,10,0),"")</f>
        <v>FRYERS CHOICE BLEND</v>
      </c>
      <c r="I41" s="28">
        <f>IFERROR(_xlfn.MAXIFS(Delivery_Log!$A$4:$A$5000,Delivery_Log!$B$4:$B$5000,B41),"—")</f>
        <v>46107</v>
      </c>
      <c r="J41" s="29">
        <f t="shared" ca="1" si="5"/>
        <v>22</v>
      </c>
      <c r="K41" s="30">
        <f t="shared" ca="1" si="6"/>
        <v>185.53749999999991</v>
      </c>
      <c r="L41" s="30">
        <f t="shared" ca="1" si="7"/>
        <v>864.46250000000009</v>
      </c>
      <c r="M41" s="31">
        <f t="shared" ca="1" si="8"/>
        <v>4.7218069031334471</v>
      </c>
      <c r="N41" s="32" t="str">
        <f t="shared" ca="1" si="9"/>
        <v>YES</v>
      </c>
      <c r="O41" s="39" t="s">
        <v>36</v>
      </c>
      <c r="P41" s="24">
        <v>5</v>
      </c>
      <c r="Q41" s="34"/>
      <c r="R41" s="24"/>
    </row>
    <row r="42" spans="1:18" ht="15" customHeight="1" x14ac:dyDescent="0.2">
      <c r="A42" s="44" t="s">
        <v>111</v>
      </c>
      <c r="B42" s="45" t="s">
        <v>112</v>
      </c>
      <c r="C42" s="12" t="s">
        <v>32</v>
      </c>
      <c r="D42" s="45" t="str">
        <f>IFERROR(VLOOKUP(B42,Client_List!$B:$K,4,0)&amp;", "&amp;VLOOKUP(B42,Client_List!$B:$K,5,0)&amp;" AZ","")</f>
        <v>40202 N 87Th Ave, Peoria AZ</v>
      </c>
      <c r="E42" s="44" t="str">
        <f>IFERROR(VLOOKUP(B42,Client_List!$B:$K,7,0)&amp;", "&amp;VLOOKUP(B42,Client_List!$B:$K,8,0),"")</f>
        <v>33.852793, -112.246978</v>
      </c>
      <c r="F42" s="46">
        <f>IFERROR(VLOOKUP(B42,Client_List!$B:$K,9,0),"")</f>
        <v>450</v>
      </c>
      <c r="G42" s="27">
        <f>IFERROR(AVERAGEIFS(Delivery_Log!$I$4:$I$5000,Delivery_Log!$B$4:$B$5000,B42,Delivery_Log!$I$4:$I$5000,"&gt;"&amp;0),"")</f>
        <v>39.341801056086766</v>
      </c>
      <c r="H42" s="44" t="str">
        <f>IFERROR(VLOOKUP(B42,Client_List!$B:$K,10,0),"")</f>
        <v>FRYERS CHOICE BLEND</v>
      </c>
      <c r="I42" s="28">
        <f>IFERROR(_xlfn.MAXIFS(Delivery_Log!$A$4:$A$5000,Delivery_Log!$B$4:$B$5000,B42),"—")</f>
        <v>46126</v>
      </c>
      <c r="J42" s="29">
        <f t="shared" ca="1" si="5"/>
        <v>3</v>
      </c>
      <c r="K42" s="30">
        <f t="shared" ca="1" si="6"/>
        <v>331.97459683173969</v>
      </c>
      <c r="L42" s="30">
        <f t="shared" ca="1" si="7"/>
        <v>118.02540316826031</v>
      </c>
      <c r="M42" s="31">
        <f t="shared" ca="1" si="8"/>
        <v>8.438215534628613</v>
      </c>
      <c r="N42" s="38" t="str">
        <f t="shared" ca="1" si="9"/>
        <v>—</v>
      </c>
      <c r="O42" s="39" t="s">
        <v>36</v>
      </c>
      <c r="P42" s="44">
        <v>7</v>
      </c>
      <c r="Q42" s="34"/>
      <c r="R42" s="44"/>
    </row>
    <row r="43" spans="1:18" ht="15" customHeight="1" x14ac:dyDescent="0.2">
      <c r="A43" s="35" t="s">
        <v>113</v>
      </c>
      <c r="B43" s="36" t="s">
        <v>114</v>
      </c>
      <c r="C43" s="12" t="s">
        <v>32</v>
      </c>
      <c r="D43" s="36" t="str">
        <f>IFERROR(VLOOKUP(B43,Client_List!$B:$K,4,0)&amp;", "&amp;VLOOKUP(B43,Client_List!$B:$K,5,0)&amp;" AZ","")</f>
        <v>20585 N 59Th Ave, Glendale AZ</v>
      </c>
      <c r="E43" s="35" t="str">
        <f>IFERROR(VLOOKUP(B43,Client_List!$B:$K,7,0)&amp;", "&amp;VLOOKUP(B43,Client_List!$B:$K,8,0),"")</f>
        <v>33.67218, -112.1863112</v>
      </c>
      <c r="F43" s="37">
        <f>IFERROR(VLOOKUP(B43,Client_List!$B:$K,9,0),"")</f>
        <v>500</v>
      </c>
      <c r="G43" s="27">
        <f>IFERROR(AVERAGEIFS(Delivery_Log!$I$4:$I$5000,Delivery_Log!$B$4:$B$5000,B43,Delivery_Log!$I$4:$I$5000,"&gt;"&amp;0),"")</f>
        <v>34.205154369440088</v>
      </c>
      <c r="H43" s="35" t="str">
        <f>IFERROR(VLOOKUP(B43,Client_List!$B:$K,10,0),"")</f>
        <v>FRYERS CHOICE BLEND</v>
      </c>
      <c r="I43" s="28">
        <f>IFERROR(_xlfn.MAXIFS(Delivery_Log!$A$4:$A$5000,Delivery_Log!$B$4:$B$5000,B43),"—")</f>
        <v>46120</v>
      </c>
      <c r="J43" s="29">
        <f t="shared" ca="1" si="5"/>
        <v>9</v>
      </c>
      <c r="K43" s="30">
        <f t="shared" ca="1" si="6"/>
        <v>192.1536106750392</v>
      </c>
      <c r="L43" s="30">
        <f t="shared" ca="1" si="7"/>
        <v>307.8463893249608</v>
      </c>
      <c r="M43" s="31">
        <f t="shared" ca="1" si="8"/>
        <v>5.6176799730135123</v>
      </c>
      <c r="N43" s="38" t="str">
        <f t="shared" ca="1" si="9"/>
        <v>YES</v>
      </c>
      <c r="O43" s="39" t="s">
        <v>36</v>
      </c>
      <c r="P43" s="35">
        <v>7</v>
      </c>
      <c r="Q43" s="34"/>
      <c r="R43" s="35"/>
    </row>
    <row r="44" spans="1:18" ht="15" customHeight="1" x14ac:dyDescent="0.2">
      <c r="A44" s="24" t="s">
        <v>115</v>
      </c>
      <c r="B44" s="25" t="s">
        <v>116</v>
      </c>
      <c r="C44" s="11" t="s">
        <v>57</v>
      </c>
      <c r="D44" s="25" t="str">
        <f>IFERROR(VLOOKUP(B44,Client_List!$B:$K,4,0)&amp;", "&amp;VLOOKUP(B44,Client_List!$B:$K,5,0)&amp;" AZ","")</f>
        <v>586 W APACHE, APACHE JUNCTION AZ</v>
      </c>
      <c r="E44" s="24" t="str">
        <f>IFERROR(VLOOKUP(B44,Client_List!$B:$K,7,0)&amp;", "&amp;VLOOKUP(B44,Client_List!$B:$K,8,0),"")</f>
        <v>33.4154921, -111.5523658</v>
      </c>
      <c r="F44" s="26">
        <f>IFERROR(VLOOKUP(B44,Client_List!$B:$K,9,0),"")</f>
        <v>900</v>
      </c>
      <c r="G44" s="27">
        <f>IFERROR(AVERAGEIFS(Delivery_Log!$I$4:$I$5000,Delivery_Log!$B$4:$B$5000,B44,Delivery_Log!$I$4:$I$5000,"&gt;"&amp;0),"")</f>
        <v>37.251748251748246</v>
      </c>
      <c r="H44" s="24" t="str">
        <f>IFERROR(VLOOKUP(B44,Client_List!$B:$K,10,0),"")</f>
        <v>FRYERS CHOICE BLEND</v>
      </c>
      <c r="I44" s="28">
        <f>IFERROR(_xlfn.MAXIFS(Delivery_Log!$A$4:$A$5000,Delivery_Log!$B$4:$B$5000,B44),"—")</f>
        <v>46107</v>
      </c>
      <c r="J44" s="29">
        <f t="shared" ca="1" si="5"/>
        <v>22</v>
      </c>
      <c r="K44" s="30">
        <f t="shared" ca="1" si="6"/>
        <v>80.461538461538566</v>
      </c>
      <c r="L44" s="30">
        <f t="shared" ca="1" si="7"/>
        <v>819.53846153846143</v>
      </c>
      <c r="M44" s="31">
        <f t="shared" ca="1" si="8"/>
        <v>2.1599399286652932</v>
      </c>
      <c r="N44" s="32" t="str">
        <f t="shared" ca="1" si="9"/>
        <v>YES</v>
      </c>
      <c r="O44" s="39" t="s">
        <v>36</v>
      </c>
      <c r="P44" s="24">
        <v>4</v>
      </c>
      <c r="Q44" s="34"/>
      <c r="R44" s="24"/>
    </row>
    <row r="45" spans="1:18" ht="15" customHeight="1" x14ac:dyDescent="0.2">
      <c r="A45" s="40" t="s">
        <v>117</v>
      </c>
      <c r="B45" s="41" t="s">
        <v>118</v>
      </c>
      <c r="C45" s="3" t="s">
        <v>39</v>
      </c>
      <c r="D45" s="41" t="str">
        <f>IFERROR(VLOOKUP(B45,Client_List!$B:$K,4,0)&amp;", "&amp;VLOOKUP(B45,Client_List!$B:$K,5,0)&amp;" AZ","")</f>
        <v>DURVILL FOODS, Phoenix AZ</v>
      </c>
      <c r="E45" s="40" t="str">
        <f>IFERROR(VLOOKUP(B45,Client_List!$B:$K,7,0)&amp;", "&amp;VLOOKUP(B45,Client_List!$B:$K,8,0),"")</f>
        <v>33.4066366, -112.0110289</v>
      </c>
      <c r="F45" s="42">
        <f>IFERROR(VLOOKUP(B45,Client_List!$B:$K,9,0),"")</f>
        <v>2500</v>
      </c>
      <c r="G45" s="27">
        <f>IFERROR(AVERAGEIFS(Delivery_Log!$I$4:$I$5000,Delivery_Log!$B$4:$B$5000,B45,Delivery_Log!$I$4:$I$5000,"&gt;"&amp;0),"")</f>
        <v>233.53756952923621</v>
      </c>
      <c r="H45" s="40" t="str">
        <f>IFERROR(VLOOKUP(B45,Client_List!$B:$K,10,0),"")</f>
        <v>CANOLA OIL</v>
      </c>
      <c r="I45" s="28">
        <f>IFERROR(_xlfn.MAXIFS(Delivery_Log!$A$4:$A$5000,Delivery_Log!$B$4:$B$5000,B45),"—")</f>
        <v>46108</v>
      </c>
      <c r="J45" s="29">
        <f t="shared" ca="1" si="5"/>
        <v>21</v>
      </c>
      <c r="K45" s="30">
        <f t="shared" ca="1" si="6"/>
        <v>75</v>
      </c>
      <c r="L45" s="30">
        <f t="shared" ca="1" si="7"/>
        <v>2425</v>
      </c>
      <c r="M45" s="31">
        <f t="shared" ca="1" si="8"/>
        <v>0.32114747169453123</v>
      </c>
      <c r="N45" s="38" t="str">
        <f t="shared" ca="1" si="9"/>
        <v>YES</v>
      </c>
      <c r="O45" s="39" t="s">
        <v>36</v>
      </c>
      <c r="P45" s="40">
        <v>10</v>
      </c>
      <c r="Q45" s="34"/>
      <c r="R45" s="40"/>
    </row>
    <row r="46" spans="1:18" ht="15" customHeight="1" x14ac:dyDescent="0.2">
      <c r="A46" s="35" t="s">
        <v>119</v>
      </c>
      <c r="B46" s="36" t="s">
        <v>120</v>
      </c>
      <c r="C46" s="11" t="s">
        <v>57</v>
      </c>
      <c r="D46" s="36" t="str">
        <f>IFERROR(VLOOKUP(B46,Client_List!$B:$K,4,0)&amp;", "&amp;VLOOKUP(B46,Client_List!$B:$K,5,0)&amp;" AZ","")</f>
        <v>ECHO 5 SPORTS BAR, Mesa AZ</v>
      </c>
      <c r="E46" s="35" t="str">
        <f>IFERROR(VLOOKUP(B46,Client_List!$B:$K,7,0)&amp;", "&amp;VLOOKUP(B46,Client_List!$B:$K,8,0),"")</f>
        <v>33.468258, -111.6829244</v>
      </c>
      <c r="F46" s="37">
        <f>IFERROR(VLOOKUP(B46,Client_List!$B:$K,9,0),"")</f>
        <v>450</v>
      </c>
      <c r="G46" s="27">
        <f>IFERROR(AVERAGEIFS(Delivery_Log!$I$4:$I$5000,Delivery_Log!$B$4:$B$5000,B46,Delivery_Log!$I$4:$I$5000,"&gt;"&amp;0),"")</f>
        <v>40.659329004329003</v>
      </c>
      <c r="H46" s="35" t="str">
        <f>IFERROR(VLOOKUP(B46,Client_List!$B:$K,10,0),"")</f>
        <v>FRYERS CHOICE BLEND</v>
      </c>
      <c r="I46" s="28">
        <f>IFERROR(_xlfn.MAXIFS(Delivery_Log!$A$4:$A$5000,Delivery_Log!$B$4:$B$5000,B46),"—")</f>
        <v>46119</v>
      </c>
      <c r="J46" s="29">
        <f t="shared" ca="1" si="5"/>
        <v>10</v>
      </c>
      <c r="K46" s="30">
        <f t="shared" ca="1" si="6"/>
        <v>43.40670995670996</v>
      </c>
      <c r="L46" s="30">
        <f t="shared" ca="1" si="7"/>
        <v>406.59329004329004</v>
      </c>
      <c r="M46" s="31">
        <f t="shared" ca="1" si="8"/>
        <v>1.0675707400898928</v>
      </c>
      <c r="N46" s="38" t="str">
        <f t="shared" ca="1" si="9"/>
        <v>YES</v>
      </c>
      <c r="O46" s="39" t="s">
        <v>36</v>
      </c>
      <c r="P46" s="35">
        <v>10</v>
      </c>
      <c r="Q46" s="34"/>
      <c r="R46" s="35"/>
    </row>
    <row r="47" spans="1:18" ht="15" customHeight="1" x14ac:dyDescent="0.2">
      <c r="A47" s="24" t="s">
        <v>121</v>
      </c>
      <c r="B47" s="25" t="s">
        <v>122</v>
      </c>
      <c r="C47" s="8" t="s">
        <v>52</v>
      </c>
      <c r="D47" s="25" t="str">
        <f>IFERROR(VLOOKUP(B47,Client_List!$B:$K,4,0)&amp;", "&amp;VLOOKUP(B47,Client_List!$B:$K,5,0)&amp;" AZ","")</f>
        <v>3464 W Camelback Rd, Phoenix AZ</v>
      </c>
      <c r="E47" s="24" t="str">
        <f>IFERROR(VLOOKUP(B47,Client_List!$B:$K,7,0)&amp;", "&amp;VLOOKUP(B47,Client_List!$B:$K,8,0),"")</f>
        <v>33.5097147, -112.1338391</v>
      </c>
      <c r="F47" s="26">
        <f>IFERROR(VLOOKUP(B47,Client_List!$B:$K,9,0),"")</f>
        <v>500</v>
      </c>
      <c r="G47" s="27">
        <f>IFERROR(AVERAGEIFS(Delivery_Log!$I$4:$I$5000,Delivery_Log!$B$4:$B$5000,B47,Delivery_Log!$I$4:$I$5000,"&gt;"&amp;0),"")</f>
        <v>19.264802631578945</v>
      </c>
      <c r="H47" s="24" t="str">
        <f>IFERROR(VLOOKUP(B47,Client_List!$B:$K,10,0),"")</f>
        <v>CANOLA OIL</v>
      </c>
      <c r="I47" s="28">
        <f>IFERROR(_xlfn.MAXIFS(Delivery_Log!$A$4:$A$5000,Delivery_Log!$B$4:$B$5000,B47),"—")</f>
        <v>46114</v>
      </c>
      <c r="J47" s="29">
        <f t="shared" ca="1" si="5"/>
        <v>15</v>
      </c>
      <c r="K47" s="30">
        <f t="shared" ca="1" si="6"/>
        <v>211.02796052631584</v>
      </c>
      <c r="L47" s="30">
        <f t="shared" ca="1" si="7"/>
        <v>288.97203947368416</v>
      </c>
      <c r="M47" s="31">
        <f t="shared" ca="1" si="8"/>
        <v>10.954068129428844</v>
      </c>
      <c r="N47" s="32" t="str">
        <f t="shared" ca="1" si="9"/>
        <v>—</v>
      </c>
      <c r="O47" s="43" t="s">
        <v>47</v>
      </c>
      <c r="P47" s="24">
        <v>5</v>
      </c>
      <c r="Q47" s="34"/>
      <c r="R47" s="24"/>
    </row>
    <row r="48" spans="1:18" ht="15" customHeight="1" x14ac:dyDescent="0.2">
      <c r="A48" s="24" t="s">
        <v>123</v>
      </c>
      <c r="B48" s="25" t="s">
        <v>124</v>
      </c>
      <c r="C48" s="13" t="s">
        <v>44</v>
      </c>
      <c r="D48" s="25" t="str">
        <f>IFERROR(VLOOKUP(B48,Client_List!$B:$K,4,0)&amp;", "&amp;VLOOKUP(B48,Client_List!$B:$K,5,0)&amp;" AZ","")</f>
        <v>15605 W ROOSEVELT ST, GOODYEAR AZ</v>
      </c>
      <c r="E48" s="24" t="str">
        <f>IFERROR(VLOOKUP(B48,Client_List!$B:$K,7,0)&amp;", "&amp;VLOOKUP(B48,Client_List!$B:$K,8,0),"")</f>
        <v>33.4564151, -112.3944877</v>
      </c>
      <c r="F48" s="26">
        <f>IFERROR(VLOOKUP(B48,Client_List!$B:$K,9,0),"")</f>
        <v>350</v>
      </c>
      <c r="G48" s="27">
        <f>IFERROR(AVERAGEIFS(Delivery_Log!$I$4:$I$5000,Delivery_Log!$B$4:$B$5000,B48,Delivery_Log!$I$4:$I$5000,"&gt;"&amp;0),"")</f>
        <v>7.4666171187910315</v>
      </c>
      <c r="H48" s="24" t="str">
        <f>IFERROR(VLOOKUP(B48,Client_List!$B:$K,10,0),"")</f>
        <v>CANOLA OIL</v>
      </c>
      <c r="I48" s="28">
        <f>IFERROR(_xlfn.MAXIFS(Delivery_Log!$A$4:$A$5000,Delivery_Log!$B$4:$B$5000,B48),"—")</f>
        <v>46113</v>
      </c>
      <c r="J48" s="29">
        <f t="shared" ca="1" si="5"/>
        <v>16</v>
      </c>
      <c r="K48" s="30">
        <f t="shared" ca="1" si="6"/>
        <v>230.5341260993435</v>
      </c>
      <c r="L48" s="30">
        <f t="shared" ca="1" si="7"/>
        <v>119.4658739006565</v>
      </c>
      <c r="M48" s="31">
        <f t="shared" ca="1" si="8"/>
        <v>21</v>
      </c>
      <c r="N48" s="32" t="str">
        <f t="shared" ca="1" si="9"/>
        <v>—</v>
      </c>
      <c r="O48" s="39" t="s">
        <v>36</v>
      </c>
      <c r="P48" s="24">
        <v>4</v>
      </c>
      <c r="Q48" s="34"/>
      <c r="R48" s="24"/>
    </row>
    <row r="49" spans="1:18" ht="15" customHeight="1" x14ac:dyDescent="0.2">
      <c r="A49" s="44" t="s">
        <v>125</v>
      </c>
      <c r="B49" s="45" t="s">
        <v>126</v>
      </c>
      <c r="C49" s="3" t="s">
        <v>39</v>
      </c>
      <c r="D49" s="45" t="str">
        <f>IFERROR(VLOOKUP(B49,Client_List!$B:$K,4,0)&amp;", "&amp;VLOOKUP(B49,Client_List!$B:$K,5,0)&amp;" AZ","")</f>
        <v>1312 N SCOTTSDALE RD, SCOTTSDALE AZ</v>
      </c>
      <c r="E49" s="44" t="str">
        <f>IFERROR(VLOOKUP(B49,Client_List!$B:$K,7,0)&amp;", "&amp;VLOOKUP(B49,Client_List!$B:$K,8,0),"")</f>
        <v>33.4627014, -111.926838</v>
      </c>
      <c r="F49" s="46">
        <f>IFERROR(VLOOKUP(B49,Client_List!$B:$K,9,0),"")</f>
        <v>700</v>
      </c>
      <c r="G49" s="27">
        <f>IFERROR(AVERAGEIFS(Delivery_Log!$I$4:$I$5000,Delivery_Log!$B$4:$B$5000,B49,Delivery_Log!$I$4:$I$5000,"&gt;"&amp;0),"")</f>
        <v>71.231952075702068</v>
      </c>
      <c r="H49" s="44" t="str">
        <f>IFERROR(VLOOKUP(B49,Client_List!$B:$K,10,0),"")</f>
        <v>CANOLA OIL</v>
      </c>
      <c r="I49" s="28">
        <f>IFERROR(_xlfn.MAXIFS(Delivery_Log!$A$4:$A$5000,Delivery_Log!$B$4:$B$5000,B49),"—")</f>
        <v>46122</v>
      </c>
      <c r="J49" s="29">
        <f t="shared" ca="1" si="5"/>
        <v>7</v>
      </c>
      <c r="K49" s="30">
        <f t="shared" ca="1" si="6"/>
        <v>201.37633547008551</v>
      </c>
      <c r="L49" s="30">
        <f t="shared" ca="1" si="7"/>
        <v>498.62366452991449</v>
      </c>
      <c r="M49" s="31">
        <f t="shared" ca="1" si="8"/>
        <v>2.8270506367152755</v>
      </c>
      <c r="N49" s="38" t="str">
        <f t="shared" ca="1" si="9"/>
        <v>YES</v>
      </c>
      <c r="O49" s="39" t="s">
        <v>36</v>
      </c>
      <c r="P49" s="44">
        <v>12</v>
      </c>
      <c r="Q49" s="34"/>
      <c r="R49" s="44"/>
    </row>
    <row r="50" spans="1:18" ht="15" customHeight="1" x14ac:dyDescent="0.2">
      <c r="A50" s="40" t="s">
        <v>127</v>
      </c>
      <c r="B50" s="41" t="s">
        <v>128</v>
      </c>
      <c r="C50" s="3" t="s">
        <v>39</v>
      </c>
      <c r="D50" s="41" t="str">
        <f>IFERROR(VLOOKUP(B50,Client_List!$B:$K,4,0)&amp;", "&amp;VLOOKUP(B50,Client_List!$B:$K,5,0)&amp;" AZ","")</f>
        <v>201 E SOUTHERN AVE, TEMPE AZ</v>
      </c>
      <c r="E50" s="40" t="str">
        <f>IFERROR(VLOOKUP(B50,Client_List!$B:$K,7,0)&amp;", "&amp;VLOOKUP(B50,Client_List!$B:$K,8,0),"")</f>
        <v>33.3923823, -111.9364861</v>
      </c>
      <c r="F50" s="42">
        <f>IFERROR(VLOOKUP(B50,Client_List!$B:$K,9,0),"")</f>
        <v>700</v>
      </c>
      <c r="G50" s="27">
        <f>IFERROR(AVERAGEIFS(Delivery_Log!$I$4:$I$5000,Delivery_Log!$B$4:$B$5000,B50,Delivery_Log!$I$4:$I$5000,"&gt;"&amp;0),"")</f>
        <v>73.991553287981873</v>
      </c>
      <c r="H50" s="40" t="str">
        <f>IFERROR(VLOOKUP(B50,Client_List!$B:$K,10,0),"")</f>
        <v>CANOLA OIL</v>
      </c>
      <c r="I50" s="28">
        <f>IFERROR(_xlfn.MAXIFS(Delivery_Log!$A$4:$A$5000,Delivery_Log!$B$4:$B$5000,B50),"—")</f>
        <v>46126</v>
      </c>
      <c r="J50" s="29">
        <f t="shared" ca="1" si="5"/>
        <v>3</v>
      </c>
      <c r="K50" s="30">
        <f t="shared" ca="1" si="6"/>
        <v>478.02534013605441</v>
      </c>
      <c r="L50" s="30">
        <f t="shared" ca="1" si="7"/>
        <v>221.97465986394559</v>
      </c>
      <c r="M50" s="31">
        <f t="shared" ca="1" si="8"/>
        <v>6.4605393304224359</v>
      </c>
      <c r="N50" s="38" t="str">
        <f t="shared" ca="1" si="9"/>
        <v>YES</v>
      </c>
      <c r="O50" s="39" t="s">
        <v>36</v>
      </c>
      <c r="P50" s="40">
        <v>13</v>
      </c>
      <c r="Q50" s="34"/>
      <c r="R50" s="40"/>
    </row>
    <row r="51" spans="1:18" ht="15" customHeight="1" x14ac:dyDescent="0.2">
      <c r="A51" s="44" t="s">
        <v>129</v>
      </c>
      <c r="B51" s="45" t="s">
        <v>130</v>
      </c>
      <c r="C51" s="3" t="s">
        <v>39</v>
      </c>
      <c r="D51" s="45" t="str">
        <f>IFERROR(VLOOKUP(B51,Client_List!$B:$K,4,0)&amp;", "&amp;VLOOKUP(B51,Client_List!$B:$K,5,0)&amp;" AZ","")</f>
        <v>1340 E 8Th St, Tempe AZ</v>
      </c>
      <c r="E51" s="44" t="str">
        <f>IFERROR(VLOOKUP(B51,Client_List!$B:$K,7,0)&amp;", "&amp;VLOOKUP(B51,Client_List!$B:$K,8,0),"")</f>
        <v>33.4196799, -111.915919</v>
      </c>
      <c r="F51" s="46">
        <f>IFERROR(VLOOKUP(B51,Client_List!$B:$K,9,0),"")</f>
        <v>2500</v>
      </c>
      <c r="G51" s="27">
        <f>IFERROR(AVERAGEIFS(Delivery_Log!$I$4:$I$5000,Delivery_Log!$B$4:$B$5000,B51,Delivery_Log!$I$4:$I$5000,"&gt;"&amp;0),"")</f>
        <v>114.44905844155844</v>
      </c>
      <c r="H51" s="44" t="str">
        <f>IFERROR(VLOOKUP(B51,Client_List!$B:$K,10,0),"")</f>
        <v>FRYERS CHOICE BLEND</v>
      </c>
      <c r="I51" s="28">
        <f>IFERROR(_xlfn.MAXIFS(Delivery_Log!$A$4:$A$5000,Delivery_Log!$B$4:$B$5000,B51),"—")</f>
        <v>46108</v>
      </c>
      <c r="J51" s="29">
        <f t="shared" ca="1" si="5"/>
        <v>21</v>
      </c>
      <c r="K51" s="30">
        <f t="shared" ca="1" si="6"/>
        <v>96.569772727272721</v>
      </c>
      <c r="L51" s="30">
        <f t="shared" ca="1" si="7"/>
        <v>2403.4302272727273</v>
      </c>
      <c r="M51" s="31">
        <f ca="1">IFERROR(IF(OR(K51="",G51=""),"",MIN(21,MAX(0,(K51-F51*$B$2)/G51))),"")</f>
        <v>0.84377952988214855</v>
      </c>
      <c r="N51" s="38" t="str">
        <f t="shared" ca="1" si="9"/>
        <v>YES</v>
      </c>
      <c r="O51" s="39" t="s">
        <v>36</v>
      </c>
      <c r="P51" s="44">
        <v>6</v>
      </c>
      <c r="Q51" s="34"/>
      <c r="R51" s="44"/>
    </row>
    <row r="52" spans="1:18" ht="15" customHeight="1" x14ac:dyDescent="0.2">
      <c r="A52" s="24" t="s">
        <v>131</v>
      </c>
      <c r="B52" s="25" t="s">
        <v>132</v>
      </c>
      <c r="C52" s="8" t="s">
        <v>52</v>
      </c>
      <c r="D52" s="25" t="str">
        <f>IFERROR(VLOOKUP(B52,Client_List!$B:$K,4,0)&amp;", "&amp;VLOOKUP(B52,Client_List!$B:$K,5,0)&amp;" AZ","")</f>
        <v>4910 E Indian School Rd, Phoenix AZ</v>
      </c>
      <c r="E52" s="24" t="str">
        <f>IFERROR(VLOOKUP(B52,Client_List!$B:$K,7,0)&amp;", "&amp;VLOOKUP(B52,Client_List!$B:$K,8,0),"")</f>
        <v>33.494903, -111.9754061</v>
      </c>
      <c r="F52" s="26">
        <f>IFERROR(VLOOKUP(B52,Client_List!$B:$K,9,0),"")</f>
        <v>630</v>
      </c>
      <c r="G52" s="27">
        <f>IFERROR(AVERAGEIFS(Delivery_Log!$I$4:$I$5000,Delivery_Log!$B$4:$B$5000,B52,Delivery_Log!$I$4:$I$5000,"&gt;"&amp;0),"")</f>
        <v>45.282672882672884</v>
      </c>
      <c r="H52" s="24" t="str">
        <f>IFERROR(VLOOKUP(B52,Client_List!$B:$K,10,0),"")</f>
        <v>CANOLA OIL</v>
      </c>
      <c r="I52" s="28">
        <f>IFERROR(_xlfn.MAXIFS(Delivery_Log!$A$4:$A$5000,Delivery_Log!$B$4:$B$5000,B52),"—")</f>
        <v>46126</v>
      </c>
      <c r="J52" s="29">
        <f t="shared" ca="1" si="5"/>
        <v>3</v>
      </c>
      <c r="K52" s="30">
        <f t="shared" ca="1" si="6"/>
        <v>494.15198135198136</v>
      </c>
      <c r="L52" s="30">
        <f t="shared" ca="1" si="7"/>
        <v>135.84801864801864</v>
      </c>
      <c r="M52" s="31">
        <f t="shared" ca="1" si="8"/>
        <v>10.91260629937473</v>
      </c>
      <c r="N52" s="32" t="str">
        <f t="shared" ca="1" si="9"/>
        <v>—</v>
      </c>
      <c r="O52" s="39" t="s">
        <v>36</v>
      </c>
      <c r="P52" s="24">
        <v>7</v>
      </c>
      <c r="Q52" s="34"/>
      <c r="R52" s="24"/>
    </row>
    <row r="53" spans="1:18" ht="15" customHeight="1" x14ac:dyDescent="0.2">
      <c r="A53" s="24" t="s">
        <v>133</v>
      </c>
      <c r="B53" s="25" t="s">
        <v>134</v>
      </c>
      <c r="C53" s="8" t="s">
        <v>52</v>
      </c>
      <c r="D53" s="25" t="str">
        <f>IFERROR(VLOOKUP(B53,Client_List!$B:$K,4,0)&amp;", "&amp;VLOOKUP(B53,Client_List!$B:$K,5,0)&amp;" AZ","")</f>
        <v>2212 N 35Th Ave, Phoenix AZ</v>
      </c>
      <c r="E53" s="24" t="str">
        <f>IFERROR(VLOOKUP(B53,Client_List!$B:$K,7,0)&amp;", "&amp;VLOOKUP(B53,Client_List!$B:$K,8,0),"")</f>
        <v>33.471653, -112.1348179</v>
      </c>
      <c r="F53" s="26">
        <f>IFERROR(VLOOKUP(B53,Client_List!$B:$K,9,0),"")</f>
        <v>1850</v>
      </c>
      <c r="G53" s="27">
        <f>IFERROR(AVERAGEIFS(Delivery_Log!$I$4:$I$5000,Delivery_Log!$B$4:$B$5000,B53,Delivery_Log!$I$4:$I$5000,"&gt;"&amp;0),"")</f>
        <v>68.279067233300637</v>
      </c>
      <c r="H53" s="24" t="str">
        <f>IFERROR(VLOOKUP(B53,Client_List!$B:$K,10,0),"")</f>
        <v>CANOLA OIL</v>
      </c>
      <c r="I53" s="28">
        <f>IFERROR(_xlfn.MAXIFS(Delivery_Log!$A$4:$A$5000,Delivery_Log!$B$4:$B$5000,B53),"—")</f>
        <v>46109</v>
      </c>
      <c r="J53" s="29">
        <f t="shared" ca="1" si="5"/>
        <v>20</v>
      </c>
      <c r="K53" s="30">
        <f t="shared" ca="1" si="6"/>
        <v>484.41865533398732</v>
      </c>
      <c r="L53" s="30">
        <f t="shared" ca="1" si="7"/>
        <v>1365.5813446660127</v>
      </c>
      <c r="M53" s="31">
        <f t="shared" ca="1" si="8"/>
        <v>7.0946876541062309</v>
      </c>
      <c r="N53" s="32" t="str">
        <f t="shared" ca="1" si="9"/>
        <v>—</v>
      </c>
      <c r="O53" s="39" t="s">
        <v>36</v>
      </c>
      <c r="P53" s="24">
        <v>5</v>
      </c>
      <c r="Q53" s="34"/>
      <c r="R53" s="24"/>
    </row>
    <row r="54" spans="1:18" ht="15" customHeight="1" x14ac:dyDescent="0.2">
      <c r="A54" s="35" t="s">
        <v>135</v>
      </c>
      <c r="B54" s="36" t="s">
        <v>136</v>
      </c>
      <c r="C54" s="11" t="s">
        <v>57</v>
      </c>
      <c r="D54" s="36" t="str">
        <f>IFERROR(VLOOKUP(B54,Client_List!$B:$K,4,0)&amp;", "&amp;VLOOKUP(B54,Client_List!$B:$K,5,0)&amp;" AZ","")</f>
        <v>GILBERT PIZZA, Gilbert AZ</v>
      </c>
      <c r="E54" s="35" t="str">
        <f>IFERROR(VLOOKUP(B54,Client_List!$B:$K,7,0)&amp;", "&amp;VLOOKUP(B54,Client_List!$B:$K,8,0),"")</f>
        <v>33.3289767, -111.7905114</v>
      </c>
      <c r="F54" s="37">
        <f>IFERROR(VLOOKUP(B54,Client_List!$B:$K,9,0),"")</f>
        <v>480</v>
      </c>
      <c r="G54" s="27">
        <f>IFERROR(AVERAGEIFS(Delivery_Log!$I$4:$I$5000,Delivery_Log!$B$4:$B$5000,B54,Delivery_Log!$I$4:$I$5000,"&gt;"&amp;0),"")</f>
        <v>41.67258297258298</v>
      </c>
      <c r="H54" s="35" t="str">
        <f>IFERROR(VLOOKUP(B54,Client_List!$B:$K,10,0),"")</f>
        <v>FRYERS CHOICE BLEND</v>
      </c>
      <c r="I54" s="28">
        <f>IFERROR(_xlfn.MAXIFS(Delivery_Log!$A$4:$A$5000,Delivery_Log!$B$4:$B$5000,B54),"—")</f>
        <v>46126</v>
      </c>
      <c r="J54" s="29">
        <f t="shared" ca="1" si="5"/>
        <v>3</v>
      </c>
      <c r="K54" s="30">
        <f t="shared" ca="1" si="6"/>
        <v>354.98225108225108</v>
      </c>
      <c r="L54" s="30">
        <f t="shared" ca="1" si="7"/>
        <v>125.01774891774892</v>
      </c>
      <c r="M54" s="31">
        <f t="shared" ca="1" si="8"/>
        <v>8.5183644919682386</v>
      </c>
      <c r="N54" s="38" t="str">
        <f t="shared" ca="1" si="9"/>
        <v>—</v>
      </c>
      <c r="O54" s="39" t="s">
        <v>36</v>
      </c>
      <c r="P54" s="35">
        <v>9</v>
      </c>
      <c r="Q54" s="34"/>
      <c r="R54" s="35"/>
    </row>
    <row r="55" spans="1:18" ht="15" customHeight="1" x14ac:dyDescent="0.2">
      <c r="A55" s="35" t="s">
        <v>137</v>
      </c>
      <c r="B55" s="36" t="s">
        <v>138</v>
      </c>
      <c r="C55" s="3" t="s">
        <v>39</v>
      </c>
      <c r="D55" s="36" t="str">
        <f>IFERROR(VLOOKUP(B55,Client_List!$B:$K,4,0)&amp;", "&amp;VLOOKUP(B55,Client_List!$B:$K,5,0)&amp;" AZ","")</f>
        <v>1415 N Mill Ave, Tempe AZ</v>
      </c>
      <c r="E55" s="35" t="str">
        <f>IFERROR(VLOOKUP(B55,Client_List!$B:$K,7,0)&amp;", "&amp;VLOOKUP(B55,Client_List!$B:$K,8,0),"")</f>
        <v>33.4448659, -111.9479603</v>
      </c>
      <c r="F55" s="37">
        <f>IFERROR(VLOOKUP(B55,Client_List!$B:$K,9,0),"")</f>
        <v>350</v>
      </c>
      <c r="G55" s="27">
        <f>IFERROR(AVERAGEIFS(Delivery_Log!$I$4:$I$5000,Delivery_Log!$B$4:$B$5000,B55,Delivery_Log!$I$4:$I$5000,"&gt;"&amp;0),"")</f>
        <v>36.801554506099954</v>
      </c>
      <c r="H55" s="35" t="str">
        <f>IFERROR(VLOOKUP(B55,Client_List!$B:$K,10,0),"")</f>
        <v>CANOLA OIL</v>
      </c>
      <c r="I55" s="28">
        <f>IFERROR(_xlfn.MAXIFS(Delivery_Log!$A$4:$A$5000,Delivery_Log!$B$4:$B$5000,B55),"—")</f>
        <v>46126</v>
      </c>
      <c r="J55" s="29">
        <f t="shared" ca="1" si="5"/>
        <v>3</v>
      </c>
      <c r="K55" s="30">
        <f t="shared" ca="1" si="6"/>
        <v>239.59533648170014</v>
      </c>
      <c r="L55" s="30">
        <f t="shared" ca="1" si="7"/>
        <v>110.40466351829986</v>
      </c>
      <c r="M55" s="31">
        <f t="shared" ca="1" si="8"/>
        <v>6.5104678239063674</v>
      </c>
      <c r="N55" s="38" t="str">
        <f t="shared" ca="1" si="9"/>
        <v>YES</v>
      </c>
      <c r="O55" s="39" t="s">
        <v>36</v>
      </c>
      <c r="P55" s="35">
        <v>11</v>
      </c>
      <c r="Q55" s="34"/>
      <c r="R55" s="35"/>
    </row>
    <row r="56" spans="1:18" ht="15" customHeight="1" x14ac:dyDescent="0.2">
      <c r="A56" s="35" t="s">
        <v>139</v>
      </c>
      <c r="B56" s="36" t="s">
        <v>140</v>
      </c>
      <c r="C56" s="3" t="s">
        <v>39</v>
      </c>
      <c r="D56" s="36" t="str">
        <f>IFERROR(VLOOKUP(B56,Client_List!$B:$K,4,0)&amp;", "&amp;VLOOKUP(B56,Client_List!$B:$K,5,0)&amp;" AZ","")</f>
        <v>6100 S Kings Ranch Road, Gold Canyon AZ</v>
      </c>
      <c r="E56" s="35" t="str">
        <f>IFERROR(VLOOKUP(B56,Client_List!$B:$K,7,0)&amp;", "&amp;VLOOKUP(B56,Client_List!$B:$K,8,0),"")</f>
        <v>33.3619519, -111.4451022</v>
      </c>
      <c r="F56" s="37">
        <f>IFERROR(VLOOKUP(B56,Client_List!$B:$K,9,0),"")</f>
        <v>350</v>
      </c>
      <c r="G56" s="27">
        <f>IFERROR(AVERAGEIFS(Delivery_Log!$I$4:$I$5000,Delivery_Log!$B$4:$B$5000,B56,Delivery_Log!$I$4:$I$5000,"&gt;"&amp;0),"")</f>
        <v>30.880698005698004</v>
      </c>
      <c r="H56" s="35" t="str">
        <f>IFERROR(VLOOKUP(B56,Client_List!$B:$K,10,0),"")</f>
        <v>CANOLA OIL</v>
      </c>
      <c r="I56" s="28">
        <f>IFERROR(_xlfn.MAXIFS(Delivery_Log!$A$4:$A$5000,Delivery_Log!$B$4:$B$5000,B56),"—")</f>
        <v>46126</v>
      </c>
      <c r="J56" s="29">
        <f t="shared" ca="1" si="5"/>
        <v>3</v>
      </c>
      <c r="K56" s="30">
        <f t="shared" ca="1" si="6"/>
        <v>257.357905982906</v>
      </c>
      <c r="L56" s="30">
        <f t="shared" ca="1" si="7"/>
        <v>92.642094017093996</v>
      </c>
      <c r="M56" s="31">
        <f t="shared" ca="1" si="8"/>
        <v>8.3339407009329634</v>
      </c>
      <c r="N56" s="38" t="str">
        <f t="shared" ca="1" si="9"/>
        <v>—</v>
      </c>
      <c r="O56" s="47" t="s">
        <v>88</v>
      </c>
      <c r="P56" s="35">
        <v>8</v>
      </c>
      <c r="Q56" s="34"/>
      <c r="R56" s="35"/>
    </row>
    <row r="57" spans="1:18" ht="15" customHeight="1" x14ac:dyDescent="0.2">
      <c r="A57" s="40" t="s">
        <v>141</v>
      </c>
      <c r="B57" s="41" t="s">
        <v>142</v>
      </c>
      <c r="C57" s="3" t="s">
        <v>39</v>
      </c>
      <c r="D57" s="41" t="str">
        <f>IFERROR(VLOOKUP(B57,Client_List!$B:$K,4,0)&amp;", "&amp;VLOOKUP(B57,Client_List!$B:$K,5,0)&amp;" AZ","")</f>
        <v>6895 E Cave Creek Rd, Cave Creek AZ</v>
      </c>
      <c r="E57" s="40" t="str">
        <f>IFERROR(VLOOKUP(B57,Client_List!$B:$K,7,0)&amp;", "&amp;VLOOKUP(B57,Client_List!$B:$K,8,0),"")</f>
        <v>33.8301513, -111.9329416</v>
      </c>
      <c r="F57" s="42">
        <f>IFERROR(VLOOKUP(B57,Client_List!$B:$K,9,0),"")</f>
        <v>1050</v>
      </c>
      <c r="G57" s="27">
        <f>IFERROR(AVERAGEIFS(Delivery_Log!$I$4:$I$5000,Delivery_Log!$B$4:$B$5000,B57,Delivery_Log!$I$4:$I$5000,"&gt;"&amp;0),"")</f>
        <v>181.48151629072683</v>
      </c>
      <c r="H57" s="40" t="str">
        <f>IFERROR(VLOOKUP(B57,Client_List!$B:$K,10,0),"")</f>
        <v>FRYERS CHOICE BLEND</v>
      </c>
      <c r="I57" s="28">
        <f>IFERROR(_xlfn.MAXIFS(Delivery_Log!$A$4:$A$5000,Delivery_Log!$B$4:$B$5000,B57),"—")</f>
        <v>46123</v>
      </c>
      <c r="J57" s="29">
        <f t="shared" ca="1" si="5"/>
        <v>6</v>
      </c>
      <c r="K57" s="30">
        <f t="shared" ca="1" si="6"/>
        <v>31.5</v>
      </c>
      <c r="L57" s="30">
        <f t="shared" ca="1" si="7"/>
        <v>1018.5</v>
      </c>
      <c r="M57" s="31">
        <f t="shared" ca="1" si="8"/>
        <v>0.17357139527938559</v>
      </c>
      <c r="N57" s="38" t="str">
        <f t="shared" ca="1" si="9"/>
        <v>YES</v>
      </c>
      <c r="O57" s="39" t="s">
        <v>36</v>
      </c>
      <c r="P57" s="40">
        <v>19</v>
      </c>
      <c r="Q57" s="34"/>
      <c r="R57" s="40"/>
    </row>
    <row r="58" spans="1:18" ht="15" customHeight="1" x14ac:dyDescent="0.2">
      <c r="A58" s="35" t="s">
        <v>143</v>
      </c>
      <c r="B58" s="36" t="s">
        <v>144</v>
      </c>
      <c r="C58" s="3" t="s">
        <v>39</v>
      </c>
      <c r="D58" s="36" t="str">
        <f>IFERROR(VLOOKUP(B58,Client_List!$B:$K,4,0)&amp;", "&amp;VLOOKUP(B58,Client_List!$B:$K,5,0)&amp;" AZ","")</f>
        <v>6738 E Cave Creek Rd, Cave Creek AZ</v>
      </c>
      <c r="E58" s="35" t="str">
        <f>IFERROR(VLOOKUP(B58,Client_List!$B:$K,7,0)&amp;", "&amp;VLOOKUP(B58,Client_List!$B:$K,8,0),"")</f>
        <v>33.8332965, -111.9352951</v>
      </c>
      <c r="F58" s="37">
        <f>IFERROR(VLOOKUP(B58,Client_List!$B:$K,9,0),"")</f>
        <v>900</v>
      </c>
      <c r="G58" s="27">
        <f>IFERROR(AVERAGEIFS(Delivery_Log!$I$4:$I$5000,Delivery_Log!$B$4:$B$5000,B58,Delivery_Log!$I$4:$I$5000,"&gt;"&amp;0),"")</f>
        <v>72.627403909222082</v>
      </c>
      <c r="H58" s="35" t="str">
        <f>IFERROR(VLOOKUP(B58,Client_List!$B:$K,10,0),"")</f>
        <v>FRYERS CHOICE BLEND</v>
      </c>
      <c r="I58" s="28">
        <f>IFERROR(_xlfn.MAXIFS(Delivery_Log!$A$4:$A$5000,Delivery_Log!$B$4:$B$5000,B58),"—")</f>
        <v>46120</v>
      </c>
      <c r="J58" s="29">
        <f t="shared" ca="1" si="5"/>
        <v>9</v>
      </c>
      <c r="K58" s="30">
        <f t="shared" ca="1" si="6"/>
        <v>246.35336481700131</v>
      </c>
      <c r="L58" s="30">
        <f t="shared" ca="1" si="7"/>
        <v>653.64663518299869</v>
      </c>
      <c r="M58" s="31">
        <f t="shared" ca="1" si="8"/>
        <v>3.3920166707999302</v>
      </c>
      <c r="N58" s="38" t="str">
        <f t="shared" ca="1" si="9"/>
        <v>YES</v>
      </c>
      <c r="O58" s="39" t="s">
        <v>36</v>
      </c>
      <c r="P58" s="35">
        <v>11</v>
      </c>
      <c r="Q58" s="34"/>
      <c r="R58" s="35"/>
    </row>
    <row r="59" spans="1:18" ht="15" customHeight="1" x14ac:dyDescent="0.2">
      <c r="A59" s="24" t="s">
        <v>145</v>
      </c>
      <c r="B59" s="25" t="s">
        <v>146</v>
      </c>
      <c r="C59" s="3" t="s">
        <v>39</v>
      </c>
      <c r="D59" s="25" t="str">
        <f>IFERROR(VLOOKUP(B59,Client_List!$B:$K,4,0)&amp;", "&amp;VLOOKUP(B59,Client_List!$B:$K,5,0)&amp;" AZ","")</f>
        <v>1760 W Chandler Blvd, Chandler AZ</v>
      </c>
      <c r="E59" s="24" t="str">
        <f>IFERROR(VLOOKUP(B59,Client_List!$B:$K,7,0)&amp;", "&amp;VLOOKUP(B59,Client_List!$B:$K,8,0),"")</f>
        <v>33.3066421, -111.8728202</v>
      </c>
      <c r="F59" s="26">
        <f>IFERROR(VLOOKUP(B59,Client_List!$B:$K,9,0),"")</f>
        <v>950</v>
      </c>
      <c r="G59" s="27">
        <f>IFERROR(AVERAGEIFS(Delivery_Log!$I$4:$I$5000,Delivery_Log!$B$4:$B$5000,B59,Delivery_Log!$I$4:$I$5000,"&gt;"&amp;0),"")</f>
        <v>31.568247541931754</v>
      </c>
      <c r="H59" s="24" t="str">
        <f>IFERROR(VLOOKUP(B59,Client_List!$B:$K,10,0),"")</f>
        <v>CANOLA OIL</v>
      </c>
      <c r="I59" s="28">
        <f>IFERROR(_xlfn.MAXIFS(Delivery_Log!$A$4:$A$5000,Delivery_Log!$B$4:$B$5000,B59),"—")</f>
        <v>46106</v>
      </c>
      <c r="J59" s="29">
        <f t="shared" ca="1" si="5"/>
        <v>23</v>
      </c>
      <c r="K59" s="30">
        <f t="shared" ca="1" si="6"/>
        <v>223.93030653556968</v>
      </c>
      <c r="L59" s="30">
        <f t="shared" ca="1" si="7"/>
        <v>726.06969346443032</v>
      </c>
      <c r="M59" s="31">
        <f t="shared" ca="1" si="8"/>
        <v>7.0935298590181652</v>
      </c>
      <c r="N59" s="32" t="str">
        <f t="shared" ca="1" si="9"/>
        <v>—</v>
      </c>
      <c r="O59" s="43" t="s">
        <v>47</v>
      </c>
      <c r="P59" s="24">
        <v>4</v>
      </c>
      <c r="Q59" s="34"/>
      <c r="R59" s="24"/>
    </row>
    <row r="60" spans="1:18" ht="15" customHeight="1" x14ac:dyDescent="0.2">
      <c r="A60" s="35" t="s">
        <v>147</v>
      </c>
      <c r="B60" s="36" t="s">
        <v>148</v>
      </c>
      <c r="C60" s="3" t="s">
        <v>39</v>
      </c>
      <c r="D60" s="36" t="str">
        <f>IFERROR(VLOOKUP(B60,Client_List!$B:$K,4,0)&amp;", "&amp;VLOOKUP(B60,Client_List!$B:$K,5,0)&amp;" AZ","")</f>
        <v>JALAPENO'S INFERNO BISTRO, Scottsdale AZ</v>
      </c>
      <c r="E60" s="35" t="str">
        <f>IFERROR(VLOOKUP(B60,Client_List!$B:$K,7,0)&amp;", "&amp;VLOOKUP(B60,Client_List!$B:$K,8,0),"")</f>
        <v>33.7006784, -111.9234223</v>
      </c>
      <c r="F60" s="37">
        <f>IFERROR(VLOOKUP(B60,Client_List!$B:$K,9,0),"")</f>
        <v>950</v>
      </c>
      <c r="G60" s="27">
        <f>IFERROR(AVERAGEIFS(Delivery_Log!$I$4:$I$5000,Delivery_Log!$B$4:$B$5000,B60,Delivery_Log!$I$4:$I$5000,"&gt;"&amp;0),"")</f>
        <v>83.348831168831168</v>
      </c>
      <c r="H60" s="35" t="str">
        <f>IFERROR(VLOOKUP(B60,Client_List!$B:$K,10,0),"")</f>
        <v>FRYERS CHOICE BLEND</v>
      </c>
      <c r="I60" s="28">
        <f>IFERROR(_xlfn.MAXIFS(Delivery_Log!$A$4:$A$5000,Delivery_Log!$B$4:$B$5000,B60),"—")</f>
        <v>46119</v>
      </c>
      <c r="J60" s="29">
        <f t="shared" ca="1" si="5"/>
        <v>10</v>
      </c>
      <c r="K60" s="30">
        <f t="shared" ca="1" si="6"/>
        <v>116.51168831168832</v>
      </c>
      <c r="L60" s="30">
        <f t="shared" ca="1" si="7"/>
        <v>833.48831168831168</v>
      </c>
      <c r="M60" s="31">
        <f t="shared" ca="1" si="8"/>
        <v>1.3978802903148402</v>
      </c>
      <c r="N60" s="38" t="str">
        <f t="shared" ca="1" si="9"/>
        <v>YES</v>
      </c>
      <c r="O60" s="39" t="s">
        <v>36</v>
      </c>
      <c r="P60" s="35">
        <v>10</v>
      </c>
      <c r="Q60" s="34"/>
      <c r="R60" s="35"/>
    </row>
    <row r="61" spans="1:18" ht="15" customHeight="1" x14ac:dyDescent="0.2">
      <c r="A61" s="24" t="s">
        <v>149</v>
      </c>
      <c r="B61" s="25" t="s">
        <v>150</v>
      </c>
      <c r="C61" s="3" t="s">
        <v>39</v>
      </c>
      <c r="D61" s="25" t="str">
        <f>IFERROR(VLOOKUP(B61,Client_List!$B:$K,4,0)&amp;", "&amp;VLOOKUP(B61,Client_List!$B:$K,5,0)&amp;" AZ","")</f>
        <v>9611 W CAMELBACK, STE 101, PHOENIX AZ</v>
      </c>
      <c r="E61" s="24" t="str">
        <f>IFERROR(VLOOKUP(B61,Client_List!$B:$K,7,0)&amp;", "&amp;VLOOKUP(B61,Client_List!$B:$K,8,0),"")</f>
        <v>33.5075938, -112.2663063</v>
      </c>
      <c r="F61" s="26">
        <f>IFERROR(VLOOKUP(B61,Client_List!$B:$K,9,0),"")</f>
        <v>620</v>
      </c>
      <c r="G61" s="27">
        <f>IFERROR(AVERAGEIFS(Delivery_Log!$I$4:$I$5000,Delivery_Log!$B$4:$B$5000,B61,Delivery_Log!$I$4:$I$5000,"&gt;"&amp;0),"")</f>
        <v>15.090909090909092</v>
      </c>
      <c r="H61" s="24" t="str">
        <f>IFERROR(VLOOKUP(B61,Client_List!$B:$K,10,0),"")</f>
        <v>FRYERS CHOICE BLEND</v>
      </c>
      <c r="I61" s="28">
        <f>IFERROR(_xlfn.MAXIFS(Delivery_Log!$A$4:$A$5000,Delivery_Log!$B$4:$B$5000,B61),"—")</f>
        <v>46098</v>
      </c>
      <c r="J61" s="29">
        <f t="shared" ca="1" si="5"/>
        <v>31</v>
      </c>
      <c r="K61" s="30">
        <f t="shared" ca="1" si="6"/>
        <v>152.18181818181813</v>
      </c>
      <c r="L61" s="30">
        <f t="shared" ca="1" si="7"/>
        <v>467.81818181818187</v>
      </c>
      <c r="M61" s="31">
        <f t="shared" ca="1" si="8"/>
        <v>10.084337349397586</v>
      </c>
      <c r="N61" s="32" t="str">
        <f t="shared" ca="1" si="9"/>
        <v>—</v>
      </c>
      <c r="O61" s="33" t="s">
        <v>33</v>
      </c>
      <c r="P61" s="24">
        <v>3</v>
      </c>
      <c r="Q61" s="34"/>
      <c r="R61" s="24"/>
    </row>
    <row r="62" spans="1:18" ht="15" customHeight="1" x14ac:dyDescent="0.2">
      <c r="A62" s="24" t="s">
        <v>151</v>
      </c>
      <c r="B62" s="25" t="s">
        <v>152</v>
      </c>
      <c r="C62" s="3" t="s">
        <v>39</v>
      </c>
      <c r="D62" s="25" t="str">
        <f>IFERROR(VLOOKUP(B62,Client_List!$B:$K,4,0)&amp;", "&amp;VLOOKUP(B62,Client_List!$B:$K,5,0)&amp;" AZ","")</f>
        <v>6 E Route 66, Flagstaff AZ</v>
      </c>
      <c r="E62" s="24" t="str">
        <f>IFERROR(VLOOKUP(B62,Client_List!$B:$K,7,0)&amp;", "&amp;VLOOKUP(B62,Client_List!$B:$K,8,0),"")</f>
        <v>35.1976805, -111.648815</v>
      </c>
      <c r="F62" s="26">
        <f>IFERROR(VLOOKUP(B62,Client_List!$B:$K,9,0),"")</f>
        <v>950</v>
      </c>
      <c r="G62" s="27">
        <f>IFERROR(AVERAGEIFS(Delivery_Log!$I$4:$I$5000,Delivery_Log!$B$4:$B$5000,B62,Delivery_Log!$I$4:$I$5000,"&gt;"&amp;0),"")</f>
        <v>53.083333333333336</v>
      </c>
      <c r="H62" s="24" t="str">
        <f>IFERROR(VLOOKUP(B62,Client_List!$B:$K,10,0),"")</f>
        <v>CANOLA OIL</v>
      </c>
      <c r="I62" s="28">
        <f>IFERROR(_xlfn.MAXIFS(Delivery_Log!$A$4:$A$5000,Delivery_Log!$B$4:$B$5000,B62),"—")</f>
        <v>46116</v>
      </c>
      <c r="J62" s="29">
        <f t="shared" ca="1" si="5"/>
        <v>13</v>
      </c>
      <c r="K62" s="30">
        <f t="shared" ca="1" si="6"/>
        <v>259.91666666666663</v>
      </c>
      <c r="L62" s="30">
        <f t="shared" ca="1" si="7"/>
        <v>690.08333333333337</v>
      </c>
      <c r="M62" s="31">
        <f t="shared" ca="1" si="8"/>
        <v>4.8963893249607526</v>
      </c>
      <c r="N62" s="32" t="str">
        <f t="shared" ca="1" si="9"/>
        <v>YES</v>
      </c>
      <c r="O62" s="39" t="s">
        <v>36</v>
      </c>
      <c r="P62" s="24">
        <v>7</v>
      </c>
      <c r="Q62" s="34"/>
      <c r="R62" s="24"/>
    </row>
    <row r="63" spans="1:18" ht="15" customHeight="1" x14ac:dyDescent="0.2">
      <c r="A63" s="24" t="s">
        <v>153</v>
      </c>
      <c r="B63" s="25" t="s">
        <v>154</v>
      </c>
      <c r="C63" s="3" t="s">
        <v>39</v>
      </c>
      <c r="D63" s="25" t="str">
        <f>IFERROR(VLOOKUP(B63,Client_List!$B:$K,4,0)&amp;", "&amp;VLOOKUP(B63,Client_List!$B:$K,5,0)&amp;" AZ","")</f>
        <v>4935 W Glendale, Glendale AZ</v>
      </c>
      <c r="E63" s="24" t="str">
        <f>IFERROR(VLOOKUP(B63,Client_List!$B:$K,7,0)&amp;", "&amp;VLOOKUP(B63,Client_List!$B:$K,8,0),"")</f>
        <v>33.5379629, -112.165954</v>
      </c>
      <c r="F63" s="26">
        <f>IFERROR(VLOOKUP(B63,Client_List!$B:$K,9,0),"")</f>
        <v>350</v>
      </c>
      <c r="G63" s="27">
        <f>IFERROR(AVERAGEIFS(Delivery_Log!$I$4:$I$5000,Delivery_Log!$B$4:$B$5000,B63,Delivery_Log!$I$4:$I$5000,"&gt;"&amp;0),"")</f>
        <v>11.397413793103448</v>
      </c>
      <c r="H63" s="24" t="str">
        <f>IFERROR(VLOOKUP(B63,Client_List!$B:$K,10,0),"")</f>
        <v>CANOLA OIL</v>
      </c>
      <c r="I63" s="28">
        <f>IFERROR(_xlfn.MAXIFS(Delivery_Log!$A$4:$A$5000,Delivery_Log!$B$4:$B$5000,B63),"—")</f>
        <v>46107</v>
      </c>
      <c r="J63" s="29">
        <f t="shared" ca="1" si="5"/>
        <v>22</v>
      </c>
      <c r="K63" s="30">
        <f t="shared" ca="1" si="6"/>
        <v>99.256896551724139</v>
      </c>
      <c r="L63" s="30">
        <f t="shared" ca="1" si="7"/>
        <v>250.74310344827586</v>
      </c>
      <c r="M63" s="31">
        <f t="shared" ca="1" si="8"/>
        <v>8.7087209742077007</v>
      </c>
      <c r="N63" s="32" t="str">
        <f t="shared" ca="1" si="9"/>
        <v>—</v>
      </c>
      <c r="O63" s="33" t="s">
        <v>33</v>
      </c>
      <c r="P63" s="24">
        <v>3</v>
      </c>
      <c r="Q63" s="34"/>
      <c r="R63" s="24"/>
    </row>
    <row r="64" spans="1:18" ht="15" customHeight="1" x14ac:dyDescent="0.2">
      <c r="A64" s="24" t="s">
        <v>155</v>
      </c>
      <c r="B64" s="25" t="s">
        <v>156</v>
      </c>
      <c r="C64" s="3" t="s">
        <v>39</v>
      </c>
      <c r="D64" s="25" t="str">
        <f>IFERROR(VLOOKUP(B64,Client_List!$B:$K,4,0)&amp;", "&amp;VLOOKUP(B64,Client_List!$B:$K,5,0)&amp;" AZ","")</f>
        <v>14850 N Northsight Blvd, Scottsdale AZ</v>
      </c>
      <c r="E64" s="24" t="str">
        <f>IFERROR(VLOOKUP(B64,Client_List!$B:$K,7,0)&amp;", "&amp;VLOOKUP(B64,Client_List!$B:$K,8,0),"")</f>
        <v>33.6202368, -111.8981626</v>
      </c>
      <c r="F64" s="26">
        <f>IFERROR(VLOOKUP(B64,Client_List!$B:$K,9,0),"")</f>
        <v>1050</v>
      </c>
      <c r="G64" s="27">
        <f>IFERROR(AVERAGEIFS(Delivery_Log!$I$4:$I$5000,Delivery_Log!$B$4:$B$5000,B64,Delivery_Log!$I$4:$I$5000,"&gt;"&amp;0),"")</f>
        <v>72.506721849578994</v>
      </c>
      <c r="H64" s="24" t="str">
        <f>IFERROR(VLOOKUP(B64,Client_List!$B:$K,10,0),"")</f>
        <v>CANOLA OIL</v>
      </c>
      <c r="I64" s="28">
        <f>IFERROR(_xlfn.MAXIFS(Delivery_Log!$A$4:$A$5000,Delivery_Log!$B$4:$B$5000,B64),"—")</f>
        <v>46120</v>
      </c>
      <c r="J64" s="29">
        <f t="shared" ca="1" si="5"/>
        <v>9</v>
      </c>
      <c r="K64" s="30">
        <f t="shared" ca="1" si="6"/>
        <v>397.43950335378906</v>
      </c>
      <c r="L64" s="30">
        <f t="shared" ca="1" si="7"/>
        <v>652.56049664621094</v>
      </c>
      <c r="M64" s="31">
        <f t="shared" ca="1" si="8"/>
        <v>5.4814159737949426</v>
      </c>
      <c r="N64" s="32" t="str">
        <f t="shared" ca="1" si="9"/>
        <v>YES</v>
      </c>
      <c r="O64" s="33" t="s">
        <v>33</v>
      </c>
      <c r="P64" s="24">
        <v>1</v>
      </c>
      <c r="Q64" s="34"/>
      <c r="R64" s="24"/>
    </row>
    <row r="65" spans="1:18" ht="15" customHeight="1" x14ac:dyDescent="0.2">
      <c r="A65" s="24" t="s">
        <v>157</v>
      </c>
      <c r="B65" s="25" t="s">
        <v>158</v>
      </c>
      <c r="C65" s="3" t="s">
        <v>39</v>
      </c>
      <c r="D65" s="25" t="str">
        <f>IFERROR(VLOOKUP(B65,Client_List!$B:$K,4,0)&amp;", "&amp;VLOOKUP(B65,Client_List!$B:$K,5,0)&amp;" AZ","")</f>
        <v>3501 WEST PEORIA AVE, PHOENIX AZ</v>
      </c>
      <c r="E65" s="24" t="str">
        <f>IFERROR(VLOOKUP(B65,Client_List!$B:$K,7,0)&amp;", "&amp;VLOOKUP(B65,Client_List!$B:$K,8,0),"")</f>
        <v>33.5816763, -112.1345451</v>
      </c>
      <c r="F65" s="26">
        <f>IFERROR(VLOOKUP(B65,Client_List!$B:$K,9,0),"")</f>
        <v>350</v>
      </c>
      <c r="G65" s="27">
        <f>IFERROR(AVERAGEIFS(Delivery_Log!$I$4:$I$5000,Delivery_Log!$B$4:$B$5000,B65,Delivery_Log!$I$4:$I$5000,"&gt;"&amp;0),"")</f>
        <v>9.6999999999999993</v>
      </c>
      <c r="H65" s="24" t="str">
        <f>IFERROR(VLOOKUP(B65,Client_List!$B:$K,10,0),"")</f>
        <v>CANOLA OIL</v>
      </c>
      <c r="I65" s="28">
        <f>IFERROR(_xlfn.MAXIFS(Delivery_Log!$A$4:$A$5000,Delivery_Log!$B$4:$B$5000,B65),"—")</f>
        <v>46110</v>
      </c>
      <c r="J65" s="29">
        <f t="shared" ca="1" si="5"/>
        <v>19</v>
      </c>
      <c r="K65" s="30">
        <f t="shared" ca="1" si="6"/>
        <v>165.70000000000002</v>
      </c>
      <c r="L65" s="30">
        <f t="shared" ca="1" si="7"/>
        <v>184.29999999999998</v>
      </c>
      <c r="M65" s="31">
        <f t="shared" ca="1" si="8"/>
        <v>17.082474226804127</v>
      </c>
      <c r="N65" s="32" t="str">
        <f t="shared" ca="1" si="9"/>
        <v>—</v>
      </c>
      <c r="O65" s="33" t="s">
        <v>33</v>
      </c>
      <c r="P65" s="24">
        <v>2</v>
      </c>
      <c r="Q65" s="34"/>
      <c r="R65" s="24"/>
    </row>
    <row r="66" spans="1:18" ht="15" customHeight="1" x14ac:dyDescent="0.2">
      <c r="A66" s="24" t="s">
        <v>159</v>
      </c>
      <c r="B66" s="25" t="s">
        <v>160</v>
      </c>
      <c r="C66" s="3" t="s">
        <v>39</v>
      </c>
      <c r="D66" s="25" t="str">
        <f>IFERROR(VLOOKUP(B66,Client_List!$B:$K,4,0)&amp;", "&amp;VLOOKUP(B66,Client_List!$B:$K,5,0)&amp;" AZ","")</f>
        <v>7707 W MC 85, Buckeye AZ</v>
      </c>
      <c r="E66" s="24" t="str">
        <f>IFERROR(VLOOKUP(B66,Client_List!$B:$K,7,0)&amp;", "&amp;VLOOKUP(B66,Client_List!$B:$K,8,0),"")</f>
        <v>33.3762374, -112.5716842</v>
      </c>
      <c r="F66" s="26">
        <f>IFERROR(VLOOKUP(B66,Client_List!$B:$K,9,0),"")</f>
        <v>1050</v>
      </c>
      <c r="G66" s="27" t="str">
        <f>IFERROR(AVERAGEIFS(Delivery_Log!$I$4:$I$5000,Delivery_Log!$B$4:$B$5000,B66,Delivery_Log!$I$4:$I$5000,"&gt;"&amp;0),"")</f>
        <v/>
      </c>
      <c r="H66" s="24" t="str">
        <f>IFERROR(VLOOKUP(B66,Client_List!$B:$K,10,0),"")</f>
        <v>FRYERS CHOICE BLEND</v>
      </c>
      <c r="I66" s="28">
        <f>IFERROR(_xlfn.MAXIFS(Delivery_Log!$A$4:$A$5000,Delivery_Log!$B$4:$B$5000,B66),"—")</f>
        <v>46077</v>
      </c>
      <c r="J66" s="29">
        <f t="shared" ca="1" si="5"/>
        <v>52</v>
      </c>
      <c r="K66" s="30" t="str">
        <f t="shared" ca="1" si="6"/>
        <v/>
      </c>
      <c r="L66" s="30" t="str">
        <f t="shared" ca="1" si="7"/>
        <v/>
      </c>
      <c r="M66" s="31" t="str">
        <f t="shared" ca="1" si="8"/>
        <v/>
      </c>
      <c r="N66" s="32" t="str">
        <f t="shared" ca="1" si="9"/>
        <v>—</v>
      </c>
      <c r="O66" s="33" t="s">
        <v>33</v>
      </c>
      <c r="P66" s="24">
        <v>1</v>
      </c>
      <c r="Q66" s="34"/>
      <c r="R66" s="24"/>
    </row>
    <row r="67" spans="1:18" ht="15" customHeight="1" x14ac:dyDescent="0.2">
      <c r="A67" s="24" t="s">
        <v>161</v>
      </c>
      <c r="B67" s="25" t="s">
        <v>162</v>
      </c>
      <c r="C67" s="8" t="s">
        <v>52</v>
      </c>
      <c r="D67" s="25" t="str">
        <f>IFERROR(VLOOKUP(B67,Client_List!$B:$K,4,0)&amp;", "&amp;VLOOKUP(B67,Client_List!$B:$K,5,0)&amp;" AZ","")</f>
        <v>LIBERTY TAVERN, Phoenix AZ</v>
      </c>
      <c r="E67" s="24" t="str">
        <f>IFERROR(VLOOKUP(B67,Client_List!$B:$K,7,0)&amp;", "&amp;VLOOKUP(B67,Client_List!$B:$K,8,0),"")</f>
        <v>33.5830283, -112.0516727</v>
      </c>
      <c r="F67" s="26">
        <f>IFERROR(VLOOKUP(B67,Client_List!$B:$K,9,0),"")</f>
        <v>500</v>
      </c>
      <c r="G67" s="27" t="str">
        <f>IFERROR(AVERAGEIFS(Delivery_Log!$I$4:$I$5000,Delivery_Log!$B$4:$B$5000,B67,Delivery_Log!$I$4:$I$5000,"&gt;"&amp;0),"")</f>
        <v/>
      </c>
      <c r="H67" s="24" t="str">
        <f>IFERROR(VLOOKUP(B67,Client_List!$B:$K,10,0),"")</f>
        <v>CANOLA OIL</v>
      </c>
      <c r="I67" s="28">
        <f>IFERROR(_xlfn.MAXIFS(Delivery_Log!$A$4:$A$5000,Delivery_Log!$B$4:$B$5000,B67),"—")</f>
        <v>46027</v>
      </c>
      <c r="J67" s="29">
        <f t="shared" ca="1" si="5"/>
        <v>102</v>
      </c>
      <c r="K67" s="30" t="str">
        <f t="shared" ca="1" si="6"/>
        <v/>
      </c>
      <c r="L67" s="30" t="str">
        <f t="shared" ca="1" si="7"/>
        <v/>
      </c>
      <c r="M67" s="31" t="str">
        <f t="shared" ca="1" si="8"/>
        <v/>
      </c>
      <c r="N67" s="32" t="str">
        <f t="shared" ca="1" si="9"/>
        <v>—</v>
      </c>
      <c r="O67" s="33" t="s">
        <v>33</v>
      </c>
      <c r="P67" s="24">
        <v>1</v>
      </c>
      <c r="Q67" s="34"/>
      <c r="R67" s="24"/>
    </row>
    <row r="68" spans="1:18" ht="15" customHeight="1" x14ac:dyDescent="0.2">
      <c r="A68" s="24" t="s">
        <v>163</v>
      </c>
      <c r="B68" s="25" t="s">
        <v>164</v>
      </c>
      <c r="C68" s="8" t="s">
        <v>52</v>
      </c>
      <c r="D68" s="25" t="str">
        <f>IFERROR(VLOOKUP(B68,Client_List!$B:$K,4,0)&amp;", "&amp;VLOOKUP(B68,Client_List!$B:$K,5,0)&amp;" AZ","")</f>
        <v>8525 N CENTRAL AVE, PHOENIX AZ</v>
      </c>
      <c r="E68" s="24" t="str">
        <f>IFERROR(VLOOKUP(B68,Client_List!$B:$K,7,0)&amp;", "&amp;VLOOKUP(B68,Client_List!$B:$K,8,0),"")</f>
        <v>33.5612603, -112.0736725</v>
      </c>
      <c r="F68" s="26">
        <f>IFERROR(VLOOKUP(B68,Client_List!$B:$K,9,0),"")</f>
        <v>1050</v>
      </c>
      <c r="G68" s="27">
        <f>IFERROR(AVERAGEIFS(Delivery_Log!$I$4:$I$5000,Delivery_Log!$B$4:$B$5000,B68,Delivery_Log!$I$4:$I$5000,"&gt;"&amp;0),"")</f>
        <v>69.572805258467028</v>
      </c>
      <c r="H68" s="24" t="str">
        <f>IFERROR(VLOOKUP(B68,Client_List!$B:$K,10,0),"")</f>
        <v>CANOLA OIL</v>
      </c>
      <c r="I68" s="28">
        <f>IFERROR(_xlfn.MAXIFS(Delivery_Log!$A$4:$A$5000,Delivery_Log!$B$4:$B$5000,B68),"—")</f>
        <v>46114</v>
      </c>
      <c r="J68" s="29">
        <f t="shared" ca="1" si="5"/>
        <v>15</v>
      </c>
      <c r="K68" s="30">
        <f t="shared" ca="1" si="6"/>
        <v>31.5</v>
      </c>
      <c r="L68" s="30">
        <f t="shared" ca="1" si="7"/>
        <v>1018.5</v>
      </c>
      <c r="M68" s="31">
        <f t="shared" ca="1" si="8"/>
        <v>0.45276311459593532</v>
      </c>
      <c r="N68" s="32" t="str">
        <f t="shared" ca="1" si="9"/>
        <v>YES</v>
      </c>
      <c r="O68" s="43" t="s">
        <v>47</v>
      </c>
      <c r="P68" s="24">
        <v>7</v>
      </c>
      <c r="Q68" s="34"/>
      <c r="R68" s="24"/>
    </row>
    <row r="69" spans="1:18" ht="15" customHeight="1" x14ac:dyDescent="0.2">
      <c r="A69" s="24" t="s">
        <v>165</v>
      </c>
      <c r="B69" s="25" t="s">
        <v>166</v>
      </c>
      <c r="C69" s="3" t="s">
        <v>39</v>
      </c>
      <c r="D69" s="25" t="str">
        <f>IFERROR(VLOOKUP(B69,Client_List!$B:$K,4,0)&amp;", "&amp;VLOOKUP(B69,Client_List!$B:$K,5,0)&amp;" AZ","")</f>
        <v>20751 N Pima Rd, Scottsdale AZ</v>
      </c>
      <c r="E69" s="24" t="str">
        <f>IFERROR(VLOOKUP(B69,Client_List!$B:$K,7,0)&amp;", "&amp;VLOOKUP(B69,Client_List!$B:$K,8,0),"")</f>
        <v>33.6755199, -111.8883288</v>
      </c>
      <c r="F69" s="26">
        <f>IFERROR(VLOOKUP(B69,Client_List!$B:$K,9,0),"")</f>
        <v>1050</v>
      </c>
      <c r="G69" s="27">
        <f>IFERROR(AVERAGEIFS(Delivery_Log!$I$4:$I$5000,Delivery_Log!$B$4:$B$5000,B69,Delivery_Log!$I$4:$I$5000,"&gt;"&amp;0),"")</f>
        <v>74.492592592592587</v>
      </c>
      <c r="H69" s="24" t="str">
        <f>IFERROR(VLOOKUP(B69,Client_List!$B:$K,10,0),"")</f>
        <v>CANOLA OIL</v>
      </c>
      <c r="I69" s="28">
        <f>IFERROR(_xlfn.MAXIFS(Delivery_Log!$A$4:$A$5000,Delivery_Log!$B$4:$B$5000,B69),"—")</f>
        <v>46116</v>
      </c>
      <c r="J69" s="29">
        <f t="shared" ca="1" si="5"/>
        <v>13</v>
      </c>
      <c r="K69" s="30">
        <f t="shared" ca="1" si="6"/>
        <v>81.596296296296373</v>
      </c>
      <c r="L69" s="30">
        <f t="shared" ca="1" si="7"/>
        <v>968.40370370370363</v>
      </c>
      <c r="M69" s="31">
        <f t="shared" ca="1" si="8"/>
        <v>1.0953612091682008</v>
      </c>
      <c r="N69" s="32" t="str">
        <f t="shared" ca="1" si="9"/>
        <v>YES</v>
      </c>
      <c r="O69" s="33" t="s">
        <v>33</v>
      </c>
      <c r="P69" s="24">
        <v>1</v>
      </c>
      <c r="Q69" s="34"/>
      <c r="R69" s="24"/>
    </row>
    <row r="70" spans="1:18" ht="15" customHeight="1" x14ac:dyDescent="0.2">
      <c r="A70" s="24" t="s">
        <v>167</v>
      </c>
      <c r="B70" s="25" t="s">
        <v>168</v>
      </c>
      <c r="C70" s="3" t="s">
        <v>39</v>
      </c>
      <c r="D70" s="25" t="str">
        <f>IFERROR(VLOOKUP(B70,Client_List!$B:$K,4,0)&amp;", "&amp;VLOOKUP(B70,Client_List!$B:$K,5,0)&amp;" AZ","")</f>
        <v>14950 N NORTHSIGHT BLVD, SCOTTSDALE AZ</v>
      </c>
      <c r="E70" s="24" t="str">
        <f>IFERROR(VLOOKUP(B70,Client_List!$B:$K,7,0)&amp;", "&amp;VLOOKUP(B70,Client_List!$B:$K,8,0),"")</f>
        <v>33.6216275, -111.8977823</v>
      </c>
      <c r="F70" s="26">
        <f>IFERROR(VLOOKUP(B70,Client_List!$B:$K,9,0),"")</f>
        <v>620</v>
      </c>
      <c r="G70" s="27">
        <f>IFERROR(AVERAGEIFS(Delivery_Log!$I$4:$I$5000,Delivery_Log!$B$4:$B$5000,B70,Delivery_Log!$I$4:$I$5000,"&gt;"&amp;0),"")</f>
        <v>38.561050061050061</v>
      </c>
      <c r="H70" s="24" t="str">
        <f>IFERROR(VLOOKUP(B70,Client_List!$B:$K,10,0),"")</f>
        <v>FRYERS CHOICE BLEND</v>
      </c>
      <c r="I70" s="28">
        <f>IFERROR(_xlfn.MAXIFS(Delivery_Log!$A$4:$A$5000,Delivery_Log!$B$4:$B$5000,B70),"—")</f>
        <v>46115</v>
      </c>
      <c r="J70" s="29">
        <f t="shared" ref="J70:J101" ca="1" si="10">IFERROR(IF(I70="—","",TODAY()-I70),"")</f>
        <v>14</v>
      </c>
      <c r="K70" s="30">
        <f t="shared" ref="K70:K101" ca="1" si="11">IFERROR(IF(OR(J70="",G70=""),"",MAX(F70*0.03,F70-J70*G70)),"")</f>
        <v>80.145299145299191</v>
      </c>
      <c r="L70" s="30">
        <f t="shared" ref="L70:L101" ca="1" si="12">IFERROR(IF(K70="","",F70-K70),"")</f>
        <v>539.85470085470081</v>
      </c>
      <c r="M70" s="31">
        <f t="shared" ref="M70:M101" ca="1" si="13">IFERROR(IF(OR(K70="",G70=""),"",MIN(21,MAX(0,(K70-F70*$B$2)/G70))),"")</f>
        <v>2.0784003293067155</v>
      </c>
      <c r="N70" s="32" t="str">
        <f t="shared" ref="N70:N101" ca="1" si="14">IFERROR(IF(M70="","—",IF(M70&lt;=$D$2,"YES","—")),"—")</f>
        <v>YES</v>
      </c>
      <c r="O70" s="39" t="s">
        <v>36</v>
      </c>
      <c r="P70" s="24">
        <v>7</v>
      </c>
      <c r="Q70" s="34"/>
      <c r="R70" s="24"/>
    </row>
    <row r="71" spans="1:18" ht="15" customHeight="1" x14ac:dyDescent="0.2">
      <c r="A71" s="44" t="s">
        <v>169</v>
      </c>
      <c r="B71" s="45" t="s">
        <v>170</v>
      </c>
      <c r="C71" s="8" t="s">
        <v>52</v>
      </c>
      <c r="D71" s="45" t="str">
        <f>IFERROR(VLOOKUP(B71,Client_List!$B:$K,4,0)&amp;", "&amp;VLOOKUP(B71,Client_List!$B:$K,5,0)&amp;" AZ","")</f>
        <v>6260 S 35TH AVE, PHOENIX AZ</v>
      </c>
      <c r="E71" s="44" t="str">
        <f>IFERROR(VLOOKUP(B71,Client_List!$B:$K,7,0)&amp;", "&amp;VLOOKUP(B71,Client_List!$B:$K,8,0),"")</f>
        <v>33.3893903, -112.1342691</v>
      </c>
      <c r="F71" s="46">
        <f>IFERROR(VLOOKUP(B71,Client_List!$B:$K,9,0),"")</f>
        <v>1050</v>
      </c>
      <c r="G71" s="27">
        <f>IFERROR(AVERAGEIFS(Delivery_Log!$I$4:$I$5000,Delivery_Log!$B$4:$B$5000,B71,Delivery_Log!$I$4:$I$5000,"&gt;"&amp;0),"")</f>
        <v>47.554722222222225</v>
      </c>
      <c r="H71" s="44" t="str">
        <f>IFERROR(VLOOKUP(B71,Client_List!$B:$K,10,0),"")</f>
        <v>CANOLA OIL</v>
      </c>
      <c r="I71" s="28">
        <f>IFERROR(_xlfn.MAXIFS(Delivery_Log!$A$4:$A$5000,Delivery_Log!$B$4:$B$5000,B71),"—")</f>
        <v>46122</v>
      </c>
      <c r="J71" s="29">
        <f t="shared" ca="1" si="10"/>
        <v>7</v>
      </c>
      <c r="K71" s="30">
        <f t="shared" ca="1" si="11"/>
        <v>717.11694444444447</v>
      </c>
      <c r="L71" s="30">
        <f t="shared" ca="1" si="12"/>
        <v>332.88305555555553</v>
      </c>
      <c r="M71" s="31">
        <f t="shared" ca="1" si="13"/>
        <v>15.079826165178128</v>
      </c>
      <c r="N71" s="38" t="str">
        <f t="shared" ca="1" si="14"/>
        <v>—</v>
      </c>
      <c r="O71" s="39" t="s">
        <v>36</v>
      </c>
      <c r="P71" s="44">
        <v>5</v>
      </c>
      <c r="Q71" s="34"/>
      <c r="R71" s="44"/>
    </row>
    <row r="72" spans="1:18" ht="15" customHeight="1" x14ac:dyDescent="0.2">
      <c r="A72" s="40" t="s">
        <v>171</v>
      </c>
      <c r="B72" s="41" t="s">
        <v>172</v>
      </c>
      <c r="C72" s="12" t="s">
        <v>32</v>
      </c>
      <c r="D72" s="41" t="str">
        <f>IFERROR(VLOOKUP(B72,Client_List!$B:$K,4,0)&amp;", "&amp;VLOOKUP(B72,Client_List!$B:$K,5,0)&amp;" AZ","")</f>
        <v>7625 W LOWER BUCKEYE RD, PHOENIX AZ</v>
      </c>
      <c r="E72" s="40" t="str">
        <f>IFERROR(VLOOKUP(B72,Client_List!$B:$K,7,0)&amp;", "&amp;VLOOKUP(B72,Client_List!$B:$K,8,0),"")</f>
        <v>33.4207294, -112.2242321</v>
      </c>
      <c r="F72" s="42">
        <f>IFERROR(VLOOKUP(B72,Client_List!$B:$K,9,0),"")</f>
        <v>1050</v>
      </c>
      <c r="G72" s="27">
        <f>IFERROR(AVERAGEIFS(Delivery_Log!$I$4:$I$5000,Delivery_Log!$B$4:$B$5000,B72,Delivery_Log!$I$4:$I$5000,"&gt;"&amp;0),"")</f>
        <v>58.863888888888887</v>
      </c>
      <c r="H72" s="40" t="str">
        <f>IFERROR(VLOOKUP(B72,Client_List!$B:$K,10,0),"")</f>
        <v>CANOLA OIL</v>
      </c>
      <c r="I72" s="28">
        <f>IFERROR(_xlfn.MAXIFS(Delivery_Log!$A$4:$A$5000,Delivery_Log!$B$4:$B$5000,B72),"—")</f>
        <v>46102</v>
      </c>
      <c r="J72" s="29">
        <f t="shared" ca="1" si="10"/>
        <v>27</v>
      </c>
      <c r="K72" s="30">
        <f t="shared" ca="1" si="11"/>
        <v>31.5</v>
      </c>
      <c r="L72" s="30">
        <f t="shared" ca="1" si="12"/>
        <v>1018.5</v>
      </c>
      <c r="M72" s="31">
        <f t="shared" ca="1" si="13"/>
        <v>0.53513283941295831</v>
      </c>
      <c r="N72" s="38" t="str">
        <f t="shared" ca="1" si="14"/>
        <v>YES</v>
      </c>
      <c r="O72" s="47" t="s">
        <v>88</v>
      </c>
      <c r="P72" s="40">
        <v>5</v>
      </c>
      <c r="Q72" s="34"/>
      <c r="R72" s="40"/>
    </row>
    <row r="73" spans="1:18" ht="15" customHeight="1" x14ac:dyDescent="0.2">
      <c r="A73" s="24" t="s">
        <v>173</v>
      </c>
      <c r="B73" s="25" t="s">
        <v>174</v>
      </c>
      <c r="C73" s="12" t="s">
        <v>32</v>
      </c>
      <c r="D73" s="25" t="str">
        <f>IFERROR(VLOOKUP(B73,Client_List!$B:$K,4,0)&amp;", "&amp;VLOOKUP(B73,Client_List!$B:$K,5,0)&amp;" AZ","")</f>
        <v>7415 W Thomas Rd, Phoenix AZ</v>
      </c>
      <c r="E73" s="24" t="str">
        <f>IFERROR(VLOOKUP(B73,Client_List!$B:$K,7,0)&amp;", "&amp;VLOOKUP(B73,Client_List!$B:$K,8,0),"")</f>
        <v>33.4796805, -112.219328</v>
      </c>
      <c r="F73" s="26">
        <f>IFERROR(VLOOKUP(B73,Client_List!$B:$K,9,0),"")</f>
        <v>700</v>
      </c>
      <c r="G73" s="27">
        <f>IFERROR(AVERAGEIFS(Delivery_Log!$I$4:$I$5000,Delivery_Log!$B$4:$B$5000,B73,Delivery_Log!$I$4:$I$5000,"&gt;"&amp;0),"")</f>
        <v>16.066077441077443</v>
      </c>
      <c r="H73" s="24" t="str">
        <f>IFERROR(VLOOKUP(B73,Client_List!$B:$K,10,0),"")</f>
        <v>CANOLA OIL</v>
      </c>
      <c r="I73" s="28">
        <f>IFERROR(_xlfn.MAXIFS(Delivery_Log!$A$4:$A$5000,Delivery_Log!$B$4:$B$5000,B73),"—")</f>
        <v>46115</v>
      </c>
      <c r="J73" s="29">
        <f t="shared" ca="1" si="10"/>
        <v>14</v>
      </c>
      <c r="K73" s="30">
        <f t="shared" ca="1" si="11"/>
        <v>475.07491582491582</v>
      </c>
      <c r="L73" s="30">
        <f t="shared" ca="1" si="12"/>
        <v>224.92508417508418</v>
      </c>
      <c r="M73" s="31">
        <f t="shared" ca="1" si="13"/>
        <v>21</v>
      </c>
      <c r="N73" s="32" t="str">
        <f t="shared" ca="1" si="14"/>
        <v>—</v>
      </c>
      <c r="O73" s="39" t="s">
        <v>36</v>
      </c>
      <c r="P73" s="24">
        <v>4</v>
      </c>
      <c r="Q73" s="34"/>
      <c r="R73" s="24"/>
    </row>
    <row r="74" spans="1:18" ht="15" customHeight="1" x14ac:dyDescent="0.2">
      <c r="A74" s="24" t="s">
        <v>175</v>
      </c>
      <c r="B74" s="25" t="s">
        <v>176</v>
      </c>
      <c r="C74" s="3" t="s">
        <v>39</v>
      </c>
      <c r="D74" s="25" t="str">
        <f>IFERROR(VLOOKUP(B74,Client_List!$B:$K,4,0)&amp;", "&amp;VLOOKUP(B74,Client_List!$B:$K,5,0)&amp;" AZ","")</f>
        <v>4210 S Arizona Ave, Chandler AZ</v>
      </c>
      <c r="E74" s="24" t="str">
        <f>IFERROR(VLOOKUP(B74,Client_List!$B:$K,7,0)&amp;", "&amp;VLOOKUP(B74,Client_List!$B:$K,8,0),"")</f>
        <v>33.245573, -111.842597</v>
      </c>
      <c r="F74" s="26">
        <f>IFERROR(VLOOKUP(B74,Client_List!$B:$K,9,0),"")</f>
        <v>950</v>
      </c>
      <c r="G74" s="27">
        <f>IFERROR(AVERAGEIFS(Delivery_Log!$I$4:$I$5000,Delivery_Log!$B$4:$B$5000,B74,Delivery_Log!$I$4:$I$5000,"&gt;"&amp;0),"")</f>
        <v>47.86585359085359</v>
      </c>
      <c r="H74" s="24" t="str">
        <f>IFERROR(VLOOKUP(B74,Client_List!$B:$K,10,0),"")</f>
        <v>CANOLA OIL</v>
      </c>
      <c r="I74" s="28">
        <f>IFERROR(_xlfn.MAXIFS(Delivery_Log!$A$4:$A$5000,Delivery_Log!$B$4:$B$5000,B74),"—")</f>
        <v>46112</v>
      </c>
      <c r="J74" s="29">
        <f t="shared" ca="1" si="10"/>
        <v>17</v>
      </c>
      <c r="K74" s="30">
        <f t="shared" ca="1" si="11"/>
        <v>136.28048895548898</v>
      </c>
      <c r="L74" s="30">
        <f t="shared" ca="1" si="12"/>
        <v>813.71951104451102</v>
      </c>
      <c r="M74" s="31">
        <f t="shared" ca="1" si="13"/>
        <v>2.8471337860259118</v>
      </c>
      <c r="N74" s="32" t="str">
        <f t="shared" ca="1" si="14"/>
        <v>YES</v>
      </c>
      <c r="O74" s="39" t="s">
        <v>36</v>
      </c>
      <c r="P74" s="24">
        <v>7</v>
      </c>
      <c r="Q74" s="34"/>
      <c r="R74" s="24"/>
    </row>
    <row r="75" spans="1:18" ht="15" customHeight="1" x14ac:dyDescent="0.2">
      <c r="A75" s="35" t="s">
        <v>177</v>
      </c>
      <c r="B75" s="36" t="s">
        <v>178</v>
      </c>
      <c r="C75" s="8" t="s">
        <v>52</v>
      </c>
      <c r="D75" s="36" t="str">
        <f>IFERROR(VLOOKUP(B75,Client_List!$B:$K,4,0)&amp;", "&amp;VLOOKUP(B75,Client_List!$B:$K,5,0)&amp;" AZ","")</f>
        <v>3131 E Shea Blvd, Phoenix AZ</v>
      </c>
      <c r="E75" s="35" t="str">
        <f>IFERROR(VLOOKUP(B75,Client_List!$B:$K,7,0)&amp;", "&amp;VLOOKUP(B75,Client_List!$B:$K,8,0),"")</f>
        <v>33.582157, -112.0140438</v>
      </c>
      <c r="F75" s="37">
        <f>IFERROR(VLOOKUP(B75,Client_List!$B:$K,9,0),"")</f>
        <v>900</v>
      </c>
      <c r="G75" s="27">
        <f>IFERROR(AVERAGEIFS(Delivery_Log!$I$4:$I$5000,Delivery_Log!$B$4:$B$5000,B75,Delivery_Log!$I$4:$I$5000,"&gt;"&amp;0),"")</f>
        <v>40.531351981351975</v>
      </c>
      <c r="H75" s="35" t="str">
        <f>IFERROR(VLOOKUP(B75,Client_List!$B:$K,10,0),"")</f>
        <v>CANOLA OIL</v>
      </c>
      <c r="I75" s="28">
        <f>IFERROR(_xlfn.MAXIFS(Delivery_Log!$A$4:$A$5000,Delivery_Log!$B$4:$B$5000,B75),"—")</f>
        <v>46113</v>
      </c>
      <c r="J75" s="29">
        <f t="shared" ca="1" si="10"/>
        <v>16</v>
      </c>
      <c r="K75" s="30">
        <f t="shared" ca="1" si="11"/>
        <v>251.4983682983684</v>
      </c>
      <c r="L75" s="30">
        <f t="shared" ca="1" si="12"/>
        <v>648.5016317016316</v>
      </c>
      <c r="M75" s="31">
        <f t="shared" ca="1" si="13"/>
        <v>6.2050327957004745</v>
      </c>
      <c r="N75" s="38" t="str">
        <f t="shared" ca="1" si="14"/>
        <v>YES</v>
      </c>
      <c r="O75" s="43" t="s">
        <v>47</v>
      </c>
      <c r="P75" s="35">
        <v>5</v>
      </c>
      <c r="Q75" s="34"/>
      <c r="R75" s="35"/>
    </row>
    <row r="76" spans="1:18" ht="15" customHeight="1" x14ac:dyDescent="0.2">
      <c r="A76" s="44" t="s">
        <v>179</v>
      </c>
      <c r="B76" s="45" t="s">
        <v>180</v>
      </c>
      <c r="C76" s="13" t="s">
        <v>44</v>
      </c>
      <c r="D76" s="45" t="str">
        <f>IFERROR(VLOOKUP(B76,Client_List!$B:$K,4,0)&amp;", "&amp;VLOOKUP(B76,Client_List!$B:$K,5,0)&amp;" AZ","")</f>
        <v>MANUEL MCDOWELL, Goodyear AZ</v>
      </c>
      <c r="E76" s="44" t="str">
        <f>IFERROR(VLOOKUP(B76,Client_List!$B:$K,7,0)&amp;", "&amp;VLOOKUP(B76,Client_List!$B:$K,8,0),"")</f>
        <v>33.4630917, -112.3456586</v>
      </c>
      <c r="F76" s="46">
        <f>IFERROR(VLOOKUP(B76,Client_List!$B:$K,9,0),"")</f>
        <v>950</v>
      </c>
      <c r="G76" s="27">
        <f>IFERROR(AVERAGEIFS(Delivery_Log!$I$4:$I$5000,Delivery_Log!$B$4:$B$5000,B76,Delivery_Log!$I$4:$I$5000,"&gt;"&amp;0),"")</f>
        <v>75.038803418803425</v>
      </c>
      <c r="H76" s="44" t="str">
        <f>IFERROR(VLOOKUP(B76,Client_List!$B:$K,10,0),"")</f>
        <v>CANOLA OIL</v>
      </c>
      <c r="I76" s="28">
        <f>IFERROR(_xlfn.MAXIFS(Delivery_Log!$A$4:$A$5000,Delivery_Log!$B$4:$B$5000,B76),"—")</f>
        <v>46126</v>
      </c>
      <c r="J76" s="29">
        <f t="shared" ca="1" si="10"/>
        <v>3</v>
      </c>
      <c r="K76" s="30">
        <f t="shared" ca="1" si="11"/>
        <v>724.88358974358971</v>
      </c>
      <c r="L76" s="30">
        <f t="shared" ca="1" si="12"/>
        <v>225.11641025641029</v>
      </c>
      <c r="M76" s="31">
        <f t="shared" ca="1" si="13"/>
        <v>9.6601165892518281</v>
      </c>
      <c r="N76" s="38" t="str">
        <f t="shared" ca="1" si="14"/>
        <v>—</v>
      </c>
      <c r="O76" s="39" t="s">
        <v>36</v>
      </c>
      <c r="P76" s="44">
        <v>9</v>
      </c>
      <c r="Q76" s="34"/>
      <c r="R76" s="44"/>
    </row>
    <row r="77" spans="1:18" ht="15" customHeight="1" x14ac:dyDescent="0.2">
      <c r="A77" s="24" t="s">
        <v>181</v>
      </c>
      <c r="B77" s="25" t="s">
        <v>182</v>
      </c>
      <c r="C77" s="8" t="s">
        <v>52</v>
      </c>
      <c r="D77" s="25" t="str">
        <f>IFERROR(VLOOKUP(B77,Client_List!$B:$K,4,0)&amp;", "&amp;VLOOKUP(B77,Client_List!$B:$K,5,0)&amp;" AZ","")</f>
        <v>2820 E Indian School Rd, Phoenix AZ</v>
      </c>
      <c r="E77" s="24" t="str">
        <f>IFERROR(VLOOKUP(B77,Client_List!$B:$K,7,0)&amp;", "&amp;VLOOKUP(B77,Client_List!$B:$K,8,0),"")</f>
        <v>33.4953188, -112.0207629</v>
      </c>
      <c r="F77" s="26">
        <f>IFERROR(VLOOKUP(B77,Client_List!$B:$K,9,0),"")</f>
        <v>1000</v>
      </c>
      <c r="G77" s="27">
        <f>IFERROR(AVERAGEIFS(Delivery_Log!$I$4:$I$5000,Delivery_Log!$B$4:$B$5000,B77,Delivery_Log!$I$4:$I$5000,"&gt;"&amp;0),"")</f>
        <v>41.927035330261141</v>
      </c>
      <c r="H77" s="24" t="str">
        <f>IFERROR(VLOOKUP(B77,Client_List!$B:$K,10,0),"")</f>
        <v>CANOLA OIL</v>
      </c>
      <c r="I77" s="28">
        <f>IFERROR(_xlfn.MAXIFS(Delivery_Log!$A$4:$A$5000,Delivery_Log!$B$4:$B$5000,B77),"—")</f>
        <v>46116</v>
      </c>
      <c r="J77" s="29">
        <f t="shared" ca="1" si="10"/>
        <v>13</v>
      </c>
      <c r="K77" s="30">
        <f t="shared" ca="1" si="11"/>
        <v>454.94854070660517</v>
      </c>
      <c r="L77" s="30">
        <f t="shared" ca="1" si="12"/>
        <v>545.05145929339483</v>
      </c>
      <c r="M77" s="31">
        <f t="shared" ca="1" si="13"/>
        <v>10.850958984410777</v>
      </c>
      <c r="N77" s="32" t="str">
        <f t="shared" ca="1" si="14"/>
        <v>—</v>
      </c>
      <c r="O77" s="39" t="s">
        <v>36</v>
      </c>
      <c r="P77" s="24">
        <v>7</v>
      </c>
      <c r="Q77" s="34"/>
      <c r="R77" s="24"/>
    </row>
    <row r="78" spans="1:18" ht="15" customHeight="1" x14ac:dyDescent="0.2">
      <c r="A78" s="44" t="s">
        <v>183</v>
      </c>
      <c r="B78" s="45" t="s">
        <v>184</v>
      </c>
      <c r="C78" s="8" t="s">
        <v>52</v>
      </c>
      <c r="D78" s="45" t="str">
        <f>IFERROR(VLOOKUP(B78,Client_List!$B:$K,4,0)&amp;", "&amp;VLOOKUP(B78,Client_List!$B:$K,5,0)&amp;" AZ","")</f>
        <v>MANUEL BELL, PHOENIX AZ</v>
      </c>
      <c r="E78" s="44" t="str">
        <f>IFERROR(VLOOKUP(B78,Client_List!$B:$K,7,0)&amp;", "&amp;VLOOKUP(B78,Client_List!$B:$K,8,0),"")</f>
        <v>33.6397742, -112.0877381</v>
      </c>
      <c r="F78" s="46">
        <f>IFERROR(VLOOKUP(B78,Client_List!$B:$K,9,0),"")</f>
        <v>1050</v>
      </c>
      <c r="G78" s="27">
        <f>IFERROR(AVERAGEIFS(Delivery_Log!$I$4:$I$5000,Delivery_Log!$B$4:$B$5000,B78,Delivery_Log!$I$4:$I$5000,"&gt;"&amp;0),"")</f>
        <v>99.812698412698424</v>
      </c>
      <c r="H78" s="44" t="str">
        <f>IFERROR(VLOOKUP(B78,Client_List!$B:$K,10,0),"")</f>
        <v>CANOLA OIL</v>
      </c>
      <c r="I78" s="28">
        <f>IFERROR(_xlfn.MAXIFS(Delivery_Log!$A$4:$A$5000,Delivery_Log!$B$4:$B$5000,B78),"—")</f>
        <v>46122</v>
      </c>
      <c r="J78" s="29">
        <f t="shared" ca="1" si="10"/>
        <v>7</v>
      </c>
      <c r="K78" s="30">
        <f t="shared" ca="1" si="11"/>
        <v>351.31111111111102</v>
      </c>
      <c r="L78" s="30">
        <f t="shared" ca="1" si="12"/>
        <v>698.68888888888898</v>
      </c>
      <c r="M78" s="31">
        <f t="shared" ca="1" si="13"/>
        <v>3.5197035717693446</v>
      </c>
      <c r="N78" s="38" t="str">
        <f t="shared" ca="1" si="14"/>
        <v>YES</v>
      </c>
      <c r="O78" s="39" t="s">
        <v>36</v>
      </c>
      <c r="P78" s="44">
        <v>10</v>
      </c>
      <c r="Q78" s="34"/>
      <c r="R78" s="44"/>
    </row>
    <row r="79" spans="1:18" ht="15" customHeight="1" x14ac:dyDescent="0.2">
      <c r="A79" s="44" t="s">
        <v>185</v>
      </c>
      <c r="B79" s="45" t="s">
        <v>186</v>
      </c>
      <c r="C79" s="3" t="s">
        <v>39</v>
      </c>
      <c r="D79" s="45" t="str">
        <f>IFERROR(VLOOKUP(B79,Client_List!$B:$K,4,0)&amp;", "&amp;VLOOKUP(B79,Client_List!$B:$K,5,0)&amp;" AZ","")</f>
        <v>2350 E Southern Ave, Tempe AZ</v>
      </c>
      <c r="E79" s="44" t="str">
        <f>IFERROR(VLOOKUP(B79,Client_List!$B:$K,7,0)&amp;", "&amp;VLOOKUP(B79,Client_List!$B:$K,8,0),"")</f>
        <v>33.393508, -111.8882568</v>
      </c>
      <c r="F79" s="46">
        <f>IFERROR(VLOOKUP(B79,Client_List!$B:$K,9,0),"")</f>
        <v>950</v>
      </c>
      <c r="G79" s="27">
        <f>IFERROR(AVERAGEIFS(Delivery_Log!$I$4:$I$5000,Delivery_Log!$B$4:$B$5000,B79,Delivery_Log!$I$4:$I$5000,"&gt;"&amp;0),"")</f>
        <v>87.298996458087373</v>
      </c>
      <c r="H79" s="44" t="str">
        <f>IFERROR(VLOOKUP(B79,Client_List!$B:$K,10,0),"")</f>
        <v>CANOLA OIL</v>
      </c>
      <c r="I79" s="28">
        <f>IFERROR(_xlfn.MAXIFS(Delivery_Log!$A$4:$A$5000,Delivery_Log!$B$4:$B$5000,B79),"—")</f>
        <v>46126</v>
      </c>
      <c r="J79" s="29">
        <f t="shared" ca="1" si="10"/>
        <v>3</v>
      </c>
      <c r="K79" s="30">
        <f t="shared" ca="1" si="11"/>
        <v>688.10301062573785</v>
      </c>
      <c r="L79" s="30">
        <f t="shared" ca="1" si="12"/>
        <v>261.89698937426215</v>
      </c>
      <c r="M79" s="31">
        <f t="shared" ca="1" si="13"/>
        <v>7.8821411304092033</v>
      </c>
      <c r="N79" s="38" t="str">
        <f t="shared" ca="1" si="14"/>
        <v>—</v>
      </c>
      <c r="O79" s="39" t="s">
        <v>36</v>
      </c>
      <c r="P79" s="44">
        <v>10</v>
      </c>
      <c r="Q79" s="34"/>
      <c r="R79" s="44"/>
    </row>
    <row r="80" spans="1:18" ht="15" customHeight="1" x14ac:dyDescent="0.2">
      <c r="A80" s="35" t="s">
        <v>187</v>
      </c>
      <c r="B80" s="36" t="s">
        <v>188</v>
      </c>
      <c r="C80" s="3" t="s">
        <v>39</v>
      </c>
      <c r="D80" s="36" t="str">
        <f>IFERROR(VLOOKUP(B80,Client_List!$B:$K,4,0)&amp;", "&amp;VLOOKUP(B80,Client_List!$B:$K,5,0)&amp;" AZ","")</f>
        <v>8809 E Mountain View Rd, Scottsdale AZ</v>
      </c>
      <c r="E80" s="35" t="str">
        <f>IFERROR(VLOOKUP(B80,Client_List!$B:$K,7,0)&amp;", "&amp;VLOOKUP(B80,Client_List!$B:$K,8,0),"")</f>
        <v>33.5750337, -111.8882476</v>
      </c>
      <c r="F80" s="37">
        <f>IFERROR(VLOOKUP(B80,Client_List!$B:$K,9,0),"")</f>
        <v>900</v>
      </c>
      <c r="G80" s="27">
        <f>IFERROR(AVERAGEIFS(Delivery_Log!$I$4:$I$5000,Delivery_Log!$B$4:$B$5000,B80,Delivery_Log!$I$4:$I$5000,"&gt;"&amp;0),"")</f>
        <v>48.954741554741553</v>
      </c>
      <c r="H80" s="35" t="str">
        <f>IFERROR(VLOOKUP(B80,Client_List!$B:$K,10,0),"")</f>
        <v>CANOLA OIL</v>
      </c>
      <c r="I80" s="28">
        <f>IFERROR(_xlfn.MAXIFS(Delivery_Log!$A$4:$A$5000,Delivery_Log!$B$4:$B$5000,B80),"—")</f>
        <v>46120</v>
      </c>
      <c r="J80" s="29">
        <f t="shared" ca="1" si="10"/>
        <v>9</v>
      </c>
      <c r="K80" s="30">
        <f t="shared" ca="1" si="11"/>
        <v>459.40732600732605</v>
      </c>
      <c r="L80" s="30">
        <f t="shared" ca="1" si="12"/>
        <v>440.59267399267395</v>
      </c>
      <c r="M80" s="31">
        <f t="shared" ca="1" si="13"/>
        <v>9.3843274709889624</v>
      </c>
      <c r="N80" s="38" t="str">
        <f t="shared" ca="1" si="14"/>
        <v>—</v>
      </c>
      <c r="O80" s="39" t="s">
        <v>36</v>
      </c>
      <c r="P80" s="35">
        <v>6</v>
      </c>
      <c r="Q80" s="34"/>
      <c r="R80" s="35"/>
    </row>
    <row r="81" spans="1:18" ht="15" customHeight="1" x14ac:dyDescent="0.2">
      <c r="A81" s="35" t="s">
        <v>189</v>
      </c>
      <c r="B81" s="36" t="s">
        <v>190</v>
      </c>
      <c r="C81" s="12" t="s">
        <v>32</v>
      </c>
      <c r="D81" s="36" t="str">
        <f>IFERROR(VLOOKUP(B81,Client_List!$B:$K,4,0)&amp;", "&amp;VLOOKUP(B81,Client_List!$B:$K,5,0)&amp;" AZ","")</f>
        <v>MANUEL PEORIA, GLENDALE AZ</v>
      </c>
      <c r="E81" s="35" t="str">
        <f>IFERROR(VLOOKUP(B81,Client_List!$B:$K,7,0)&amp;", "&amp;VLOOKUP(B81,Client_List!$B:$K,8,0),"")</f>
        <v>33.5822996, -112.1807082</v>
      </c>
      <c r="F81" s="37">
        <f>IFERROR(VLOOKUP(B81,Client_List!$B:$K,9,0),"")</f>
        <v>1050</v>
      </c>
      <c r="G81" s="27">
        <f>IFERROR(AVERAGEIFS(Delivery_Log!$I$4:$I$5000,Delivery_Log!$B$4:$B$5000,B81,Delivery_Log!$I$4:$I$5000,"&gt;"&amp;0),"")</f>
        <v>131.37712585034015</v>
      </c>
      <c r="H81" s="35" t="str">
        <f>IFERROR(VLOOKUP(B81,Client_List!$B:$K,10,0),"")</f>
        <v>CANOLA OIL</v>
      </c>
      <c r="I81" s="28">
        <f>IFERROR(_xlfn.MAXIFS(Delivery_Log!$A$4:$A$5000,Delivery_Log!$B$4:$B$5000,B81),"—")</f>
        <v>46121</v>
      </c>
      <c r="J81" s="29">
        <f t="shared" ca="1" si="10"/>
        <v>8</v>
      </c>
      <c r="K81" s="30">
        <f t="shared" ca="1" si="11"/>
        <v>31.5</v>
      </c>
      <c r="L81" s="30">
        <f t="shared" ca="1" si="12"/>
        <v>1018.5</v>
      </c>
      <c r="M81" s="31">
        <f t="shared" ca="1" si="13"/>
        <v>0.23976776623872567</v>
      </c>
      <c r="N81" s="38" t="str">
        <f t="shared" ca="1" si="14"/>
        <v>YES</v>
      </c>
      <c r="O81" s="39" t="s">
        <v>36</v>
      </c>
      <c r="P81" s="35">
        <v>14</v>
      </c>
      <c r="Q81" s="34"/>
      <c r="R81" s="35"/>
    </row>
    <row r="82" spans="1:18" ht="15" customHeight="1" x14ac:dyDescent="0.2">
      <c r="A82" s="24" t="s">
        <v>191</v>
      </c>
      <c r="B82" s="25" t="s">
        <v>192</v>
      </c>
      <c r="C82" s="3" t="s">
        <v>39</v>
      </c>
      <c r="D82" s="25" t="str">
        <f>IFERROR(VLOOKUP(B82,Client_List!$B:$K,4,0)&amp;", "&amp;VLOOKUP(B82,Client_List!$B:$K,5,0)&amp;" AZ","")</f>
        <v>15257 N Scottsdale Rd, Scottsdale AZ</v>
      </c>
      <c r="E82" s="24" t="str">
        <f>IFERROR(VLOOKUP(B82,Client_List!$B:$K,7,0)&amp;", "&amp;VLOOKUP(B82,Client_List!$B:$K,8,0),"")</f>
        <v>33.6246658, -111.9241166</v>
      </c>
      <c r="F82" s="26">
        <f>IFERROR(VLOOKUP(B82,Client_List!$B:$K,9,0),"")</f>
        <v>350</v>
      </c>
      <c r="G82" s="27">
        <f>IFERROR(AVERAGEIFS(Delivery_Log!$I$4:$I$5000,Delivery_Log!$B$4:$B$5000,B82,Delivery_Log!$I$4:$I$5000,"&gt;"&amp;0),"")</f>
        <v>9.790865384615385</v>
      </c>
      <c r="H82" s="24" t="str">
        <f>IFERROR(VLOOKUP(B82,Client_List!$B:$K,10,0),"")</f>
        <v>CANOLA OIL</v>
      </c>
      <c r="I82" s="28">
        <f>IFERROR(_xlfn.MAXIFS(Delivery_Log!$A$4:$A$5000,Delivery_Log!$B$4:$B$5000,B82),"—")</f>
        <v>46112</v>
      </c>
      <c r="J82" s="29">
        <f t="shared" ca="1" si="10"/>
        <v>17</v>
      </c>
      <c r="K82" s="30">
        <f t="shared" ca="1" si="11"/>
        <v>183.55528846153845</v>
      </c>
      <c r="L82" s="30">
        <f t="shared" ca="1" si="12"/>
        <v>166.44471153846155</v>
      </c>
      <c r="M82" s="31">
        <f t="shared" ca="1" si="13"/>
        <v>18.747606187085683</v>
      </c>
      <c r="N82" s="32" t="str">
        <f t="shared" ca="1" si="14"/>
        <v>—</v>
      </c>
      <c r="O82" s="33" t="s">
        <v>33</v>
      </c>
      <c r="P82" s="24">
        <v>3</v>
      </c>
      <c r="Q82" s="34"/>
      <c r="R82" s="24"/>
    </row>
    <row r="83" spans="1:18" ht="15" customHeight="1" x14ac:dyDescent="0.2">
      <c r="A83" s="24" t="s">
        <v>193</v>
      </c>
      <c r="B83" s="25" t="s">
        <v>194</v>
      </c>
      <c r="C83" s="3" t="s">
        <v>39</v>
      </c>
      <c r="D83" s="25" t="str">
        <f>IFERROR(VLOOKUP(B83,Client_List!$B:$K,4,0)&amp;", "&amp;VLOOKUP(B83,Client_List!$B:$K,5,0)&amp;" AZ","")</f>
        <v>7033 E Cave Creek Rd, Cave Creek AZ</v>
      </c>
      <c r="E83" s="24" t="str">
        <f>IFERROR(VLOOKUP(B83,Client_List!$B:$K,7,0)&amp;", "&amp;VLOOKUP(B83,Client_List!$B:$K,8,0),"")</f>
        <v>33.829157, -111.9291688</v>
      </c>
      <c r="F83" s="26">
        <f>IFERROR(VLOOKUP(B83,Client_List!$B:$K,9,0),"")</f>
        <v>620</v>
      </c>
      <c r="G83" s="27">
        <f>IFERROR(AVERAGEIFS(Delivery_Log!$I$4:$I$5000,Delivery_Log!$B$4:$B$5000,B83,Delivery_Log!$I$4:$I$5000,"&gt;"&amp;0),"")</f>
        <v>20.396104108309991</v>
      </c>
      <c r="H83" s="24" t="str">
        <f>IFERROR(VLOOKUP(B83,Client_List!$B:$K,10,0),"")</f>
        <v>FRYERS CHOICE BLEND</v>
      </c>
      <c r="I83" s="28">
        <f>IFERROR(_xlfn.MAXIFS(Delivery_Log!$A$4:$A$5000,Delivery_Log!$B$4:$B$5000,B83),"—")</f>
        <v>46119</v>
      </c>
      <c r="J83" s="29">
        <f t="shared" ca="1" si="10"/>
        <v>10</v>
      </c>
      <c r="K83" s="30">
        <f t="shared" ca="1" si="11"/>
        <v>416.03895891690007</v>
      </c>
      <c r="L83" s="30">
        <f t="shared" ca="1" si="12"/>
        <v>203.96104108309993</v>
      </c>
      <c r="M83" s="31">
        <f t="shared" ca="1" si="13"/>
        <v>20.397962116078492</v>
      </c>
      <c r="N83" s="32" t="str">
        <f t="shared" ca="1" si="14"/>
        <v>—</v>
      </c>
      <c r="O83" s="43" t="s">
        <v>47</v>
      </c>
      <c r="P83" s="24">
        <v>5</v>
      </c>
      <c r="Q83" s="34"/>
      <c r="R83" s="24"/>
    </row>
    <row r="84" spans="1:18" ht="15" customHeight="1" x14ac:dyDescent="0.2">
      <c r="A84" s="24" t="s">
        <v>195</v>
      </c>
      <c r="B84" s="25" t="s">
        <v>196</v>
      </c>
      <c r="C84" s="3" t="s">
        <v>39</v>
      </c>
      <c r="D84" s="25" t="str">
        <f>IFERROR(VLOOKUP(B84,Client_List!$B:$K,4,0)&amp;", "&amp;VLOOKUP(B84,Client_List!$B:$K,5,0)&amp;" AZ","")</f>
        <v>980 E PECOS RD SUITE 5, CHANDLER AZ</v>
      </c>
      <c r="E84" s="24" t="str">
        <f>IFERROR(VLOOKUP(B84,Client_List!$B:$K,7,0)&amp;", "&amp;VLOOKUP(B84,Client_List!$B:$K,8,0),"")</f>
        <v>33.2931379, -111.8249626</v>
      </c>
      <c r="F84" s="26">
        <f>IFERROR(VLOOKUP(B84,Client_List!$B:$K,9,0),"")</f>
        <v>620</v>
      </c>
      <c r="G84" s="27">
        <f>IFERROR(AVERAGEIFS(Delivery_Log!$I$4:$I$5000,Delivery_Log!$B$4:$B$5000,B84,Delivery_Log!$I$4:$I$5000,"&gt;"&amp;0),"")</f>
        <v>38.85225344830608</v>
      </c>
      <c r="H84" s="24" t="str">
        <f>IFERROR(VLOOKUP(B84,Client_List!$B:$K,10,0),"")</f>
        <v>FRYERS CHOICE BLEND</v>
      </c>
      <c r="I84" s="28">
        <f>IFERROR(_xlfn.MAXIFS(Delivery_Log!$A$4:$A$5000,Delivery_Log!$B$4:$B$5000,B84),"—")</f>
        <v>46122</v>
      </c>
      <c r="J84" s="29">
        <f t="shared" ca="1" si="10"/>
        <v>7</v>
      </c>
      <c r="K84" s="30">
        <f t="shared" ca="1" si="11"/>
        <v>348.03422586185746</v>
      </c>
      <c r="L84" s="30">
        <f t="shared" ca="1" si="12"/>
        <v>271.96577413814254</v>
      </c>
      <c r="M84" s="31">
        <f t="shared" ca="1" si="13"/>
        <v>8.9578903402585368</v>
      </c>
      <c r="N84" s="32" t="str">
        <f t="shared" ca="1" si="14"/>
        <v>—</v>
      </c>
      <c r="O84" s="43" t="s">
        <v>47</v>
      </c>
      <c r="P84" s="24">
        <v>8</v>
      </c>
      <c r="Q84" s="34"/>
      <c r="R84" s="24"/>
    </row>
    <row r="85" spans="1:18" ht="15" customHeight="1" x14ac:dyDescent="0.2">
      <c r="A85" s="24" t="s">
        <v>197</v>
      </c>
      <c r="B85" s="25" t="s">
        <v>198</v>
      </c>
      <c r="C85" s="13" t="s">
        <v>44</v>
      </c>
      <c r="D85" s="25" t="str">
        <f>IFERROR(VLOOKUP(B85,Client_List!$B:$K,4,0)&amp;", "&amp;VLOOKUP(B85,Client_List!$B:$K,5,0)&amp;" AZ","")</f>
        <v>735 N 114TH AVE, AVONDALE AZ</v>
      </c>
      <c r="E85" s="24" t="str">
        <f>IFERROR(VLOOKUP(B85,Client_List!$B:$K,7,0)&amp;", "&amp;VLOOKUP(B85,Client_List!$B:$K,8,0),"")</f>
        <v>33.4534557, -112.3049497</v>
      </c>
      <c r="F85" s="26">
        <f>IFERROR(VLOOKUP(B85,Client_List!$B:$K,9,0),"")</f>
        <v>1050</v>
      </c>
      <c r="G85" s="27">
        <f>IFERROR(AVERAGEIFS(Delivery_Log!$I$4:$I$5000,Delivery_Log!$B$4:$B$5000,B85,Delivery_Log!$I$4:$I$5000,"&gt;"&amp;0),"")</f>
        <v>107.05735930735931</v>
      </c>
      <c r="H85" s="24" t="str">
        <f>IFERROR(VLOOKUP(B85,Client_List!$B:$K,10,0),"")</f>
        <v>CANOLA OIL</v>
      </c>
      <c r="I85" s="28">
        <f>IFERROR(_xlfn.MAXIFS(Delivery_Log!$A$4:$A$5000,Delivery_Log!$B$4:$B$5000,B85),"—")</f>
        <v>46108</v>
      </c>
      <c r="J85" s="29">
        <f t="shared" ca="1" si="10"/>
        <v>21</v>
      </c>
      <c r="K85" s="30">
        <f t="shared" ca="1" si="11"/>
        <v>31.5</v>
      </c>
      <c r="L85" s="30">
        <f t="shared" ca="1" si="12"/>
        <v>1018.5</v>
      </c>
      <c r="M85" s="31">
        <f t="shared" ca="1" si="13"/>
        <v>0.29423479342101272</v>
      </c>
      <c r="N85" s="32" t="str">
        <f t="shared" ca="1" si="14"/>
        <v>YES</v>
      </c>
      <c r="O85" s="33" t="s">
        <v>33</v>
      </c>
      <c r="P85" s="24">
        <v>3</v>
      </c>
      <c r="Q85" s="34"/>
      <c r="R85" s="24"/>
    </row>
    <row r="86" spans="1:18" ht="15" customHeight="1" x14ac:dyDescent="0.2">
      <c r="A86" s="24" t="s">
        <v>199</v>
      </c>
      <c r="B86" s="25" t="s">
        <v>200</v>
      </c>
      <c r="C86" s="3" t="s">
        <v>39</v>
      </c>
      <c r="D86" s="25" t="str">
        <f>IFERROR(VLOOKUP(B86,Client_List!$B:$K,4,0)&amp;", "&amp;VLOOKUP(B86,Client_List!$B:$K,5,0)&amp;" AZ","")</f>
        <v>140 S. LINDON LN, TEMPE AZ</v>
      </c>
      <c r="E86" s="24" t="str">
        <f>IFERROR(VLOOKUP(B86,Client_List!$B:$K,7,0)&amp;", "&amp;VLOOKUP(B86,Client_List!$B:$K,8,0),"")</f>
        <v>33.428746, -111.965056</v>
      </c>
      <c r="F86" s="26">
        <f>IFERROR(VLOOKUP(B86,Client_List!$B:$K,9,0),"")</f>
        <v>2000</v>
      </c>
      <c r="G86" s="27">
        <f>IFERROR(AVERAGEIFS(Delivery_Log!$I$4:$I$5000,Delivery_Log!$B$4:$B$5000,B86,Delivery_Log!$I$4:$I$5000,"&gt;"&amp;0),"")</f>
        <v>99.284722222222214</v>
      </c>
      <c r="H86" s="24" t="str">
        <f>IFERROR(VLOOKUP(B86,Client_List!$B:$K,10,0),"")</f>
        <v>CANOLA OIL</v>
      </c>
      <c r="I86" s="28">
        <f>IFERROR(_xlfn.MAXIFS(Delivery_Log!$A$4:$A$5000,Delivery_Log!$B$4:$B$5000,B86),"—")</f>
        <v>46110</v>
      </c>
      <c r="J86" s="29">
        <f t="shared" ca="1" si="10"/>
        <v>19</v>
      </c>
      <c r="K86" s="30">
        <f t="shared" ca="1" si="11"/>
        <v>113.59027777777783</v>
      </c>
      <c r="L86" s="30">
        <f t="shared" ca="1" si="12"/>
        <v>1886.4097222222222</v>
      </c>
      <c r="M86" s="31">
        <f t="shared" ca="1" si="13"/>
        <v>1.1440861719241806</v>
      </c>
      <c r="N86" s="32" t="str">
        <f t="shared" ca="1" si="14"/>
        <v>YES</v>
      </c>
      <c r="O86" s="43" t="s">
        <v>47</v>
      </c>
      <c r="P86" s="24">
        <v>6</v>
      </c>
      <c r="Q86" s="34"/>
      <c r="R86" s="24"/>
    </row>
    <row r="87" spans="1:18" ht="15" customHeight="1" x14ac:dyDescent="0.2">
      <c r="A87" s="35" t="s">
        <v>201</v>
      </c>
      <c r="B87" s="36" t="s">
        <v>202</v>
      </c>
      <c r="C87" s="3" t="s">
        <v>39</v>
      </c>
      <c r="D87" s="36" t="str">
        <f>IFERROR(VLOOKUP(B87,Client_List!$B:$K,4,0)&amp;", "&amp;VLOOKUP(B87,Client_List!$B:$K,5,0)&amp;" AZ","")</f>
        <v>4900 E Indian School Rd, Phoenix AZ</v>
      </c>
      <c r="E87" s="35" t="str">
        <f>IFERROR(VLOOKUP(B87,Client_List!$B:$K,7,0)&amp;", "&amp;VLOOKUP(B87,Client_List!$B:$K,8,0),"")</f>
        <v>33.4950076, -111.9758635</v>
      </c>
      <c r="F87" s="37">
        <f>IFERROR(VLOOKUP(B87,Client_List!$B:$K,9,0),"")</f>
        <v>1050</v>
      </c>
      <c r="G87" s="27">
        <f>IFERROR(AVERAGEIFS(Delivery_Log!$I$4:$I$5000,Delivery_Log!$B$4:$B$5000,B87,Delivery_Log!$I$4:$I$5000,"&gt;"&amp;0),"")</f>
        <v>88.77292568542569</v>
      </c>
      <c r="H87" s="35" t="str">
        <f>IFERROR(VLOOKUP(B87,Client_List!$B:$K,10,0),"")</f>
        <v>CANOLA OIL</v>
      </c>
      <c r="I87" s="28">
        <f>IFERROR(_xlfn.MAXIFS(Delivery_Log!$A$4:$A$5000,Delivery_Log!$B$4:$B$5000,B87),"—")</f>
        <v>46120</v>
      </c>
      <c r="J87" s="29">
        <f t="shared" ca="1" si="10"/>
        <v>9</v>
      </c>
      <c r="K87" s="30">
        <f t="shared" ca="1" si="11"/>
        <v>251.04366883116882</v>
      </c>
      <c r="L87" s="30">
        <f t="shared" ca="1" si="12"/>
        <v>798.95633116883118</v>
      </c>
      <c r="M87" s="31">
        <f t="shared" ca="1" si="13"/>
        <v>2.8279305530693346</v>
      </c>
      <c r="N87" s="38" t="str">
        <f t="shared" ca="1" si="14"/>
        <v>YES</v>
      </c>
      <c r="O87" s="39" t="s">
        <v>36</v>
      </c>
      <c r="P87" s="35">
        <v>7</v>
      </c>
      <c r="Q87" s="34"/>
      <c r="R87" s="35"/>
    </row>
    <row r="88" spans="1:18" ht="15" customHeight="1" x14ac:dyDescent="0.2">
      <c r="A88" s="44" t="s">
        <v>203</v>
      </c>
      <c r="B88" s="45" t="s">
        <v>204</v>
      </c>
      <c r="C88" s="11" t="s">
        <v>57</v>
      </c>
      <c r="D88" s="45" t="str">
        <f>IFERROR(VLOOKUP(B88,Client_List!$B:$K,4,0)&amp;", "&amp;VLOOKUP(B88,Client_List!$B:$K,5,0)&amp;" AZ","")</f>
        <v>OHSO GILBERT, Gilbert AZ</v>
      </c>
      <c r="E88" s="44" t="str">
        <f>IFERROR(VLOOKUP(B88,Client_List!$B:$K,7,0)&amp;", "&amp;VLOOKUP(B88,Client_List!$B:$K,8,0),"")</f>
        <v>33.3562109, -111.7893894</v>
      </c>
      <c r="F88" s="46">
        <f>IFERROR(VLOOKUP(B88,Client_List!$B:$K,9,0),"")</f>
        <v>1800</v>
      </c>
      <c r="G88" s="27">
        <f>IFERROR(AVERAGEIFS(Delivery_Log!$I$4:$I$5000,Delivery_Log!$B$4:$B$5000,B88,Delivery_Log!$I$4:$I$5000,"&gt;"&amp;0),"")</f>
        <v>162.75847763347764</v>
      </c>
      <c r="H88" s="44" t="str">
        <f>IFERROR(VLOOKUP(B88,Client_List!$B:$K,10,0),"")</f>
        <v>CANOLA OIL</v>
      </c>
      <c r="I88" s="28">
        <f>IFERROR(_xlfn.MAXIFS(Delivery_Log!$A$4:$A$5000,Delivery_Log!$B$4:$B$5000,B88),"—")</f>
        <v>46116</v>
      </c>
      <c r="J88" s="29">
        <f t="shared" ca="1" si="10"/>
        <v>13</v>
      </c>
      <c r="K88" s="30">
        <f t="shared" ca="1" si="11"/>
        <v>54</v>
      </c>
      <c r="L88" s="30">
        <f t="shared" ca="1" si="12"/>
        <v>1746</v>
      </c>
      <c r="M88" s="31">
        <f t="shared" ca="1" si="13"/>
        <v>0.33177995263389459</v>
      </c>
      <c r="N88" s="38" t="str">
        <f t="shared" ca="1" si="14"/>
        <v>YES</v>
      </c>
      <c r="O88" s="39" t="s">
        <v>36</v>
      </c>
      <c r="P88" s="44">
        <v>12</v>
      </c>
      <c r="Q88" s="34"/>
      <c r="R88" s="44"/>
    </row>
    <row r="89" spans="1:18" ht="15" customHeight="1" x14ac:dyDescent="0.2">
      <c r="A89" s="35" t="s">
        <v>205</v>
      </c>
      <c r="B89" s="36" t="s">
        <v>206</v>
      </c>
      <c r="C89" s="3" t="s">
        <v>39</v>
      </c>
      <c r="D89" s="36" t="str">
        <f>IFERROR(VLOOKUP(B89,Client_List!$B:$K,4,0)&amp;", "&amp;VLOOKUP(B89,Client_List!$B:$K,5,0)&amp;" AZ","")</f>
        <v>15681 N Hayden Rd Ste 112, Scottsdale AZ</v>
      </c>
      <c r="E89" s="35" t="str">
        <f>IFERROR(VLOOKUP(B89,Client_List!$B:$K,7,0)&amp;", "&amp;VLOOKUP(B89,Client_List!$B:$K,8,0),"")</f>
        <v>33.6278655, -111.8934385</v>
      </c>
      <c r="F89" s="37">
        <f>IFERROR(VLOOKUP(B89,Client_List!$B:$K,9,0),"")</f>
        <v>1050</v>
      </c>
      <c r="G89" s="27">
        <f>IFERROR(AVERAGEIFS(Delivery_Log!$I$4:$I$5000,Delivery_Log!$B$4:$B$5000,B89,Delivery_Log!$I$4:$I$5000,"&gt;"&amp;0),"")</f>
        <v>88.780400155400159</v>
      </c>
      <c r="H89" s="35" t="str">
        <f>IFERROR(VLOOKUP(B89,Client_List!$B:$K,10,0),"")</f>
        <v>CANOLA OIL</v>
      </c>
      <c r="I89" s="28">
        <f>IFERROR(_xlfn.MAXIFS(Delivery_Log!$A$4:$A$5000,Delivery_Log!$B$4:$B$5000,B89),"—")</f>
        <v>46120</v>
      </c>
      <c r="J89" s="29">
        <f t="shared" ca="1" si="10"/>
        <v>9</v>
      </c>
      <c r="K89" s="30">
        <f t="shared" ca="1" si="11"/>
        <v>250.97639860139861</v>
      </c>
      <c r="L89" s="30">
        <f t="shared" ca="1" si="12"/>
        <v>799.02360139860139</v>
      </c>
      <c r="M89" s="31">
        <f t="shared" ca="1" si="13"/>
        <v>2.8269347531898088</v>
      </c>
      <c r="N89" s="38" t="str">
        <f t="shared" ca="1" si="14"/>
        <v>YES</v>
      </c>
      <c r="O89" s="39" t="s">
        <v>36</v>
      </c>
      <c r="P89" s="35">
        <v>8</v>
      </c>
      <c r="Q89" s="34"/>
      <c r="R89" s="35"/>
    </row>
    <row r="90" spans="1:18" ht="15" customHeight="1" x14ac:dyDescent="0.2">
      <c r="A90" s="24" t="s">
        <v>207</v>
      </c>
      <c r="B90" s="25" t="s">
        <v>208</v>
      </c>
      <c r="C90" s="3" t="s">
        <v>39</v>
      </c>
      <c r="D90" s="25" t="str">
        <f>IFERROR(VLOOKUP(B90,Client_List!$B:$K,4,0)&amp;", "&amp;VLOOKUP(B90,Client_List!$B:$K,5,0)&amp;" AZ","")</f>
        <v>10810 N Tatum Blvd Ste 126, Phoenix AZ</v>
      </c>
      <c r="E90" s="24" t="str">
        <f>IFERROR(VLOOKUP(B90,Client_List!$B:$K,7,0)&amp;", "&amp;VLOOKUP(B90,Client_List!$B:$K,8,0),"")</f>
        <v>33.5841627, -111.9795489</v>
      </c>
      <c r="F90" s="26">
        <f>IFERROR(VLOOKUP(B90,Client_List!$B:$K,9,0),"")</f>
        <v>1050</v>
      </c>
      <c r="G90" s="27">
        <f>IFERROR(AVERAGEIFS(Delivery_Log!$I$4:$I$5000,Delivery_Log!$B$4:$B$5000,B90,Delivery_Log!$I$4:$I$5000,"&gt;"&amp;0),"")</f>
        <v>79.456017316017309</v>
      </c>
      <c r="H90" s="24" t="str">
        <f>IFERROR(VLOOKUP(B90,Client_List!$B:$K,10,0),"")</f>
        <v>UNKNOWN</v>
      </c>
      <c r="I90" s="28">
        <f>IFERROR(_xlfn.MAXIFS(Delivery_Log!$A$4:$A$5000,Delivery_Log!$B$4:$B$5000,B90),"—")</f>
        <v>46105</v>
      </c>
      <c r="J90" s="29">
        <f t="shared" ca="1" si="10"/>
        <v>24</v>
      </c>
      <c r="K90" s="30">
        <f t="shared" ca="1" si="11"/>
        <v>31.5</v>
      </c>
      <c r="L90" s="30">
        <f t="shared" ca="1" si="12"/>
        <v>1018.5</v>
      </c>
      <c r="M90" s="31">
        <f t="shared" ca="1" si="13"/>
        <v>0.39644574525698012</v>
      </c>
      <c r="N90" s="32" t="str">
        <f t="shared" ca="1" si="14"/>
        <v>YES</v>
      </c>
      <c r="O90" s="39" t="s">
        <v>36</v>
      </c>
      <c r="P90" s="24">
        <v>7</v>
      </c>
      <c r="Q90" s="34"/>
      <c r="R90" s="24"/>
    </row>
    <row r="91" spans="1:18" ht="15" customHeight="1" x14ac:dyDescent="0.2">
      <c r="A91" s="24" t="s">
        <v>209</v>
      </c>
      <c r="B91" s="25" t="s">
        <v>210</v>
      </c>
      <c r="C91" s="3" t="s">
        <v>39</v>
      </c>
      <c r="D91" s="25" t="str">
        <f>IFERROR(VLOOKUP(B91,Client_List!$B:$K,4,0)&amp;", "&amp;VLOOKUP(B91,Client_List!$B:$K,5,0)&amp;" AZ","")</f>
        <v>OREGANO, SCOTTSDALE AZ</v>
      </c>
      <c r="E91" s="24" t="str">
        <f>IFERROR(VLOOKUP(B91,Client_List!$B:$K,7,0)&amp;", "&amp;VLOOKUP(B91,Client_List!$B:$K,8,0),"")</f>
        <v>33.6271678, -111.8915414</v>
      </c>
      <c r="F91" s="26">
        <f>IFERROR(VLOOKUP(B91,Client_List!$B:$K,9,0),"")</f>
        <v>630</v>
      </c>
      <c r="G91" s="27">
        <f>IFERROR(AVERAGEIFS(Delivery_Log!$I$4:$I$5000,Delivery_Log!$B$4:$B$5000,B91,Delivery_Log!$I$4:$I$5000,"&gt;"&amp;0),"")</f>
        <v>21.724322169059008</v>
      </c>
      <c r="H91" s="24" t="str">
        <f>IFERROR(VLOOKUP(B91,Client_List!$B:$K,10,0),"")</f>
        <v>CANOLA OIL</v>
      </c>
      <c r="I91" s="28">
        <f>IFERROR(_xlfn.MAXIFS(Delivery_Log!$A$4:$A$5000,Delivery_Log!$B$4:$B$5000,B91),"—")</f>
        <v>46105</v>
      </c>
      <c r="J91" s="29">
        <f t="shared" ca="1" si="10"/>
        <v>24</v>
      </c>
      <c r="K91" s="30">
        <f t="shared" ca="1" si="11"/>
        <v>108.61626794258382</v>
      </c>
      <c r="L91" s="30">
        <f t="shared" ca="1" si="12"/>
        <v>521.38373205741618</v>
      </c>
      <c r="M91" s="31">
        <f t="shared" ca="1" si="13"/>
        <v>4.9997540589451015</v>
      </c>
      <c r="N91" s="32" t="str">
        <f t="shared" ca="1" si="14"/>
        <v>YES</v>
      </c>
      <c r="O91" s="47" t="s">
        <v>88</v>
      </c>
      <c r="P91" s="24">
        <v>4</v>
      </c>
      <c r="Q91" s="34"/>
      <c r="R91" s="24"/>
    </row>
    <row r="92" spans="1:18" ht="15" customHeight="1" x14ac:dyDescent="0.2">
      <c r="A92" s="24" t="s">
        <v>211</v>
      </c>
      <c r="B92" s="25" t="s">
        <v>212</v>
      </c>
      <c r="C92" s="12" t="s">
        <v>32</v>
      </c>
      <c r="D92" s="25" t="str">
        <f>IFERROR(VLOOKUP(B92,Client_List!$B:$K,4,0)&amp;", "&amp;VLOOKUP(B92,Client_List!$B:$K,5,0)&amp;" AZ","")</f>
        <v>6738 W Bell Rd, Glendale AZ</v>
      </c>
      <c r="E92" s="24" t="str">
        <f>IFERROR(VLOOKUP(B92,Client_List!$B:$K,7,0)&amp;", "&amp;VLOOKUP(B92,Client_List!$B:$K,8,0),"")</f>
        <v>33.6387785, -112.2042015</v>
      </c>
      <c r="F92" s="26">
        <f>IFERROR(VLOOKUP(B92,Client_List!$B:$K,9,0),"")</f>
        <v>1050</v>
      </c>
      <c r="G92" s="27">
        <f>IFERROR(AVERAGEIFS(Delivery_Log!$I$4:$I$5000,Delivery_Log!$B$4:$B$5000,B92,Delivery_Log!$I$4:$I$5000,"&gt;"&amp;0),"")</f>
        <v>27.074999999999999</v>
      </c>
      <c r="H92" s="24" t="str">
        <f>IFERROR(VLOOKUP(B92,Client_List!$B:$K,10,0),"")</f>
        <v>CANOLA OIL</v>
      </c>
      <c r="I92" s="28">
        <f>IFERROR(_xlfn.MAXIFS(Delivery_Log!$A$4:$A$5000,Delivery_Log!$B$4:$B$5000,B92),"—")</f>
        <v>46091</v>
      </c>
      <c r="J92" s="29">
        <f t="shared" ca="1" si="10"/>
        <v>38</v>
      </c>
      <c r="K92" s="30">
        <f t="shared" ca="1" si="11"/>
        <v>31.5</v>
      </c>
      <c r="L92" s="30">
        <f t="shared" ca="1" si="12"/>
        <v>1018.5</v>
      </c>
      <c r="M92" s="31">
        <f t="shared" ca="1" si="13"/>
        <v>1.1634349030470914</v>
      </c>
      <c r="N92" s="32" t="str">
        <f t="shared" ca="1" si="14"/>
        <v>YES</v>
      </c>
      <c r="O92" s="33" t="s">
        <v>33</v>
      </c>
      <c r="P92" s="24">
        <v>2</v>
      </c>
      <c r="Q92" s="34"/>
      <c r="R92" s="24"/>
    </row>
    <row r="93" spans="1:18" ht="15" customHeight="1" x14ac:dyDescent="0.2">
      <c r="A93" s="44" t="s">
        <v>213</v>
      </c>
      <c r="B93" s="45" t="s">
        <v>214</v>
      </c>
      <c r="C93" s="13" t="s">
        <v>44</v>
      </c>
      <c r="D93" s="45" t="str">
        <f>IFERROR(VLOOKUP(B93,Client_List!$B:$K,4,0)&amp;", "&amp;VLOOKUP(B93,Client_List!$B:$K,5,0)&amp;" AZ","")</f>
        <v>16914 W Bell Rd, Surprise AZ</v>
      </c>
      <c r="E93" s="44" t="str">
        <f>IFERROR(VLOOKUP(B93,Client_List!$B:$K,7,0)&amp;", "&amp;VLOOKUP(B93,Client_List!$B:$K,8,0),"")</f>
        <v>33.6394027, -112.4230688</v>
      </c>
      <c r="F93" s="46">
        <f>IFERROR(VLOOKUP(B93,Client_List!$B:$K,9,0),"")</f>
        <v>630</v>
      </c>
      <c r="G93" s="27">
        <f>IFERROR(AVERAGEIFS(Delivery_Log!$I$4:$I$5000,Delivery_Log!$B$4:$B$5000,B93,Delivery_Log!$I$4:$I$5000,"&gt;"&amp;0),"")</f>
        <v>26.982936507936511</v>
      </c>
      <c r="H93" s="44" t="str">
        <f>IFERROR(VLOOKUP(B93,Client_List!$B:$K,10,0),"")</f>
        <v>CANOLA OIL</v>
      </c>
      <c r="I93" s="28">
        <f>IFERROR(_xlfn.MAXIFS(Delivery_Log!$A$4:$A$5000,Delivery_Log!$B$4:$B$5000,B93),"—")</f>
        <v>46120</v>
      </c>
      <c r="J93" s="29">
        <f t="shared" ca="1" si="10"/>
        <v>9</v>
      </c>
      <c r="K93" s="30">
        <f t="shared" ca="1" si="11"/>
        <v>387.15357142857141</v>
      </c>
      <c r="L93" s="30">
        <f t="shared" ca="1" si="12"/>
        <v>242.84642857142859</v>
      </c>
      <c r="M93" s="31">
        <f t="shared" ca="1" si="13"/>
        <v>14.348088886274391</v>
      </c>
      <c r="N93" s="38" t="str">
        <f t="shared" ca="1" si="14"/>
        <v>—</v>
      </c>
      <c r="O93" s="43" t="s">
        <v>47</v>
      </c>
      <c r="P93" s="44">
        <v>6</v>
      </c>
      <c r="Q93" s="34"/>
      <c r="R93" s="44"/>
    </row>
    <row r="94" spans="1:18" ht="15" customHeight="1" x14ac:dyDescent="0.2">
      <c r="A94" s="24" t="s">
        <v>215</v>
      </c>
      <c r="B94" s="25" t="s">
        <v>216</v>
      </c>
      <c r="C94" s="8" t="s">
        <v>52</v>
      </c>
      <c r="D94" s="25" t="str">
        <f>IFERROR(VLOOKUP(B94,Client_List!$B:$K,4,0)&amp;", "&amp;VLOOKUP(B94,Client_List!$B:$K,5,0)&amp;" AZ","")</f>
        <v>1008 E Camelback Rd, Phoenix AZ</v>
      </c>
      <c r="E94" s="24" t="str">
        <f>IFERROR(VLOOKUP(B94,Client_List!$B:$K,7,0)&amp;", "&amp;VLOOKUP(B94,Client_List!$B:$K,8,0),"")</f>
        <v>33.5094888, -112.0602469</v>
      </c>
      <c r="F94" s="26">
        <f>IFERROR(VLOOKUP(B94,Client_List!$B:$K,9,0),"")</f>
        <v>450</v>
      </c>
      <c r="G94" s="27">
        <f>IFERROR(AVERAGEIFS(Delivery_Log!$I$4:$I$5000,Delivery_Log!$B$4:$B$5000,B94,Delivery_Log!$I$4:$I$5000,"&gt;"&amp;0),"")</f>
        <v>30.102008177008177</v>
      </c>
      <c r="H94" s="24" t="str">
        <f>IFERROR(VLOOKUP(B94,Client_List!$B:$K,10,0),"")</f>
        <v>CANOLA OIL</v>
      </c>
      <c r="I94" s="28">
        <f>IFERROR(_xlfn.MAXIFS(Delivery_Log!$A$4:$A$5000,Delivery_Log!$B$4:$B$5000,B94),"—")</f>
        <v>46116</v>
      </c>
      <c r="J94" s="29">
        <f t="shared" ca="1" si="10"/>
        <v>13</v>
      </c>
      <c r="K94" s="30">
        <f t="shared" ca="1" si="11"/>
        <v>58.673893698893721</v>
      </c>
      <c r="L94" s="30">
        <f t="shared" ca="1" si="12"/>
        <v>391.32610630110628</v>
      </c>
      <c r="M94" s="31">
        <f t="shared" ca="1" si="13"/>
        <v>1.9491687515954057</v>
      </c>
      <c r="N94" s="32" t="str">
        <f t="shared" ca="1" si="14"/>
        <v>YES</v>
      </c>
      <c r="O94" s="39" t="s">
        <v>36</v>
      </c>
      <c r="P94" s="24">
        <v>7</v>
      </c>
      <c r="Q94" s="34"/>
      <c r="R94" s="24"/>
    </row>
    <row r="95" spans="1:18" ht="15" customHeight="1" x14ac:dyDescent="0.2">
      <c r="A95" s="24" t="s">
        <v>217</v>
      </c>
      <c r="B95" s="25" t="s">
        <v>218</v>
      </c>
      <c r="C95" s="3" t="s">
        <v>39</v>
      </c>
      <c r="D95" s="25" t="str">
        <f>IFERROR(VLOOKUP(B95,Client_List!$B:$K,4,0)&amp;", "&amp;VLOOKUP(B95,Client_List!$B:$K,5,0)&amp;" AZ","")</f>
        <v>4602 E Cactus Rd, Phoenix AZ</v>
      </c>
      <c r="E95" s="24" t="str">
        <f>IFERROR(VLOOKUP(B95,Client_List!$B:$K,7,0)&amp;", "&amp;VLOOKUP(B95,Client_List!$B:$K,8,0),"")</f>
        <v>33.5996701, -111.9823088</v>
      </c>
      <c r="F95" s="26">
        <f>IFERROR(VLOOKUP(B95,Client_List!$B:$K,9,0),"")</f>
        <v>630</v>
      </c>
      <c r="G95" s="27">
        <f>IFERROR(AVERAGEIFS(Delivery_Log!$I$4:$I$5000,Delivery_Log!$B$4:$B$5000,B95,Delivery_Log!$I$4:$I$5000,"&gt;"&amp;0),"")</f>
        <v>18.846031746031745</v>
      </c>
      <c r="H95" s="24" t="str">
        <f>IFERROR(VLOOKUP(B95,Client_List!$B:$K,10,0),"")</f>
        <v>CANOLA OIL</v>
      </c>
      <c r="I95" s="28">
        <f>IFERROR(_xlfn.MAXIFS(Delivery_Log!$A$4:$A$5000,Delivery_Log!$B$4:$B$5000,B95),"—")</f>
        <v>46105</v>
      </c>
      <c r="J95" s="29">
        <f t="shared" ca="1" si="10"/>
        <v>24</v>
      </c>
      <c r="K95" s="30">
        <f t="shared" ca="1" si="11"/>
        <v>177.6952380952381</v>
      </c>
      <c r="L95" s="30">
        <f t="shared" ca="1" si="12"/>
        <v>452.3047619047619</v>
      </c>
      <c r="M95" s="31">
        <f t="shared" ca="1" si="13"/>
        <v>9.4287880064010796</v>
      </c>
      <c r="N95" s="32" t="str">
        <f t="shared" ca="1" si="14"/>
        <v>—</v>
      </c>
      <c r="O95" s="39" t="s">
        <v>36</v>
      </c>
      <c r="P95" s="24">
        <v>4</v>
      </c>
      <c r="Q95" s="34"/>
      <c r="R95" s="24"/>
    </row>
    <row r="96" spans="1:18" ht="15" customHeight="1" x14ac:dyDescent="0.2">
      <c r="A96" s="24" t="s">
        <v>219</v>
      </c>
      <c r="B96" s="25" t="s">
        <v>220</v>
      </c>
      <c r="C96" s="3" t="s">
        <v>39</v>
      </c>
      <c r="D96" s="25" t="str">
        <f>IFERROR(VLOOKUP(B96,Client_List!$B:$K,4,0)&amp;", "&amp;VLOOKUP(B96,Client_List!$B:$K,5,0)&amp;" AZ","")</f>
        <v>37645 N Cave Creek Rd, Cave Creek AZ</v>
      </c>
      <c r="E96" s="24" t="str">
        <f>IFERROR(VLOOKUP(B96,Client_List!$B:$K,7,0)&amp;", "&amp;VLOOKUP(B96,Client_List!$B:$K,8,0),"")</f>
        <v>33.8279162, -111.9546909</v>
      </c>
      <c r="F96" s="26">
        <f>IFERROR(VLOOKUP(B96,Client_List!$B:$K,9,0),"")</f>
        <v>480</v>
      </c>
      <c r="G96" s="27">
        <f>IFERROR(AVERAGEIFS(Delivery_Log!$I$4:$I$5000,Delivery_Log!$B$4:$B$5000,B96,Delivery_Log!$I$4:$I$5000,"&gt;"&amp;0),"")</f>
        <v>25.688909238909236</v>
      </c>
      <c r="H96" s="24" t="str">
        <f>IFERROR(VLOOKUP(B96,Client_List!$B:$K,10,0),"")</f>
        <v>CANOLA OIL</v>
      </c>
      <c r="I96" s="28">
        <f>IFERROR(_xlfn.MAXIFS(Delivery_Log!$A$4:$A$5000,Delivery_Log!$B$4:$B$5000,B96),"—")</f>
        <v>46110</v>
      </c>
      <c r="J96" s="29">
        <f t="shared" ca="1" si="10"/>
        <v>19</v>
      </c>
      <c r="K96" s="30">
        <f t="shared" ca="1" si="11"/>
        <v>14.399999999999999</v>
      </c>
      <c r="L96" s="30">
        <f t="shared" ca="1" si="12"/>
        <v>465.6</v>
      </c>
      <c r="M96" s="31">
        <f t="shared" ca="1" si="13"/>
        <v>0.56055318916341146</v>
      </c>
      <c r="N96" s="32" t="str">
        <f t="shared" ca="1" si="14"/>
        <v>YES</v>
      </c>
      <c r="O96" s="39" t="s">
        <v>36</v>
      </c>
      <c r="P96" s="24">
        <v>7</v>
      </c>
      <c r="Q96" s="34"/>
      <c r="R96" s="24"/>
    </row>
    <row r="97" spans="1:18" ht="15" customHeight="1" x14ac:dyDescent="0.2">
      <c r="A97" s="44" t="s">
        <v>221</v>
      </c>
      <c r="B97" s="45" t="s">
        <v>222</v>
      </c>
      <c r="C97" s="3" t="s">
        <v>39</v>
      </c>
      <c r="D97" s="45" t="str">
        <f>IFERROR(VLOOKUP(B97,Client_List!$B:$K,4,0)&amp;", "&amp;VLOOKUP(B97,Client_List!$B:$K,5,0)&amp;" AZ","")</f>
        <v>1475 W Elliot Rd, Tempe AZ</v>
      </c>
      <c r="E97" s="44" t="str">
        <f>IFERROR(VLOOKUP(B97,Client_List!$B:$K,7,0)&amp;", "&amp;VLOOKUP(B97,Client_List!$B:$K,8,0),"")</f>
        <v>33.3486534, -111.9626165</v>
      </c>
      <c r="F97" s="46">
        <f>IFERROR(VLOOKUP(B97,Client_List!$B:$K,9,0),"")</f>
        <v>630</v>
      </c>
      <c r="G97" s="27">
        <f>IFERROR(AVERAGEIFS(Delivery_Log!$I$4:$I$5000,Delivery_Log!$B$4:$B$5000,B97,Delivery_Log!$I$4:$I$5000,"&gt;"&amp;0),"")</f>
        <v>32.760200501253138</v>
      </c>
      <c r="H97" s="44" t="str">
        <f>IFERROR(VLOOKUP(B97,Client_List!$B:$K,10,0),"")</f>
        <v>CANOLA OIL</v>
      </c>
      <c r="I97" s="28">
        <f>IFERROR(_xlfn.MAXIFS(Delivery_Log!$A$4:$A$5000,Delivery_Log!$B$4:$B$5000,B97),"—")</f>
        <v>46108</v>
      </c>
      <c r="J97" s="29">
        <f t="shared" ca="1" si="10"/>
        <v>21</v>
      </c>
      <c r="K97" s="30">
        <f t="shared" ca="1" si="11"/>
        <v>18.899999999999999</v>
      </c>
      <c r="L97" s="30">
        <f t="shared" ca="1" si="12"/>
        <v>611.1</v>
      </c>
      <c r="M97" s="31">
        <f t="shared" ca="1" si="13"/>
        <v>0.57691954599841477</v>
      </c>
      <c r="N97" s="38" t="str">
        <f t="shared" ca="1" si="14"/>
        <v>YES</v>
      </c>
      <c r="O97" s="39" t="s">
        <v>36</v>
      </c>
      <c r="P97" s="44">
        <v>6</v>
      </c>
      <c r="Q97" s="34"/>
      <c r="R97" s="44"/>
    </row>
    <row r="98" spans="1:18" ht="15" customHeight="1" x14ac:dyDescent="0.2">
      <c r="A98" s="40" t="s">
        <v>223</v>
      </c>
      <c r="B98" s="41" t="s">
        <v>224</v>
      </c>
      <c r="C98" s="11" t="s">
        <v>57</v>
      </c>
      <c r="D98" s="41" t="str">
        <f>IFERROR(VLOOKUP(B98,Client_List!$B:$K,4,0)&amp;", "&amp;VLOOKUP(B98,Client_List!$B:$K,5,0)&amp;" AZ","")</f>
        <v>328 N Gilbert Rd, Gilbert AZ</v>
      </c>
      <c r="E98" s="40" t="str">
        <f>IFERROR(VLOOKUP(B98,Client_List!$B:$K,7,0)&amp;", "&amp;VLOOKUP(B98,Client_List!$B:$K,8,0),"")</f>
        <v>33.3558556, -111.7899633</v>
      </c>
      <c r="F98" s="42">
        <f>IFERROR(VLOOKUP(B98,Client_List!$B:$K,9,0),"")</f>
        <v>450</v>
      </c>
      <c r="G98" s="27">
        <f>IFERROR(AVERAGEIFS(Delivery_Log!$I$4:$I$5000,Delivery_Log!$B$4:$B$5000,B98,Delivery_Log!$I$4:$I$5000,"&gt;"&amp;0),"")</f>
        <v>27.799071270433497</v>
      </c>
      <c r="H98" s="40" t="str">
        <f>IFERROR(VLOOKUP(B98,Client_List!$B:$K,10,0),"")</f>
        <v>CANOLA OIL</v>
      </c>
      <c r="I98" s="28">
        <f>IFERROR(_xlfn.MAXIFS(Delivery_Log!$A$4:$A$5000,Delivery_Log!$B$4:$B$5000,B98),"—")</f>
        <v>46119</v>
      </c>
      <c r="J98" s="29">
        <f t="shared" ca="1" si="10"/>
        <v>10</v>
      </c>
      <c r="K98" s="30">
        <f t="shared" ca="1" si="11"/>
        <v>172.00928729566505</v>
      </c>
      <c r="L98" s="30">
        <f t="shared" ca="1" si="12"/>
        <v>277.99071270433495</v>
      </c>
      <c r="M98" s="31">
        <f t="shared" ca="1" si="13"/>
        <v>6.1875911472844951</v>
      </c>
      <c r="N98" s="38" t="str">
        <f t="shared" ca="1" si="14"/>
        <v>YES</v>
      </c>
      <c r="O98" s="39" t="s">
        <v>36</v>
      </c>
      <c r="P98" s="40">
        <v>6</v>
      </c>
      <c r="Q98" s="34"/>
      <c r="R98" s="40"/>
    </row>
    <row r="99" spans="1:18" ht="15" customHeight="1" x14ac:dyDescent="0.2">
      <c r="A99" s="35" t="s">
        <v>225</v>
      </c>
      <c r="B99" s="36" t="s">
        <v>226</v>
      </c>
      <c r="C99" s="3" t="s">
        <v>39</v>
      </c>
      <c r="D99" s="36" t="str">
        <f>IFERROR(VLOOKUP(B99,Client_List!$B:$K,4,0)&amp;", "&amp;VLOOKUP(B99,Client_List!$B:$K,5,0)&amp;" AZ","")</f>
        <v>1960 W Germann Rd Ste 5 Bldg G, Chandler AZ</v>
      </c>
      <c r="E99" s="35" t="str">
        <f>IFERROR(VLOOKUP(B99,Client_List!$B:$K,7,0)&amp;", "&amp;VLOOKUP(B99,Client_List!$B:$K,8,0),"")</f>
        <v>33.2777465, -111.8756684</v>
      </c>
      <c r="F99" s="37">
        <f>IFERROR(VLOOKUP(B99,Client_List!$B:$K,9,0),"")</f>
        <v>660</v>
      </c>
      <c r="G99" s="27">
        <f>IFERROR(AVERAGEIFS(Delivery_Log!$I$4:$I$5000,Delivery_Log!$B$4:$B$5000,B99,Delivery_Log!$I$4:$I$5000,"&gt;"&amp;0),"")</f>
        <v>26.221969696969698</v>
      </c>
      <c r="H99" s="35" t="str">
        <f>IFERROR(VLOOKUP(B99,Client_List!$B:$K,10,0),"")</f>
        <v>CANOLA OIL</v>
      </c>
      <c r="I99" s="28">
        <f>IFERROR(_xlfn.MAXIFS(Delivery_Log!$A$4:$A$5000,Delivery_Log!$B$4:$B$5000,B99),"—")</f>
        <v>46126</v>
      </c>
      <c r="J99" s="29">
        <f t="shared" ca="1" si="10"/>
        <v>3</v>
      </c>
      <c r="K99" s="30">
        <f t="shared" ca="1" si="11"/>
        <v>581.33409090909095</v>
      </c>
      <c r="L99" s="30">
        <f t="shared" ca="1" si="12"/>
        <v>78.665909090909054</v>
      </c>
      <c r="M99" s="31">
        <f t="shared" ca="1" si="13"/>
        <v>21</v>
      </c>
      <c r="N99" s="38" t="str">
        <f t="shared" ca="1" si="14"/>
        <v>—</v>
      </c>
      <c r="O99" s="47" t="s">
        <v>88</v>
      </c>
      <c r="P99" s="35">
        <v>4</v>
      </c>
      <c r="Q99" s="34"/>
      <c r="R99" s="35"/>
    </row>
    <row r="100" spans="1:18" ht="15" customHeight="1" x14ac:dyDescent="0.2">
      <c r="A100" s="24" t="s">
        <v>227</v>
      </c>
      <c r="B100" s="25" t="s">
        <v>228</v>
      </c>
      <c r="C100" s="3" t="s">
        <v>39</v>
      </c>
      <c r="D100" s="25" t="str">
        <f>IFERROR(VLOOKUP(B100,Client_List!$B:$K,4,0)&amp;", "&amp;VLOOKUP(B100,Client_List!$B:$K,5,0)&amp;" AZ","")</f>
        <v>,  AZ</v>
      </c>
      <c r="E100" s="24" t="str">
        <f>IFERROR(VLOOKUP(B100,Client_List!$B:$K,7,0)&amp;", "&amp;VLOOKUP(B100,Client_List!$B:$K,8,0),"")</f>
        <v xml:space="preserve">, </v>
      </c>
      <c r="F100" s="26">
        <f>IFERROR(VLOOKUP(B100,Client_List!$B:$K,9,0),"")</f>
        <v>500</v>
      </c>
      <c r="G100" s="27" t="str">
        <f>IFERROR(AVERAGEIFS(Delivery_Log!$I$4:$I$5000,Delivery_Log!$B$4:$B$5000,B100,Delivery_Log!$I$4:$I$5000,"&gt;"&amp;0),"")</f>
        <v/>
      </c>
      <c r="H100" s="24" t="str">
        <f>IFERROR(VLOOKUP(B100,Client_List!$B:$K,10,0),"")</f>
        <v>CANOLA OIL</v>
      </c>
      <c r="I100" s="28">
        <f>IFERROR(_xlfn.MAXIFS(Delivery_Log!$A$4:$A$5000,Delivery_Log!$B$4:$B$5000,B100),"—")</f>
        <v>46087</v>
      </c>
      <c r="J100" s="29">
        <f t="shared" ca="1" si="10"/>
        <v>42</v>
      </c>
      <c r="K100" s="30" t="str">
        <f t="shared" ca="1" si="11"/>
        <v/>
      </c>
      <c r="L100" s="30" t="str">
        <f t="shared" ca="1" si="12"/>
        <v/>
      </c>
      <c r="M100" s="31" t="str">
        <f t="shared" ca="1" si="13"/>
        <v/>
      </c>
      <c r="N100" s="32" t="str">
        <f t="shared" ca="1" si="14"/>
        <v>—</v>
      </c>
      <c r="O100" s="33" t="s">
        <v>33</v>
      </c>
      <c r="P100" s="24">
        <v>1</v>
      </c>
      <c r="Q100" s="34"/>
      <c r="R100" s="24"/>
    </row>
    <row r="101" spans="1:18" ht="15" customHeight="1" x14ac:dyDescent="0.2">
      <c r="A101" s="40" t="s">
        <v>229</v>
      </c>
      <c r="B101" s="41" t="s">
        <v>230</v>
      </c>
      <c r="C101" s="13" t="s">
        <v>44</v>
      </c>
      <c r="D101" s="41" t="str">
        <f>IFERROR(VLOOKUP(B101,Client_List!$B:$K,4,0)&amp;", "&amp;VLOOKUP(B101,Client_List!$B:$K,5,0)&amp;" AZ","")</f>
        <v>15280 W Mcdowell Rd, Goodyear AZ</v>
      </c>
      <c r="E101" s="40" t="str">
        <f>IFERROR(VLOOKUP(B101,Client_List!$B:$K,7,0)&amp;", "&amp;VLOOKUP(B101,Client_List!$B:$K,8,0),"")</f>
        <v>33.4649405, -112.3879295</v>
      </c>
      <c r="F101" s="42">
        <f>IFERROR(VLOOKUP(B101,Client_List!$B:$K,9,0),"")</f>
        <v>660</v>
      </c>
      <c r="G101" s="27">
        <f>IFERROR(AVERAGEIFS(Delivery_Log!$I$4:$I$5000,Delivery_Log!$B$4:$B$5000,B101,Delivery_Log!$I$4:$I$5000,"&gt;"&amp;0),"")</f>
        <v>47.442590742590731</v>
      </c>
      <c r="H101" s="40" t="str">
        <f>IFERROR(VLOOKUP(B101,Client_List!$B:$K,10,0),"")</f>
        <v>CANOLA OIL</v>
      </c>
      <c r="I101" s="28">
        <f>IFERROR(_xlfn.MAXIFS(Delivery_Log!$A$4:$A$5000,Delivery_Log!$B$4:$B$5000,B101),"—")</f>
        <v>46121</v>
      </c>
      <c r="J101" s="29">
        <f t="shared" ca="1" si="10"/>
        <v>8</v>
      </c>
      <c r="K101" s="30">
        <f t="shared" ca="1" si="11"/>
        <v>280.45927405927415</v>
      </c>
      <c r="L101" s="30">
        <f t="shared" ca="1" si="12"/>
        <v>379.54072594072585</v>
      </c>
      <c r="M101" s="31">
        <f t="shared" ca="1" si="13"/>
        <v>5.9115505639428942</v>
      </c>
      <c r="N101" s="38" t="str">
        <f t="shared" ca="1" si="14"/>
        <v>YES</v>
      </c>
      <c r="O101" s="39" t="s">
        <v>36</v>
      </c>
      <c r="P101" s="40">
        <v>7</v>
      </c>
      <c r="Q101" s="34"/>
      <c r="R101" s="40"/>
    </row>
    <row r="102" spans="1:18" ht="15" customHeight="1" x14ac:dyDescent="0.2">
      <c r="A102" s="44" t="s">
        <v>231</v>
      </c>
      <c r="B102" s="45" t="s">
        <v>232</v>
      </c>
      <c r="C102" s="11" t="s">
        <v>57</v>
      </c>
      <c r="D102" s="45" t="str">
        <f>IFERROR(VLOOKUP(B102,Client_List!$B:$K,4,0)&amp;", "&amp;VLOOKUP(B102,Client_List!$B:$K,5,0)&amp;" AZ","")</f>
        <v>20677 E Maya Rd, Queen Creek AZ</v>
      </c>
      <c r="E102" s="44" t="str">
        <f>IFERROR(VLOOKUP(B102,Client_List!$B:$K,7,0)&amp;", "&amp;VLOOKUP(B102,Client_List!$B:$K,8,0),"")</f>
        <v>33.2536776, -111.6372362</v>
      </c>
      <c r="F102" s="46">
        <f>IFERROR(VLOOKUP(B102,Client_List!$B:$K,9,0),"")</f>
        <v>500</v>
      </c>
      <c r="G102" s="27">
        <f>IFERROR(AVERAGEIFS(Delivery_Log!$I$4:$I$5000,Delivery_Log!$B$4:$B$5000,B102,Delivery_Log!$I$4:$I$5000,"&gt;"&amp;0),"")</f>
        <v>40.640779220779223</v>
      </c>
      <c r="H102" s="44" t="str">
        <f>IFERROR(VLOOKUP(B102,Client_List!$B:$K,10,0),"")</f>
        <v>CANOLA OIL</v>
      </c>
      <c r="I102" s="28">
        <f>IFERROR(_xlfn.MAXIFS(Delivery_Log!$A$4:$A$5000,Delivery_Log!$B$4:$B$5000,B102),"—")</f>
        <v>46126</v>
      </c>
      <c r="J102" s="29">
        <f t="shared" ref="J102:J133" ca="1" si="15">IFERROR(IF(I102="—","",TODAY()-I102),"")</f>
        <v>3</v>
      </c>
      <c r="K102" s="30">
        <f t="shared" ref="K102:K133" ca="1" si="16">IFERROR(IF(OR(J102="",G102=""),"",MAX(F102*0.03,F102-J102*G102)),"")</f>
        <v>378.07766233766233</v>
      </c>
      <c r="L102" s="30">
        <f t="shared" ref="L102:L133" ca="1" si="17">IFERROR(IF(K102="","",F102-K102),"")</f>
        <v>121.92233766233767</v>
      </c>
      <c r="M102" s="31">
        <f t="shared" ref="M102:M133" ca="1" si="18">IFERROR(IF(OR(K102="",G102=""),"",MIN(21,MAX(0,(K102-F102*$B$2)/G102))),"")</f>
        <v>9.3029137134347817</v>
      </c>
      <c r="N102" s="38" t="str">
        <f t="shared" ref="N102:N133" ca="1" si="19">IFERROR(IF(M102="","—",IF(M102&lt;=$D$2,"YES","—")),"—")</f>
        <v>—</v>
      </c>
      <c r="O102" s="39" t="s">
        <v>36</v>
      </c>
      <c r="P102" s="44">
        <v>10</v>
      </c>
      <c r="Q102" s="34"/>
      <c r="R102" s="44"/>
    </row>
    <row r="103" spans="1:18" ht="15" customHeight="1" x14ac:dyDescent="0.2">
      <c r="A103" s="24" t="s">
        <v>233</v>
      </c>
      <c r="B103" s="25" t="s">
        <v>234</v>
      </c>
      <c r="C103" s="3" t="s">
        <v>39</v>
      </c>
      <c r="D103" s="25" t="str">
        <f>IFERROR(VLOOKUP(B103,Client_List!$B:$K,4,0)&amp;", "&amp;VLOOKUP(B103,Client_List!$B:$K,5,0)&amp;" AZ","")</f>
        <v>OREGANO MESA, Mesa AZ</v>
      </c>
      <c r="E103" s="24" t="str">
        <f>IFERROR(VLOOKUP(B103,Client_List!$B:$K,7,0)&amp;", "&amp;VLOOKUP(B103,Client_List!$B:$K,8,0),"")</f>
        <v>33.3939399, -111.8750816</v>
      </c>
      <c r="F103" s="26">
        <f>IFERROR(VLOOKUP(B103,Client_List!$B:$K,9,0),"")</f>
        <v>630</v>
      </c>
      <c r="G103" s="27">
        <f>IFERROR(AVERAGEIFS(Delivery_Log!$I$4:$I$5000,Delivery_Log!$B$4:$B$5000,B103,Delivery_Log!$I$4:$I$5000,"&gt;"&amp;0),"")</f>
        <v>23.393333333333334</v>
      </c>
      <c r="H103" s="24" t="str">
        <f>IFERROR(VLOOKUP(B103,Client_List!$B:$K,10,0),"")</f>
        <v>CANOLA OIL</v>
      </c>
      <c r="I103" s="28">
        <f>IFERROR(_xlfn.MAXIFS(Delivery_Log!$A$4:$A$5000,Delivery_Log!$B$4:$B$5000,B103),"—")</f>
        <v>46126</v>
      </c>
      <c r="J103" s="29">
        <f t="shared" ca="1" si="15"/>
        <v>3</v>
      </c>
      <c r="K103" s="30">
        <f t="shared" ca="1" si="16"/>
        <v>559.81999999999994</v>
      </c>
      <c r="L103" s="30">
        <f t="shared" ca="1" si="17"/>
        <v>70.180000000000064</v>
      </c>
      <c r="M103" s="31">
        <f t="shared" ca="1" si="18"/>
        <v>21</v>
      </c>
      <c r="N103" s="32" t="str">
        <f t="shared" ca="1" si="19"/>
        <v>—</v>
      </c>
      <c r="O103" s="43" t="s">
        <v>47</v>
      </c>
      <c r="P103" s="24">
        <v>5</v>
      </c>
      <c r="Q103" s="34"/>
      <c r="R103" s="24"/>
    </row>
    <row r="104" spans="1:18" ht="15" customHeight="1" x14ac:dyDescent="0.2">
      <c r="A104" s="40" t="s">
        <v>235</v>
      </c>
      <c r="B104" s="41" t="s">
        <v>236</v>
      </c>
      <c r="C104" s="11" t="s">
        <v>57</v>
      </c>
      <c r="D104" s="41" t="str">
        <f>IFERROR(VLOOKUP(B104,Client_List!$B:$K,4,0)&amp;", "&amp;VLOOKUP(B104,Client_List!$B:$K,5,0)&amp;" AZ","")</f>
        <v>6821 E Superstition Springs Blvd, Mesa AZ</v>
      </c>
      <c r="E104" s="40" t="str">
        <f>IFERROR(VLOOKUP(B104,Client_List!$B:$K,7,0)&amp;", "&amp;VLOOKUP(B104,Client_List!$B:$K,8,0),"")</f>
        <v>33.3832198, -111.6838148</v>
      </c>
      <c r="F104" s="42">
        <f>IFERROR(VLOOKUP(B104,Client_List!$B:$K,9,0),"")</f>
        <v>500</v>
      </c>
      <c r="G104" s="27">
        <f>IFERROR(AVERAGEIFS(Delivery_Log!$I$4:$I$5000,Delivery_Log!$B$4:$B$5000,B104,Delivery_Log!$I$4:$I$5000,"&gt;"&amp;0),"")</f>
        <v>30.566960470085469</v>
      </c>
      <c r="H104" s="40" t="str">
        <f>IFERROR(VLOOKUP(B104,Client_List!$B:$K,10,0),"")</f>
        <v>CANOLA OIL</v>
      </c>
      <c r="I104" s="28">
        <f>IFERROR(_xlfn.MAXIFS(Delivery_Log!$A$4:$A$5000,Delivery_Log!$B$4:$B$5000,B104),"—")</f>
        <v>46119</v>
      </c>
      <c r="J104" s="29">
        <f t="shared" ca="1" si="15"/>
        <v>10</v>
      </c>
      <c r="K104" s="30">
        <f t="shared" ca="1" si="16"/>
        <v>194.33039529914532</v>
      </c>
      <c r="L104" s="30">
        <f t="shared" ca="1" si="17"/>
        <v>305.66960470085468</v>
      </c>
      <c r="M104" s="31">
        <f t="shared" ca="1" si="18"/>
        <v>6.3575308866358462</v>
      </c>
      <c r="N104" s="38" t="str">
        <f t="shared" ca="1" si="19"/>
        <v>YES</v>
      </c>
      <c r="O104" s="39" t="s">
        <v>36</v>
      </c>
      <c r="P104" s="40">
        <v>7</v>
      </c>
      <c r="Q104" s="34"/>
      <c r="R104" s="40"/>
    </row>
    <row r="105" spans="1:18" ht="15" customHeight="1" x14ac:dyDescent="0.2">
      <c r="A105" s="24" t="s">
        <v>237</v>
      </c>
      <c r="B105" s="25" t="s">
        <v>238</v>
      </c>
      <c r="C105" s="3" t="s">
        <v>39</v>
      </c>
      <c r="D105" s="25" t="str">
        <f>IFERROR(VLOOKUP(B105,Client_List!$B:$K,4,0)&amp;", "&amp;VLOOKUP(B105,Client_List!$B:$K,5,0)&amp;" AZ","")</f>
        <v>3102 N Scottsdale Rd, Scottsdale AZ</v>
      </c>
      <c r="E105" s="24" t="str">
        <f>IFERROR(VLOOKUP(B105,Client_List!$B:$K,7,0)&amp;", "&amp;VLOOKUP(B105,Client_List!$B:$K,8,0),"")</f>
        <v>33.4832852, -111.9267136</v>
      </c>
      <c r="F105" s="26">
        <f>IFERROR(VLOOKUP(B105,Client_List!$B:$K,9,0),"")</f>
        <v>660</v>
      </c>
      <c r="G105" s="27">
        <f>IFERROR(AVERAGEIFS(Delivery_Log!$I$4:$I$5000,Delivery_Log!$B$4:$B$5000,B105,Delivery_Log!$I$4:$I$5000,"&gt;"&amp;0),"")</f>
        <v>36.831888944388943</v>
      </c>
      <c r="H105" s="24" t="str">
        <f>IFERROR(VLOOKUP(B105,Client_List!$B:$K,10,0),"")</f>
        <v>CANOLA OIL</v>
      </c>
      <c r="I105" s="28">
        <f>IFERROR(_xlfn.MAXIFS(Delivery_Log!$A$4:$A$5000,Delivery_Log!$B$4:$B$5000,B105),"—")</f>
        <v>46115</v>
      </c>
      <c r="J105" s="29">
        <f t="shared" ca="1" si="15"/>
        <v>14</v>
      </c>
      <c r="K105" s="30">
        <f t="shared" ca="1" si="16"/>
        <v>144.35355477855478</v>
      </c>
      <c r="L105" s="30">
        <f t="shared" ca="1" si="17"/>
        <v>515.64644522144522</v>
      </c>
      <c r="M105" s="31">
        <f t="shared" ca="1" si="18"/>
        <v>3.9192547250701337</v>
      </c>
      <c r="N105" s="32" t="str">
        <f t="shared" ca="1" si="19"/>
        <v>YES</v>
      </c>
      <c r="O105" s="43" t="s">
        <v>47</v>
      </c>
      <c r="P105" s="24">
        <v>7</v>
      </c>
      <c r="Q105" s="34"/>
      <c r="R105" s="24"/>
    </row>
    <row r="106" spans="1:18" ht="15" customHeight="1" x14ac:dyDescent="0.2">
      <c r="A106" s="35" t="s">
        <v>239</v>
      </c>
      <c r="B106" s="36" t="s">
        <v>240</v>
      </c>
      <c r="C106" s="11" t="s">
        <v>57</v>
      </c>
      <c r="D106" s="36" t="str">
        <f>IFERROR(VLOOKUP(B106,Client_List!$B:$K,4,0)&amp;", "&amp;VLOOKUP(B106,Client_List!$B:$K,5,0)&amp;" AZ","")</f>
        <v>2472 S Recker Rd, Gilbert AZ</v>
      </c>
      <c r="E106" s="35" t="str">
        <f>IFERROR(VLOOKUP(B106,Client_List!$B:$K,7,0)&amp;", "&amp;VLOOKUP(B106,Client_List!$B:$K,8,0),"")</f>
        <v>33.3061366, -111.7047128</v>
      </c>
      <c r="F106" s="37">
        <f>IFERROR(VLOOKUP(B106,Client_List!$B:$K,9,0),"")</f>
        <v>350</v>
      </c>
      <c r="G106" s="27">
        <f>IFERROR(AVERAGEIFS(Delivery_Log!$I$4:$I$5000,Delivery_Log!$B$4:$B$5000,B106,Delivery_Log!$I$4:$I$5000,"&gt;"&amp;0),"")</f>
        <v>28.298821394654727</v>
      </c>
      <c r="H106" s="35" t="str">
        <f>IFERROR(VLOOKUP(B106,Client_List!$B:$K,10,0),"")</f>
        <v>CANOLA OIL</v>
      </c>
      <c r="I106" s="28">
        <f>IFERROR(_xlfn.MAXIFS(Delivery_Log!$A$4:$A$5000,Delivery_Log!$B$4:$B$5000,B106),"—")</f>
        <v>46126</v>
      </c>
      <c r="J106" s="29">
        <f t="shared" ca="1" si="15"/>
        <v>3</v>
      </c>
      <c r="K106" s="30">
        <f t="shared" ca="1" si="16"/>
        <v>265.10353581603579</v>
      </c>
      <c r="L106" s="30">
        <f t="shared" ca="1" si="17"/>
        <v>84.896464183964213</v>
      </c>
      <c r="M106" s="31">
        <f t="shared" ca="1" si="18"/>
        <v>9.3680062543562439</v>
      </c>
      <c r="N106" s="38" t="str">
        <f t="shared" ca="1" si="19"/>
        <v>—</v>
      </c>
      <c r="O106" s="39" t="s">
        <v>36</v>
      </c>
      <c r="P106" s="35">
        <v>9</v>
      </c>
      <c r="Q106" s="34"/>
      <c r="R106" s="35"/>
    </row>
    <row r="107" spans="1:18" ht="15" customHeight="1" x14ac:dyDescent="0.2">
      <c r="A107" s="35" t="s">
        <v>241</v>
      </c>
      <c r="B107" s="36" t="s">
        <v>242</v>
      </c>
      <c r="C107" s="3" t="s">
        <v>39</v>
      </c>
      <c r="D107" s="36" t="str">
        <f>IFERROR(VLOOKUP(B107,Client_List!$B:$K,4,0)&amp;", "&amp;VLOOKUP(B107,Client_List!$B:$K,5,0)&amp;" AZ","")</f>
        <v>PETE'S 44TH ST, Phoenix AZ</v>
      </c>
      <c r="E107" s="35" t="str">
        <f>IFERROR(VLOOKUP(B107,Client_List!$B:$K,7,0)&amp;", "&amp;VLOOKUP(B107,Client_List!$B:$K,8,0),"")</f>
        <v>33.4957209, -111.9866128</v>
      </c>
      <c r="F107" s="37">
        <f>IFERROR(VLOOKUP(B107,Client_List!$B:$K,9,0),"")</f>
        <v>950</v>
      </c>
      <c r="G107" s="27">
        <f>IFERROR(AVERAGEIFS(Delivery_Log!$I$4:$I$5000,Delivery_Log!$B$4:$B$5000,B107,Delivery_Log!$I$4:$I$5000,"&gt;"&amp;0),"")</f>
        <v>75.44693861693861</v>
      </c>
      <c r="H107" s="35" t="str">
        <f>IFERROR(VLOOKUP(B107,Client_List!$B:$K,10,0),"")</f>
        <v>FRYERS CHOICE BLEND</v>
      </c>
      <c r="I107" s="28">
        <f>IFERROR(_xlfn.MAXIFS(Delivery_Log!$A$4:$A$5000,Delivery_Log!$B$4:$B$5000,B107),"—")</f>
        <v>46122</v>
      </c>
      <c r="J107" s="29">
        <f t="shared" ca="1" si="15"/>
        <v>7</v>
      </c>
      <c r="K107" s="30">
        <f t="shared" ca="1" si="16"/>
        <v>421.87142968142973</v>
      </c>
      <c r="L107" s="30">
        <f t="shared" ca="1" si="17"/>
        <v>528.12857031857027</v>
      </c>
      <c r="M107" s="31">
        <f t="shared" ca="1" si="18"/>
        <v>5.5916308522916696</v>
      </c>
      <c r="N107" s="38" t="str">
        <f t="shared" ca="1" si="19"/>
        <v>YES</v>
      </c>
      <c r="O107" s="39" t="s">
        <v>36</v>
      </c>
      <c r="P107" s="35">
        <v>10</v>
      </c>
      <c r="Q107" s="34"/>
      <c r="R107" s="35"/>
    </row>
    <row r="108" spans="1:18" ht="15" customHeight="1" x14ac:dyDescent="0.2">
      <c r="A108" s="35" t="s">
        <v>243</v>
      </c>
      <c r="B108" s="36" t="s">
        <v>244</v>
      </c>
      <c r="C108" s="3" t="s">
        <v>39</v>
      </c>
      <c r="D108" s="36" t="str">
        <f>IFERROR(VLOOKUP(B108,Client_List!$B:$K,4,0)&amp;", "&amp;VLOOKUP(B108,Client_List!$B:$K,5,0)&amp;" AZ","")</f>
        <v>1017 E Apache Blvd, Tempe AZ</v>
      </c>
      <c r="E108" s="35" t="str">
        <f>IFERROR(VLOOKUP(B108,Client_List!$B:$K,7,0)&amp;", "&amp;VLOOKUP(B108,Client_List!$B:$K,8,0),"")</f>
        <v>33.4144315, -111.9237294</v>
      </c>
      <c r="F108" s="37">
        <f>IFERROR(VLOOKUP(B108,Client_List!$B:$K,9,0),"")</f>
        <v>950</v>
      </c>
      <c r="G108" s="27">
        <f>IFERROR(AVERAGEIFS(Delivery_Log!$I$4:$I$5000,Delivery_Log!$B$4:$B$5000,B108,Delivery_Log!$I$4:$I$5000,"&gt;"&amp;0),"")</f>
        <v>53.389423076923073</v>
      </c>
      <c r="H108" s="35" t="str">
        <f>IFERROR(VLOOKUP(B108,Client_List!$B:$K,10,0),"")</f>
        <v>FRYERS CHOICE BLEND</v>
      </c>
      <c r="I108" s="28">
        <f>IFERROR(_xlfn.MAXIFS(Delivery_Log!$A$4:$A$5000,Delivery_Log!$B$4:$B$5000,B108),"—")</f>
        <v>46116</v>
      </c>
      <c r="J108" s="29">
        <f t="shared" ca="1" si="15"/>
        <v>13</v>
      </c>
      <c r="K108" s="30">
        <f t="shared" ca="1" si="16"/>
        <v>255.9375</v>
      </c>
      <c r="L108" s="30">
        <f t="shared" ca="1" si="17"/>
        <v>694.0625</v>
      </c>
      <c r="M108" s="31">
        <f t="shared" ca="1" si="18"/>
        <v>4.7937865826204415</v>
      </c>
      <c r="N108" s="38" t="str">
        <f t="shared" ca="1" si="19"/>
        <v>YES</v>
      </c>
      <c r="O108" s="39" t="s">
        <v>36</v>
      </c>
      <c r="P108" s="35">
        <v>8</v>
      </c>
      <c r="Q108" s="34"/>
      <c r="R108" s="35"/>
    </row>
    <row r="109" spans="1:18" ht="15" customHeight="1" x14ac:dyDescent="0.2">
      <c r="A109" s="44" t="s">
        <v>245</v>
      </c>
      <c r="B109" s="45" t="s">
        <v>246</v>
      </c>
      <c r="C109" s="8" t="s">
        <v>52</v>
      </c>
      <c r="D109" s="45" t="str">
        <f>IFERROR(VLOOKUP(B109,Client_List!$B:$K,4,0)&amp;", "&amp;VLOOKUP(B109,Client_List!$B:$K,5,0)&amp;" AZ","")</f>
        <v>PETE'S BUCKEYE, Phoenix AZ</v>
      </c>
      <c r="E109" s="44" t="str">
        <f>IFERROR(VLOOKUP(B109,Client_List!$B:$K,7,0)&amp;", "&amp;VLOOKUP(B109,Client_List!$B:$K,8,0),"")</f>
        <v>33.4364984, -112.0584386</v>
      </c>
      <c r="F109" s="46">
        <f>IFERROR(VLOOKUP(B109,Client_List!$B:$K,9,0),"")</f>
        <v>950</v>
      </c>
      <c r="G109" s="27">
        <f>IFERROR(AVERAGEIFS(Delivery_Log!$I$4:$I$5000,Delivery_Log!$B$4:$B$5000,B109,Delivery_Log!$I$4:$I$5000,"&gt;"&amp;0),"")</f>
        <v>73.635489510489521</v>
      </c>
      <c r="H109" s="44" t="str">
        <f>IFERROR(VLOOKUP(B109,Client_List!$B:$K,10,0),"")</f>
        <v>FRYERS CHOICE BLEND</v>
      </c>
      <c r="I109" s="28">
        <f>IFERROR(_xlfn.MAXIFS(Delivery_Log!$A$4:$A$5000,Delivery_Log!$B$4:$B$5000,B109),"—")</f>
        <v>46122</v>
      </c>
      <c r="J109" s="29">
        <f t="shared" ca="1" si="15"/>
        <v>7</v>
      </c>
      <c r="K109" s="30">
        <f t="shared" ca="1" si="16"/>
        <v>434.55157342657333</v>
      </c>
      <c r="L109" s="30">
        <f t="shared" ca="1" si="17"/>
        <v>515.44842657342667</v>
      </c>
      <c r="M109" s="31">
        <f t="shared" ca="1" si="18"/>
        <v>5.9013877182777552</v>
      </c>
      <c r="N109" s="38" t="str">
        <f t="shared" ca="1" si="19"/>
        <v>YES</v>
      </c>
      <c r="O109" s="39" t="s">
        <v>36</v>
      </c>
      <c r="P109" s="44">
        <v>10</v>
      </c>
      <c r="Q109" s="34"/>
      <c r="R109" s="44"/>
    </row>
    <row r="110" spans="1:18" ht="15" customHeight="1" x14ac:dyDescent="0.2">
      <c r="A110" s="44" t="s">
        <v>247</v>
      </c>
      <c r="B110" s="45" t="s">
        <v>248</v>
      </c>
      <c r="C110" s="8" t="s">
        <v>52</v>
      </c>
      <c r="D110" s="45" t="str">
        <f>IFERROR(VLOOKUP(B110,Client_List!$B:$K,4,0)&amp;", "&amp;VLOOKUP(B110,Client_List!$B:$K,5,0)&amp;" AZ","")</f>
        <v>PETE'S CENTRAL, Phoenix AZ</v>
      </c>
      <c r="E110" s="44" t="str">
        <f>IFERROR(VLOOKUP(B110,Client_List!$B:$K,7,0)&amp;", "&amp;VLOOKUP(B110,Client_List!$B:$K,8,0),"")</f>
        <v>33.4108063, -112.073633</v>
      </c>
      <c r="F110" s="46">
        <f>IFERROR(VLOOKUP(B110,Client_List!$B:$K,9,0),"")</f>
        <v>950</v>
      </c>
      <c r="G110" s="27">
        <f>IFERROR(AVERAGEIFS(Delivery_Log!$I$4:$I$5000,Delivery_Log!$B$4:$B$5000,B110,Delivery_Log!$I$4:$I$5000,"&gt;"&amp;0),"")</f>
        <v>68.778409090909093</v>
      </c>
      <c r="H110" s="44" t="str">
        <f>IFERROR(VLOOKUP(B110,Client_List!$B:$K,10,0),"")</f>
        <v>FRYERS CHOICE BLEND</v>
      </c>
      <c r="I110" s="28">
        <f>IFERROR(_xlfn.MAXIFS(Delivery_Log!$A$4:$A$5000,Delivery_Log!$B$4:$B$5000,B110),"—")</f>
        <v>46123</v>
      </c>
      <c r="J110" s="29">
        <f t="shared" ca="1" si="15"/>
        <v>6</v>
      </c>
      <c r="K110" s="30">
        <f t="shared" ca="1" si="16"/>
        <v>537.3295454545455</v>
      </c>
      <c r="L110" s="30">
        <f t="shared" ca="1" si="17"/>
        <v>412.6704545454545</v>
      </c>
      <c r="M110" s="31">
        <f t="shared" ca="1" si="18"/>
        <v>7.8124741842213963</v>
      </c>
      <c r="N110" s="38" t="str">
        <f t="shared" ca="1" si="19"/>
        <v>—</v>
      </c>
      <c r="O110" s="39" t="s">
        <v>36</v>
      </c>
      <c r="P110" s="44">
        <v>8</v>
      </c>
      <c r="Q110" s="34"/>
      <c r="R110" s="44"/>
    </row>
    <row r="111" spans="1:18" ht="15" customHeight="1" x14ac:dyDescent="0.2">
      <c r="A111" s="35" t="s">
        <v>249</v>
      </c>
      <c r="B111" s="36" t="s">
        <v>250</v>
      </c>
      <c r="C111" s="12" t="s">
        <v>32</v>
      </c>
      <c r="D111" s="36" t="str">
        <f>IFERROR(VLOOKUP(B111,Client_List!$B:$K,4,0)&amp;", "&amp;VLOOKUP(B111,Client_List!$B:$K,5,0)&amp;" AZ","")</f>
        <v>5516 W Glendale Ave, Glendale AZ</v>
      </c>
      <c r="E111" s="35" t="str">
        <f>IFERROR(VLOOKUP(B111,Client_List!$B:$K,7,0)&amp;", "&amp;VLOOKUP(B111,Client_List!$B:$K,8,0),"")</f>
        <v>33.5387591, -112.1783937</v>
      </c>
      <c r="F111" s="37">
        <f>IFERROR(VLOOKUP(B111,Client_List!$B:$K,9,0),"")</f>
        <v>950</v>
      </c>
      <c r="G111" s="27">
        <f>IFERROR(AVERAGEIFS(Delivery_Log!$I$4:$I$5000,Delivery_Log!$B$4:$B$5000,B111,Delivery_Log!$I$4:$I$5000,"&gt;"&amp;0),"")</f>
        <v>118.46938775510203</v>
      </c>
      <c r="H111" s="35" t="str">
        <f>IFERROR(VLOOKUP(B111,Client_List!$B:$K,10,0),"")</f>
        <v>FRYERS CHOICE BLEND</v>
      </c>
      <c r="I111" s="28">
        <f>IFERROR(_xlfn.MAXIFS(Delivery_Log!$A$4:$A$5000,Delivery_Log!$B$4:$B$5000,B111),"—")</f>
        <v>46121</v>
      </c>
      <c r="J111" s="29">
        <f t="shared" ca="1" si="15"/>
        <v>8</v>
      </c>
      <c r="K111" s="30">
        <f t="shared" ca="1" si="16"/>
        <v>28.5</v>
      </c>
      <c r="L111" s="30">
        <f t="shared" ca="1" si="17"/>
        <v>921.5</v>
      </c>
      <c r="M111" s="31">
        <f t="shared" ca="1" si="18"/>
        <v>0.2405684754521964</v>
      </c>
      <c r="N111" s="38" t="str">
        <f t="shared" ca="1" si="19"/>
        <v>YES</v>
      </c>
      <c r="O111" s="39" t="s">
        <v>36</v>
      </c>
      <c r="P111" s="35">
        <v>14</v>
      </c>
      <c r="Q111" s="34"/>
      <c r="R111" s="35"/>
    </row>
    <row r="112" spans="1:18" ht="15" customHeight="1" x14ac:dyDescent="0.2">
      <c r="A112" s="44" t="s">
        <v>251</v>
      </c>
      <c r="B112" s="45" t="s">
        <v>252</v>
      </c>
      <c r="C112" s="3" t="s">
        <v>39</v>
      </c>
      <c r="D112" s="45" t="str">
        <f>IFERROR(VLOOKUP(B112,Client_List!$B:$K,4,0)&amp;", "&amp;VLOOKUP(B112,Client_List!$B:$K,5,0)&amp;" AZ","")</f>
        <v>22 S Mesa Dr, Mesa AZ</v>
      </c>
      <c r="E112" s="44" t="str">
        <f>IFERROR(VLOOKUP(B112,Client_List!$B:$K,7,0)&amp;", "&amp;VLOOKUP(B112,Client_List!$B:$K,8,0),"")</f>
        <v>33.4144184, -111.8233194</v>
      </c>
      <c r="F112" s="46">
        <f>IFERROR(VLOOKUP(B112,Client_List!$B:$K,9,0),"")</f>
        <v>1950</v>
      </c>
      <c r="G112" s="27">
        <f>IFERROR(AVERAGEIFS(Delivery_Log!$I$4:$I$5000,Delivery_Log!$B$4:$B$5000,B112,Delivery_Log!$I$4:$I$5000,"&gt;"&amp;0),"")</f>
        <v>216.13911335578001</v>
      </c>
      <c r="H112" s="44" t="str">
        <f>IFERROR(VLOOKUP(B112,Client_List!$B:$K,10,0),"")</f>
        <v>FRYERS CHOICE BLEND</v>
      </c>
      <c r="I112" s="28">
        <f>IFERROR(_xlfn.MAXIFS(Delivery_Log!$A$4:$A$5000,Delivery_Log!$B$4:$B$5000,B112),"—")</f>
        <v>46122</v>
      </c>
      <c r="J112" s="29">
        <f t="shared" ca="1" si="15"/>
        <v>7</v>
      </c>
      <c r="K112" s="30">
        <f t="shared" ca="1" si="16"/>
        <v>437.02620650953986</v>
      </c>
      <c r="L112" s="30">
        <f t="shared" ca="1" si="17"/>
        <v>1512.9737934904601</v>
      </c>
      <c r="M112" s="31">
        <f t="shared" ca="1" si="18"/>
        <v>2.0219672400995017</v>
      </c>
      <c r="N112" s="38" t="str">
        <f t="shared" ca="1" si="19"/>
        <v>YES</v>
      </c>
      <c r="O112" s="39" t="s">
        <v>36</v>
      </c>
      <c r="P112" s="44">
        <v>9</v>
      </c>
      <c r="Q112" s="34"/>
      <c r="R112" s="44"/>
    </row>
    <row r="113" spans="1:18" ht="15" customHeight="1" x14ac:dyDescent="0.2">
      <c r="A113" s="44" t="s">
        <v>253</v>
      </c>
      <c r="B113" s="45" t="s">
        <v>254</v>
      </c>
      <c r="C113" s="12" t="s">
        <v>32</v>
      </c>
      <c r="D113" s="45" t="str">
        <f>IFERROR(VLOOKUP(B113,Client_List!$B:$K,4,0)&amp;", "&amp;VLOOKUP(B113,Client_List!$B:$K,5,0)&amp;" AZ","")</f>
        <v>9309 W Van Buren St, Tolleson AZ</v>
      </c>
      <c r="E113" s="44" t="str">
        <f>IFERROR(VLOOKUP(B113,Client_List!$B:$K,7,0)&amp;", "&amp;VLOOKUP(B113,Client_List!$B:$K,8,0),"")</f>
        <v>33.4500619, -112.2603308</v>
      </c>
      <c r="F113" s="46">
        <f>IFERROR(VLOOKUP(B113,Client_List!$B:$K,9,0),"")</f>
        <v>1950</v>
      </c>
      <c r="G113" s="27">
        <f>IFERROR(AVERAGEIFS(Delivery_Log!$I$4:$I$5000,Delivery_Log!$B$4:$B$5000,B113,Delivery_Log!$I$4:$I$5000,"&gt;"&amp;0),"")</f>
        <v>153.24772727272725</v>
      </c>
      <c r="H113" s="44" t="str">
        <f>IFERROR(VLOOKUP(B113,Client_List!$B:$K,10,0),"")</f>
        <v>FRYERS CHOICE BLEND</v>
      </c>
      <c r="I113" s="28">
        <f>IFERROR(_xlfn.MAXIFS(Delivery_Log!$A$4:$A$5000,Delivery_Log!$B$4:$B$5000,B113),"—")</f>
        <v>46122</v>
      </c>
      <c r="J113" s="29">
        <f t="shared" ca="1" si="15"/>
        <v>7</v>
      </c>
      <c r="K113" s="30">
        <f t="shared" ca="1" si="16"/>
        <v>877.26590909090919</v>
      </c>
      <c r="L113" s="30">
        <f t="shared" ca="1" si="17"/>
        <v>1072.7340909090908</v>
      </c>
      <c r="M113" s="31">
        <f t="shared" ca="1" si="18"/>
        <v>5.7244953951563886</v>
      </c>
      <c r="N113" s="38" t="str">
        <f t="shared" ca="1" si="19"/>
        <v>YES</v>
      </c>
      <c r="O113" s="39" t="s">
        <v>36</v>
      </c>
      <c r="P113" s="44">
        <v>10</v>
      </c>
      <c r="Q113" s="34"/>
      <c r="R113" s="44"/>
    </row>
    <row r="114" spans="1:18" ht="15" customHeight="1" x14ac:dyDescent="0.2">
      <c r="A114" s="35" t="s">
        <v>255</v>
      </c>
      <c r="B114" s="36" t="s">
        <v>256</v>
      </c>
      <c r="C114" s="8" t="s">
        <v>52</v>
      </c>
      <c r="D114" s="36" t="str">
        <f>IFERROR(VLOOKUP(B114,Client_List!$B:$K,4,0)&amp;", "&amp;VLOOKUP(B114,Client_List!$B:$K,5,0)&amp;" AZ","")</f>
        <v>PETE'S 26TH, Phoenix AZ</v>
      </c>
      <c r="E114" s="35" t="str">
        <f>IFERROR(VLOOKUP(B114,Client_List!$B:$K,7,0)&amp;", "&amp;VLOOKUP(B114,Client_List!$B:$K,8,0),"")</f>
        <v>33.4513748, -112.1165443</v>
      </c>
      <c r="F114" s="37">
        <f>IFERROR(VLOOKUP(B114,Client_List!$B:$K,9,0),"")</f>
        <v>950</v>
      </c>
      <c r="G114" s="27">
        <f>IFERROR(AVERAGEIFS(Delivery_Log!$I$4:$I$5000,Delivery_Log!$B$4:$B$5000,B114,Delivery_Log!$I$4:$I$5000,"&gt;"&amp;0),"")</f>
        <v>99.119200244200229</v>
      </c>
      <c r="H114" s="35" t="str">
        <f>IFERROR(VLOOKUP(B114,Client_List!$B:$K,10,0),"")</f>
        <v>FRYERS CHOICE BLEND</v>
      </c>
      <c r="I114" s="28">
        <f>IFERROR(_xlfn.MAXIFS(Delivery_Log!$A$4:$A$5000,Delivery_Log!$B$4:$B$5000,B114),"—")</f>
        <v>46119</v>
      </c>
      <c r="J114" s="29">
        <f t="shared" ca="1" si="15"/>
        <v>10</v>
      </c>
      <c r="K114" s="30">
        <f t="shared" ca="1" si="16"/>
        <v>28.5</v>
      </c>
      <c r="L114" s="30">
        <f t="shared" ca="1" si="17"/>
        <v>921.5</v>
      </c>
      <c r="M114" s="31">
        <f t="shared" ca="1" si="18"/>
        <v>0.28753258631813489</v>
      </c>
      <c r="N114" s="38" t="str">
        <f t="shared" ca="1" si="19"/>
        <v>YES</v>
      </c>
      <c r="O114" s="39" t="s">
        <v>36</v>
      </c>
      <c r="P114" s="35">
        <v>13</v>
      </c>
      <c r="Q114" s="34"/>
      <c r="R114" s="35"/>
    </row>
    <row r="115" spans="1:18" ht="15" customHeight="1" x14ac:dyDescent="0.2">
      <c r="A115" s="35" t="s">
        <v>257</v>
      </c>
      <c r="B115" s="36" t="s">
        <v>258</v>
      </c>
      <c r="C115" s="3" t="s">
        <v>39</v>
      </c>
      <c r="D115" s="36" t="str">
        <f>IFERROR(VLOOKUP(B115,Client_List!$B:$K,4,0)&amp;", "&amp;VLOOKUP(B115,Client_List!$B:$K,5,0)&amp;" AZ","")</f>
        <v>200 S Arizona Ave, Chandler AZ</v>
      </c>
      <c r="E115" s="35" t="str">
        <f>IFERROR(VLOOKUP(B115,Client_List!$B:$K,7,0)&amp;", "&amp;VLOOKUP(B115,Client_List!$B:$K,8,0),"")</f>
        <v>33.3004503, -111.841744</v>
      </c>
      <c r="F115" s="37">
        <f>IFERROR(VLOOKUP(B115,Client_List!$B:$K,9,0),"")</f>
        <v>950</v>
      </c>
      <c r="G115" s="27">
        <f>IFERROR(AVERAGEIFS(Delivery_Log!$I$4:$I$5000,Delivery_Log!$B$4:$B$5000,B115,Delivery_Log!$I$4:$I$5000,"&gt;"&amp;0),"")</f>
        <v>48.728645197395196</v>
      </c>
      <c r="H115" s="35" t="str">
        <f>IFERROR(VLOOKUP(B115,Client_List!$B:$K,10,0),"")</f>
        <v>FRYERS CHOICE BLEND</v>
      </c>
      <c r="I115" s="28">
        <f>IFERROR(_xlfn.MAXIFS(Delivery_Log!$A$4:$A$5000,Delivery_Log!$B$4:$B$5000,B115),"—")</f>
        <v>46119</v>
      </c>
      <c r="J115" s="29">
        <f t="shared" ca="1" si="15"/>
        <v>10</v>
      </c>
      <c r="K115" s="30">
        <f t="shared" ca="1" si="16"/>
        <v>462.71354802604804</v>
      </c>
      <c r="L115" s="30">
        <f t="shared" ca="1" si="17"/>
        <v>487.28645197395196</v>
      </c>
      <c r="M115" s="31">
        <f t="shared" ca="1" si="18"/>
        <v>9.4957195331747606</v>
      </c>
      <c r="N115" s="38" t="str">
        <f t="shared" ca="1" si="19"/>
        <v>—</v>
      </c>
      <c r="O115" s="39" t="s">
        <v>36</v>
      </c>
      <c r="P115" s="35">
        <v>6</v>
      </c>
      <c r="Q115" s="34"/>
      <c r="R115" s="35"/>
    </row>
    <row r="116" spans="1:18" ht="15" customHeight="1" x14ac:dyDescent="0.2">
      <c r="A116" s="24" t="s">
        <v>259</v>
      </c>
      <c r="B116" s="25" t="s">
        <v>260</v>
      </c>
      <c r="C116" s="11" t="s">
        <v>57</v>
      </c>
      <c r="D116" s="25" t="str">
        <f>IFERROR(VLOOKUP(B116,Client_List!$B:$K,4,0)&amp;", "&amp;VLOOKUP(B116,Client_List!$B:$K,5,0)&amp;" AZ","")</f>
        <v>PIRATES MESA, Mesa AZ</v>
      </c>
      <c r="E116" s="24" t="str">
        <f>IFERROR(VLOOKUP(B116,Client_List!$B:$K,7,0)&amp;", "&amp;VLOOKUP(B116,Client_List!$B:$K,8,0),"")</f>
        <v>33.4237382, -111.7705505</v>
      </c>
      <c r="F116" s="26">
        <f>IFERROR(VLOOKUP(B116,Client_List!$B:$K,9,0),"")</f>
        <v>950</v>
      </c>
      <c r="G116" s="27">
        <f>IFERROR(AVERAGEIFS(Delivery_Log!$I$4:$I$5000,Delivery_Log!$B$4:$B$5000,B116,Delivery_Log!$I$4:$I$5000,"&gt;"&amp;0),"")</f>
        <v>36.202657004830918</v>
      </c>
      <c r="H116" s="24" t="str">
        <f>IFERROR(VLOOKUP(B116,Client_List!$B:$K,10,0),"")</f>
        <v>FRYERS CHOICE BLEND</v>
      </c>
      <c r="I116" s="28">
        <f>IFERROR(_xlfn.MAXIFS(Delivery_Log!$A$4:$A$5000,Delivery_Log!$B$4:$B$5000,B116),"—")</f>
        <v>46113</v>
      </c>
      <c r="J116" s="29">
        <f t="shared" ca="1" si="15"/>
        <v>16</v>
      </c>
      <c r="K116" s="30">
        <f t="shared" ca="1" si="16"/>
        <v>370.75748792270531</v>
      </c>
      <c r="L116" s="30">
        <f t="shared" ca="1" si="17"/>
        <v>579.24251207729469</v>
      </c>
      <c r="M116" s="31">
        <f t="shared" ca="1" si="18"/>
        <v>10.241167875419505</v>
      </c>
      <c r="N116" s="32" t="str">
        <f t="shared" ca="1" si="19"/>
        <v>—</v>
      </c>
      <c r="O116" s="43" t="s">
        <v>47</v>
      </c>
      <c r="P116" s="24">
        <v>5</v>
      </c>
      <c r="Q116" s="34"/>
      <c r="R116" s="24"/>
    </row>
    <row r="117" spans="1:18" ht="15" customHeight="1" x14ac:dyDescent="0.2">
      <c r="A117" s="40" t="s">
        <v>261</v>
      </c>
      <c r="B117" s="41" t="s">
        <v>262</v>
      </c>
      <c r="C117" s="12" t="s">
        <v>32</v>
      </c>
      <c r="D117" s="41" t="str">
        <f>IFERROR(VLOOKUP(B117,Client_List!$B:$K,4,0)&amp;", "&amp;VLOOKUP(B117,Client_List!$B:$K,5,0)&amp;" AZ","")</f>
        <v>17037 N 59Th Ave, Glendale AZ</v>
      </c>
      <c r="E117" s="40" t="str">
        <f>IFERROR(VLOOKUP(B117,Client_List!$B:$K,7,0)&amp;", "&amp;VLOOKUP(B117,Client_List!$B:$K,8,0),"")</f>
        <v>33.639794, -112.1860267</v>
      </c>
      <c r="F117" s="42">
        <f>IFERROR(VLOOKUP(B117,Client_List!$B:$K,9,0),"")</f>
        <v>1950</v>
      </c>
      <c r="G117" s="27">
        <f>IFERROR(AVERAGEIFS(Delivery_Log!$I$4:$I$5000,Delivery_Log!$B$4:$B$5000,B117,Delivery_Log!$I$4:$I$5000,"&gt;"&amp;0),"")</f>
        <v>161.82222222222222</v>
      </c>
      <c r="H117" s="40" t="str">
        <f>IFERROR(VLOOKUP(B117,Client_List!$B:$K,10,0),"")</f>
        <v>CANOLA OIL</v>
      </c>
      <c r="I117" s="28">
        <f>IFERROR(_xlfn.MAXIFS(Delivery_Log!$A$4:$A$5000,Delivery_Log!$B$4:$B$5000,B117),"—")</f>
        <v>46120</v>
      </c>
      <c r="J117" s="29">
        <f t="shared" ca="1" si="15"/>
        <v>9</v>
      </c>
      <c r="K117" s="30">
        <f t="shared" ca="1" si="16"/>
        <v>493.59999999999991</v>
      </c>
      <c r="L117" s="30">
        <f t="shared" ca="1" si="17"/>
        <v>1456.4</v>
      </c>
      <c r="M117" s="31">
        <f t="shared" ca="1" si="18"/>
        <v>3.0502609173304029</v>
      </c>
      <c r="N117" s="38" t="str">
        <f t="shared" ca="1" si="19"/>
        <v>YES</v>
      </c>
      <c r="O117" s="39" t="s">
        <v>36</v>
      </c>
      <c r="P117" s="40">
        <v>10</v>
      </c>
      <c r="Q117" s="34"/>
      <c r="R117" s="40"/>
    </row>
    <row r="118" spans="1:18" ht="15" customHeight="1" x14ac:dyDescent="0.2">
      <c r="A118" s="44" t="s">
        <v>263</v>
      </c>
      <c r="B118" s="45" t="s">
        <v>264</v>
      </c>
      <c r="C118" s="12" t="s">
        <v>32</v>
      </c>
      <c r="D118" s="45" t="str">
        <f>IFERROR(VLOOKUP(B118,Client_List!$B:$K,4,0)&amp;", "&amp;VLOOKUP(B118,Client_List!$B:$K,5,0)&amp;" AZ","")</f>
        <v>6542 W Indian School Rd, Phoenix AZ</v>
      </c>
      <c r="E118" s="44" t="str">
        <f>IFERROR(VLOOKUP(B118,Client_List!$B:$K,7,0)&amp;", "&amp;VLOOKUP(B118,Client_List!$B:$K,8,0),"")</f>
        <v>33.4952768, -112.2021224</v>
      </c>
      <c r="F118" s="46">
        <f>IFERROR(VLOOKUP(B118,Client_List!$B:$K,9,0),"")</f>
        <v>1950</v>
      </c>
      <c r="G118" s="27">
        <f>IFERROR(AVERAGEIFS(Delivery_Log!$I$4:$I$5000,Delivery_Log!$B$4:$B$5000,B118,Delivery_Log!$I$4:$I$5000,"&gt;"&amp;0),"")</f>
        <v>103.73609723609725</v>
      </c>
      <c r="H118" s="44" t="str">
        <f>IFERROR(VLOOKUP(B118,Client_List!$B:$K,10,0),"")</f>
        <v>FRYERS CHOICE BLEND</v>
      </c>
      <c r="I118" s="28">
        <f>IFERROR(_xlfn.MAXIFS(Delivery_Log!$A$4:$A$5000,Delivery_Log!$B$4:$B$5000,B118),"—")</f>
        <v>46109</v>
      </c>
      <c r="J118" s="29">
        <f t="shared" ca="1" si="15"/>
        <v>20</v>
      </c>
      <c r="K118" s="30">
        <f t="shared" ca="1" si="16"/>
        <v>58.5</v>
      </c>
      <c r="L118" s="30">
        <f t="shared" ca="1" si="17"/>
        <v>1891.5</v>
      </c>
      <c r="M118" s="31">
        <f t="shared" ca="1" si="18"/>
        <v>0.56393098987382806</v>
      </c>
      <c r="N118" s="38" t="str">
        <f t="shared" ca="1" si="19"/>
        <v>YES</v>
      </c>
      <c r="O118" s="43" t="s">
        <v>47</v>
      </c>
      <c r="P118" s="44">
        <v>8</v>
      </c>
      <c r="Q118" s="34"/>
      <c r="R118" s="44"/>
    </row>
    <row r="119" spans="1:18" ht="15" customHeight="1" x14ac:dyDescent="0.2">
      <c r="A119" s="24" t="s">
        <v>265</v>
      </c>
      <c r="B119" s="25" t="s">
        <v>266</v>
      </c>
      <c r="C119" s="13" t="s">
        <v>44</v>
      </c>
      <c r="D119" s="25" t="str">
        <f>IFERROR(VLOOKUP(B119,Client_List!$B:$K,4,0)&amp;", "&amp;VLOOKUP(B119,Client_List!$B:$K,5,0)&amp;" AZ","")</f>
        <v>111 E Wickenburg Way, Wickenburg AZ</v>
      </c>
      <c r="E119" s="24" t="str">
        <f>IFERROR(VLOOKUP(B119,Client_List!$B:$K,7,0)&amp;", "&amp;VLOOKUP(B119,Client_List!$B:$K,8,0),"")</f>
        <v>33.9689506, -112.7294813</v>
      </c>
      <c r="F119" s="26">
        <f>IFERROR(VLOOKUP(B119,Client_List!$B:$K,9,0),"")</f>
        <v>1950</v>
      </c>
      <c r="G119" s="27">
        <f>IFERROR(AVERAGEIFS(Delivery_Log!$I$4:$I$5000,Delivery_Log!$B$4:$B$5000,B119,Delivery_Log!$I$4:$I$5000,"&gt;"&amp;0),"")</f>
        <v>36.333333333333336</v>
      </c>
      <c r="H119" s="24" t="str">
        <f>IFERROR(VLOOKUP(B119,Client_List!$B:$K,10,0),"")</f>
        <v>CANOLA OIL</v>
      </c>
      <c r="I119" s="28">
        <f>IFERROR(_xlfn.MAXIFS(Delivery_Log!$A$4:$A$5000,Delivery_Log!$B$4:$B$5000,B119),"—")</f>
        <v>46086</v>
      </c>
      <c r="J119" s="29">
        <f t="shared" ca="1" si="15"/>
        <v>43</v>
      </c>
      <c r="K119" s="30">
        <f t="shared" ca="1" si="16"/>
        <v>387.66666666666652</v>
      </c>
      <c r="L119" s="30">
        <f t="shared" ca="1" si="17"/>
        <v>1562.3333333333335</v>
      </c>
      <c r="M119" s="31">
        <f t="shared" ca="1" si="18"/>
        <v>10.669724770642198</v>
      </c>
      <c r="N119" s="32" t="str">
        <f t="shared" ca="1" si="19"/>
        <v>—</v>
      </c>
      <c r="O119" s="33" t="s">
        <v>33</v>
      </c>
      <c r="P119" s="24">
        <v>2</v>
      </c>
      <c r="Q119" s="34"/>
      <c r="R119" s="24"/>
    </row>
    <row r="120" spans="1:18" ht="15" customHeight="1" x14ac:dyDescent="0.2">
      <c r="A120" s="35" t="s">
        <v>267</v>
      </c>
      <c r="B120" s="36" t="s">
        <v>268</v>
      </c>
      <c r="C120" s="11" t="s">
        <v>57</v>
      </c>
      <c r="D120" s="36" t="str">
        <f>IFERROR(VLOOKUP(B120,Client_List!$B:$K,4,0)&amp;", "&amp;VLOOKUP(B120,Client_List!$B:$K,5,0)&amp;" AZ","")</f>
        <v>6740 E MCDOWELL RD, Mesa AZ</v>
      </c>
      <c r="E120" s="35" t="str">
        <f>IFERROR(VLOOKUP(B120,Client_List!$B:$K,7,0)&amp;", "&amp;VLOOKUP(B120,Client_List!$B:$K,8,0),"")</f>
        <v>33.4668211, -111.6850131</v>
      </c>
      <c r="F120" s="37">
        <f>IFERROR(VLOOKUP(B120,Client_List!$B:$K,9,0),"")</f>
        <v>660</v>
      </c>
      <c r="G120" s="27">
        <f>IFERROR(AVERAGEIFS(Delivery_Log!$I$4:$I$5000,Delivery_Log!$B$4:$B$5000,B120,Delivery_Log!$I$4:$I$5000,"&gt;"&amp;0),"")</f>
        <v>59.032222222222217</v>
      </c>
      <c r="H120" s="35" t="str">
        <f>IFERROR(VLOOKUP(B120,Client_List!$B:$K,10,0),"")</f>
        <v>CANOLA OIL</v>
      </c>
      <c r="I120" s="28">
        <f>IFERROR(_xlfn.MAXIFS(Delivery_Log!$A$4:$A$5000,Delivery_Log!$B$4:$B$5000,B120),"—")</f>
        <v>46121</v>
      </c>
      <c r="J120" s="29">
        <f t="shared" ca="1" si="15"/>
        <v>8</v>
      </c>
      <c r="K120" s="30">
        <f t="shared" ca="1" si="16"/>
        <v>187.74222222222227</v>
      </c>
      <c r="L120" s="30">
        <f t="shared" ca="1" si="17"/>
        <v>472.25777777777773</v>
      </c>
      <c r="M120" s="31">
        <f t="shared" ca="1" si="18"/>
        <v>3.1803346571552269</v>
      </c>
      <c r="N120" s="38" t="str">
        <f t="shared" ca="1" si="19"/>
        <v>YES</v>
      </c>
      <c r="O120" s="39" t="s">
        <v>36</v>
      </c>
      <c r="P120" s="35">
        <v>10</v>
      </c>
      <c r="Q120" s="34"/>
      <c r="R120" s="35"/>
    </row>
    <row r="121" spans="1:18" ht="15" customHeight="1" x14ac:dyDescent="0.2">
      <c r="A121" s="24" t="s">
        <v>269</v>
      </c>
      <c r="B121" s="25" t="s">
        <v>270</v>
      </c>
      <c r="C121" s="8" t="s">
        <v>52</v>
      </c>
      <c r="D121" s="25" t="str">
        <f>IFERROR(VLOOKUP(B121,Client_List!$B:$K,4,0)&amp;", "&amp;VLOOKUP(B121,Client_List!$B:$K,5,0)&amp;" AZ","")</f>
        <v>208 W SOUTHERN AVE, TEMPE AZ</v>
      </c>
      <c r="E121" s="24" t="str">
        <f>IFERROR(VLOOKUP(B121,Client_List!$B:$K,7,0)&amp;", "&amp;VLOOKUP(B121,Client_List!$B:$K,8,0),"")</f>
        <v>33.3934903, -111.9423309</v>
      </c>
      <c r="F121" s="26">
        <f>IFERROR(VLOOKUP(B121,Client_List!$B:$K,9,0),"")</f>
        <v>660</v>
      </c>
      <c r="G121" s="27">
        <f>IFERROR(AVERAGEIFS(Delivery_Log!$I$4:$I$5000,Delivery_Log!$B$4:$B$5000,B121,Delivery_Log!$I$4:$I$5000,"&gt;"&amp;0),"")</f>
        <v>23.421184301333046</v>
      </c>
      <c r="H121" s="24" t="str">
        <f>IFERROR(VLOOKUP(B121,Client_List!$B:$K,10,0),"")</f>
        <v>FRYERS CHOICE BLEND</v>
      </c>
      <c r="I121" s="28">
        <f>IFERROR(_xlfn.MAXIFS(Delivery_Log!$A$4:$A$5000,Delivery_Log!$B$4:$B$5000,B121),"—")</f>
        <v>46108</v>
      </c>
      <c r="J121" s="29">
        <f t="shared" ca="1" si="15"/>
        <v>21</v>
      </c>
      <c r="K121" s="30">
        <f t="shared" ca="1" si="16"/>
        <v>168.15512967200601</v>
      </c>
      <c r="L121" s="30">
        <f t="shared" ca="1" si="17"/>
        <v>491.84487032799399</v>
      </c>
      <c r="M121" s="31">
        <f t="shared" ca="1" si="18"/>
        <v>7.1796168591882541</v>
      </c>
      <c r="N121" s="32" t="str">
        <f t="shared" ca="1" si="19"/>
        <v>—</v>
      </c>
      <c r="O121" s="39" t="s">
        <v>36</v>
      </c>
      <c r="P121" s="24">
        <v>5</v>
      </c>
      <c r="Q121" s="34"/>
      <c r="R121" s="24"/>
    </row>
    <row r="122" spans="1:18" ht="15" customHeight="1" x14ac:dyDescent="0.2">
      <c r="A122" s="24" t="s">
        <v>271</v>
      </c>
      <c r="B122" s="25" t="s">
        <v>272</v>
      </c>
      <c r="C122" s="12" t="s">
        <v>32</v>
      </c>
      <c r="D122" s="25" t="str">
        <f>IFERROR(VLOOKUP(B122,Client_List!$B:$K,4,0)&amp;", "&amp;VLOOKUP(B122,Client_List!$B:$K,5,0)&amp;" AZ","")</f>
        <v>8110 W UNION HILLS DR, GLENDALE AZ</v>
      </c>
      <c r="E122" s="24" t="str">
        <f>IFERROR(VLOOKUP(B122,Client_List!$B:$K,7,0)&amp;", "&amp;VLOOKUP(B122,Client_List!$B:$K,8,0),"")</f>
        <v>33.653518, -112.2336283</v>
      </c>
      <c r="F122" s="26">
        <f>IFERROR(VLOOKUP(B122,Client_List!$B:$K,9,0),"")</f>
        <v>1050</v>
      </c>
      <c r="G122" s="27">
        <f>IFERROR(AVERAGEIFS(Delivery_Log!$I$4:$I$5000,Delivery_Log!$B$4:$B$5000,B122,Delivery_Log!$I$4:$I$5000,"&gt;"&amp;0),"")</f>
        <v>26.143039049235995</v>
      </c>
      <c r="H122" s="24" t="str">
        <f>IFERROR(VLOOKUP(B122,Client_List!$B:$K,10,0),"")</f>
        <v>CANOLA OIL</v>
      </c>
      <c r="I122" s="28">
        <f>IFERROR(_xlfn.MAXIFS(Delivery_Log!$A$4:$A$5000,Delivery_Log!$B$4:$B$5000,B122),"—")</f>
        <v>46115</v>
      </c>
      <c r="J122" s="29">
        <f t="shared" ca="1" si="15"/>
        <v>14</v>
      </c>
      <c r="K122" s="30">
        <f t="shared" ca="1" si="16"/>
        <v>683.99745331069607</v>
      </c>
      <c r="L122" s="30">
        <f t="shared" ca="1" si="17"/>
        <v>366.00254668930393</v>
      </c>
      <c r="M122" s="31">
        <f t="shared" ca="1" si="18"/>
        <v>21</v>
      </c>
      <c r="N122" s="32" t="str">
        <f t="shared" ca="1" si="19"/>
        <v>—</v>
      </c>
      <c r="O122" s="33" t="s">
        <v>33</v>
      </c>
      <c r="P122" s="24">
        <v>3</v>
      </c>
      <c r="Q122" s="34"/>
      <c r="R122" s="24"/>
    </row>
    <row r="123" spans="1:18" ht="15" customHeight="1" x14ac:dyDescent="0.2">
      <c r="A123" s="44" t="s">
        <v>273</v>
      </c>
      <c r="B123" s="45" t="s">
        <v>274</v>
      </c>
      <c r="C123" s="8" t="s">
        <v>52</v>
      </c>
      <c r="D123" s="45" t="str">
        <f>IFERROR(VLOOKUP(B123,Client_List!$B:$K,4,0)&amp;", "&amp;VLOOKUP(B123,Client_List!$B:$K,5,0)&amp;" AZ","")</f>
        <v>3004 E Bell Rd, Phoenix AZ</v>
      </c>
      <c r="E123" s="44" t="str">
        <f>IFERROR(VLOOKUP(B123,Client_List!$B:$K,7,0)&amp;", "&amp;VLOOKUP(B123,Client_List!$B:$K,8,0),"")</f>
        <v>33.6410545, -112.0178642</v>
      </c>
      <c r="F123" s="46">
        <f>IFERROR(VLOOKUP(B123,Client_List!$B:$K,9,0),"")</f>
        <v>450</v>
      </c>
      <c r="G123" s="27">
        <f>IFERROR(AVERAGEIFS(Delivery_Log!$I$4:$I$5000,Delivery_Log!$B$4:$B$5000,B123,Delivery_Log!$I$4:$I$5000,"&gt;"&amp;0),"")</f>
        <v>41.287103174603182</v>
      </c>
      <c r="H123" s="44" t="str">
        <f>IFERROR(VLOOKUP(B123,Client_List!$B:$K,10,0),"")</f>
        <v>FRYERS CHOICE BLEND</v>
      </c>
      <c r="I123" s="28">
        <f>IFERROR(_xlfn.MAXIFS(Delivery_Log!$A$4:$A$5000,Delivery_Log!$B$4:$B$5000,B123),"—")</f>
        <v>46122</v>
      </c>
      <c r="J123" s="29">
        <f t="shared" ca="1" si="15"/>
        <v>7</v>
      </c>
      <c r="K123" s="30">
        <f t="shared" ca="1" si="16"/>
        <v>160.99027777777775</v>
      </c>
      <c r="L123" s="30">
        <f t="shared" ca="1" si="17"/>
        <v>289.00972222222225</v>
      </c>
      <c r="M123" s="31">
        <f t="shared" ca="1" si="18"/>
        <v>3.8992873173240024</v>
      </c>
      <c r="N123" s="38" t="str">
        <f t="shared" ca="1" si="19"/>
        <v>YES</v>
      </c>
      <c r="O123" s="39" t="s">
        <v>36</v>
      </c>
      <c r="P123" s="44">
        <v>12</v>
      </c>
      <c r="Q123" s="34"/>
      <c r="R123" s="44"/>
    </row>
    <row r="124" spans="1:18" ht="15" customHeight="1" x14ac:dyDescent="0.2">
      <c r="A124" s="35" t="s">
        <v>275</v>
      </c>
      <c r="B124" s="36" t="s">
        <v>276</v>
      </c>
      <c r="C124" s="8" t="s">
        <v>52</v>
      </c>
      <c r="D124" s="36" t="str">
        <f>IFERROR(VLOOKUP(B124,Client_List!$B:$K,4,0)&amp;", "&amp;VLOOKUP(B124,Client_List!$B:$K,5,0)&amp;" AZ","")</f>
        <v>RED DEVIL MCDOWELL, Phoenix AZ</v>
      </c>
      <c r="E124" s="35" t="str">
        <f>IFERROR(VLOOKUP(B124,Client_List!$B:$K,7,0)&amp;", "&amp;VLOOKUP(B124,Client_List!$B:$K,8,0),"")</f>
        <v>33.4660818, -112.0154762</v>
      </c>
      <c r="F124" s="37">
        <f>IFERROR(VLOOKUP(B124,Client_List!$B:$K,9,0),"")</f>
        <v>950</v>
      </c>
      <c r="G124" s="27">
        <f>IFERROR(AVERAGEIFS(Delivery_Log!$I$4:$I$5000,Delivery_Log!$B$4:$B$5000,B124,Delivery_Log!$I$4:$I$5000,"&gt;"&amp;0),"")</f>
        <v>85.613029100529104</v>
      </c>
      <c r="H124" s="35" t="str">
        <f>IFERROR(VLOOKUP(B124,Client_List!$B:$K,10,0),"")</f>
        <v>FRYERS CHOICE BLEND</v>
      </c>
      <c r="I124" s="28">
        <f>IFERROR(_xlfn.MAXIFS(Delivery_Log!$A$4:$A$5000,Delivery_Log!$B$4:$B$5000,B124),"—")</f>
        <v>46126</v>
      </c>
      <c r="J124" s="29">
        <f t="shared" ca="1" si="15"/>
        <v>3</v>
      </c>
      <c r="K124" s="30">
        <f t="shared" ca="1" si="16"/>
        <v>693.16091269841263</v>
      </c>
      <c r="L124" s="30">
        <f t="shared" ca="1" si="17"/>
        <v>256.83908730158737</v>
      </c>
      <c r="M124" s="31">
        <f t="shared" ca="1" si="18"/>
        <v>8.0964418614891507</v>
      </c>
      <c r="N124" s="38" t="str">
        <f t="shared" ca="1" si="19"/>
        <v>—</v>
      </c>
      <c r="O124" s="39" t="s">
        <v>36</v>
      </c>
      <c r="P124" s="35">
        <v>12</v>
      </c>
      <c r="Q124" s="34"/>
      <c r="R124" s="35"/>
    </row>
    <row r="125" spans="1:18" ht="15" customHeight="1" x14ac:dyDescent="0.2">
      <c r="A125" s="24" t="s">
        <v>277</v>
      </c>
      <c r="B125" s="25" t="s">
        <v>278</v>
      </c>
      <c r="C125" s="8" t="s">
        <v>52</v>
      </c>
      <c r="D125" s="25" t="str">
        <f>IFERROR(VLOOKUP(B125,Client_List!$B:$K,4,0)&amp;", "&amp;VLOOKUP(B125,Client_List!$B:$K,5,0)&amp;" AZ","")</f>
        <v>47801 N Black Canyon Hwy, New River AZ</v>
      </c>
      <c r="E125" s="24" t="str">
        <f>IFERROR(VLOOKUP(B125,Client_List!$B:$K,7,0)&amp;", "&amp;VLOOKUP(B125,Client_List!$B:$K,8,0),"")</f>
        <v>33.9189372, -112.1401541</v>
      </c>
      <c r="F125" s="26">
        <f>IFERROR(VLOOKUP(B125,Client_List!$B:$K,9,0),"")</f>
        <v>1850</v>
      </c>
      <c r="G125" s="27">
        <f>IFERROR(AVERAGEIFS(Delivery_Log!$I$4:$I$5000,Delivery_Log!$B$4:$B$5000,B125,Delivery_Log!$I$4:$I$5000,"&gt;"&amp;0),"")</f>
        <v>109.58142857142857</v>
      </c>
      <c r="H125" s="24" t="str">
        <f>IFERROR(VLOOKUP(B125,Client_List!$B:$K,10,0),"")</f>
        <v>CANOLA OIL</v>
      </c>
      <c r="I125" s="28">
        <f>IFERROR(_xlfn.MAXIFS(Delivery_Log!$A$4:$A$5000,Delivery_Log!$B$4:$B$5000,B125),"—")</f>
        <v>46121</v>
      </c>
      <c r="J125" s="29">
        <f t="shared" ca="1" si="15"/>
        <v>8</v>
      </c>
      <c r="K125" s="30">
        <f t="shared" ca="1" si="16"/>
        <v>973.3485714285714</v>
      </c>
      <c r="L125" s="30">
        <f t="shared" ca="1" si="17"/>
        <v>876.6514285714286</v>
      </c>
      <c r="M125" s="31">
        <f t="shared" ca="1" si="18"/>
        <v>8.8824227254357488</v>
      </c>
      <c r="N125" s="32" t="str">
        <f t="shared" ca="1" si="19"/>
        <v>—</v>
      </c>
      <c r="O125" s="47" t="s">
        <v>88</v>
      </c>
      <c r="P125" s="24">
        <v>5</v>
      </c>
      <c r="Q125" s="34"/>
      <c r="R125" s="24"/>
    </row>
    <row r="126" spans="1:18" ht="15" customHeight="1" x14ac:dyDescent="0.2">
      <c r="A126" s="40" t="s">
        <v>279</v>
      </c>
      <c r="B126" s="41" t="s">
        <v>280</v>
      </c>
      <c r="C126" s="11" t="s">
        <v>57</v>
      </c>
      <c r="D126" s="41" t="str">
        <f>IFERROR(VLOOKUP(B126,Client_List!$B:$K,4,0)&amp;", "&amp;VLOOKUP(B126,Client_List!$B:$K,5,0)&amp;" AZ","")</f>
        <v>285 NORTH APACHE TRAIL, APACHE JUNCTION AZ</v>
      </c>
      <c r="E126" s="40" t="str">
        <f>IFERROR(VLOOKUP(B126,Client_List!$B:$K,7,0)&amp;", "&amp;VLOOKUP(B126,Client_List!$B:$K,8,0),"")</f>
        <v>33.4174814, -111.5469768</v>
      </c>
      <c r="F126" s="42">
        <f>IFERROR(VLOOKUP(B126,Client_List!$B:$K,9,0),"")</f>
        <v>1050</v>
      </c>
      <c r="G126" s="27">
        <f>IFERROR(AVERAGEIFS(Delivery_Log!$I$4:$I$5000,Delivery_Log!$B$4:$B$5000,B126,Delivery_Log!$I$4:$I$5000,"&gt;"&amp;0),"")</f>
        <v>67.808967606181227</v>
      </c>
      <c r="H126" s="40" t="str">
        <f>IFERROR(VLOOKUP(B126,Client_List!$B:$K,10,0),"")</f>
        <v>CANOLA OIL</v>
      </c>
      <c r="I126" s="28">
        <f>IFERROR(_xlfn.MAXIFS(Delivery_Log!$A$4:$A$5000,Delivery_Log!$B$4:$B$5000,B126),"—")</f>
        <v>46116</v>
      </c>
      <c r="J126" s="29">
        <f t="shared" ca="1" si="15"/>
        <v>13</v>
      </c>
      <c r="K126" s="30">
        <f t="shared" ca="1" si="16"/>
        <v>168.48342111964405</v>
      </c>
      <c r="L126" s="30">
        <f t="shared" ca="1" si="17"/>
        <v>881.51657888035595</v>
      </c>
      <c r="M126" s="31">
        <f t="shared" ca="1" si="18"/>
        <v>2.4846775738889981</v>
      </c>
      <c r="N126" s="38" t="str">
        <f t="shared" ca="1" si="19"/>
        <v>YES</v>
      </c>
      <c r="O126" s="43" t="s">
        <v>47</v>
      </c>
      <c r="P126" s="40">
        <v>6</v>
      </c>
      <c r="Q126" s="34"/>
      <c r="R126" s="40"/>
    </row>
    <row r="127" spans="1:18" ht="15" customHeight="1" x14ac:dyDescent="0.2">
      <c r="A127" s="44" t="s">
        <v>281</v>
      </c>
      <c r="B127" s="45" t="s">
        <v>282</v>
      </c>
      <c r="C127" s="13" t="s">
        <v>44</v>
      </c>
      <c r="D127" s="45" t="str">
        <f>IFERROR(VLOOKUP(B127,Client_List!$B:$K,4,0)&amp;", "&amp;VLOOKUP(B127,Client_List!$B:$K,5,0)&amp;" AZ","")</f>
        <v>SADDLE MOUNTAIN, Goodyear AZ</v>
      </c>
      <c r="E127" s="44" t="str">
        <f>IFERROR(VLOOKUP(B127,Client_List!$B:$K,7,0)&amp;", "&amp;VLOOKUP(B127,Client_List!$B:$K,8,0),"")</f>
        <v>33.456409, -112.395652</v>
      </c>
      <c r="F127" s="46">
        <f>IFERROR(VLOOKUP(B127,Client_List!$B:$K,9,0),"")</f>
        <v>1100</v>
      </c>
      <c r="G127" s="27">
        <f>IFERROR(AVERAGEIFS(Delivery_Log!$I$4:$I$5000,Delivery_Log!$B$4:$B$5000,B127,Delivery_Log!$I$4:$I$5000,"&gt;"&amp;0),"")</f>
        <v>58.599747474747481</v>
      </c>
      <c r="H127" s="44" t="str">
        <f>IFERROR(VLOOKUP(B127,Client_List!$B:$K,10,0),"")</f>
        <v>FRYERS CHOICE BLEND</v>
      </c>
      <c r="I127" s="28">
        <f>IFERROR(_xlfn.MAXIFS(Delivery_Log!$A$4:$A$5000,Delivery_Log!$B$4:$B$5000,B127),"—")</f>
        <v>46123</v>
      </c>
      <c r="J127" s="29">
        <f t="shared" ca="1" si="15"/>
        <v>6</v>
      </c>
      <c r="K127" s="30">
        <f t="shared" ca="1" si="16"/>
        <v>748.40151515151513</v>
      </c>
      <c r="L127" s="30">
        <f t="shared" ca="1" si="17"/>
        <v>351.59848484848487</v>
      </c>
      <c r="M127" s="31">
        <f t="shared" ca="1" si="18"/>
        <v>12.77141194975329</v>
      </c>
      <c r="N127" s="38" t="str">
        <f t="shared" ca="1" si="19"/>
        <v>—</v>
      </c>
      <c r="O127" s="43" t="s">
        <v>47</v>
      </c>
      <c r="P127" s="44">
        <v>6</v>
      </c>
      <c r="Q127" s="34"/>
      <c r="R127" s="44"/>
    </row>
    <row r="128" spans="1:18" ht="15" customHeight="1" x14ac:dyDescent="0.2">
      <c r="A128" s="35" t="s">
        <v>283</v>
      </c>
      <c r="B128" s="36" t="s">
        <v>284</v>
      </c>
      <c r="C128" s="12" t="s">
        <v>32</v>
      </c>
      <c r="D128" s="36" t="str">
        <f>IFERROR(VLOOKUP(B128,Client_List!$B:$K,4,0)&amp;", "&amp;VLOOKUP(B128,Client_List!$B:$K,5,0)&amp;" AZ","")</f>
        <v>8278 W Lake Pleasant Pkwy, Peoria AZ</v>
      </c>
      <c r="E128" s="35" t="str">
        <f>IFERROR(VLOOKUP(B128,Client_List!$B:$K,7,0)&amp;", "&amp;VLOOKUP(B128,Client_List!$B:$K,8,0),"")</f>
        <v>33.6703621, -112.2383551</v>
      </c>
      <c r="F128" s="37">
        <f>IFERROR(VLOOKUP(B128,Client_List!$B:$K,9,0),"")</f>
        <v>620</v>
      </c>
      <c r="G128" s="27">
        <f>IFERROR(AVERAGEIFS(Delivery_Log!$I$4:$I$5000,Delivery_Log!$B$4:$B$5000,B128,Delivery_Log!$I$4:$I$5000,"&gt;"&amp;0),"")</f>
        <v>28.492201657991131</v>
      </c>
      <c r="H128" s="35" t="str">
        <f>IFERROR(VLOOKUP(B128,Client_List!$B:$K,10,0),"")</f>
        <v>CANOLA OIL</v>
      </c>
      <c r="I128" s="28">
        <f>IFERROR(_xlfn.MAXIFS(Delivery_Log!$A$4:$A$5000,Delivery_Log!$B$4:$B$5000,B128),"—")</f>
        <v>46126</v>
      </c>
      <c r="J128" s="29">
        <f t="shared" ca="1" si="15"/>
        <v>3</v>
      </c>
      <c r="K128" s="30">
        <f t="shared" ca="1" si="16"/>
        <v>534.52339502602661</v>
      </c>
      <c r="L128" s="30">
        <f t="shared" ca="1" si="17"/>
        <v>85.476604973973394</v>
      </c>
      <c r="M128" s="31">
        <f t="shared" ca="1" si="18"/>
        <v>18.760340160519334</v>
      </c>
      <c r="N128" s="38" t="str">
        <f t="shared" ca="1" si="19"/>
        <v>—</v>
      </c>
      <c r="O128" s="39" t="s">
        <v>36</v>
      </c>
      <c r="P128" s="35">
        <v>6</v>
      </c>
      <c r="Q128" s="34"/>
      <c r="R128" s="35"/>
    </row>
    <row r="129" spans="1:18" ht="15" customHeight="1" x14ac:dyDescent="0.2">
      <c r="A129" s="24" t="s">
        <v>285</v>
      </c>
      <c r="B129" s="25" t="s">
        <v>286</v>
      </c>
      <c r="C129" s="8" t="s">
        <v>52</v>
      </c>
      <c r="D129" s="25" t="str">
        <f>IFERROR(VLOOKUP(B129,Client_List!$B:$K,4,0)&amp;", "&amp;VLOOKUP(B129,Client_List!$B:$K,5,0)&amp;" AZ","")</f>
        <v>18631 N 19Th Ave, Phoenix AZ</v>
      </c>
      <c r="E129" s="24" t="str">
        <f>IFERROR(VLOOKUP(B129,Client_List!$B:$K,7,0)&amp;", "&amp;VLOOKUP(B129,Client_List!$B:$K,8,0),"")</f>
        <v>33.6559375, -112.0979379</v>
      </c>
      <c r="F129" s="26">
        <f>IFERROR(VLOOKUP(B129,Client_List!$B:$K,9,0),"")</f>
        <v>620</v>
      </c>
      <c r="G129" s="27">
        <f>IFERROR(AVERAGEIFS(Delivery_Log!$I$4:$I$5000,Delivery_Log!$B$4:$B$5000,B129,Delivery_Log!$I$4:$I$5000,"&gt;"&amp;0),"")</f>
        <v>32.543259055759052</v>
      </c>
      <c r="H129" s="24" t="str">
        <f>IFERROR(VLOOKUP(B129,Client_List!$B:$K,10,0),"")</f>
        <v>CANOLA OIL</v>
      </c>
      <c r="I129" s="28">
        <f>IFERROR(_xlfn.MAXIFS(Delivery_Log!$A$4:$A$5000,Delivery_Log!$B$4:$B$5000,B129),"—")</f>
        <v>46113</v>
      </c>
      <c r="J129" s="29">
        <f t="shared" ca="1" si="15"/>
        <v>16</v>
      </c>
      <c r="K129" s="30">
        <f t="shared" ca="1" si="16"/>
        <v>99.307855107855175</v>
      </c>
      <c r="L129" s="30">
        <f t="shared" ca="1" si="17"/>
        <v>520.69214489214482</v>
      </c>
      <c r="M129" s="31">
        <f t="shared" ca="1" si="18"/>
        <v>3.0515645325412195</v>
      </c>
      <c r="N129" s="32" t="str">
        <f t="shared" ca="1" si="19"/>
        <v>YES</v>
      </c>
      <c r="O129" s="43" t="s">
        <v>47</v>
      </c>
      <c r="P129" s="24">
        <v>7</v>
      </c>
      <c r="Q129" s="34"/>
      <c r="R129" s="24"/>
    </row>
    <row r="130" spans="1:18" ht="15" customHeight="1" x14ac:dyDescent="0.2">
      <c r="A130" s="40" t="s">
        <v>287</v>
      </c>
      <c r="B130" s="41" t="s">
        <v>288</v>
      </c>
      <c r="C130" s="8" t="s">
        <v>52</v>
      </c>
      <c r="D130" s="41" t="str">
        <f>IFERROR(VLOOKUP(B130,Client_List!$B:$K,4,0)&amp;", "&amp;VLOOKUP(B130,Client_List!$B:$K,5,0)&amp;" AZ","")</f>
        <v>4212 W Cactus Rd, Phoenix AZ</v>
      </c>
      <c r="E130" s="40" t="str">
        <f>IFERROR(VLOOKUP(B130,Client_List!$B:$K,7,0)&amp;", "&amp;VLOOKUP(B130,Client_List!$B:$K,8,0),"")</f>
        <v>33.5980529, -112.1509389</v>
      </c>
      <c r="F130" s="42">
        <f>IFERROR(VLOOKUP(B130,Client_List!$B:$K,9,0),"")</f>
        <v>620</v>
      </c>
      <c r="G130" s="27">
        <f>IFERROR(AVERAGEIFS(Delivery_Log!$I$4:$I$5000,Delivery_Log!$B$4:$B$5000,B130,Delivery_Log!$I$4:$I$5000,"&gt;"&amp;0),"")</f>
        <v>36.955250305250303</v>
      </c>
      <c r="H130" s="40" t="str">
        <f>IFERROR(VLOOKUP(B130,Client_List!$B:$K,10,0),"")</f>
        <v>CANOLA OIL</v>
      </c>
      <c r="I130" s="28">
        <f>IFERROR(_xlfn.MAXIFS(Delivery_Log!$A$4:$A$5000,Delivery_Log!$B$4:$B$5000,B130),"—")</f>
        <v>46119</v>
      </c>
      <c r="J130" s="29">
        <f t="shared" ca="1" si="15"/>
        <v>10</v>
      </c>
      <c r="K130" s="30">
        <f t="shared" ca="1" si="16"/>
        <v>250.44749694749697</v>
      </c>
      <c r="L130" s="30">
        <f t="shared" ca="1" si="17"/>
        <v>369.55250305250303</v>
      </c>
      <c r="M130" s="31">
        <f t="shared" ca="1" si="18"/>
        <v>6.7770477774822542</v>
      </c>
      <c r="N130" s="38" t="str">
        <f t="shared" ca="1" si="19"/>
        <v>YES</v>
      </c>
      <c r="O130" s="39" t="s">
        <v>36</v>
      </c>
      <c r="P130" s="40">
        <v>6</v>
      </c>
      <c r="Q130" s="34"/>
      <c r="R130" s="40"/>
    </row>
    <row r="131" spans="1:18" ht="15" customHeight="1" x14ac:dyDescent="0.2">
      <c r="A131" s="40" t="s">
        <v>289</v>
      </c>
      <c r="B131" s="41" t="s">
        <v>290</v>
      </c>
      <c r="C131" s="8" t="s">
        <v>52</v>
      </c>
      <c r="D131" s="41" t="str">
        <f>IFERROR(VLOOKUP(B131,Client_List!$B:$K,4,0)&amp;", "&amp;VLOOKUP(B131,Client_List!$B:$K,5,0)&amp;" AZ","")</f>
        <v>4372 W. Olive Ave, Glendale AZ</v>
      </c>
      <c r="E131" s="40" t="str">
        <f>IFERROR(VLOOKUP(B131,Client_List!$B:$K,7,0)&amp;", "&amp;VLOOKUP(B131,Client_List!$B:$K,8,0),"")</f>
        <v>33.5678887, -112.1538264</v>
      </c>
      <c r="F131" s="42">
        <f>IFERROR(VLOOKUP(B131,Client_List!$B:$K,9,0),"")</f>
        <v>350</v>
      </c>
      <c r="G131" s="27">
        <f>IFERROR(AVERAGEIFS(Delivery_Log!$I$4:$I$5000,Delivery_Log!$B$4:$B$5000,B131,Delivery_Log!$I$4:$I$5000,"&gt;"&amp;0),"")</f>
        <v>13.516774665551839</v>
      </c>
      <c r="H131" s="40" t="str">
        <f>IFERROR(VLOOKUP(B131,Client_List!$B:$K,10,0),"")</f>
        <v>CANOLA OIL</v>
      </c>
      <c r="I131" s="28">
        <f>IFERROR(_xlfn.MAXIFS(Delivery_Log!$A$4:$A$5000,Delivery_Log!$B$4:$B$5000,B131),"—")</f>
        <v>46122</v>
      </c>
      <c r="J131" s="29">
        <f t="shared" ca="1" si="15"/>
        <v>7</v>
      </c>
      <c r="K131" s="30">
        <f t="shared" ca="1" si="16"/>
        <v>255.38257734113711</v>
      </c>
      <c r="L131" s="30">
        <f t="shared" ca="1" si="17"/>
        <v>94.617422658862893</v>
      </c>
      <c r="M131" s="31">
        <f t="shared" ca="1" si="18"/>
        <v>18.893751184000433</v>
      </c>
      <c r="N131" s="38" t="str">
        <f t="shared" ca="1" si="19"/>
        <v>—</v>
      </c>
      <c r="O131" s="39" t="s">
        <v>36</v>
      </c>
      <c r="P131" s="40">
        <v>4</v>
      </c>
      <c r="Q131" s="34"/>
      <c r="R131" s="40"/>
    </row>
    <row r="132" spans="1:18" ht="15" customHeight="1" x14ac:dyDescent="0.2">
      <c r="A132" s="24" t="s">
        <v>291</v>
      </c>
      <c r="B132" s="25" t="s">
        <v>292</v>
      </c>
      <c r="C132" s="8" t="s">
        <v>52</v>
      </c>
      <c r="D132" s="25" t="str">
        <f>IFERROR(VLOOKUP(B132,Client_List!$B:$K,4,0)&amp;", "&amp;VLOOKUP(B132,Client_List!$B:$K,5,0)&amp;" AZ","")</f>
        <v>4522 North 26th Dr., Phoenix AZ</v>
      </c>
      <c r="E132" s="24" t="str">
        <f>IFERROR(VLOOKUP(B132,Client_List!$B:$K,7,0)&amp;", "&amp;VLOOKUP(B132,Client_List!$B:$K,8,0),"")</f>
        <v>33.502972, -112.116158</v>
      </c>
      <c r="F132" s="26">
        <f>IFERROR(VLOOKUP(B132,Client_List!$B:$K,9,0),"")</f>
        <v>450</v>
      </c>
      <c r="G132" s="27">
        <f>IFERROR(AVERAGEIFS(Delivery_Log!$I$4:$I$5000,Delivery_Log!$B$4:$B$5000,B132,Delivery_Log!$I$4:$I$5000,"&gt;"&amp;0),"")</f>
        <v>4.3975903614457827</v>
      </c>
      <c r="H132" s="24" t="str">
        <f>IFERROR(VLOOKUP(B132,Client_List!$B:$K,10,0),"")</f>
        <v>CANOLA OIL</v>
      </c>
      <c r="I132" s="28">
        <f>IFERROR(_xlfn.MAXIFS(Delivery_Log!$A$4:$A$5000,Delivery_Log!$B$4:$B$5000,B132),"—")</f>
        <v>46048</v>
      </c>
      <c r="J132" s="29">
        <f t="shared" ca="1" si="15"/>
        <v>81</v>
      </c>
      <c r="K132" s="30">
        <f t="shared" ca="1" si="16"/>
        <v>93.795180722891587</v>
      </c>
      <c r="L132" s="30">
        <f t="shared" ca="1" si="17"/>
        <v>356.20481927710841</v>
      </c>
      <c r="M132" s="31">
        <f t="shared" ca="1" si="18"/>
        <v>21</v>
      </c>
      <c r="N132" s="32" t="str">
        <f t="shared" ca="1" si="19"/>
        <v>—</v>
      </c>
      <c r="O132" s="33" t="s">
        <v>33</v>
      </c>
      <c r="P132" s="24">
        <v>1</v>
      </c>
      <c r="Q132" s="34"/>
      <c r="R132" s="24"/>
    </row>
    <row r="133" spans="1:18" ht="15" customHeight="1" x14ac:dyDescent="0.2">
      <c r="A133" s="24" t="s">
        <v>293</v>
      </c>
      <c r="B133" s="25" t="s">
        <v>294</v>
      </c>
      <c r="C133" s="3" t="s">
        <v>39</v>
      </c>
      <c r="D133" s="25" t="str">
        <f>IFERROR(VLOOKUP(B133,Client_List!$B:$K,4,0)&amp;", "&amp;VLOOKUP(B133,Client_List!$B:$K,5,0)&amp;" AZ","")</f>
        <v>4312 N Brown Ave, Scottsdale AZ</v>
      </c>
      <c r="E133" s="24" t="str">
        <f>IFERROR(VLOOKUP(B133,Client_List!$B:$K,7,0)&amp;", "&amp;VLOOKUP(B133,Client_List!$B:$K,8,0),"")</f>
        <v>33.4987599, -111.9246156</v>
      </c>
      <c r="F133" s="26">
        <f>IFERROR(VLOOKUP(B133,Client_List!$B:$K,9,0),"")</f>
        <v>1500</v>
      </c>
      <c r="G133" s="27">
        <f>IFERROR(AVERAGEIFS(Delivery_Log!$I$4:$I$5000,Delivery_Log!$B$4:$B$5000,B133,Delivery_Log!$I$4:$I$5000,"&gt;"&amp;0),"")</f>
        <v>44.649350649350652</v>
      </c>
      <c r="H133" s="24" t="str">
        <f>IFERROR(VLOOKUP(B133,Client_List!$B:$K,10,0),"")</f>
        <v>CANOLA OIL</v>
      </c>
      <c r="I133" s="28">
        <f>IFERROR(_xlfn.MAXIFS(Delivery_Log!$A$4:$A$5000,Delivery_Log!$B$4:$B$5000,B133),"—")</f>
        <v>46099</v>
      </c>
      <c r="J133" s="29">
        <f t="shared" ca="1" si="15"/>
        <v>30</v>
      </c>
      <c r="K133" s="30">
        <f t="shared" ca="1" si="16"/>
        <v>160.51948051948057</v>
      </c>
      <c r="L133" s="30">
        <f t="shared" ca="1" si="17"/>
        <v>1339.4805194805194</v>
      </c>
      <c r="M133" s="31">
        <f t="shared" ca="1" si="18"/>
        <v>3.595113438045376</v>
      </c>
      <c r="N133" s="32" t="str">
        <f t="shared" ca="1" si="19"/>
        <v>YES</v>
      </c>
      <c r="O133" s="33" t="s">
        <v>33</v>
      </c>
      <c r="P133" s="24">
        <v>3</v>
      </c>
      <c r="Q133" s="34"/>
      <c r="R133" s="24"/>
    </row>
    <row r="134" spans="1:18" ht="15" customHeight="1" x14ac:dyDescent="0.2">
      <c r="A134" s="40" t="s">
        <v>295</v>
      </c>
      <c r="B134" s="41" t="s">
        <v>296</v>
      </c>
      <c r="C134" s="3" t="s">
        <v>39</v>
      </c>
      <c r="D134" s="41" t="str">
        <f>IFERROR(VLOOKUP(B134,Client_List!$B:$K,4,0)&amp;", "&amp;VLOOKUP(B134,Client_List!$B:$K,5,0)&amp;" AZ","")</f>
        <v>15111 N HAYDEN RD #120, SCOTTSDALE AZ</v>
      </c>
      <c r="E134" s="40" t="str">
        <f>IFERROR(VLOOKUP(B134,Client_List!$B:$K,7,0)&amp;", "&amp;VLOOKUP(B134,Client_List!$B:$K,8,0),"")</f>
        <v>33.622056, -111.904496</v>
      </c>
      <c r="F134" s="42">
        <f>IFERROR(VLOOKUP(B134,Client_List!$B:$K,9,0),"")</f>
        <v>480</v>
      </c>
      <c r="G134" s="27">
        <f>IFERROR(AVERAGEIFS(Delivery_Log!$I$4:$I$5000,Delivery_Log!$B$4:$B$5000,B134,Delivery_Log!$I$4:$I$5000,"&gt;"&amp;0),"")</f>
        <v>39.822796934865899</v>
      </c>
      <c r="H134" s="40" t="str">
        <f>IFERROR(VLOOKUP(B134,Client_List!$B:$K,10,0),"")</f>
        <v>FRYERS CHOICE BLEND</v>
      </c>
      <c r="I134" s="28">
        <f>IFERROR(_xlfn.MAXIFS(Delivery_Log!$A$4:$A$5000,Delivery_Log!$B$4:$B$5000,B134),"—")</f>
        <v>46119</v>
      </c>
      <c r="J134" s="29">
        <f t="shared" ref="J134:J162" ca="1" si="20">IFERROR(IF(I134="—","",TODAY()-I134),"")</f>
        <v>10</v>
      </c>
      <c r="K134" s="30">
        <f t="shared" ref="K134:K162" ca="1" si="21">IFERROR(IF(OR(J134="",G134=""),"",MAX(F134*0.03,F134-J134*G134)),"")</f>
        <v>81.772030651341026</v>
      </c>
      <c r="L134" s="30">
        <f t="shared" ref="L134:L162" ca="1" si="22">IFERROR(IF(K134="","",F134-K134),"")</f>
        <v>398.22796934865897</v>
      </c>
      <c r="M134" s="31">
        <f t="shared" ref="M134:M162" ca="1" si="23">IFERROR(IF(OR(K134="",G134=""),"",MIN(21,MAX(0,(K134-F134*$B$2)/G134))),"")</f>
        <v>2.0533974744437771</v>
      </c>
      <c r="N134" s="38" t="str">
        <f t="shared" ref="N134:N162" ca="1" si="24">IFERROR(IF(M134="","—",IF(M134&lt;=$D$2,"YES","—")),"—")</f>
        <v>YES</v>
      </c>
      <c r="O134" s="43" t="s">
        <v>47</v>
      </c>
      <c r="P134" s="40">
        <v>4</v>
      </c>
      <c r="Q134" s="34"/>
      <c r="R134" s="40"/>
    </row>
    <row r="135" spans="1:18" ht="15" customHeight="1" x14ac:dyDescent="0.2">
      <c r="A135" s="40" t="s">
        <v>297</v>
      </c>
      <c r="B135" s="41" t="s">
        <v>298</v>
      </c>
      <c r="C135" s="13" t="s">
        <v>44</v>
      </c>
      <c r="D135" s="41" t="str">
        <f>IFERROR(VLOOKUP(B135,Client_List!$B:$K,4,0)&amp;", "&amp;VLOOKUP(B135,Client_List!$B:$K,5,0)&amp;" AZ","")</f>
        <v>13823 W BELL RD, SUPRISE AZ</v>
      </c>
      <c r="E135" s="40" t="str">
        <f>IFERROR(VLOOKUP(B135,Client_List!$B:$K,7,0)&amp;", "&amp;VLOOKUP(B135,Client_List!$B:$K,8,0),"")</f>
        <v>33.6382448, -112.357798</v>
      </c>
      <c r="F135" s="42">
        <f>IFERROR(VLOOKUP(B135,Client_List!$B:$K,9,0),"")</f>
        <v>950</v>
      </c>
      <c r="G135" s="27">
        <f>IFERROR(AVERAGEIFS(Delivery_Log!$I$4:$I$5000,Delivery_Log!$B$4:$B$5000,B135,Delivery_Log!$I$4:$I$5000,"&gt;"&amp;0),"")</f>
        <v>49.057769261550774</v>
      </c>
      <c r="H135" s="40" t="str">
        <f>IFERROR(VLOOKUP(B135,Client_List!$B:$K,10,0),"")</f>
        <v>CANOLA OIL</v>
      </c>
      <c r="I135" s="28">
        <f>IFERROR(_xlfn.MAXIFS(Delivery_Log!$A$4:$A$5000,Delivery_Log!$B$4:$B$5000,B135),"—")</f>
        <v>46126</v>
      </c>
      <c r="J135" s="29">
        <f t="shared" ca="1" si="20"/>
        <v>3</v>
      </c>
      <c r="K135" s="30">
        <f t="shared" ca="1" si="21"/>
        <v>802.82669221534775</v>
      </c>
      <c r="L135" s="30">
        <f t="shared" ca="1" si="22"/>
        <v>147.17330778465225</v>
      </c>
      <c r="M135" s="31">
        <f t="shared" ca="1" si="23"/>
        <v>16.364924543044122</v>
      </c>
      <c r="N135" s="38" t="str">
        <f t="shared" ca="1" si="24"/>
        <v>—</v>
      </c>
      <c r="O135" s="39" t="s">
        <v>36</v>
      </c>
      <c r="P135" s="40">
        <v>6</v>
      </c>
      <c r="Q135" s="34"/>
      <c r="R135" s="40"/>
    </row>
    <row r="136" spans="1:18" ht="15" customHeight="1" x14ac:dyDescent="0.2">
      <c r="A136" s="44" t="s">
        <v>299</v>
      </c>
      <c r="B136" s="45" t="s">
        <v>300</v>
      </c>
      <c r="C136" s="3" t="s">
        <v>39</v>
      </c>
      <c r="D136" s="45" t="str">
        <f>IFERROR(VLOOKUP(B136,Client_List!$B:$K,4,0)&amp;", "&amp;VLOOKUP(B136,Client_List!$B:$K,5,0)&amp;" AZ","")</f>
        <v>15600 N Hayden Rd, Scottsdale AZ</v>
      </c>
      <c r="E136" s="44" t="str">
        <f>IFERROR(VLOOKUP(B136,Client_List!$B:$K,7,0)&amp;", "&amp;VLOOKUP(B136,Client_List!$B:$K,8,0),"")</f>
        <v>33.6281212, -111.8964059</v>
      </c>
      <c r="F136" s="46">
        <f>IFERROR(VLOOKUP(B136,Client_List!$B:$K,9,0),"")</f>
        <v>350</v>
      </c>
      <c r="G136" s="27">
        <f>IFERROR(AVERAGEIFS(Delivery_Log!$I$4:$I$5000,Delivery_Log!$B$4:$B$5000,B136,Delivery_Log!$I$4:$I$5000,"&gt;"&amp;0),"")</f>
        <v>27.402380952380952</v>
      </c>
      <c r="H136" s="44" t="str">
        <f>IFERROR(VLOOKUP(B136,Client_List!$B:$K,10,0),"")</f>
        <v>FRYERS CHOICE BLEND</v>
      </c>
      <c r="I136" s="28">
        <f>IFERROR(_xlfn.MAXIFS(Delivery_Log!$A$4:$A$5000,Delivery_Log!$B$4:$B$5000,B136),"—")</f>
        <v>46129</v>
      </c>
      <c r="J136" s="29">
        <f t="shared" ca="1" si="20"/>
        <v>0</v>
      </c>
      <c r="K136" s="30">
        <f t="shared" ca="1" si="21"/>
        <v>350</v>
      </c>
      <c r="L136" s="30">
        <f t="shared" ca="1" si="22"/>
        <v>0</v>
      </c>
      <c r="M136" s="31">
        <f t="shared" ca="1" si="23"/>
        <v>12.77261273785733</v>
      </c>
      <c r="N136" s="38" t="str">
        <f t="shared" ca="1" si="24"/>
        <v>—</v>
      </c>
      <c r="O136" s="39" t="s">
        <v>36</v>
      </c>
      <c r="P136" s="44">
        <v>10</v>
      </c>
      <c r="Q136" s="34"/>
      <c r="R136" s="44"/>
    </row>
    <row r="137" spans="1:18" ht="15" customHeight="1" x14ac:dyDescent="0.2">
      <c r="A137" s="35" t="s">
        <v>301</v>
      </c>
      <c r="B137" s="36" t="s">
        <v>302</v>
      </c>
      <c r="C137" s="12" t="s">
        <v>32</v>
      </c>
      <c r="D137" s="36" t="str">
        <f>IFERROR(VLOOKUP(B137,Client_List!$B:$K,4,0)&amp;", "&amp;VLOOKUP(B137,Client_List!$B:$K,5,0)&amp;" AZ","")</f>
        <v>6770 N SUNRISE BLVD G-100, GLENDALE AZ</v>
      </c>
      <c r="E137" s="35" t="str">
        <f>IFERROR(VLOOKUP(B137,Client_List!$B:$K,7,0)&amp;", "&amp;VLOOKUP(B137,Client_List!$B:$K,8,0),"")</f>
        <v>33.5339016, -112.260605</v>
      </c>
      <c r="F137" s="37">
        <f>IFERROR(VLOOKUP(B137,Client_List!$B:$K,9,0),"")</f>
        <v>350</v>
      </c>
      <c r="G137" s="27">
        <f>IFERROR(AVERAGEIFS(Delivery_Log!$I$4:$I$5000,Delivery_Log!$B$4:$B$5000,B137,Delivery_Log!$I$4:$I$5000,"&gt;"&amp;0),"")</f>
        <v>34.476630036630034</v>
      </c>
      <c r="H137" s="35" t="str">
        <f>IFERROR(VLOOKUP(B137,Client_List!$B:$K,10,0),"")</f>
        <v>CANOLA OIL</v>
      </c>
      <c r="I137" s="28">
        <f>IFERROR(_xlfn.MAXIFS(Delivery_Log!$A$4:$A$5000,Delivery_Log!$B$4:$B$5000,B137),"—")</f>
        <v>46113</v>
      </c>
      <c r="J137" s="29">
        <f t="shared" ca="1" si="20"/>
        <v>16</v>
      </c>
      <c r="K137" s="30">
        <f t="shared" ca="1" si="21"/>
        <v>10.5</v>
      </c>
      <c r="L137" s="30">
        <f t="shared" ca="1" si="22"/>
        <v>339.5</v>
      </c>
      <c r="M137" s="31">
        <f t="shared" ca="1" si="23"/>
        <v>0.30455412808166493</v>
      </c>
      <c r="N137" s="38" t="str">
        <f t="shared" ca="1" si="24"/>
        <v>YES</v>
      </c>
      <c r="O137" s="39" t="s">
        <v>36</v>
      </c>
      <c r="P137" s="35">
        <v>11</v>
      </c>
      <c r="Q137" s="34"/>
      <c r="R137" s="35"/>
    </row>
    <row r="138" spans="1:18" ht="15" customHeight="1" x14ac:dyDescent="0.2">
      <c r="A138" s="40" t="s">
        <v>303</v>
      </c>
      <c r="B138" s="41" t="s">
        <v>304</v>
      </c>
      <c r="C138" s="8" t="s">
        <v>52</v>
      </c>
      <c r="D138" s="41" t="str">
        <f>IFERROR(VLOOKUP(B138,Client_List!$B:$K,4,0)&amp;", "&amp;VLOOKUP(B138,Client_List!$B:$K,5,0)&amp;" AZ","")</f>
        <v>2530 W HAPPY VALLEY RD, PHOENIX AZ</v>
      </c>
      <c r="E138" s="40" t="str">
        <f>IFERROR(VLOOKUP(B138,Client_List!$B:$K,7,0)&amp;", "&amp;VLOOKUP(B138,Client_List!$B:$K,8,0),"")</f>
        <v>33.7152911, -112.1136426</v>
      </c>
      <c r="F138" s="42">
        <f>IFERROR(VLOOKUP(B138,Client_List!$B:$K,9,0),"")</f>
        <v>350</v>
      </c>
      <c r="G138" s="27">
        <f>IFERROR(AVERAGEIFS(Delivery_Log!$I$4:$I$5000,Delivery_Log!$B$4:$B$5000,B138,Delivery_Log!$I$4:$I$5000,"&gt;"&amp;0),"")</f>
        <v>47.419092019092005</v>
      </c>
      <c r="H138" s="40" t="str">
        <f>IFERROR(VLOOKUP(B138,Client_List!$B:$K,10,0),"")</f>
        <v>CANOLA OIL</v>
      </c>
      <c r="I138" s="28">
        <f>IFERROR(_xlfn.MAXIFS(Delivery_Log!$A$4:$A$5000,Delivery_Log!$B$4:$B$5000,B138),"—")</f>
        <v>46119</v>
      </c>
      <c r="J138" s="29">
        <f t="shared" ca="1" si="20"/>
        <v>10</v>
      </c>
      <c r="K138" s="30">
        <f t="shared" ca="1" si="21"/>
        <v>10.5</v>
      </c>
      <c r="L138" s="30">
        <f t="shared" ca="1" si="22"/>
        <v>339.5</v>
      </c>
      <c r="M138" s="31">
        <f t="shared" ca="1" si="23"/>
        <v>0.22142979869316057</v>
      </c>
      <c r="N138" s="38" t="str">
        <f t="shared" ca="1" si="24"/>
        <v>YES</v>
      </c>
      <c r="O138" s="39" t="s">
        <v>36</v>
      </c>
      <c r="P138" s="40">
        <v>11</v>
      </c>
      <c r="Q138" s="34"/>
      <c r="R138" s="40"/>
    </row>
    <row r="139" spans="1:18" ht="15" customHeight="1" x14ac:dyDescent="0.2">
      <c r="A139" s="44" t="s">
        <v>305</v>
      </c>
      <c r="B139" s="45" t="s">
        <v>306</v>
      </c>
      <c r="C139" s="3" t="s">
        <v>39</v>
      </c>
      <c r="D139" s="45" t="str">
        <f>IFERROR(VLOOKUP(B139,Client_List!$B:$K,4,0)&amp;", "&amp;VLOOKUP(B139,Client_List!$B:$K,5,0)&amp;" AZ","")</f>
        <v>15111 N Hayden Rd Ste 170, Scottsdale AZ</v>
      </c>
      <c r="E139" s="44" t="str">
        <f>IFERROR(VLOOKUP(B139,Client_List!$B:$K,7,0)&amp;", "&amp;VLOOKUP(B139,Client_List!$B:$K,8,0),"")</f>
        <v>33.62204, -111.9044144</v>
      </c>
      <c r="F139" s="46">
        <f>IFERROR(VLOOKUP(B139,Client_List!$B:$K,9,0),"")</f>
        <v>1050</v>
      </c>
      <c r="G139" s="27">
        <f>IFERROR(AVERAGEIFS(Delivery_Log!$I$4:$I$5000,Delivery_Log!$B$4:$B$5000,B139,Delivery_Log!$I$4:$I$5000,"&gt;"&amp;0),"")</f>
        <v>104.07063852813853</v>
      </c>
      <c r="H139" s="44" t="str">
        <f>IFERROR(VLOOKUP(B139,Client_List!$B:$K,10,0),"")</f>
        <v>FRYERS CHOICE BLEND</v>
      </c>
      <c r="I139" s="28">
        <f>IFERROR(_xlfn.MAXIFS(Delivery_Log!$A$4:$A$5000,Delivery_Log!$B$4:$B$5000,B139),"—")</f>
        <v>46122</v>
      </c>
      <c r="J139" s="29">
        <f t="shared" ca="1" si="20"/>
        <v>7</v>
      </c>
      <c r="K139" s="30">
        <f t="shared" ca="1" si="21"/>
        <v>321.50553030303024</v>
      </c>
      <c r="L139" s="30">
        <f t="shared" ca="1" si="22"/>
        <v>728.49446969696976</v>
      </c>
      <c r="M139" s="31">
        <f t="shared" ca="1" si="23"/>
        <v>3.0893010252464421</v>
      </c>
      <c r="N139" s="38" t="str">
        <f t="shared" ca="1" si="24"/>
        <v>YES</v>
      </c>
      <c r="O139" s="39" t="s">
        <v>36</v>
      </c>
      <c r="P139" s="44">
        <v>10</v>
      </c>
      <c r="Q139" s="34"/>
      <c r="R139" s="44"/>
    </row>
    <row r="140" spans="1:18" ht="15" customHeight="1" x14ac:dyDescent="0.2">
      <c r="A140" s="24" t="s">
        <v>307</v>
      </c>
      <c r="B140" s="25" t="s">
        <v>308</v>
      </c>
      <c r="C140" s="8" t="s">
        <v>52</v>
      </c>
      <c r="D140" s="25" t="str">
        <f>IFERROR(VLOOKUP(B140,Client_List!$B:$K,4,0)&amp;", "&amp;VLOOKUP(B140,Client_List!$B:$K,5,0)&amp;" AZ","")</f>
        <v>788 E BASELINE RD, TEMPE AZ</v>
      </c>
      <c r="E140" s="24" t="str">
        <f>IFERROR(VLOOKUP(B140,Client_List!$B:$K,7,0)&amp;", "&amp;VLOOKUP(B140,Client_List!$B:$K,8,0),"")</f>
        <v>33.3787189, -111.9301978</v>
      </c>
      <c r="F140" s="26">
        <f>IFERROR(VLOOKUP(B140,Client_List!$B:$K,9,0),"")</f>
        <v>500</v>
      </c>
      <c r="G140" s="27">
        <f>IFERROR(AVERAGEIFS(Delivery_Log!$I$4:$I$5000,Delivery_Log!$B$4:$B$5000,B140,Delivery_Log!$I$4:$I$5000,"&gt;"&amp;0),"")</f>
        <v>9.0652173913043477</v>
      </c>
      <c r="H140" s="24" t="str">
        <f>IFERROR(VLOOKUP(B140,Client_List!$B:$K,10,0),"")</f>
        <v>FRYERS CHOICE BLEND</v>
      </c>
      <c r="I140" s="28">
        <f>IFERROR(_xlfn.MAXIFS(Delivery_Log!$A$4:$A$5000,Delivery_Log!$B$4:$B$5000,B140),"—")</f>
        <v>46119</v>
      </c>
      <c r="J140" s="29">
        <f t="shared" ca="1" si="20"/>
        <v>10</v>
      </c>
      <c r="K140" s="30">
        <f t="shared" ca="1" si="21"/>
        <v>409.3478260869565</v>
      </c>
      <c r="L140" s="30">
        <f t="shared" ca="1" si="22"/>
        <v>90.652173913043498</v>
      </c>
      <c r="M140" s="31">
        <f t="shared" ca="1" si="23"/>
        <v>21</v>
      </c>
      <c r="N140" s="32" t="str">
        <f t="shared" ca="1" si="24"/>
        <v>—</v>
      </c>
      <c r="O140" s="33" t="s">
        <v>33</v>
      </c>
      <c r="P140" s="24">
        <v>2</v>
      </c>
      <c r="Q140" s="34"/>
      <c r="R140" s="24"/>
    </row>
    <row r="141" spans="1:18" ht="15" customHeight="1" x14ac:dyDescent="0.2">
      <c r="A141" s="40" t="s">
        <v>309</v>
      </c>
      <c r="B141" s="41" t="s">
        <v>310</v>
      </c>
      <c r="C141" s="8" t="s">
        <v>52</v>
      </c>
      <c r="D141" s="41" t="str">
        <f>IFERROR(VLOOKUP(B141,Client_List!$B:$K,4,0)&amp;", "&amp;VLOOKUP(B141,Client_List!$B:$K,5,0)&amp;" AZ","")</f>
        <v>TACO GUILD, PHOENIX AZ</v>
      </c>
      <c r="E141" s="40" t="str">
        <f>IFERROR(VLOOKUP(B141,Client_List!$B:$K,7,0)&amp;", "&amp;VLOOKUP(B141,Client_List!$B:$K,8,0),"")</f>
        <v>33.4877599, -112.0656849</v>
      </c>
      <c r="F141" s="42">
        <f>IFERROR(VLOOKUP(B141,Client_List!$B:$K,9,0),"")</f>
        <v>1050</v>
      </c>
      <c r="G141" s="27">
        <f>IFERROR(AVERAGEIFS(Delivery_Log!$I$4:$I$5000,Delivery_Log!$B$4:$B$5000,B141,Delivery_Log!$I$4:$I$5000,"&gt;"&amp;0),"")</f>
        <v>72.669849594849595</v>
      </c>
      <c r="H141" s="40" t="str">
        <f>IFERROR(VLOOKUP(B141,Client_List!$B:$K,10,0),"")</f>
        <v>CANOLA OIL</v>
      </c>
      <c r="I141" s="28">
        <f>IFERROR(_xlfn.MAXIFS(Delivery_Log!$A$4:$A$5000,Delivery_Log!$B$4:$B$5000,B141),"—")</f>
        <v>46120</v>
      </c>
      <c r="J141" s="29">
        <f t="shared" ca="1" si="20"/>
        <v>9</v>
      </c>
      <c r="K141" s="30">
        <f t="shared" ca="1" si="21"/>
        <v>395.97135364635369</v>
      </c>
      <c r="L141" s="30">
        <f t="shared" ca="1" si="22"/>
        <v>654.02864635364631</v>
      </c>
      <c r="M141" s="31">
        <f t="shared" ca="1" si="23"/>
        <v>5.4489083967282328</v>
      </c>
      <c r="N141" s="38" t="str">
        <f t="shared" ca="1" si="24"/>
        <v>YES</v>
      </c>
      <c r="O141" s="43" t="s">
        <v>47</v>
      </c>
      <c r="P141" s="40">
        <v>6</v>
      </c>
      <c r="Q141" s="34"/>
      <c r="R141" s="40"/>
    </row>
    <row r="142" spans="1:18" ht="15" customHeight="1" x14ac:dyDescent="0.2">
      <c r="A142" s="24" t="s">
        <v>311</v>
      </c>
      <c r="B142" s="25" t="s">
        <v>312</v>
      </c>
      <c r="C142" s="12" t="s">
        <v>32</v>
      </c>
      <c r="D142" s="25" t="str">
        <f>IFERROR(VLOOKUP(B142,Client_List!$B:$K,4,0)&amp;", "&amp;VLOOKUP(B142,Client_List!$B:$K,5,0)&amp;" AZ","")</f>
        <v>10146 W LAKE PLEASANT PKWY, PEORIA AZ</v>
      </c>
      <c r="E142" s="24" t="str">
        <f>IFERROR(VLOOKUP(B142,Client_List!$B:$K,7,0)&amp;", "&amp;VLOOKUP(B142,Client_List!$B:$K,8,0),"")</f>
        <v>33.6783247, -112.2768177</v>
      </c>
      <c r="F142" s="26">
        <f>IFERROR(VLOOKUP(B142,Client_List!$B:$K,9,0),"")</f>
        <v>1050</v>
      </c>
      <c r="G142" s="27">
        <f>IFERROR(AVERAGEIFS(Delivery_Log!$I$4:$I$5000,Delivery_Log!$B$4:$B$5000,B142,Delivery_Log!$I$4:$I$5000,"&gt;"&amp;0),"")</f>
        <v>61.065335132703559</v>
      </c>
      <c r="H142" s="24" t="str">
        <f>IFERROR(VLOOKUP(B142,Client_List!$B:$K,10,0),"")</f>
        <v>CANOLA OIL</v>
      </c>
      <c r="I142" s="28">
        <f>IFERROR(_xlfn.MAXIFS(Delivery_Log!$A$4:$A$5000,Delivery_Log!$B$4:$B$5000,B142),"—")</f>
        <v>46115</v>
      </c>
      <c r="J142" s="29">
        <f t="shared" ca="1" si="20"/>
        <v>14</v>
      </c>
      <c r="K142" s="30">
        <f t="shared" ca="1" si="21"/>
        <v>195.08530814215021</v>
      </c>
      <c r="L142" s="30">
        <f t="shared" ca="1" si="22"/>
        <v>854.91469185784979</v>
      </c>
      <c r="M142" s="31">
        <f t="shared" ca="1" si="23"/>
        <v>3.1946980675403225</v>
      </c>
      <c r="N142" s="32" t="str">
        <f t="shared" ca="1" si="24"/>
        <v>YES</v>
      </c>
      <c r="O142" s="43" t="s">
        <v>47</v>
      </c>
      <c r="P142" s="24">
        <v>6</v>
      </c>
      <c r="Q142" s="34"/>
      <c r="R142" s="24"/>
    </row>
    <row r="143" spans="1:18" ht="15" customHeight="1" x14ac:dyDescent="0.2">
      <c r="A143" s="40" t="s">
        <v>313</v>
      </c>
      <c r="B143" s="41" t="s">
        <v>314</v>
      </c>
      <c r="C143" s="13" t="s">
        <v>44</v>
      </c>
      <c r="D143" s="41" t="str">
        <f>IFERROR(VLOOKUP(B143,Client_List!$B:$K,4,0)&amp;", "&amp;VLOOKUP(B143,Client_List!$B:$K,5,0)&amp;" AZ","")</f>
        <v>15529 W BELL RD, SURPRISE AZ</v>
      </c>
      <c r="E143" s="40" t="str">
        <f>IFERROR(VLOOKUP(B143,Client_List!$B:$K,7,0)&amp;", "&amp;VLOOKUP(B143,Client_List!$B:$K,8,0),"")</f>
        <v>33.636786, -112.3946409</v>
      </c>
      <c r="F143" s="42">
        <f>IFERROR(VLOOKUP(B143,Client_List!$B:$K,9,0),"")</f>
        <v>1050</v>
      </c>
      <c r="G143" s="27">
        <f>IFERROR(AVERAGEIFS(Delivery_Log!$I$4:$I$5000,Delivery_Log!$B$4:$B$5000,B143,Delivery_Log!$I$4:$I$5000,"&gt;"&amp;0),"")</f>
        <v>80.539398696541539</v>
      </c>
      <c r="H143" s="40" t="str">
        <f>IFERROR(VLOOKUP(B143,Client_List!$B:$K,10,0),"")</f>
        <v>CANOLA OIL</v>
      </c>
      <c r="I143" s="28">
        <f>IFERROR(_xlfn.MAXIFS(Delivery_Log!$A$4:$A$5000,Delivery_Log!$B$4:$B$5000,B143),"—")</f>
        <v>46120</v>
      </c>
      <c r="J143" s="29">
        <f t="shared" ca="1" si="20"/>
        <v>9</v>
      </c>
      <c r="K143" s="30">
        <f t="shared" ca="1" si="21"/>
        <v>325.14541173112616</v>
      </c>
      <c r="L143" s="30">
        <f t="shared" ca="1" si="22"/>
        <v>724.85458826887384</v>
      </c>
      <c r="M143" s="31">
        <f t="shared" ca="1" si="23"/>
        <v>4.0370975819700066</v>
      </c>
      <c r="N143" s="38" t="str">
        <f t="shared" ca="1" si="24"/>
        <v>YES</v>
      </c>
      <c r="O143" s="47" t="s">
        <v>88</v>
      </c>
      <c r="P143" s="40">
        <v>7</v>
      </c>
      <c r="Q143" s="34"/>
      <c r="R143" s="40"/>
    </row>
    <row r="144" spans="1:18" ht="15" customHeight="1" x14ac:dyDescent="0.2">
      <c r="A144" s="35" t="s">
        <v>315</v>
      </c>
      <c r="B144" s="36" t="s">
        <v>316</v>
      </c>
      <c r="C144" s="13" t="s">
        <v>44</v>
      </c>
      <c r="D144" s="36" t="str">
        <f>IFERROR(VLOOKUP(B144,Client_List!$B:$K,4,0)&amp;", "&amp;VLOOKUP(B144,Client_List!$B:$K,5,0)&amp;" AZ","")</f>
        <v>530 N ESTRELLA PKWY, GOODYEAR AZ</v>
      </c>
      <c r="E144" s="35" t="str">
        <f>IFERROR(VLOOKUP(B144,Client_List!$B:$K,7,0)&amp;", "&amp;VLOOKUP(B144,Client_List!$B:$K,8,0),"")</f>
        <v>33.4525673, -112.3939295</v>
      </c>
      <c r="F144" s="37">
        <f>IFERROR(VLOOKUP(B144,Client_List!$B:$K,9,0),"")</f>
        <v>1050</v>
      </c>
      <c r="G144" s="27">
        <f>IFERROR(AVERAGEIFS(Delivery_Log!$I$4:$I$5000,Delivery_Log!$B$4:$B$5000,B144,Delivery_Log!$I$4:$I$5000,"&gt;"&amp;0),"")</f>
        <v>64.008627946127945</v>
      </c>
      <c r="H144" s="35" t="str">
        <f>IFERROR(VLOOKUP(B144,Client_List!$B:$K,10,0),"")</f>
        <v>CANOLA OIL</v>
      </c>
      <c r="I144" s="28">
        <f>IFERROR(_xlfn.MAXIFS(Delivery_Log!$A$4:$A$5000,Delivery_Log!$B$4:$B$5000,B144),"—")</f>
        <v>46123</v>
      </c>
      <c r="J144" s="29">
        <f t="shared" ca="1" si="20"/>
        <v>6</v>
      </c>
      <c r="K144" s="30">
        <f t="shared" ca="1" si="21"/>
        <v>665.94823232323233</v>
      </c>
      <c r="L144" s="30">
        <f t="shared" ca="1" si="22"/>
        <v>384.05176767676767</v>
      </c>
      <c r="M144" s="31">
        <f t="shared" ca="1" si="23"/>
        <v>10.404038544361851</v>
      </c>
      <c r="N144" s="38" t="str">
        <f t="shared" ca="1" si="24"/>
        <v>—</v>
      </c>
      <c r="O144" s="39" t="s">
        <v>36</v>
      </c>
      <c r="P144" s="35">
        <v>6</v>
      </c>
      <c r="Q144" s="34"/>
      <c r="R144" s="35"/>
    </row>
    <row r="145" spans="1:18" ht="15" customHeight="1" x14ac:dyDescent="0.2">
      <c r="A145" s="35" t="s">
        <v>317</v>
      </c>
      <c r="B145" s="36" t="s">
        <v>318</v>
      </c>
      <c r="C145" s="12" t="s">
        <v>32</v>
      </c>
      <c r="D145" s="36" t="str">
        <f>IFERROR(VLOOKUP(B145,Client_List!$B:$K,4,0)&amp;", "&amp;VLOOKUP(B145,Client_List!$B:$K,5,0)&amp;" AZ","")</f>
        <v>5110 N DYSART RD, LITCHFIELD PARK AZ</v>
      </c>
      <c r="E145" s="35" t="str">
        <f>IFERROR(VLOOKUP(B145,Client_List!$B:$K,7,0)&amp;", "&amp;VLOOKUP(B145,Client_List!$B:$K,8,0),"")</f>
        <v>33.5093666, -112.342473</v>
      </c>
      <c r="F145" s="37">
        <f>IFERROR(VLOOKUP(B145,Client_List!$B:$K,9,0),"")</f>
        <v>1050</v>
      </c>
      <c r="G145" s="27">
        <f>IFERROR(AVERAGEIFS(Delivery_Log!$I$4:$I$5000,Delivery_Log!$B$4:$B$5000,B145,Delivery_Log!$I$4:$I$5000,"&gt;"&amp;0),"")</f>
        <v>59.815110488639903</v>
      </c>
      <c r="H145" s="35" t="str">
        <f>IFERROR(VLOOKUP(B145,Client_List!$B:$K,10,0),"")</f>
        <v>FRYERS CHOICE BLEND</v>
      </c>
      <c r="I145" s="28">
        <f>IFERROR(_xlfn.MAXIFS(Delivery_Log!$A$4:$A$5000,Delivery_Log!$B$4:$B$5000,B145),"—")</f>
        <v>46123</v>
      </c>
      <c r="J145" s="29">
        <f t="shared" ca="1" si="20"/>
        <v>6</v>
      </c>
      <c r="K145" s="30">
        <f t="shared" ca="1" si="21"/>
        <v>691.10933706816058</v>
      </c>
      <c r="L145" s="30">
        <f t="shared" ca="1" si="22"/>
        <v>358.89066293183942</v>
      </c>
      <c r="M145" s="31">
        <f t="shared" ca="1" si="23"/>
        <v>11.554092793984159</v>
      </c>
      <c r="N145" s="38" t="str">
        <f t="shared" ca="1" si="24"/>
        <v>—</v>
      </c>
      <c r="O145" s="39" t="s">
        <v>36</v>
      </c>
      <c r="P145" s="35">
        <v>6</v>
      </c>
      <c r="Q145" s="34"/>
      <c r="R145" s="35"/>
    </row>
    <row r="146" spans="1:18" ht="15" customHeight="1" x14ac:dyDescent="0.2">
      <c r="A146" s="35" t="s">
        <v>319</v>
      </c>
      <c r="B146" s="36" t="s">
        <v>320</v>
      </c>
      <c r="C146" s="13" t="s">
        <v>44</v>
      </c>
      <c r="D146" s="36" t="str">
        <f>IFERROR(VLOOKUP(B146,Client_List!$B:$K,4,0)&amp;", "&amp;VLOOKUP(B146,Client_List!$B:$K,5,0)&amp;" AZ","")</f>
        <v>457 S WATSON RD, BUCKEYE AZ</v>
      </c>
      <c r="E146" s="35" t="str">
        <f>IFERROR(VLOOKUP(B146,Client_List!$B:$K,7,0)&amp;", "&amp;VLOOKUP(B146,Client_List!$B:$K,8,0),"")</f>
        <v>33.442979, -112.5547635</v>
      </c>
      <c r="F146" s="37">
        <f>IFERROR(VLOOKUP(B146,Client_List!$B:$K,9,0),"")</f>
        <v>1050</v>
      </c>
      <c r="G146" s="27">
        <f>IFERROR(AVERAGEIFS(Delivery_Log!$I$4:$I$5000,Delivery_Log!$B$4:$B$5000,B146,Delivery_Log!$I$4:$I$5000,"&gt;"&amp;0),"")</f>
        <v>68.280380730380728</v>
      </c>
      <c r="H146" s="35" t="str">
        <f>IFERROR(VLOOKUP(B146,Client_List!$B:$K,10,0),"")</f>
        <v>CANOLA OIL</v>
      </c>
      <c r="I146" s="28">
        <f>IFERROR(_xlfn.MAXIFS(Delivery_Log!$A$4:$A$5000,Delivery_Log!$B$4:$B$5000,B146),"—")</f>
        <v>46108</v>
      </c>
      <c r="J146" s="29">
        <f t="shared" ca="1" si="20"/>
        <v>21</v>
      </c>
      <c r="K146" s="30">
        <f t="shared" ca="1" si="21"/>
        <v>31.5</v>
      </c>
      <c r="L146" s="30">
        <f t="shared" ca="1" si="22"/>
        <v>1018.5</v>
      </c>
      <c r="M146" s="31">
        <f t="shared" ca="1" si="23"/>
        <v>0.46133310422483281</v>
      </c>
      <c r="N146" s="38" t="str">
        <f t="shared" ca="1" si="24"/>
        <v>YES</v>
      </c>
      <c r="O146" s="39" t="s">
        <v>36</v>
      </c>
      <c r="P146" s="35">
        <v>7</v>
      </c>
      <c r="Q146" s="34"/>
      <c r="R146" s="35"/>
    </row>
    <row r="147" spans="1:18" ht="15" customHeight="1" x14ac:dyDescent="0.2">
      <c r="A147" s="24" t="s">
        <v>321</v>
      </c>
      <c r="B147" s="25" t="s">
        <v>322</v>
      </c>
      <c r="C147" s="3" t="s">
        <v>39</v>
      </c>
      <c r="D147" s="25" t="str">
        <f>IFERROR(VLOOKUP(B147,Client_List!$B:$K,4,0)&amp;", "&amp;VLOOKUP(B147,Client_List!$B:$K,5,0)&amp;" AZ","")</f>
        <v>28234 N TATUM BLVD, CAVE CREEK AZ</v>
      </c>
      <c r="E147" s="24" t="str">
        <f>IFERROR(VLOOKUP(B147,Client_List!$B:$K,7,0)&amp;", "&amp;VLOOKUP(B147,Client_List!$B:$K,8,0),"")</f>
        <v>33.7422555, -111.9798691</v>
      </c>
      <c r="F147" s="26">
        <f>IFERROR(VLOOKUP(B147,Client_List!$B:$K,9,0),"")</f>
        <v>1050</v>
      </c>
      <c r="G147" s="27">
        <f>IFERROR(AVERAGEIFS(Delivery_Log!$I$4:$I$5000,Delivery_Log!$B$4:$B$5000,B147,Delivery_Log!$I$4:$I$5000,"&gt;"&amp;0),"")</f>
        <v>39.329523809523806</v>
      </c>
      <c r="H147" s="24" t="str">
        <f>IFERROR(VLOOKUP(B147,Client_List!$B:$K,10,0),"")</f>
        <v>CANOLA OIL</v>
      </c>
      <c r="I147" s="28">
        <f>IFERROR(_xlfn.MAXIFS(Delivery_Log!$A$4:$A$5000,Delivery_Log!$B$4:$B$5000,B147),"—")</f>
        <v>46113</v>
      </c>
      <c r="J147" s="29">
        <f t="shared" ca="1" si="20"/>
        <v>16</v>
      </c>
      <c r="K147" s="30">
        <f t="shared" ca="1" si="21"/>
        <v>420.7276190476191</v>
      </c>
      <c r="L147" s="30">
        <f t="shared" ca="1" si="22"/>
        <v>629.2723809523809</v>
      </c>
      <c r="M147" s="31">
        <f t="shared" ca="1" si="23"/>
        <v>10.697500968616817</v>
      </c>
      <c r="N147" s="32" t="str">
        <f t="shared" ca="1" si="24"/>
        <v>—</v>
      </c>
      <c r="O147" s="39" t="s">
        <v>36</v>
      </c>
      <c r="P147" s="24">
        <v>4</v>
      </c>
      <c r="Q147" s="34"/>
      <c r="R147" s="24"/>
    </row>
    <row r="148" spans="1:18" ht="15" customHeight="1" x14ac:dyDescent="0.2">
      <c r="A148" s="44" t="s">
        <v>323</v>
      </c>
      <c r="B148" s="45" t="s">
        <v>324</v>
      </c>
      <c r="C148" s="3" t="s">
        <v>39</v>
      </c>
      <c r="D148" s="45" t="str">
        <f>IFERROR(VLOOKUP(B148,Client_List!$B:$K,4,0)&amp;", "&amp;VLOOKUP(B148,Client_List!$B:$K,5,0)&amp;" AZ","")</f>
        <v>16880 N CAVE CREEK RD, PHOENIX AZ</v>
      </c>
      <c r="E148" s="44" t="str">
        <f>IFERROR(VLOOKUP(B148,Client_List!$B:$K,7,0)&amp;", "&amp;VLOOKUP(B148,Client_List!$B:$K,8,0),"")</f>
        <v>33.6402464, -112.0328493</v>
      </c>
      <c r="F148" s="46">
        <f>IFERROR(VLOOKUP(B148,Client_List!$B:$K,9,0),"")</f>
        <v>1050</v>
      </c>
      <c r="G148" s="27">
        <f>IFERROR(AVERAGEIFS(Delivery_Log!$I$4:$I$5000,Delivery_Log!$B$4:$B$5000,B148,Delivery_Log!$I$4:$I$5000,"&gt;"&amp;0),"")</f>
        <v>136.16916539343012</v>
      </c>
      <c r="H148" s="44" t="str">
        <f>IFERROR(VLOOKUP(B148,Client_List!$B:$K,10,0),"")</f>
        <v>CANOLA OIL</v>
      </c>
      <c r="I148" s="28">
        <f>IFERROR(_xlfn.MAXIFS(Delivery_Log!$A$4:$A$5000,Delivery_Log!$B$4:$B$5000,B148),"—")</f>
        <v>46110</v>
      </c>
      <c r="J148" s="29">
        <f t="shared" ca="1" si="20"/>
        <v>19</v>
      </c>
      <c r="K148" s="30">
        <f t="shared" ca="1" si="21"/>
        <v>31.5</v>
      </c>
      <c r="L148" s="30">
        <f t="shared" ca="1" si="22"/>
        <v>1018.5</v>
      </c>
      <c r="M148" s="31">
        <f t="shared" ca="1" si="23"/>
        <v>0.23132990430680725</v>
      </c>
      <c r="N148" s="38" t="str">
        <f t="shared" ca="1" si="24"/>
        <v>YES</v>
      </c>
      <c r="O148" s="47" t="s">
        <v>88</v>
      </c>
      <c r="P148" s="44">
        <v>7</v>
      </c>
      <c r="Q148" s="34"/>
      <c r="R148" s="44"/>
    </row>
    <row r="149" spans="1:18" ht="15" customHeight="1" x14ac:dyDescent="0.2">
      <c r="A149" s="44" t="s">
        <v>325</v>
      </c>
      <c r="B149" s="45" t="s">
        <v>326</v>
      </c>
      <c r="C149" s="13" t="s">
        <v>44</v>
      </c>
      <c r="D149" s="45" t="str">
        <f>IFERROR(VLOOKUP(B149,Client_List!$B:$K,4,0)&amp;", "&amp;VLOOKUP(B149,Client_List!$B:$K,5,0)&amp;" AZ","")</f>
        <v>VENUE TAPROOM, Surprise AZ</v>
      </c>
      <c r="E149" s="44" t="str">
        <f>IFERROR(VLOOKUP(B149,Client_List!$B:$K,7,0)&amp;", "&amp;VLOOKUP(B149,Client_List!$B:$K,8,0),"")</f>
        <v>33.6082034, -112.3573367</v>
      </c>
      <c r="F149" s="46">
        <f>IFERROR(VLOOKUP(B149,Client_List!$B:$K,9,0),"")</f>
        <v>950</v>
      </c>
      <c r="G149" s="27">
        <f>IFERROR(AVERAGEIFS(Delivery_Log!$I$4:$I$5000,Delivery_Log!$B$4:$B$5000,B149,Delivery_Log!$I$4:$I$5000,"&gt;"&amp;0),"")</f>
        <v>30.563392857142858</v>
      </c>
      <c r="H149" s="44" t="str">
        <f>IFERROR(VLOOKUP(B149,Client_List!$B:$K,10,0),"")</f>
        <v>FRYERS CHOICE BLEND</v>
      </c>
      <c r="I149" s="28">
        <f>IFERROR(_xlfn.MAXIFS(Delivery_Log!$A$4:$A$5000,Delivery_Log!$B$4:$B$5000,B149),"—")</f>
        <v>46120</v>
      </c>
      <c r="J149" s="29">
        <f t="shared" ca="1" si="20"/>
        <v>9</v>
      </c>
      <c r="K149" s="30">
        <f t="shared" ca="1" si="21"/>
        <v>674.92946428571429</v>
      </c>
      <c r="L149" s="30">
        <f t="shared" ca="1" si="22"/>
        <v>275.07053571428571</v>
      </c>
      <c r="M149" s="31">
        <f t="shared" ca="1" si="23"/>
        <v>21</v>
      </c>
      <c r="N149" s="38" t="str">
        <f t="shared" ca="1" si="24"/>
        <v>—</v>
      </c>
      <c r="O149" s="43" t="s">
        <v>47</v>
      </c>
      <c r="P149" s="44">
        <v>4</v>
      </c>
      <c r="Q149" s="34"/>
      <c r="R149" s="44"/>
    </row>
    <row r="150" spans="1:18" ht="15" customHeight="1" x14ac:dyDescent="0.2">
      <c r="A150" s="44" t="s">
        <v>327</v>
      </c>
      <c r="B150" s="45" t="s">
        <v>328</v>
      </c>
      <c r="C150" s="3" t="s">
        <v>39</v>
      </c>
      <c r="D150" s="45" t="str">
        <f>IFERROR(VLOOKUP(B150,Client_List!$B:$K,4,0)&amp;", "&amp;VLOOKUP(B150,Client_List!$B:$K,5,0)&amp;" AZ","")</f>
        <v>7345 N Via Paseo Del Sur, Scottsdale AZ</v>
      </c>
      <c r="E150" s="44" t="str">
        <f>IFERROR(VLOOKUP(B150,Client_List!$B:$K,7,0)&amp;", "&amp;VLOOKUP(B150,Client_List!$B:$K,8,0),"")</f>
        <v>33.5430114, -111.9052496</v>
      </c>
      <c r="F150" s="46">
        <f>IFERROR(VLOOKUP(B150,Client_List!$B:$K,9,0),"")</f>
        <v>1050</v>
      </c>
      <c r="G150" s="27">
        <f>IFERROR(AVERAGEIFS(Delivery_Log!$I$4:$I$5000,Delivery_Log!$B$4:$B$5000,B150,Delivery_Log!$I$4:$I$5000,"&gt;"&amp;0),"")</f>
        <v>43.201754385964911</v>
      </c>
      <c r="H150" s="44" t="str">
        <f>IFERROR(VLOOKUP(B150,Client_List!$B:$K,10,0),"")</f>
        <v>CANOLA OIL</v>
      </c>
      <c r="I150" s="28">
        <f>IFERROR(_xlfn.MAXIFS(Delivery_Log!$A$4:$A$5000,Delivery_Log!$B$4:$B$5000,B150),"—")</f>
        <v>46103</v>
      </c>
      <c r="J150" s="29">
        <f t="shared" ca="1" si="20"/>
        <v>26</v>
      </c>
      <c r="K150" s="30">
        <f t="shared" ca="1" si="21"/>
        <v>31.5</v>
      </c>
      <c r="L150" s="30">
        <f t="shared" ca="1" si="22"/>
        <v>1018.5</v>
      </c>
      <c r="M150" s="31">
        <f t="shared" ca="1" si="23"/>
        <v>0.7291370558375635</v>
      </c>
      <c r="N150" s="38" t="str">
        <f t="shared" ca="1" si="24"/>
        <v>YES</v>
      </c>
      <c r="O150" s="43" t="s">
        <v>47</v>
      </c>
      <c r="P150" s="44">
        <v>4</v>
      </c>
      <c r="Q150" s="34"/>
      <c r="R150" s="44"/>
    </row>
    <row r="151" spans="1:18" ht="15" customHeight="1" x14ac:dyDescent="0.2">
      <c r="A151" s="40" t="s">
        <v>329</v>
      </c>
      <c r="B151" s="41" t="s">
        <v>330</v>
      </c>
      <c r="C151" s="13" t="s">
        <v>44</v>
      </c>
      <c r="D151" s="41" t="str">
        <f>IFERROR(VLOOKUP(B151,Client_List!$B:$K,4,0)&amp;", "&amp;VLOOKUP(B151,Client_List!$B:$K,5,0)&amp;" AZ","")</f>
        <v>10300 South Miller Road, Buckeye AZ</v>
      </c>
      <c r="E151" s="40" t="str">
        <f>IFERROR(VLOOKUP(B151,Client_List!$B:$K,7,0)&amp;", "&amp;VLOOKUP(B151,Client_List!$B:$K,8,0),"")</f>
        <v>33.3539128, -112.5918433</v>
      </c>
      <c r="F151" s="42">
        <f>IFERROR(VLOOKUP(B151,Client_List!$B:$K,9,0),"")</f>
        <v>1050</v>
      </c>
      <c r="G151" s="27">
        <f>IFERROR(AVERAGEIFS(Delivery_Log!$I$4:$I$5000,Delivery_Log!$B$4:$B$5000,B151,Delivery_Log!$I$4:$I$5000,"&gt;"&amp;0),"")</f>
        <v>41.247886838019667</v>
      </c>
      <c r="H151" s="40" t="str">
        <f>IFERROR(VLOOKUP(B151,Client_List!$B:$K,10,0),"")</f>
        <v>CANOLA OIL</v>
      </c>
      <c r="I151" s="28">
        <f>IFERROR(_xlfn.MAXIFS(Delivery_Log!$A$4:$A$5000,Delivery_Log!$B$4:$B$5000,B151),"—")</f>
        <v>46098</v>
      </c>
      <c r="J151" s="29">
        <f t="shared" ca="1" si="20"/>
        <v>31</v>
      </c>
      <c r="K151" s="30">
        <f t="shared" ca="1" si="21"/>
        <v>31.5</v>
      </c>
      <c r="L151" s="30">
        <f t="shared" ca="1" si="22"/>
        <v>1018.5</v>
      </c>
      <c r="M151" s="31">
        <f t="shared" ca="1" si="23"/>
        <v>0.76367548533335561</v>
      </c>
      <c r="N151" s="38" t="str">
        <f t="shared" ca="1" si="24"/>
        <v>YES</v>
      </c>
      <c r="O151" s="47" t="s">
        <v>88</v>
      </c>
      <c r="P151" s="40">
        <v>4</v>
      </c>
      <c r="Q151" s="34"/>
      <c r="R151" s="40"/>
    </row>
    <row r="152" spans="1:18" ht="15" customHeight="1" x14ac:dyDescent="0.2">
      <c r="A152" s="24" t="s">
        <v>331</v>
      </c>
      <c r="B152" s="25" t="s">
        <v>332</v>
      </c>
      <c r="C152" s="12" t="s">
        <v>32</v>
      </c>
      <c r="D152" s="25" t="str">
        <f>IFERROR(VLOOKUP(B152,Client_List!$B:$K,4,0)&amp;", "&amp;VLOOKUP(B152,Client_List!$B:$K,5,0)&amp;" AZ","")</f>
        <v>5171 W Bell Rd, Glendale AZ</v>
      </c>
      <c r="E152" s="24" t="str">
        <f>IFERROR(VLOOKUP(B152,Client_List!$B:$K,7,0)&amp;", "&amp;VLOOKUP(B152,Client_List!$B:$K,8,0),"")</f>
        <v>33.6386767, -112.1709561</v>
      </c>
      <c r="F152" s="26">
        <f>IFERROR(VLOOKUP(B152,Client_List!$B:$K,9,0),"")</f>
        <v>1050</v>
      </c>
      <c r="G152" s="27">
        <f>IFERROR(AVERAGEIFS(Delivery_Log!$I$4:$I$5000,Delivery_Log!$B$4:$B$5000,B152,Delivery_Log!$I$4:$I$5000,"&gt;"&amp;0),"")</f>
        <v>64.833333333333343</v>
      </c>
      <c r="H152" s="24" t="str">
        <f>IFERROR(VLOOKUP(B152,Client_List!$B:$K,10,0),"")</f>
        <v>CANOLA OIL</v>
      </c>
      <c r="I152" s="28">
        <f>IFERROR(_xlfn.MAXIFS(Delivery_Log!$A$4:$A$5000,Delivery_Log!$B$4:$B$5000,B152),"—")</f>
        <v>46115</v>
      </c>
      <c r="J152" s="29">
        <f t="shared" ca="1" si="20"/>
        <v>14</v>
      </c>
      <c r="K152" s="30">
        <f t="shared" ca="1" si="21"/>
        <v>142.33333333333326</v>
      </c>
      <c r="L152" s="30">
        <f t="shared" ca="1" si="22"/>
        <v>907.66666666666674</v>
      </c>
      <c r="M152" s="31">
        <f t="shared" ca="1" si="23"/>
        <v>2.1953727506426719</v>
      </c>
      <c r="N152" s="32" t="str">
        <f t="shared" ca="1" si="24"/>
        <v>YES</v>
      </c>
      <c r="O152" s="43" t="s">
        <v>47</v>
      </c>
      <c r="P152" s="24">
        <v>6</v>
      </c>
      <c r="Q152" s="34"/>
      <c r="R152" s="24"/>
    </row>
    <row r="153" spans="1:18" ht="15" customHeight="1" x14ac:dyDescent="0.2">
      <c r="A153" s="24" t="s">
        <v>333</v>
      </c>
      <c r="B153" s="25" t="s">
        <v>334</v>
      </c>
      <c r="C153" s="11" t="s">
        <v>57</v>
      </c>
      <c r="D153" s="25" t="str">
        <f>IFERROR(VLOOKUP(B153,Client_List!$B:$K,4,0)&amp;", "&amp;VLOOKUP(B153,Client_List!$B:$K,5,0)&amp;" AZ","")</f>
        <v>1744 S VAL VISTA DR, MESA AZ</v>
      </c>
      <c r="E153" s="24" t="str">
        <f>IFERROR(VLOOKUP(B153,Client_List!$B:$K,7,0)&amp;", "&amp;VLOOKUP(B153,Client_List!$B:$K,8,0),"")</f>
        <v>33.3833265, -111.7569014</v>
      </c>
      <c r="F153" s="26">
        <f>IFERROR(VLOOKUP(B153,Client_List!$B:$K,9,0),"")</f>
        <v>1050</v>
      </c>
      <c r="G153" s="27">
        <f>IFERROR(AVERAGEIFS(Delivery_Log!$I$4:$I$5000,Delivery_Log!$B$4:$B$5000,B153,Delivery_Log!$I$4:$I$5000,"&gt;"&amp;0),"")</f>
        <v>51.489893162393159</v>
      </c>
      <c r="H153" s="24" t="str">
        <f>IFERROR(VLOOKUP(B153,Client_List!$B:$K,10,0),"")</f>
        <v>CANOLA OIL</v>
      </c>
      <c r="I153" s="28">
        <f>IFERROR(_xlfn.MAXIFS(Delivery_Log!$A$4:$A$5000,Delivery_Log!$B$4:$B$5000,B153),"—")</f>
        <v>46116</v>
      </c>
      <c r="J153" s="29">
        <f t="shared" ca="1" si="20"/>
        <v>13</v>
      </c>
      <c r="K153" s="30">
        <f t="shared" ca="1" si="21"/>
        <v>380.63138888888898</v>
      </c>
      <c r="L153" s="30">
        <f t="shared" ca="1" si="22"/>
        <v>669.36861111111102</v>
      </c>
      <c r="M153" s="31">
        <f t="shared" ca="1" si="23"/>
        <v>7.3923514987382415</v>
      </c>
      <c r="N153" s="32" t="str">
        <f t="shared" ca="1" si="24"/>
        <v>—</v>
      </c>
      <c r="O153" s="43" t="s">
        <v>47</v>
      </c>
      <c r="P153" s="24">
        <v>6</v>
      </c>
      <c r="Q153" s="34"/>
      <c r="R153" s="24"/>
    </row>
    <row r="154" spans="1:18" ht="15" customHeight="1" x14ac:dyDescent="0.2">
      <c r="A154" s="35" t="s">
        <v>335</v>
      </c>
      <c r="B154" s="36" t="s">
        <v>336</v>
      </c>
      <c r="C154" s="3" t="s">
        <v>39</v>
      </c>
      <c r="D154" s="36" t="str">
        <f>IFERROR(VLOOKUP(B154,Client_List!$B:$K,4,0)&amp;", "&amp;VLOOKUP(B154,Client_List!$B:$K,5,0)&amp;" AZ","")</f>
        <v>10199 E BELL RD, SCOTTSDALE AZ</v>
      </c>
      <c r="E154" s="35" t="str">
        <f>IFERROR(VLOOKUP(B154,Client_List!$B:$K,7,0)&amp;", "&amp;VLOOKUP(B154,Client_List!$B:$K,8,0),"")</f>
        <v>33.6395371, -111.8617453</v>
      </c>
      <c r="F154" s="37">
        <f>IFERROR(VLOOKUP(B154,Client_List!$B:$K,9,0),"")</f>
        <v>1050</v>
      </c>
      <c r="G154" s="27">
        <f>IFERROR(AVERAGEIFS(Delivery_Log!$I$4:$I$5000,Delivery_Log!$B$4:$B$5000,B154,Delivery_Log!$I$4:$I$5000,"&gt;"&amp;0),"")</f>
        <v>90.415064102564116</v>
      </c>
      <c r="H154" s="35" t="str">
        <f>IFERROR(VLOOKUP(B154,Client_List!$B:$K,10,0),"")</f>
        <v>CANOLA OIL</v>
      </c>
      <c r="I154" s="28">
        <f>IFERROR(_xlfn.MAXIFS(Delivery_Log!$A$4:$A$5000,Delivery_Log!$B$4:$B$5000,B154),"—")</f>
        <v>46121</v>
      </c>
      <c r="J154" s="29">
        <f t="shared" ca="1" si="20"/>
        <v>8</v>
      </c>
      <c r="K154" s="30">
        <f t="shared" ca="1" si="21"/>
        <v>326.67948717948707</v>
      </c>
      <c r="L154" s="30">
        <f t="shared" ca="1" si="22"/>
        <v>723.32051282051293</v>
      </c>
      <c r="M154" s="31">
        <f t="shared" ca="1" si="23"/>
        <v>3.6131090590049433</v>
      </c>
      <c r="N154" s="38" t="str">
        <f t="shared" ca="1" si="24"/>
        <v>YES</v>
      </c>
      <c r="O154" s="39" t="s">
        <v>36</v>
      </c>
      <c r="P154" s="35">
        <v>8</v>
      </c>
      <c r="Q154" s="34"/>
      <c r="R154" s="35"/>
    </row>
    <row r="155" spans="1:18" ht="15" customHeight="1" x14ac:dyDescent="0.2">
      <c r="A155" s="24" t="s">
        <v>337</v>
      </c>
      <c r="B155" s="25" t="s">
        <v>338</v>
      </c>
      <c r="C155" s="3" t="s">
        <v>39</v>
      </c>
      <c r="D155" s="25" t="str">
        <f>IFERROR(VLOOKUP(B155,Client_List!$B:$K,4,0)&amp;", "&amp;VLOOKUP(B155,Client_List!$B:$K,5,0)&amp;" AZ","")</f>
        <v>THE HERMOSA INN, Paradise Vly AZ</v>
      </c>
      <c r="E155" s="24" t="str">
        <f>IFERROR(VLOOKUP(B155,Client_List!$B:$K,7,0)&amp;", "&amp;VLOOKUP(B155,Client_List!$B:$K,8,0),"")</f>
        <v>33.5183357, -112.0049045</v>
      </c>
      <c r="F155" s="26">
        <f>IFERROR(VLOOKUP(B155,Client_List!$B:$K,9,0),"")</f>
        <v>1050</v>
      </c>
      <c r="G155" s="27">
        <f>IFERROR(AVERAGEIFS(Delivery_Log!$I$4:$I$5000,Delivery_Log!$B$4:$B$5000,B155,Delivery_Log!$I$4:$I$5000,"&gt;"&amp;0),"")</f>
        <v>42.982112794612796</v>
      </c>
      <c r="H155" s="24" t="str">
        <f>IFERROR(VLOOKUP(B155,Client_List!$B:$K,10,0),"")</f>
        <v>CANOLA OIL</v>
      </c>
      <c r="I155" s="28">
        <f>IFERROR(_xlfn.MAXIFS(Delivery_Log!$A$4:$A$5000,Delivery_Log!$B$4:$B$5000,B155),"—")</f>
        <v>46122</v>
      </c>
      <c r="J155" s="29">
        <f t="shared" ca="1" si="20"/>
        <v>7</v>
      </c>
      <c r="K155" s="30">
        <f t="shared" ca="1" si="21"/>
        <v>749.12521043771039</v>
      </c>
      <c r="L155" s="30">
        <f t="shared" ca="1" si="22"/>
        <v>300.87478956228961</v>
      </c>
      <c r="M155" s="31">
        <f t="shared" ca="1" si="23"/>
        <v>17.428766566626354</v>
      </c>
      <c r="N155" s="32" t="str">
        <f t="shared" ca="1" si="24"/>
        <v>—</v>
      </c>
      <c r="O155" s="47" t="s">
        <v>88</v>
      </c>
      <c r="P155" s="24">
        <v>4</v>
      </c>
      <c r="Q155" s="34"/>
      <c r="R155" s="24"/>
    </row>
    <row r="156" spans="1:18" ht="15" customHeight="1" x14ac:dyDescent="0.2">
      <c r="A156" s="40" t="s">
        <v>339</v>
      </c>
      <c r="B156" s="41" t="s">
        <v>340</v>
      </c>
      <c r="C156" s="12" t="s">
        <v>32</v>
      </c>
      <c r="D156" s="41" t="str">
        <f>IFERROR(VLOOKUP(B156,Client_List!$B:$K,4,0)&amp;", "&amp;VLOOKUP(B156,Client_List!$B:$K,5,0)&amp;" AZ","")</f>
        <v>TIM FINNEGANS, Glendale AZ</v>
      </c>
      <c r="E156" s="40" t="str">
        <f>IFERROR(VLOOKUP(B156,Client_List!$B:$K,7,0)&amp;", "&amp;VLOOKUP(B156,Client_List!$B:$K,8,0),"")</f>
        <v>33.6404709, -112.1860298</v>
      </c>
      <c r="F156" s="42">
        <f>IFERROR(VLOOKUP(B156,Client_List!$B:$K,9,0),"")</f>
        <v>300</v>
      </c>
      <c r="G156" s="27">
        <f>IFERROR(AVERAGEIFS(Delivery_Log!$I$4:$I$5000,Delivery_Log!$B$4:$B$5000,B156,Delivery_Log!$I$4:$I$5000,"&gt;"&amp;0),"")</f>
        <v>30.189941724941725</v>
      </c>
      <c r="H156" s="40" t="str">
        <f>IFERROR(VLOOKUP(B156,Client_List!$B:$K,10,0),"")</f>
        <v>FRYERS CHOICE BLEND</v>
      </c>
      <c r="I156" s="28">
        <f>IFERROR(_xlfn.MAXIFS(Delivery_Log!$A$4:$A$5000,Delivery_Log!$B$4:$B$5000,B156),"—")</f>
        <v>46120</v>
      </c>
      <c r="J156" s="29">
        <f t="shared" ca="1" si="20"/>
        <v>9</v>
      </c>
      <c r="K156" s="30">
        <f t="shared" ca="1" si="21"/>
        <v>28.290524475524478</v>
      </c>
      <c r="L156" s="30">
        <f t="shared" ca="1" si="22"/>
        <v>271.70947552447552</v>
      </c>
      <c r="M156" s="31">
        <f t="shared" ca="1" si="23"/>
        <v>0.93708443471926195</v>
      </c>
      <c r="N156" s="38" t="str">
        <f t="shared" ca="1" si="24"/>
        <v>YES</v>
      </c>
      <c r="O156" s="39" t="s">
        <v>36</v>
      </c>
      <c r="P156" s="40">
        <v>10</v>
      </c>
      <c r="Q156" s="34"/>
      <c r="R156" s="40"/>
    </row>
    <row r="157" spans="1:18" ht="15" customHeight="1" x14ac:dyDescent="0.2">
      <c r="A157" s="44" t="s">
        <v>341</v>
      </c>
      <c r="B157" s="45" t="s">
        <v>342</v>
      </c>
      <c r="C157" s="3" t="s">
        <v>39</v>
      </c>
      <c r="D157" s="45" t="str">
        <f>IFERROR(VLOOKUP(B157,Client_List!$B:$K,4,0)&amp;", "&amp;VLOOKUP(B157,Client_List!$B:$K,5,0)&amp;" AZ","")</f>
        <v>5736 E RANCHO MANANA BLVD, CAVE CREEK AZ</v>
      </c>
      <c r="E157" s="44" t="str">
        <f>IFERROR(VLOOKUP(B157,Client_List!$B:$K,7,0)&amp;", "&amp;VLOOKUP(B157,Client_List!$B:$K,8,0),"")</f>
        <v>33.8331529, -111.9561758</v>
      </c>
      <c r="F157" s="46">
        <f>IFERROR(VLOOKUP(B157,Client_List!$B:$K,9,0),"")</f>
        <v>630</v>
      </c>
      <c r="G157" s="27">
        <f>IFERROR(AVERAGEIFS(Delivery_Log!$I$4:$I$5000,Delivery_Log!$B$4:$B$5000,B157,Delivery_Log!$I$4:$I$5000,"&gt;"&amp;0),"")</f>
        <v>35.187998905856048</v>
      </c>
      <c r="H157" s="44" t="str">
        <f>IFERROR(VLOOKUP(B157,Client_List!$B:$K,10,0),"")</f>
        <v>FRYERS CHOICE BLEND</v>
      </c>
      <c r="I157" s="28">
        <f>IFERROR(_xlfn.MAXIFS(Delivery_Log!$A$4:$A$5000,Delivery_Log!$B$4:$B$5000,B157),"—")</f>
        <v>46122</v>
      </c>
      <c r="J157" s="29">
        <f t="shared" ca="1" si="20"/>
        <v>7</v>
      </c>
      <c r="K157" s="30">
        <f t="shared" ca="1" si="21"/>
        <v>383.68400765900765</v>
      </c>
      <c r="L157" s="30">
        <f t="shared" ca="1" si="22"/>
        <v>246.31599234099235</v>
      </c>
      <c r="M157" s="31">
        <f t="shared" ca="1" si="23"/>
        <v>10.903831408132568</v>
      </c>
      <c r="N157" s="38" t="str">
        <f t="shared" ca="1" si="24"/>
        <v>—</v>
      </c>
      <c r="O157" s="43" t="s">
        <v>47</v>
      </c>
      <c r="P157" s="44">
        <v>7</v>
      </c>
      <c r="Q157" s="34"/>
      <c r="R157" s="44"/>
    </row>
    <row r="158" spans="1:18" ht="15" customHeight="1" x14ac:dyDescent="0.2">
      <c r="A158" s="24" t="s">
        <v>343</v>
      </c>
      <c r="B158" s="25" t="s">
        <v>344</v>
      </c>
      <c r="C158" s="12" t="s">
        <v>32</v>
      </c>
      <c r="D158" s="25" t="str">
        <f>IFERROR(VLOOKUP(B158,Client_List!$B:$K,4,0)&amp;", "&amp;VLOOKUP(B158,Client_List!$B:$K,5,0)&amp;" AZ","")</f>
        <v>18913 N 83Rd Ave, Peoria AZ</v>
      </c>
      <c r="E158" s="24" t="str">
        <f>IFERROR(VLOOKUP(B158,Client_List!$B:$K,7,0)&amp;", "&amp;VLOOKUP(B158,Client_List!$B:$K,8,0),"")</f>
        <v>33.65575, -112.2370715</v>
      </c>
      <c r="F158" s="26">
        <f>IFERROR(VLOOKUP(B158,Client_List!$B:$K,9,0),"")</f>
        <v>1200</v>
      </c>
      <c r="G158" s="27">
        <f>IFERROR(AVERAGEIFS(Delivery_Log!$I$4:$I$5000,Delivery_Log!$B$4:$B$5000,B158,Delivery_Log!$I$4:$I$5000,"&gt;"&amp;0),"")</f>
        <v>56.321245421245422</v>
      </c>
      <c r="H158" s="24" t="str">
        <f>IFERROR(VLOOKUP(B158,Client_List!$B:$K,10,0),"")</f>
        <v>FRYERS CHOICE BLEND</v>
      </c>
      <c r="I158" s="28">
        <f>IFERROR(_xlfn.MAXIFS(Delivery_Log!$A$4:$A$5000,Delivery_Log!$B$4:$B$5000,B158),"—")</f>
        <v>46107</v>
      </c>
      <c r="J158" s="29">
        <f t="shared" ca="1" si="20"/>
        <v>22</v>
      </c>
      <c r="K158" s="30">
        <f t="shared" ca="1" si="21"/>
        <v>36</v>
      </c>
      <c r="L158" s="30">
        <f t="shared" ca="1" si="22"/>
        <v>1164</v>
      </c>
      <c r="M158" s="31">
        <f t="shared" ca="1" si="23"/>
        <v>0.63919041084308359</v>
      </c>
      <c r="N158" s="32" t="str">
        <f t="shared" ca="1" si="24"/>
        <v>YES</v>
      </c>
      <c r="O158" s="39" t="s">
        <v>36</v>
      </c>
      <c r="P158" s="24">
        <v>6</v>
      </c>
      <c r="Q158" s="34"/>
      <c r="R158" s="24"/>
    </row>
    <row r="159" spans="1:18" ht="15" customHeight="1" x14ac:dyDescent="0.2">
      <c r="A159" s="24" t="s">
        <v>345</v>
      </c>
      <c r="B159" s="25" t="s">
        <v>346</v>
      </c>
      <c r="C159" s="8" t="s">
        <v>52</v>
      </c>
      <c r="D159" s="25" t="str">
        <f>IFERROR(VLOOKUP(B159,Client_List!$B:$K,4,0)&amp;", "&amp;VLOOKUP(B159,Client_List!$B:$K,5,0)&amp;" AZ","")</f>
        <v>3217 E Shea Blvd, Phoenix AZ</v>
      </c>
      <c r="E159" s="24" t="str">
        <f>IFERROR(VLOOKUP(B159,Client_List!$B:$K,7,0)&amp;", "&amp;VLOOKUP(B159,Client_List!$B:$K,8,0),"")</f>
        <v>33.5821122, -112.0121697</v>
      </c>
      <c r="F159" s="26">
        <f>IFERROR(VLOOKUP(B159,Client_List!$B:$K,9,0),"")</f>
        <v>1850</v>
      </c>
      <c r="G159" s="27">
        <f>IFERROR(AVERAGEIFS(Delivery_Log!$I$4:$I$5000,Delivery_Log!$B$4:$B$5000,B159,Delivery_Log!$I$4:$I$5000,"&gt;"&amp;0),"")</f>
        <v>36.700000000000003</v>
      </c>
      <c r="H159" s="24" t="str">
        <f>IFERROR(VLOOKUP(B159,Client_List!$B:$K,10,0),"")</f>
        <v>FRYERS CHOICE BLEND</v>
      </c>
      <c r="I159" s="28">
        <f>IFERROR(_xlfn.MAXIFS(Delivery_Log!$A$4:$A$5000,Delivery_Log!$B$4:$B$5000,B159),"—")</f>
        <v>46105</v>
      </c>
      <c r="J159" s="29">
        <f t="shared" ca="1" si="20"/>
        <v>24</v>
      </c>
      <c r="K159" s="30">
        <f t="shared" ca="1" si="21"/>
        <v>969.19999999999993</v>
      </c>
      <c r="L159" s="30">
        <f t="shared" ca="1" si="22"/>
        <v>880.80000000000007</v>
      </c>
      <c r="M159" s="31">
        <f t="shared" ca="1" si="23"/>
        <v>21</v>
      </c>
      <c r="N159" s="32" t="str">
        <f t="shared" ca="1" si="24"/>
        <v>—</v>
      </c>
      <c r="O159" s="33" t="s">
        <v>33</v>
      </c>
      <c r="P159" s="24">
        <v>3</v>
      </c>
      <c r="Q159" s="34"/>
      <c r="R159" s="24"/>
    </row>
    <row r="160" spans="1:18" ht="15" customHeight="1" x14ac:dyDescent="0.2">
      <c r="A160" s="24" t="s">
        <v>347</v>
      </c>
      <c r="B160" s="25" t="s">
        <v>348</v>
      </c>
      <c r="C160" s="12" t="s">
        <v>32</v>
      </c>
      <c r="D160" s="25" t="str">
        <f>IFERROR(VLOOKUP(B160,Client_List!$B:$K,4,0)&amp;", "&amp;VLOOKUP(B160,Client_List!$B:$K,5,0)&amp;" AZ","")</f>
        <v/>
      </c>
      <c r="E160" s="24" t="str">
        <f>IFERROR(VLOOKUP(B160,Client_List!$B:$K,7,0)&amp;", "&amp;VLOOKUP(B160,Client_List!$B:$K,8,0),"")</f>
        <v/>
      </c>
      <c r="F160" s="26" t="str">
        <f>IFERROR(VLOOKUP(B160,Client_List!$B:$K,9,0),"")</f>
        <v/>
      </c>
      <c r="G160" s="27" t="str">
        <f>IFERROR(AVERAGEIFS(Delivery_Log!$I$4:$I$5000,Delivery_Log!$B$4:$B$5000,B160,Delivery_Log!$I$4:$I$5000,"&gt;"&amp;0),"")</f>
        <v/>
      </c>
      <c r="H160" s="24" t="str">
        <f>IFERROR(VLOOKUP(B160,Client_List!$B:$K,10,0),"")</f>
        <v/>
      </c>
      <c r="I160" s="28">
        <f>IFERROR(_xlfn.MAXIFS(Delivery_Log!$A$4:$A$5000,Delivery_Log!$B$4:$B$5000,B160),"—")</f>
        <v>0</v>
      </c>
      <c r="J160" s="29">
        <f t="shared" ca="1" si="20"/>
        <v>46129</v>
      </c>
      <c r="K160" s="30" t="str">
        <f t="shared" ca="1" si="21"/>
        <v/>
      </c>
      <c r="L160" s="30" t="str">
        <f t="shared" ca="1" si="22"/>
        <v/>
      </c>
      <c r="M160" s="31" t="str">
        <f t="shared" ca="1" si="23"/>
        <v/>
      </c>
      <c r="N160" s="32" t="str">
        <f t="shared" ca="1" si="24"/>
        <v>—</v>
      </c>
      <c r="O160" s="33" t="s">
        <v>33</v>
      </c>
      <c r="P160" s="24">
        <v>2</v>
      </c>
      <c r="Q160" s="34"/>
      <c r="R160" s="24"/>
    </row>
    <row r="161" spans="1:18" ht="15" customHeight="1" x14ac:dyDescent="0.2">
      <c r="A161" s="24" t="s">
        <v>349</v>
      </c>
      <c r="B161" s="25" t="s">
        <v>350</v>
      </c>
      <c r="C161" s="12" t="s">
        <v>32</v>
      </c>
      <c r="D161" s="25" t="str">
        <f>IFERROR(VLOOKUP(B161,Client_List!$B:$K,4,0)&amp;", "&amp;VLOOKUP(B161,Client_List!$B:$K,5,0)&amp;" AZ","")</f>
        <v>9824 W NORTHERN AVE, PEORIA AZ</v>
      </c>
      <c r="E161" s="24" t="str">
        <f>IFERROR(VLOOKUP(B161,Client_List!$B:$K,7,0)&amp;", "&amp;VLOOKUP(B161,Client_List!$B:$K,8,0),"")</f>
        <v>33.5516186, -112.2709113</v>
      </c>
      <c r="F161" s="26">
        <f>IFERROR(VLOOKUP(B161,Client_List!$B:$K,9,0),"")</f>
        <v>1050</v>
      </c>
      <c r="G161" s="27">
        <f>IFERROR(AVERAGEIFS(Delivery_Log!$I$4:$I$5000,Delivery_Log!$B$4:$B$5000,B161,Delivery_Log!$I$4:$I$5000,"&gt;"&amp;0),"")</f>
        <v>75.303996598639444</v>
      </c>
      <c r="H161" s="24" t="str">
        <f>IFERROR(VLOOKUP(B161,Client_List!$B:$K,10,0),"")</f>
        <v>CANOLA OIL</v>
      </c>
      <c r="I161" s="28">
        <f>IFERROR(_xlfn.MAXIFS(Delivery_Log!$A$4:$A$5000,Delivery_Log!$B$4:$B$5000,B161),"—")</f>
        <v>46121</v>
      </c>
      <c r="J161" s="29">
        <f t="shared" ca="1" si="20"/>
        <v>8</v>
      </c>
      <c r="K161" s="30">
        <f t="shared" ca="1" si="21"/>
        <v>447.56802721088445</v>
      </c>
      <c r="L161" s="30">
        <f t="shared" ca="1" si="22"/>
        <v>602.43197278911555</v>
      </c>
      <c r="M161" s="31">
        <f t="shared" ca="1" si="23"/>
        <v>5.9434830477373479</v>
      </c>
      <c r="N161" s="32" t="str">
        <f t="shared" ca="1" si="24"/>
        <v>YES</v>
      </c>
      <c r="O161" s="43" t="s">
        <v>47</v>
      </c>
      <c r="P161" s="24">
        <v>7</v>
      </c>
      <c r="Q161" s="34"/>
      <c r="R161" s="24"/>
    </row>
    <row r="162" spans="1:18" ht="15" customHeight="1" x14ac:dyDescent="0.2">
      <c r="A162" s="24" t="s">
        <v>351</v>
      </c>
      <c r="B162" s="25" t="s">
        <v>352</v>
      </c>
      <c r="C162" s="3" t="s">
        <v>39</v>
      </c>
      <c r="D162" s="25" t="str">
        <f>IFERROR(VLOOKUP(B162,Client_List!$B:$K,4,0)&amp;", "&amp;VLOOKUP(B162,Client_List!$B:$K,5,0)&amp;" AZ","")</f>
        <v/>
      </c>
      <c r="E162" s="24" t="str">
        <f>IFERROR(VLOOKUP(B162,Client_List!$B:$K,7,0)&amp;", "&amp;VLOOKUP(B162,Client_List!$B:$K,8,0),"")</f>
        <v/>
      </c>
      <c r="F162" s="26" t="str">
        <f>IFERROR(VLOOKUP(B162,Client_List!$B:$K,9,0),"")</f>
        <v/>
      </c>
      <c r="G162" s="27" t="str">
        <f>IFERROR(AVERAGEIFS(Delivery_Log!$I$4:$I$5000,Delivery_Log!$B$4:$B$5000,B162,Delivery_Log!$I$4:$I$5000,"&gt;"&amp;0),"")</f>
        <v/>
      </c>
      <c r="H162" s="24" t="str">
        <f>IFERROR(VLOOKUP(B162,Client_List!$B:$K,10,0),"")</f>
        <v/>
      </c>
      <c r="I162" s="28">
        <f>IFERROR(_xlfn.MAXIFS(Delivery_Log!$A$4:$A$5000,Delivery_Log!$B$4:$B$5000,B162),"—")</f>
        <v>0</v>
      </c>
      <c r="J162" s="29">
        <f t="shared" ca="1" si="20"/>
        <v>46129</v>
      </c>
      <c r="K162" s="30" t="str">
        <f t="shared" ca="1" si="21"/>
        <v/>
      </c>
      <c r="L162" s="30" t="str">
        <f t="shared" ca="1" si="22"/>
        <v/>
      </c>
      <c r="M162" s="31" t="str">
        <f t="shared" ca="1" si="23"/>
        <v/>
      </c>
      <c r="N162" s="32" t="str">
        <f t="shared" ca="1" si="24"/>
        <v>—</v>
      </c>
      <c r="O162" s="39" t="s">
        <v>36</v>
      </c>
      <c r="P162" s="24">
        <v>5</v>
      </c>
      <c r="Q162" s="34"/>
      <c r="R162" s="24"/>
    </row>
  </sheetData>
  <mergeCells count="8">
    <mergeCell ref="A1:R1"/>
    <mergeCell ref="O4:P4"/>
    <mergeCell ref="Q4:R4"/>
    <mergeCell ref="A3:R3"/>
    <mergeCell ref="K4:N4"/>
    <mergeCell ref="A4:E4"/>
    <mergeCell ref="I4:J4"/>
    <mergeCell ref="F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793</v>
      </c>
    </row>
    <row r="2" spans="1:5" x14ac:dyDescent="0.2">
      <c r="A2" t="s">
        <v>794</v>
      </c>
    </row>
    <row r="3" spans="1:5" x14ac:dyDescent="0.2">
      <c r="A3" t="s">
        <v>795</v>
      </c>
      <c r="B3" t="s">
        <v>796</v>
      </c>
      <c r="C3" t="s">
        <v>797</v>
      </c>
      <c r="D3" t="s">
        <v>798</v>
      </c>
      <c r="E3" t="s">
        <v>29</v>
      </c>
    </row>
    <row r="4" spans="1:5" x14ac:dyDescent="0.2">
      <c r="A4" t="s">
        <v>799</v>
      </c>
      <c r="B4" t="s">
        <v>800</v>
      </c>
      <c r="C4" t="s">
        <v>801</v>
      </c>
      <c r="D4" t="s">
        <v>802</v>
      </c>
      <c r="E4" t="s">
        <v>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804</v>
      </c>
    </row>
    <row r="2" spans="1:4" x14ac:dyDescent="0.2">
      <c r="A2" t="s">
        <v>805</v>
      </c>
    </row>
    <row r="3" spans="1:4" x14ac:dyDescent="0.2">
      <c r="A3" t="s">
        <v>795</v>
      </c>
      <c r="B3" t="s">
        <v>806</v>
      </c>
      <c r="C3" t="s">
        <v>807</v>
      </c>
      <c r="D3" t="s">
        <v>808</v>
      </c>
    </row>
    <row r="4" spans="1:4" x14ac:dyDescent="0.2">
      <c r="A4" t="s">
        <v>799</v>
      </c>
      <c r="B4" t="s">
        <v>809</v>
      </c>
      <c r="C4" t="s">
        <v>810</v>
      </c>
      <c r="D4" t="s">
        <v>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ColWidth="8.83203125" defaultRowHeight="15" x14ac:dyDescent="0.2"/>
  <cols>
    <col min="2" max="2" width="15.5" customWidth="1"/>
  </cols>
  <sheetData>
    <row r="1" spans="1:4" x14ac:dyDescent="0.2">
      <c r="A1" t="s">
        <v>812</v>
      </c>
    </row>
    <row r="2" spans="1:4" x14ac:dyDescent="0.2">
      <c r="A2" t="s">
        <v>813</v>
      </c>
      <c r="B2" t="s">
        <v>814</v>
      </c>
      <c r="C2" t="s">
        <v>815</v>
      </c>
      <c r="D2" t="s">
        <v>816</v>
      </c>
    </row>
    <row r="3" spans="1:4" x14ac:dyDescent="0.2">
      <c r="A3" t="s">
        <v>817</v>
      </c>
      <c r="B3">
        <v>10000</v>
      </c>
      <c r="C3">
        <v>152.6</v>
      </c>
      <c r="D3">
        <v>18</v>
      </c>
    </row>
    <row r="4" spans="1:4" x14ac:dyDescent="0.2">
      <c r="A4" t="s">
        <v>818</v>
      </c>
      <c r="B4">
        <v>10000</v>
      </c>
      <c r="C4">
        <v>206</v>
      </c>
      <c r="D4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819</v>
      </c>
    </row>
    <row r="2" spans="1:2" x14ac:dyDescent="0.2">
      <c r="A2" t="s">
        <v>820</v>
      </c>
      <c r="B2" t="s">
        <v>821</v>
      </c>
    </row>
    <row r="3" spans="1:2" x14ac:dyDescent="0.2">
      <c r="A3" t="s">
        <v>822</v>
      </c>
      <c r="B3">
        <v>33.5152</v>
      </c>
    </row>
    <row r="4" spans="1:2" x14ac:dyDescent="0.2">
      <c r="A4" t="s">
        <v>823</v>
      </c>
      <c r="B4">
        <v>-112.1674</v>
      </c>
    </row>
    <row r="5" spans="1:2" x14ac:dyDescent="0.2">
      <c r="A5" t="s">
        <v>824</v>
      </c>
      <c r="B5" t="s">
        <v>825</v>
      </c>
    </row>
    <row r="6" spans="1:2" x14ac:dyDescent="0.2">
      <c r="A6" t="s">
        <v>826</v>
      </c>
      <c r="B6" t="s">
        <v>827</v>
      </c>
    </row>
    <row r="7" spans="1:2" x14ac:dyDescent="0.2">
      <c r="A7" t="s">
        <v>828</v>
      </c>
      <c r="B7">
        <v>30</v>
      </c>
    </row>
    <row r="8" spans="1:2" x14ac:dyDescent="0.2">
      <c r="A8" t="s">
        <v>829</v>
      </c>
      <c r="B8">
        <v>15</v>
      </c>
    </row>
    <row r="9" spans="1:2" x14ac:dyDescent="0.2">
      <c r="A9" t="s">
        <v>830</v>
      </c>
      <c r="B9" t="s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Delivery_Log</vt:lpstr>
      <vt:lpstr>Client_List</vt:lpstr>
      <vt:lpstr>Optimizer_Input</vt:lpstr>
      <vt:lpstr>Client_Time_Windows</vt:lpstr>
      <vt:lpstr>Client_Closures</vt:lpstr>
      <vt:lpstr>Trucks</vt:lpstr>
      <vt:lpstr>Depot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Herrera Pinto</cp:lastModifiedBy>
  <dcterms:created xsi:type="dcterms:W3CDTF">2026-04-07T20:56:36Z</dcterms:created>
  <dcterms:modified xsi:type="dcterms:W3CDTF">2026-04-17T23:30:56Z</dcterms:modified>
</cp:coreProperties>
</file>