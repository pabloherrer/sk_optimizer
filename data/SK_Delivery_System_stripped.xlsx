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abloherrera/Documents/Claude/Projects/route optimization/sk_optimizer/data/"/>
    </mc:Choice>
  </mc:AlternateContent>
  <xr:revisionPtr revIDLastSave="0" documentId="13_ncr:1_{417FC90D-8200-584C-87AE-A2C96A2E5BFE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Delivery_Log" sheetId="1" r:id="rId1"/>
    <sheet name="Client_List" sheetId="2" r:id="rId2"/>
    <sheet name="Optimizer_Input" sheetId="3" r:id="rId3"/>
    <sheet name="Trucks" sheetId="4" r:id="rId4"/>
    <sheet name="Depot" sheetId="5" r:id="rId5"/>
    <sheet name="Client_Time_Windows" sheetId="6" r:id="rId6"/>
    <sheet name="Client_Closures" sheetId="7" r:id="rId7"/>
    <sheet name="Query" sheetId="8" r:id="rId8"/>
    <sheet name="Anova_Liv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" i="9" l="1"/>
  <c r="I54" i="9"/>
  <c r="H54" i="9"/>
  <c r="M54" i="9" s="1"/>
  <c r="G54" i="9"/>
  <c r="F54" i="9"/>
  <c r="E54" i="9"/>
  <c r="D54" i="9"/>
  <c r="C54" i="9"/>
  <c r="J53" i="9"/>
  <c r="I53" i="9"/>
  <c r="H53" i="9"/>
  <c r="M53" i="9" s="1"/>
  <c r="G53" i="9"/>
  <c r="F53" i="9"/>
  <c r="E53" i="9"/>
  <c r="D53" i="9"/>
  <c r="C53" i="9"/>
  <c r="J52" i="9"/>
  <c r="I52" i="9"/>
  <c r="H52" i="9"/>
  <c r="M52" i="9" s="1"/>
  <c r="G52" i="9"/>
  <c r="F52" i="9"/>
  <c r="E52" i="9"/>
  <c r="D52" i="9"/>
  <c r="C52" i="9"/>
  <c r="J51" i="9"/>
  <c r="I51" i="9"/>
  <c r="H51" i="9"/>
  <c r="M51" i="9" s="1"/>
  <c r="G51" i="9"/>
  <c r="F51" i="9"/>
  <c r="E51" i="9"/>
  <c r="D51" i="9"/>
  <c r="C51" i="9"/>
  <c r="J50" i="9"/>
  <c r="I50" i="9"/>
  <c r="H50" i="9"/>
  <c r="M50" i="9" s="1"/>
  <c r="G50" i="9"/>
  <c r="F50" i="9"/>
  <c r="E50" i="9"/>
  <c r="D50" i="9"/>
  <c r="C50" i="9"/>
  <c r="J49" i="9"/>
  <c r="I49" i="9"/>
  <c r="H49" i="9"/>
  <c r="M49" i="9" s="1"/>
  <c r="G49" i="9"/>
  <c r="F49" i="9"/>
  <c r="E49" i="9"/>
  <c r="D49" i="9"/>
  <c r="C49" i="9"/>
  <c r="J48" i="9"/>
  <c r="I48" i="9"/>
  <c r="H48" i="9"/>
  <c r="M48" i="9" s="1"/>
  <c r="G48" i="9"/>
  <c r="F48" i="9"/>
  <c r="E48" i="9"/>
  <c r="D48" i="9"/>
  <c r="C48" i="9"/>
  <c r="J47" i="9"/>
  <c r="I47" i="9"/>
  <c r="H47" i="9"/>
  <c r="M47" i="9" s="1"/>
  <c r="G47" i="9"/>
  <c r="F47" i="9"/>
  <c r="E47" i="9"/>
  <c r="D47" i="9"/>
  <c r="C47" i="9"/>
  <c r="J46" i="9"/>
  <c r="I46" i="9"/>
  <c r="H46" i="9"/>
  <c r="M46" i="9" s="1"/>
  <c r="G46" i="9"/>
  <c r="F46" i="9"/>
  <c r="E46" i="9"/>
  <c r="D46" i="9"/>
  <c r="C46" i="9"/>
  <c r="J45" i="9"/>
  <c r="I45" i="9"/>
  <c r="H45" i="9"/>
  <c r="M45" i="9" s="1"/>
  <c r="G45" i="9"/>
  <c r="F45" i="9"/>
  <c r="E45" i="9"/>
  <c r="D45" i="9"/>
  <c r="C45" i="9"/>
  <c r="J44" i="9"/>
  <c r="I44" i="9"/>
  <c r="H44" i="9"/>
  <c r="M44" i="9" s="1"/>
  <c r="G44" i="9"/>
  <c r="F44" i="9"/>
  <c r="E44" i="9"/>
  <c r="D44" i="9"/>
  <c r="C44" i="9"/>
  <c r="J43" i="9"/>
  <c r="I43" i="9"/>
  <c r="H43" i="9"/>
  <c r="M43" i="9" s="1"/>
  <c r="G43" i="9"/>
  <c r="F43" i="9"/>
  <c r="E43" i="9"/>
  <c r="D43" i="9"/>
  <c r="C43" i="9"/>
  <c r="J42" i="9"/>
  <c r="I42" i="9"/>
  <c r="H42" i="9"/>
  <c r="M42" i="9" s="1"/>
  <c r="G42" i="9"/>
  <c r="F42" i="9"/>
  <c r="E42" i="9"/>
  <c r="D42" i="9"/>
  <c r="C42" i="9"/>
  <c r="J41" i="9"/>
  <c r="I41" i="9"/>
  <c r="H41" i="9"/>
  <c r="M41" i="9" s="1"/>
  <c r="G41" i="9"/>
  <c r="F41" i="9"/>
  <c r="E41" i="9"/>
  <c r="D41" i="9"/>
  <c r="C41" i="9"/>
  <c r="J40" i="9"/>
  <c r="I40" i="9"/>
  <c r="H40" i="9"/>
  <c r="M40" i="9" s="1"/>
  <c r="G40" i="9"/>
  <c r="F40" i="9"/>
  <c r="E40" i="9"/>
  <c r="D40" i="9"/>
  <c r="C40" i="9"/>
  <c r="J39" i="9"/>
  <c r="I39" i="9"/>
  <c r="H39" i="9"/>
  <c r="M39" i="9" s="1"/>
  <c r="G39" i="9"/>
  <c r="F39" i="9"/>
  <c r="E39" i="9"/>
  <c r="D39" i="9"/>
  <c r="C39" i="9"/>
  <c r="J38" i="9"/>
  <c r="I38" i="9"/>
  <c r="H38" i="9"/>
  <c r="M38" i="9" s="1"/>
  <c r="G38" i="9"/>
  <c r="F38" i="9"/>
  <c r="E38" i="9"/>
  <c r="D38" i="9"/>
  <c r="C38" i="9"/>
  <c r="J37" i="9"/>
  <c r="I37" i="9"/>
  <c r="H37" i="9"/>
  <c r="M37" i="9" s="1"/>
  <c r="G37" i="9"/>
  <c r="F37" i="9"/>
  <c r="E37" i="9"/>
  <c r="D37" i="9"/>
  <c r="C37" i="9"/>
  <c r="J36" i="9"/>
  <c r="I36" i="9"/>
  <c r="H36" i="9"/>
  <c r="M36" i="9" s="1"/>
  <c r="G36" i="9"/>
  <c r="F36" i="9"/>
  <c r="E36" i="9"/>
  <c r="D36" i="9"/>
  <c r="C36" i="9"/>
  <c r="J35" i="9"/>
  <c r="I35" i="9"/>
  <c r="H35" i="9"/>
  <c r="M35" i="9" s="1"/>
  <c r="G35" i="9"/>
  <c r="F35" i="9"/>
  <c r="E35" i="9"/>
  <c r="D35" i="9"/>
  <c r="C35" i="9"/>
  <c r="J34" i="9"/>
  <c r="I34" i="9"/>
  <c r="H34" i="9"/>
  <c r="M34" i="9" s="1"/>
  <c r="G34" i="9"/>
  <c r="F34" i="9"/>
  <c r="E34" i="9"/>
  <c r="D34" i="9"/>
  <c r="C34" i="9"/>
  <c r="J33" i="9"/>
  <c r="I33" i="9"/>
  <c r="H33" i="9"/>
  <c r="M33" i="9" s="1"/>
  <c r="G33" i="9"/>
  <c r="F33" i="9"/>
  <c r="E33" i="9"/>
  <c r="D33" i="9"/>
  <c r="C33" i="9"/>
  <c r="J32" i="9"/>
  <c r="I32" i="9"/>
  <c r="H32" i="9"/>
  <c r="M32" i="9" s="1"/>
  <c r="G32" i="9"/>
  <c r="F32" i="9"/>
  <c r="E32" i="9"/>
  <c r="D32" i="9"/>
  <c r="C32" i="9"/>
  <c r="J31" i="9"/>
  <c r="I31" i="9"/>
  <c r="H31" i="9"/>
  <c r="M31" i="9" s="1"/>
  <c r="G31" i="9"/>
  <c r="F31" i="9"/>
  <c r="E31" i="9"/>
  <c r="D31" i="9"/>
  <c r="C31" i="9"/>
  <c r="J30" i="9"/>
  <c r="I30" i="9"/>
  <c r="H30" i="9"/>
  <c r="M30" i="9" s="1"/>
  <c r="G30" i="9"/>
  <c r="F30" i="9"/>
  <c r="E30" i="9"/>
  <c r="D30" i="9"/>
  <c r="C30" i="9"/>
  <c r="J29" i="9"/>
  <c r="I29" i="9"/>
  <c r="H29" i="9"/>
  <c r="M29" i="9" s="1"/>
  <c r="G29" i="9"/>
  <c r="F29" i="9"/>
  <c r="E29" i="9"/>
  <c r="D29" i="9"/>
  <c r="C29" i="9"/>
  <c r="J28" i="9"/>
  <c r="I28" i="9"/>
  <c r="H28" i="9"/>
  <c r="M28" i="9" s="1"/>
  <c r="G28" i="9"/>
  <c r="F28" i="9"/>
  <c r="E28" i="9"/>
  <c r="D28" i="9"/>
  <c r="C28" i="9"/>
  <c r="J27" i="9"/>
  <c r="I27" i="9"/>
  <c r="H27" i="9"/>
  <c r="M27" i="9" s="1"/>
  <c r="G27" i="9"/>
  <c r="F27" i="9"/>
  <c r="E27" i="9"/>
  <c r="D27" i="9"/>
  <c r="C27" i="9"/>
  <c r="J26" i="9"/>
  <c r="I26" i="9"/>
  <c r="H26" i="9"/>
  <c r="M26" i="9" s="1"/>
  <c r="G26" i="9"/>
  <c r="F26" i="9"/>
  <c r="E26" i="9"/>
  <c r="D26" i="9"/>
  <c r="C26" i="9"/>
  <c r="J25" i="9"/>
  <c r="I25" i="9"/>
  <c r="H25" i="9"/>
  <c r="M25" i="9" s="1"/>
  <c r="G25" i="9"/>
  <c r="F25" i="9"/>
  <c r="E25" i="9"/>
  <c r="D25" i="9"/>
  <c r="C25" i="9"/>
  <c r="J24" i="9"/>
  <c r="I24" i="9"/>
  <c r="H24" i="9"/>
  <c r="M24" i="9" s="1"/>
  <c r="G24" i="9"/>
  <c r="F24" i="9"/>
  <c r="E24" i="9"/>
  <c r="D24" i="9"/>
  <c r="C24" i="9"/>
  <c r="J23" i="9"/>
  <c r="I23" i="9"/>
  <c r="H23" i="9"/>
  <c r="M23" i="9" s="1"/>
  <c r="G23" i="9"/>
  <c r="F23" i="9"/>
  <c r="E23" i="9"/>
  <c r="D23" i="9"/>
  <c r="C23" i="9"/>
  <c r="J22" i="9"/>
  <c r="I22" i="9"/>
  <c r="H22" i="9"/>
  <c r="M22" i="9" s="1"/>
  <c r="G22" i="9"/>
  <c r="F22" i="9"/>
  <c r="E22" i="9"/>
  <c r="D22" i="9"/>
  <c r="C22" i="9"/>
  <c r="J21" i="9"/>
  <c r="I21" i="9"/>
  <c r="H21" i="9"/>
  <c r="M21" i="9" s="1"/>
  <c r="G21" i="9"/>
  <c r="F21" i="9"/>
  <c r="E21" i="9"/>
  <c r="D21" i="9"/>
  <c r="C21" i="9"/>
  <c r="J20" i="9"/>
  <c r="I20" i="9"/>
  <c r="H20" i="9"/>
  <c r="M20" i="9" s="1"/>
  <c r="G20" i="9"/>
  <c r="F20" i="9"/>
  <c r="E20" i="9"/>
  <c r="D20" i="9"/>
  <c r="C20" i="9"/>
  <c r="J19" i="9"/>
  <c r="I19" i="9"/>
  <c r="H19" i="9"/>
  <c r="M19" i="9" s="1"/>
  <c r="G19" i="9"/>
  <c r="F19" i="9"/>
  <c r="E19" i="9"/>
  <c r="D19" i="9"/>
  <c r="C19" i="9"/>
  <c r="J18" i="9"/>
  <c r="I18" i="9"/>
  <c r="H18" i="9"/>
  <c r="M18" i="9" s="1"/>
  <c r="G18" i="9"/>
  <c r="F18" i="9"/>
  <c r="E18" i="9"/>
  <c r="D18" i="9"/>
  <c r="C18" i="9"/>
  <c r="J17" i="9"/>
  <c r="I17" i="9"/>
  <c r="H17" i="9"/>
  <c r="M17" i="9" s="1"/>
  <c r="G17" i="9"/>
  <c r="F17" i="9"/>
  <c r="E17" i="9"/>
  <c r="D17" i="9"/>
  <c r="C17" i="9"/>
  <c r="J16" i="9"/>
  <c r="I16" i="9"/>
  <c r="H16" i="9"/>
  <c r="M16" i="9" s="1"/>
  <c r="G16" i="9"/>
  <c r="F16" i="9"/>
  <c r="E16" i="9"/>
  <c r="D16" i="9"/>
  <c r="C16" i="9"/>
  <c r="J15" i="9"/>
  <c r="I15" i="9"/>
  <c r="H15" i="9"/>
  <c r="M15" i="9" s="1"/>
  <c r="G15" i="9"/>
  <c r="F15" i="9"/>
  <c r="E15" i="9"/>
  <c r="D15" i="9"/>
  <c r="C15" i="9"/>
  <c r="J14" i="9"/>
  <c r="I14" i="9"/>
  <c r="H14" i="9"/>
  <c r="M14" i="9" s="1"/>
  <c r="G14" i="9"/>
  <c r="F14" i="9"/>
  <c r="E14" i="9"/>
  <c r="D14" i="9"/>
  <c r="C14" i="9"/>
  <c r="J13" i="9"/>
  <c r="I13" i="9"/>
  <c r="H13" i="9"/>
  <c r="M13" i="9" s="1"/>
  <c r="G13" i="9"/>
  <c r="F13" i="9"/>
  <c r="E13" i="9"/>
  <c r="D13" i="9"/>
  <c r="C13" i="9"/>
  <c r="J12" i="9"/>
  <c r="I12" i="9"/>
  <c r="H12" i="9"/>
  <c r="M12" i="9" s="1"/>
  <c r="G12" i="9"/>
  <c r="F12" i="9"/>
  <c r="E12" i="9"/>
  <c r="D12" i="9"/>
  <c r="C12" i="9"/>
  <c r="J11" i="9"/>
  <c r="I11" i="9"/>
  <c r="H11" i="9"/>
  <c r="M11" i="9" s="1"/>
  <c r="G11" i="9"/>
  <c r="F11" i="9"/>
  <c r="E11" i="9"/>
  <c r="D11" i="9"/>
  <c r="C11" i="9"/>
  <c r="J10" i="9"/>
  <c r="I10" i="9"/>
  <c r="H10" i="9"/>
  <c r="M10" i="9" s="1"/>
  <c r="G10" i="9"/>
  <c r="F10" i="9"/>
  <c r="E10" i="9"/>
  <c r="D10" i="9"/>
  <c r="C10" i="9"/>
  <c r="J9" i="9"/>
  <c r="I9" i="9"/>
  <c r="H9" i="9"/>
  <c r="M9" i="9" s="1"/>
  <c r="G9" i="9"/>
  <c r="F9" i="9"/>
  <c r="E9" i="9"/>
  <c r="D9" i="9"/>
  <c r="C9" i="9"/>
  <c r="J8" i="9"/>
  <c r="I8" i="9"/>
  <c r="H8" i="9"/>
  <c r="M8" i="9" s="1"/>
  <c r="G8" i="9"/>
  <c r="F8" i="9"/>
  <c r="E8" i="9"/>
  <c r="D8" i="9"/>
  <c r="C8" i="9"/>
  <c r="J7" i="9"/>
  <c r="I7" i="9"/>
  <c r="H7" i="9"/>
  <c r="M7" i="9" s="1"/>
  <c r="G7" i="9"/>
  <c r="F7" i="9"/>
  <c r="E7" i="9"/>
  <c r="D7" i="9"/>
  <c r="C7" i="9"/>
  <c r="J6" i="9"/>
  <c r="I6" i="9"/>
  <c r="H6" i="9"/>
  <c r="M6" i="9" s="1"/>
  <c r="G6" i="9"/>
  <c r="F6" i="9"/>
  <c r="E6" i="9"/>
  <c r="D6" i="9"/>
  <c r="C6" i="9"/>
  <c r="J5" i="9"/>
  <c r="I5" i="9"/>
  <c r="H5" i="9"/>
  <c r="M5" i="9" s="1"/>
  <c r="G5" i="9"/>
  <c r="F5" i="9"/>
  <c r="E5" i="9"/>
  <c r="D5" i="9"/>
  <c r="C5" i="9"/>
  <c r="J4" i="9"/>
  <c r="I4" i="9"/>
  <c r="H4" i="9"/>
  <c r="M4" i="9" s="1"/>
  <c r="W96" i="2" s="1"/>
  <c r="G4" i="9"/>
  <c r="F4" i="9"/>
  <c r="E4" i="9"/>
  <c r="D4" i="9"/>
  <c r="C4" i="9"/>
  <c r="J3" i="9"/>
  <c r="I3" i="9"/>
  <c r="H3" i="9"/>
  <c r="M3" i="9" s="1"/>
  <c r="W136" i="2" s="1"/>
  <c r="G3" i="9"/>
  <c r="F3" i="9"/>
  <c r="E3" i="9"/>
  <c r="D3" i="9"/>
  <c r="C3" i="9"/>
  <c r="J2" i="9"/>
  <c r="I2" i="9"/>
  <c r="H2" i="9"/>
  <c r="M2" i="9" s="1"/>
  <c r="W8" i="2" s="1"/>
  <c r="G2" i="9"/>
  <c r="F2" i="9"/>
  <c r="E2" i="9"/>
  <c r="D2" i="9"/>
  <c r="C2" i="9"/>
  <c r="T175" i="3"/>
  <c r="S175" i="3"/>
  <c r="U175" i="3" s="1"/>
  <c r="Q175" i="3"/>
  <c r="J175" i="3"/>
  <c r="K175" i="3" s="1"/>
  <c r="L175" i="3" s="1"/>
  <c r="I175" i="3"/>
  <c r="H175" i="3"/>
  <c r="G175" i="3"/>
  <c r="F175" i="3"/>
  <c r="E175" i="3"/>
  <c r="T174" i="3"/>
  <c r="S174" i="3"/>
  <c r="U174" i="3" s="1"/>
  <c r="Q174" i="3"/>
  <c r="J174" i="3"/>
  <c r="K174" i="3" s="1"/>
  <c r="L174" i="3" s="1"/>
  <c r="I174" i="3"/>
  <c r="H174" i="3"/>
  <c r="G174" i="3"/>
  <c r="F174" i="3"/>
  <c r="E174" i="3"/>
  <c r="T173" i="3"/>
  <c r="S173" i="3"/>
  <c r="U173" i="3" s="1"/>
  <c r="Q173" i="3"/>
  <c r="J173" i="3"/>
  <c r="K173" i="3" s="1"/>
  <c r="L173" i="3" s="1"/>
  <c r="I173" i="3"/>
  <c r="H173" i="3"/>
  <c r="G173" i="3"/>
  <c r="F173" i="3"/>
  <c r="E173" i="3"/>
  <c r="T172" i="3"/>
  <c r="S172" i="3"/>
  <c r="U172" i="3" s="1"/>
  <c r="Q172" i="3"/>
  <c r="J172" i="3"/>
  <c r="K172" i="3" s="1"/>
  <c r="L172" i="3" s="1"/>
  <c r="I172" i="3"/>
  <c r="H172" i="3"/>
  <c r="G172" i="3"/>
  <c r="F172" i="3"/>
  <c r="E172" i="3"/>
  <c r="T171" i="3"/>
  <c r="S171" i="3"/>
  <c r="U171" i="3" s="1"/>
  <c r="Q171" i="3"/>
  <c r="J171" i="3"/>
  <c r="K171" i="3" s="1"/>
  <c r="L171" i="3" s="1"/>
  <c r="I171" i="3"/>
  <c r="H171" i="3"/>
  <c r="G171" i="3"/>
  <c r="F171" i="3"/>
  <c r="E171" i="3"/>
  <c r="T170" i="3"/>
  <c r="S170" i="3"/>
  <c r="U170" i="3" s="1"/>
  <c r="Q170" i="3"/>
  <c r="J170" i="3"/>
  <c r="K170" i="3" s="1"/>
  <c r="L170" i="3" s="1"/>
  <c r="I170" i="3"/>
  <c r="H170" i="3"/>
  <c r="G170" i="3"/>
  <c r="F170" i="3"/>
  <c r="E170" i="3"/>
  <c r="T169" i="3"/>
  <c r="S169" i="3"/>
  <c r="U169" i="3" s="1"/>
  <c r="Q169" i="3"/>
  <c r="J169" i="3"/>
  <c r="K169" i="3" s="1"/>
  <c r="L169" i="3" s="1"/>
  <c r="I169" i="3"/>
  <c r="H169" i="3"/>
  <c r="G169" i="3"/>
  <c r="F169" i="3"/>
  <c r="E169" i="3"/>
  <c r="T168" i="3"/>
  <c r="S168" i="3"/>
  <c r="U168" i="3" s="1"/>
  <c r="Q168" i="3"/>
  <c r="J168" i="3"/>
  <c r="K168" i="3" s="1"/>
  <c r="L168" i="3" s="1"/>
  <c r="I168" i="3"/>
  <c r="H168" i="3"/>
  <c r="G168" i="3"/>
  <c r="F168" i="3"/>
  <c r="E168" i="3"/>
  <c r="T167" i="3"/>
  <c r="S167" i="3"/>
  <c r="U167" i="3" s="1"/>
  <c r="Q167" i="3"/>
  <c r="J167" i="3"/>
  <c r="K167" i="3" s="1"/>
  <c r="L167" i="3" s="1"/>
  <c r="I167" i="3"/>
  <c r="H167" i="3"/>
  <c r="G167" i="3"/>
  <c r="F167" i="3"/>
  <c r="E167" i="3"/>
  <c r="T166" i="3"/>
  <c r="S166" i="3"/>
  <c r="U166" i="3" s="1"/>
  <c r="Q166" i="3"/>
  <c r="J166" i="3"/>
  <c r="K166" i="3" s="1"/>
  <c r="L166" i="3" s="1"/>
  <c r="I166" i="3"/>
  <c r="H166" i="3"/>
  <c r="G166" i="3"/>
  <c r="F166" i="3"/>
  <c r="E166" i="3"/>
  <c r="T165" i="3"/>
  <c r="S165" i="3"/>
  <c r="U165" i="3" s="1"/>
  <c r="Q165" i="3"/>
  <c r="J165" i="3"/>
  <c r="K165" i="3" s="1"/>
  <c r="L165" i="3" s="1"/>
  <c r="I165" i="3"/>
  <c r="H165" i="3"/>
  <c r="G165" i="3"/>
  <c r="F165" i="3"/>
  <c r="E165" i="3"/>
  <c r="T164" i="3"/>
  <c r="S164" i="3"/>
  <c r="U164" i="3" s="1"/>
  <c r="Q164" i="3"/>
  <c r="J164" i="3"/>
  <c r="K164" i="3" s="1"/>
  <c r="L164" i="3" s="1"/>
  <c r="I164" i="3"/>
  <c r="H164" i="3"/>
  <c r="G164" i="3"/>
  <c r="F164" i="3"/>
  <c r="E164" i="3"/>
  <c r="T163" i="3"/>
  <c r="S163" i="3"/>
  <c r="U163" i="3" s="1"/>
  <c r="Q163" i="3"/>
  <c r="J163" i="3"/>
  <c r="K163" i="3" s="1"/>
  <c r="L163" i="3" s="1"/>
  <c r="I163" i="3"/>
  <c r="H163" i="3"/>
  <c r="G163" i="3"/>
  <c r="F163" i="3"/>
  <c r="E163" i="3"/>
  <c r="T162" i="3"/>
  <c r="S162" i="3"/>
  <c r="U162" i="3" s="1"/>
  <c r="Q162" i="3"/>
  <c r="J162" i="3"/>
  <c r="K162" i="3" s="1"/>
  <c r="L162" i="3" s="1"/>
  <c r="I162" i="3"/>
  <c r="H162" i="3"/>
  <c r="G162" i="3"/>
  <c r="F162" i="3"/>
  <c r="E162" i="3"/>
  <c r="T161" i="3"/>
  <c r="S161" i="3"/>
  <c r="U161" i="3" s="1"/>
  <c r="Q161" i="3"/>
  <c r="J161" i="3"/>
  <c r="K161" i="3" s="1"/>
  <c r="L161" i="3" s="1"/>
  <c r="I161" i="3"/>
  <c r="H161" i="3"/>
  <c r="G161" i="3"/>
  <c r="F161" i="3"/>
  <c r="E161" i="3"/>
  <c r="T160" i="3"/>
  <c r="S160" i="3"/>
  <c r="U160" i="3" s="1"/>
  <c r="Q160" i="3"/>
  <c r="J160" i="3"/>
  <c r="K160" i="3" s="1"/>
  <c r="L160" i="3" s="1"/>
  <c r="I160" i="3"/>
  <c r="H160" i="3"/>
  <c r="G160" i="3"/>
  <c r="F160" i="3"/>
  <c r="E160" i="3"/>
  <c r="T159" i="3"/>
  <c r="S159" i="3"/>
  <c r="U159" i="3" s="1"/>
  <c r="Q159" i="3"/>
  <c r="J159" i="3"/>
  <c r="K159" i="3" s="1"/>
  <c r="L159" i="3" s="1"/>
  <c r="I159" i="3"/>
  <c r="H159" i="3"/>
  <c r="G159" i="3"/>
  <c r="F159" i="3"/>
  <c r="E159" i="3"/>
  <c r="T158" i="3"/>
  <c r="S158" i="3"/>
  <c r="U158" i="3" s="1"/>
  <c r="Q158" i="3"/>
  <c r="J158" i="3"/>
  <c r="K158" i="3" s="1"/>
  <c r="L158" i="3" s="1"/>
  <c r="I158" i="3"/>
  <c r="H158" i="3"/>
  <c r="G158" i="3"/>
  <c r="F158" i="3"/>
  <c r="E158" i="3"/>
  <c r="T157" i="3"/>
  <c r="S157" i="3"/>
  <c r="U157" i="3" s="1"/>
  <c r="Q157" i="3"/>
  <c r="J157" i="3"/>
  <c r="K157" i="3" s="1"/>
  <c r="L157" i="3" s="1"/>
  <c r="I157" i="3"/>
  <c r="H157" i="3"/>
  <c r="G157" i="3"/>
  <c r="F157" i="3"/>
  <c r="E157" i="3"/>
  <c r="T156" i="3"/>
  <c r="S156" i="3"/>
  <c r="U156" i="3" s="1"/>
  <c r="Q156" i="3"/>
  <c r="J156" i="3"/>
  <c r="K156" i="3" s="1"/>
  <c r="L156" i="3" s="1"/>
  <c r="I156" i="3"/>
  <c r="H156" i="3"/>
  <c r="G156" i="3"/>
  <c r="F156" i="3"/>
  <c r="E156" i="3"/>
  <c r="T155" i="3"/>
  <c r="S155" i="3"/>
  <c r="U155" i="3" s="1"/>
  <c r="Q155" i="3"/>
  <c r="J155" i="3"/>
  <c r="K155" i="3" s="1"/>
  <c r="L155" i="3" s="1"/>
  <c r="I155" i="3"/>
  <c r="H155" i="3"/>
  <c r="G155" i="3"/>
  <c r="F155" i="3"/>
  <c r="E155" i="3"/>
  <c r="T154" i="3"/>
  <c r="S154" i="3"/>
  <c r="U154" i="3" s="1"/>
  <c r="Q154" i="3"/>
  <c r="J154" i="3"/>
  <c r="K154" i="3" s="1"/>
  <c r="L154" i="3" s="1"/>
  <c r="I154" i="3"/>
  <c r="H154" i="3"/>
  <c r="G154" i="3"/>
  <c r="F154" i="3"/>
  <c r="E154" i="3"/>
  <c r="T153" i="3"/>
  <c r="S153" i="3"/>
  <c r="U153" i="3" s="1"/>
  <c r="Q153" i="3"/>
  <c r="J153" i="3"/>
  <c r="K153" i="3" s="1"/>
  <c r="L153" i="3" s="1"/>
  <c r="I153" i="3"/>
  <c r="H153" i="3"/>
  <c r="G153" i="3"/>
  <c r="F153" i="3"/>
  <c r="E153" i="3"/>
  <c r="T152" i="3"/>
  <c r="S152" i="3"/>
  <c r="U152" i="3" s="1"/>
  <c r="Q152" i="3"/>
  <c r="J152" i="3"/>
  <c r="K152" i="3" s="1"/>
  <c r="L152" i="3" s="1"/>
  <c r="I152" i="3"/>
  <c r="H152" i="3"/>
  <c r="G152" i="3"/>
  <c r="F152" i="3"/>
  <c r="E152" i="3"/>
  <c r="T151" i="3"/>
  <c r="S151" i="3"/>
  <c r="U151" i="3" s="1"/>
  <c r="Q151" i="3"/>
  <c r="J151" i="3"/>
  <c r="K151" i="3" s="1"/>
  <c r="L151" i="3" s="1"/>
  <c r="I151" i="3"/>
  <c r="H151" i="3"/>
  <c r="G151" i="3"/>
  <c r="F151" i="3"/>
  <c r="E151" i="3"/>
  <c r="T150" i="3"/>
  <c r="S150" i="3"/>
  <c r="U150" i="3" s="1"/>
  <c r="Q150" i="3"/>
  <c r="J150" i="3"/>
  <c r="K150" i="3" s="1"/>
  <c r="L150" i="3" s="1"/>
  <c r="I150" i="3"/>
  <c r="H150" i="3"/>
  <c r="G150" i="3"/>
  <c r="F150" i="3"/>
  <c r="E150" i="3"/>
  <c r="T149" i="3"/>
  <c r="S149" i="3"/>
  <c r="U149" i="3" s="1"/>
  <c r="Q149" i="3"/>
  <c r="J149" i="3"/>
  <c r="K149" i="3" s="1"/>
  <c r="L149" i="3" s="1"/>
  <c r="I149" i="3"/>
  <c r="H149" i="3"/>
  <c r="G149" i="3"/>
  <c r="F149" i="3"/>
  <c r="E149" i="3"/>
  <c r="T148" i="3"/>
  <c r="S148" i="3"/>
  <c r="U148" i="3" s="1"/>
  <c r="Q148" i="3"/>
  <c r="J148" i="3"/>
  <c r="K148" i="3" s="1"/>
  <c r="L148" i="3" s="1"/>
  <c r="I148" i="3"/>
  <c r="H148" i="3"/>
  <c r="G148" i="3"/>
  <c r="F148" i="3"/>
  <c r="E148" i="3"/>
  <c r="T147" i="3"/>
  <c r="S147" i="3"/>
  <c r="U147" i="3" s="1"/>
  <c r="Q147" i="3"/>
  <c r="J147" i="3"/>
  <c r="K147" i="3" s="1"/>
  <c r="L147" i="3" s="1"/>
  <c r="I147" i="3"/>
  <c r="H147" i="3"/>
  <c r="G147" i="3"/>
  <c r="F147" i="3"/>
  <c r="E147" i="3"/>
  <c r="T146" i="3"/>
  <c r="S146" i="3"/>
  <c r="U146" i="3" s="1"/>
  <c r="Q146" i="3"/>
  <c r="J146" i="3"/>
  <c r="K146" i="3" s="1"/>
  <c r="L146" i="3" s="1"/>
  <c r="I146" i="3"/>
  <c r="H146" i="3"/>
  <c r="G146" i="3"/>
  <c r="F146" i="3"/>
  <c r="E146" i="3"/>
  <c r="T145" i="3"/>
  <c r="S145" i="3"/>
  <c r="U145" i="3" s="1"/>
  <c r="Q145" i="3"/>
  <c r="J145" i="3"/>
  <c r="K145" i="3" s="1"/>
  <c r="L145" i="3" s="1"/>
  <c r="I145" i="3"/>
  <c r="H145" i="3"/>
  <c r="G145" i="3"/>
  <c r="F145" i="3"/>
  <c r="E145" i="3"/>
  <c r="T144" i="3"/>
  <c r="S144" i="3"/>
  <c r="U144" i="3" s="1"/>
  <c r="Q144" i="3"/>
  <c r="J144" i="3"/>
  <c r="K144" i="3" s="1"/>
  <c r="L144" i="3" s="1"/>
  <c r="I144" i="3"/>
  <c r="H144" i="3"/>
  <c r="G144" i="3"/>
  <c r="F144" i="3"/>
  <c r="E144" i="3"/>
  <c r="T143" i="3"/>
  <c r="S143" i="3"/>
  <c r="U143" i="3" s="1"/>
  <c r="Q143" i="3"/>
  <c r="J143" i="3"/>
  <c r="K143" i="3" s="1"/>
  <c r="L143" i="3" s="1"/>
  <c r="I143" i="3"/>
  <c r="H143" i="3"/>
  <c r="G143" i="3"/>
  <c r="F143" i="3"/>
  <c r="E143" i="3"/>
  <c r="T142" i="3"/>
  <c r="S142" i="3"/>
  <c r="U142" i="3" s="1"/>
  <c r="Q142" i="3"/>
  <c r="J142" i="3"/>
  <c r="K142" i="3" s="1"/>
  <c r="L142" i="3" s="1"/>
  <c r="I142" i="3"/>
  <c r="H142" i="3"/>
  <c r="G142" i="3"/>
  <c r="F142" i="3"/>
  <c r="E142" i="3"/>
  <c r="T141" i="3"/>
  <c r="S141" i="3"/>
  <c r="U141" i="3" s="1"/>
  <c r="Q141" i="3"/>
  <c r="J141" i="3"/>
  <c r="K141" i="3" s="1"/>
  <c r="L141" i="3" s="1"/>
  <c r="I141" i="3"/>
  <c r="H141" i="3"/>
  <c r="G141" i="3"/>
  <c r="F141" i="3"/>
  <c r="E141" i="3"/>
  <c r="T140" i="3"/>
  <c r="S140" i="3"/>
  <c r="U140" i="3" s="1"/>
  <c r="Q140" i="3"/>
  <c r="J140" i="3"/>
  <c r="K140" i="3" s="1"/>
  <c r="L140" i="3" s="1"/>
  <c r="I140" i="3"/>
  <c r="H140" i="3"/>
  <c r="G140" i="3"/>
  <c r="F140" i="3"/>
  <c r="E140" i="3"/>
  <c r="T139" i="3"/>
  <c r="S139" i="3"/>
  <c r="U139" i="3" s="1"/>
  <c r="Q139" i="3"/>
  <c r="J139" i="3"/>
  <c r="K139" i="3" s="1"/>
  <c r="L139" i="3" s="1"/>
  <c r="I139" i="3"/>
  <c r="H139" i="3"/>
  <c r="G139" i="3"/>
  <c r="F139" i="3"/>
  <c r="E139" i="3"/>
  <c r="T138" i="3"/>
  <c r="S138" i="3"/>
  <c r="U138" i="3" s="1"/>
  <c r="Q138" i="3"/>
  <c r="J138" i="3"/>
  <c r="K138" i="3" s="1"/>
  <c r="L138" i="3" s="1"/>
  <c r="I138" i="3"/>
  <c r="H138" i="3"/>
  <c r="G138" i="3"/>
  <c r="F138" i="3"/>
  <c r="E138" i="3"/>
  <c r="T137" i="3"/>
  <c r="S137" i="3"/>
  <c r="U137" i="3" s="1"/>
  <c r="Q137" i="3"/>
  <c r="J137" i="3"/>
  <c r="K137" i="3" s="1"/>
  <c r="L137" i="3" s="1"/>
  <c r="I137" i="3"/>
  <c r="H137" i="3"/>
  <c r="G137" i="3"/>
  <c r="F137" i="3"/>
  <c r="E137" i="3"/>
  <c r="T136" i="3"/>
  <c r="S136" i="3"/>
  <c r="U136" i="3" s="1"/>
  <c r="Q136" i="3"/>
  <c r="J136" i="3"/>
  <c r="K136" i="3" s="1"/>
  <c r="L136" i="3" s="1"/>
  <c r="I136" i="3"/>
  <c r="H136" i="3"/>
  <c r="G136" i="3"/>
  <c r="F136" i="3"/>
  <c r="E136" i="3"/>
  <c r="T135" i="3"/>
  <c r="S135" i="3"/>
  <c r="U135" i="3" s="1"/>
  <c r="Q135" i="3"/>
  <c r="J135" i="3"/>
  <c r="K135" i="3" s="1"/>
  <c r="L135" i="3" s="1"/>
  <c r="I135" i="3"/>
  <c r="H135" i="3"/>
  <c r="G135" i="3"/>
  <c r="F135" i="3"/>
  <c r="E135" i="3"/>
  <c r="Q134" i="3"/>
  <c r="J134" i="3"/>
  <c r="K134" i="3" s="1"/>
  <c r="L134" i="3" s="1"/>
  <c r="I134" i="3"/>
  <c r="H134" i="3"/>
  <c r="G134" i="3"/>
  <c r="F134" i="3"/>
  <c r="E134" i="3"/>
  <c r="Q133" i="3"/>
  <c r="J133" i="3"/>
  <c r="K133" i="3" s="1"/>
  <c r="L133" i="3" s="1"/>
  <c r="I133" i="3"/>
  <c r="H133" i="3"/>
  <c r="G133" i="3"/>
  <c r="F133" i="3"/>
  <c r="E133" i="3"/>
  <c r="Q132" i="3"/>
  <c r="J132" i="3"/>
  <c r="K132" i="3" s="1"/>
  <c r="L132" i="3" s="1"/>
  <c r="I132" i="3"/>
  <c r="H132" i="3"/>
  <c r="G132" i="3"/>
  <c r="F132" i="3"/>
  <c r="E132" i="3"/>
  <c r="Q131" i="3"/>
  <c r="J131" i="3"/>
  <c r="K131" i="3" s="1"/>
  <c r="L131" i="3" s="1"/>
  <c r="I131" i="3"/>
  <c r="H131" i="3"/>
  <c r="G131" i="3"/>
  <c r="F131" i="3"/>
  <c r="E131" i="3"/>
  <c r="Q130" i="3"/>
  <c r="J130" i="3"/>
  <c r="K130" i="3" s="1"/>
  <c r="L130" i="3" s="1"/>
  <c r="I130" i="3"/>
  <c r="H130" i="3"/>
  <c r="G130" i="3"/>
  <c r="F130" i="3"/>
  <c r="E130" i="3"/>
  <c r="Q129" i="3"/>
  <c r="J129" i="3"/>
  <c r="K129" i="3" s="1"/>
  <c r="L129" i="3" s="1"/>
  <c r="I129" i="3"/>
  <c r="H129" i="3"/>
  <c r="G129" i="3"/>
  <c r="F129" i="3"/>
  <c r="E129" i="3"/>
  <c r="Q128" i="3"/>
  <c r="J128" i="3"/>
  <c r="K128" i="3" s="1"/>
  <c r="L128" i="3" s="1"/>
  <c r="I128" i="3"/>
  <c r="H128" i="3"/>
  <c r="G128" i="3"/>
  <c r="F128" i="3"/>
  <c r="E128" i="3"/>
  <c r="Q127" i="3"/>
  <c r="J127" i="3"/>
  <c r="K127" i="3" s="1"/>
  <c r="L127" i="3" s="1"/>
  <c r="I127" i="3"/>
  <c r="H127" i="3"/>
  <c r="G127" i="3"/>
  <c r="F127" i="3"/>
  <c r="E127" i="3"/>
  <c r="Q126" i="3"/>
  <c r="J126" i="3"/>
  <c r="K126" i="3" s="1"/>
  <c r="L126" i="3" s="1"/>
  <c r="I126" i="3"/>
  <c r="H126" i="3"/>
  <c r="G126" i="3"/>
  <c r="F126" i="3"/>
  <c r="E126" i="3"/>
  <c r="Q125" i="3"/>
  <c r="J125" i="3"/>
  <c r="K125" i="3" s="1"/>
  <c r="L125" i="3" s="1"/>
  <c r="I125" i="3"/>
  <c r="H125" i="3"/>
  <c r="G125" i="3"/>
  <c r="F125" i="3"/>
  <c r="E125" i="3"/>
  <c r="T124" i="3"/>
  <c r="S124" i="3"/>
  <c r="U124" i="3" s="1"/>
  <c r="Q124" i="3"/>
  <c r="J124" i="3"/>
  <c r="K124" i="3" s="1"/>
  <c r="L124" i="3" s="1"/>
  <c r="I124" i="3"/>
  <c r="H124" i="3"/>
  <c r="G124" i="3"/>
  <c r="F124" i="3"/>
  <c r="E124" i="3"/>
  <c r="T123" i="3"/>
  <c r="S123" i="3"/>
  <c r="U123" i="3" s="1"/>
  <c r="Q123" i="3"/>
  <c r="J123" i="3"/>
  <c r="K123" i="3" s="1"/>
  <c r="L123" i="3" s="1"/>
  <c r="I123" i="3"/>
  <c r="H123" i="3"/>
  <c r="G123" i="3"/>
  <c r="F123" i="3"/>
  <c r="E123" i="3"/>
  <c r="T122" i="3"/>
  <c r="S122" i="3"/>
  <c r="U122" i="3" s="1"/>
  <c r="Q122" i="3"/>
  <c r="J122" i="3"/>
  <c r="K122" i="3" s="1"/>
  <c r="L122" i="3" s="1"/>
  <c r="I122" i="3"/>
  <c r="H122" i="3"/>
  <c r="G122" i="3"/>
  <c r="F122" i="3"/>
  <c r="E122" i="3"/>
  <c r="T121" i="3"/>
  <c r="S121" i="3"/>
  <c r="U121" i="3" s="1"/>
  <c r="Q121" i="3"/>
  <c r="J121" i="3"/>
  <c r="K121" i="3" s="1"/>
  <c r="L121" i="3" s="1"/>
  <c r="I121" i="3"/>
  <c r="H121" i="3"/>
  <c r="G121" i="3"/>
  <c r="F121" i="3"/>
  <c r="E121" i="3"/>
  <c r="T120" i="3"/>
  <c r="S120" i="3"/>
  <c r="U120" i="3" s="1"/>
  <c r="Q120" i="3"/>
  <c r="J120" i="3"/>
  <c r="K120" i="3" s="1"/>
  <c r="L120" i="3" s="1"/>
  <c r="I120" i="3"/>
  <c r="H120" i="3"/>
  <c r="G120" i="3"/>
  <c r="F120" i="3"/>
  <c r="E120" i="3"/>
  <c r="T119" i="3"/>
  <c r="S119" i="3"/>
  <c r="U119" i="3" s="1"/>
  <c r="Q119" i="3"/>
  <c r="J119" i="3"/>
  <c r="K119" i="3" s="1"/>
  <c r="L119" i="3" s="1"/>
  <c r="I119" i="3"/>
  <c r="H119" i="3"/>
  <c r="G119" i="3"/>
  <c r="F119" i="3"/>
  <c r="E119" i="3"/>
  <c r="T118" i="3"/>
  <c r="S118" i="3"/>
  <c r="U118" i="3" s="1"/>
  <c r="Q118" i="3"/>
  <c r="J118" i="3"/>
  <c r="K118" i="3" s="1"/>
  <c r="L118" i="3" s="1"/>
  <c r="I118" i="3"/>
  <c r="H118" i="3"/>
  <c r="G118" i="3"/>
  <c r="F118" i="3"/>
  <c r="E118" i="3"/>
  <c r="T117" i="3"/>
  <c r="S117" i="3"/>
  <c r="U117" i="3" s="1"/>
  <c r="Q117" i="3"/>
  <c r="J117" i="3"/>
  <c r="K117" i="3" s="1"/>
  <c r="L117" i="3" s="1"/>
  <c r="I117" i="3"/>
  <c r="H117" i="3"/>
  <c r="G117" i="3"/>
  <c r="F117" i="3"/>
  <c r="E117" i="3"/>
  <c r="T116" i="3"/>
  <c r="S116" i="3"/>
  <c r="U116" i="3" s="1"/>
  <c r="Q116" i="3"/>
  <c r="J116" i="3"/>
  <c r="K116" i="3" s="1"/>
  <c r="L116" i="3" s="1"/>
  <c r="I116" i="3"/>
  <c r="H116" i="3"/>
  <c r="G116" i="3"/>
  <c r="F116" i="3"/>
  <c r="E116" i="3"/>
  <c r="T115" i="3"/>
  <c r="S115" i="3"/>
  <c r="U115" i="3" s="1"/>
  <c r="Q115" i="3"/>
  <c r="J115" i="3"/>
  <c r="K115" i="3" s="1"/>
  <c r="L115" i="3" s="1"/>
  <c r="I115" i="3"/>
  <c r="H115" i="3"/>
  <c r="G115" i="3"/>
  <c r="F115" i="3"/>
  <c r="E115" i="3"/>
  <c r="T114" i="3"/>
  <c r="S114" i="3"/>
  <c r="U114" i="3" s="1"/>
  <c r="Q114" i="3"/>
  <c r="J114" i="3"/>
  <c r="K114" i="3" s="1"/>
  <c r="L114" i="3" s="1"/>
  <c r="I114" i="3"/>
  <c r="H114" i="3"/>
  <c r="G114" i="3"/>
  <c r="F114" i="3"/>
  <c r="E114" i="3"/>
  <c r="T113" i="3"/>
  <c r="S113" i="3"/>
  <c r="U113" i="3" s="1"/>
  <c r="Q113" i="3"/>
  <c r="J113" i="3"/>
  <c r="K113" i="3" s="1"/>
  <c r="L113" i="3" s="1"/>
  <c r="I113" i="3"/>
  <c r="H113" i="3"/>
  <c r="G113" i="3"/>
  <c r="F113" i="3"/>
  <c r="E113" i="3"/>
  <c r="T112" i="3"/>
  <c r="S112" i="3"/>
  <c r="U112" i="3" s="1"/>
  <c r="Q112" i="3"/>
  <c r="J112" i="3"/>
  <c r="K112" i="3" s="1"/>
  <c r="L112" i="3" s="1"/>
  <c r="I112" i="3"/>
  <c r="H112" i="3"/>
  <c r="G112" i="3"/>
  <c r="F112" i="3"/>
  <c r="E112" i="3"/>
  <c r="T111" i="3"/>
  <c r="S111" i="3"/>
  <c r="U111" i="3" s="1"/>
  <c r="Q111" i="3"/>
  <c r="J111" i="3"/>
  <c r="K111" i="3" s="1"/>
  <c r="L111" i="3" s="1"/>
  <c r="I111" i="3"/>
  <c r="H111" i="3"/>
  <c r="G111" i="3"/>
  <c r="F111" i="3"/>
  <c r="E111" i="3"/>
  <c r="T110" i="3"/>
  <c r="S110" i="3"/>
  <c r="U110" i="3" s="1"/>
  <c r="Q110" i="3"/>
  <c r="J110" i="3"/>
  <c r="K110" i="3" s="1"/>
  <c r="L110" i="3" s="1"/>
  <c r="I110" i="3"/>
  <c r="H110" i="3"/>
  <c r="G110" i="3"/>
  <c r="F110" i="3"/>
  <c r="E110" i="3"/>
  <c r="T109" i="3"/>
  <c r="S109" i="3"/>
  <c r="U109" i="3" s="1"/>
  <c r="Q109" i="3"/>
  <c r="J109" i="3"/>
  <c r="K109" i="3" s="1"/>
  <c r="L109" i="3" s="1"/>
  <c r="I109" i="3"/>
  <c r="H109" i="3"/>
  <c r="G109" i="3"/>
  <c r="F109" i="3"/>
  <c r="E109" i="3"/>
  <c r="Q108" i="3"/>
  <c r="J108" i="3"/>
  <c r="K108" i="3" s="1"/>
  <c r="L108" i="3" s="1"/>
  <c r="I108" i="3"/>
  <c r="H108" i="3"/>
  <c r="G108" i="3"/>
  <c r="F108" i="3"/>
  <c r="E108" i="3"/>
  <c r="T107" i="3"/>
  <c r="S107" i="3"/>
  <c r="U107" i="3" s="1"/>
  <c r="Q107" i="3"/>
  <c r="J107" i="3"/>
  <c r="K107" i="3" s="1"/>
  <c r="L107" i="3" s="1"/>
  <c r="I107" i="3"/>
  <c r="H107" i="3"/>
  <c r="G107" i="3"/>
  <c r="F107" i="3"/>
  <c r="E107" i="3"/>
  <c r="T106" i="3"/>
  <c r="S106" i="3"/>
  <c r="U106" i="3" s="1"/>
  <c r="Q106" i="3"/>
  <c r="J106" i="3"/>
  <c r="K106" i="3" s="1"/>
  <c r="L106" i="3" s="1"/>
  <c r="I106" i="3"/>
  <c r="H106" i="3"/>
  <c r="G106" i="3"/>
  <c r="F106" i="3"/>
  <c r="E106" i="3"/>
  <c r="T105" i="3"/>
  <c r="S105" i="3"/>
  <c r="U105" i="3" s="1"/>
  <c r="Q105" i="3"/>
  <c r="J105" i="3"/>
  <c r="K105" i="3" s="1"/>
  <c r="L105" i="3" s="1"/>
  <c r="I105" i="3"/>
  <c r="H105" i="3"/>
  <c r="G105" i="3"/>
  <c r="F105" i="3"/>
  <c r="E105" i="3"/>
  <c r="T104" i="3"/>
  <c r="S104" i="3"/>
  <c r="U104" i="3" s="1"/>
  <c r="Q104" i="3"/>
  <c r="J104" i="3"/>
  <c r="K104" i="3" s="1"/>
  <c r="L104" i="3" s="1"/>
  <c r="I104" i="3"/>
  <c r="H104" i="3"/>
  <c r="G104" i="3"/>
  <c r="F104" i="3"/>
  <c r="E104" i="3"/>
  <c r="T103" i="3"/>
  <c r="S103" i="3"/>
  <c r="U103" i="3" s="1"/>
  <c r="Q103" i="3"/>
  <c r="J103" i="3"/>
  <c r="K103" i="3" s="1"/>
  <c r="L103" i="3" s="1"/>
  <c r="I103" i="3"/>
  <c r="H103" i="3"/>
  <c r="G103" i="3"/>
  <c r="F103" i="3"/>
  <c r="E103" i="3"/>
  <c r="T102" i="3"/>
  <c r="S102" i="3"/>
  <c r="U102" i="3" s="1"/>
  <c r="Q102" i="3"/>
  <c r="J102" i="3"/>
  <c r="K102" i="3" s="1"/>
  <c r="L102" i="3" s="1"/>
  <c r="I102" i="3"/>
  <c r="H102" i="3"/>
  <c r="G102" i="3"/>
  <c r="F102" i="3"/>
  <c r="E102" i="3"/>
  <c r="T101" i="3"/>
  <c r="S101" i="3"/>
  <c r="U101" i="3" s="1"/>
  <c r="Q101" i="3"/>
  <c r="J101" i="3"/>
  <c r="K101" i="3" s="1"/>
  <c r="L101" i="3" s="1"/>
  <c r="I101" i="3"/>
  <c r="H101" i="3"/>
  <c r="G101" i="3"/>
  <c r="F101" i="3"/>
  <c r="E101" i="3"/>
  <c r="T100" i="3"/>
  <c r="S100" i="3"/>
  <c r="U100" i="3" s="1"/>
  <c r="Q100" i="3"/>
  <c r="J100" i="3"/>
  <c r="K100" i="3" s="1"/>
  <c r="L100" i="3" s="1"/>
  <c r="I100" i="3"/>
  <c r="H100" i="3"/>
  <c r="G100" i="3"/>
  <c r="F100" i="3"/>
  <c r="E100" i="3"/>
  <c r="T99" i="3"/>
  <c r="S99" i="3"/>
  <c r="U99" i="3" s="1"/>
  <c r="Q99" i="3"/>
  <c r="J99" i="3"/>
  <c r="K99" i="3" s="1"/>
  <c r="L99" i="3" s="1"/>
  <c r="I99" i="3"/>
  <c r="H99" i="3"/>
  <c r="G99" i="3"/>
  <c r="F99" i="3"/>
  <c r="E99" i="3"/>
  <c r="T98" i="3"/>
  <c r="S98" i="3"/>
  <c r="U98" i="3" s="1"/>
  <c r="Q98" i="3"/>
  <c r="J98" i="3"/>
  <c r="K98" i="3" s="1"/>
  <c r="L98" i="3" s="1"/>
  <c r="I98" i="3"/>
  <c r="H98" i="3"/>
  <c r="G98" i="3"/>
  <c r="F98" i="3"/>
  <c r="E98" i="3"/>
  <c r="T97" i="3"/>
  <c r="S97" i="3"/>
  <c r="U97" i="3" s="1"/>
  <c r="Q97" i="3"/>
  <c r="J97" i="3"/>
  <c r="K97" i="3" s="1"/>
  <c r="L97" i="3" s="1"/>
  <c r="I97" i="3"/>
  <c r="H97" i="3"/>
  <c r="G97" i="3"/>
  <c r="F97" i="3"/>
  <c r="E97" i="3"/>
  <c r="T96" i="3"/>
  <c r="S96" i="3"/>
  <c r="U96" i="3" s="1"/>
  <c r="Q96" i="3"/>
  <c r="J96" i="3"/>
  <c r="K96" i="3" s="1"/>
  <c r="L96" i="3" s="1"/>
  <c r="I96" i="3"/>
  <c r="H96" i="3"/>
  <c r="G96" i="3"/>
  <c r="F96" i="3"/>
  <c r="E96" i="3"/>
  <c r="T95" i="3"/>
  <c r="S95" i="3"/>
  <c r="U95" i="3" s="1"/>
  <c r="Q95" i="3"/>
  <c r="J95" i="3"/>
  <c r="K95" i="3" s="1"/>
  <c r="L95" i="3" s="1"/>
  <c r="I95" i="3"/>
  <c r="H95" i="3"/>
  <c r="G95" i="3"/>
  <c r="F95" i="3"/>
  <c r="E95" i="3"/>
  <c r="T94" i="3"/>
  <c r="S94" i="3"/>
  <c r="U94" i="3" s="1"/>
  <c r="Q94" i="3"/>
  <c r="J94" i="3"/>
  <c r="K94" i="3" s="1"/>
  <c r="L94" i="3" s="1"/>
  <c r="I94" i="3"/>
  <c r="H94" i="3"/>
  <c r="G94" i="3"/>
  <c r="F94" i="3"/>
  <c r="E94" i="3"/>
  <c r="T93" i="3"/>
  <c r="S93" i="3"/>
  <c r="U93" i="3" s="1"/>
  <c r="Q93" i="3"/>
  <c r="J93" i="3"/>
  <c r="K93" i="3" s="1"/>
  <c r="L93" i="3" s="1"/>
  <c r="I93" i="3"/>
  <c r="H93" i="3"/>
  <c r="G93" i="3"/>
  <c r="F93" i="3"/>
  <c r="E93" i="3"/>
  <c r="T92" i="3"/>
  <c r="S92" i="3"/>
  <c r="U92" i="3" s="1"/>
  <c r="Q92" i="3"/>
  <c r="J92" i="3"/>
  <c r="K92" i="3" s="1"/>
  <c r="L92" i="3" s="1"/>
  <c r="I92" i="3"/>
  <c r="H92" i="3"/>
  <c r="G92" i="3"/>
  <c r="F92" i="3"/>
  <c r="E92" i="3"/>
  <c r="T91" i="3"/>
  <c r="S91" i="3"/>
  <c r="U91" i="3" s="1"/>
  <c r="Q91" i="3"/>
  <c r="J91" i="3"/>
  <c r="K91" i="3" s="1"/>
  <c r="L91" i="3" s="1"/>
  <c r="I91" i="3"/>
  <c r="H91" i="3"/>
  <c r="G91" i="3"/>
  <c r="F91" i="3"/>
  <c r="E91" i="3"/>
  <c r="T90" i="3"/>
  <c r="S90" i="3"/>
  <c r="U90" i="3" s="1"/>
  <c r="Q90" i="3"/>
  <c r="J90" i="3"/>
  <c r="K90" i="3" s="1"/>
  <c r="L90" i="3" s="1"/>
  <c r="I90" i="3"/>
  <c r="H90" i="3"/>
  <c r="G90" i="3"/>
  <c r="F90" i="3"/>
  <c r="E90" i="3"/>
  <c r="T89" i="3"/>
  <c r="S89" i="3"/>
  <c r="U89" i="3" s="1"/>
  <c r="Q89" i="3"/>
  <c r="J89" i="3"/>
  <c r="K89" i="3" s="1"/>
  <c r="L89" i="3" s="1"/>
  <c r="I89" i="3"/>
  <c r="H89" i="3"/>
  <c r="G89" i="3"/>
  <c r="F89" i="3"/>
  <c r="E89" i="3"/>
  <c r="T88" i="3"/>
  <c r="S88" i="3"/>
  <c r="U88" i="3" s="1"/>
  <c r="Q88" i="3"/>
  <c r="J88" i="3"/>
  <c r="K88" i="3" s="1"/>
  <c r="L88" i="3" s="1"/>
  <c r="I88" i="3"/>
  <c r="H88" i="3"/>
  <c r="G88" i="3"/>
  <c r="F88" i="3"/>
  <c r="E88" i="3"/>
  <c r="T87" i="3"/>
  <c r="S87" i="3"/>
  <c r="U87" i="3" s="1"/>
  <c r="Q87" i="3"/>
  <c r="J87" i="3"/>
  <c r="K87" i="3" s="1"/>
  <c r="L87" i="3" s="1"/>
  <c r="I87" i="3"/>
  <c r="H87" i="3"/>
  <c r="G87" i="3"/>
  <c r="F87" i="3"/>
  <c r="E87" i="3"/>
  <c r="T86" i="3"/>
  <c r="S86" i="3"/>
  <c r="U86" i="3" s="1"/>
  <c r="Q86" i="3"/>
  <c r="J86" i="3"/>
  <c r="K86" i="3" s="1"/>
  <c r="L86" i="3" s="1"/>
  <c r="I86" i="3"/>
  <c r="H86" i="3"/>
  <c r="G86" i="3"/>
  <c r="F86" i="3"/>
  <c r="E86" i="3"/>
  <c r="T85" i="3"/>
  <c r="S85" i="3"/>
  <c r="U85" i="3" s="1"/>
  <c r="Q85" i="3"/>
  <c r="J85" i="3"/>
  <c r="K85" i="3" s="1"/>
  <c r="L85" i="3" s="1"/>
  <c r="I85" i="3"/>
  <c r="H85" i="3"/>
  <c r="G85" i="3"/>
  <c r="F85" i="3"/>
  <c r="E85" i="3"/>
  <c r="T84" i="3"/>
  <c r="S84" i="3"/>
  <c r="U84" i="3" s="1"/>
  <c r="Q84" i="3"/>
  <c r="J84" i="3"/>
  <c r="K84" i="3" s="1"/>
  <c r="L84" i="3" s="1"/>
  <c r="I84" i="3"/>
  <c r="H84" i="3"/>
  <c r="G84" i="3"/>
  <c r="F84" i="3"/>
  <c r="E84" i="3"/>
  <c r="T83" i="3"/>
  <c r="S83" i="3"/>
  <c r="U83" i="3" s="1"/>
  <c r="Q83" i="3"/>
  <c r="J83" i="3"/>
  <c r="K83" i="3" s="1"/>
  <c r="L83" i="3" s="1"/>
  <c r="I83" i="3"/>
  <c r="H83" i="3"/>
  <c r="G83" i="3"/>
  <c r="F83" i="3"/>
  <c r="E83" i="3"/>
  <c r="Q82" i="3"/>
  <c r="J82" i="3"/>
  <c r="K82" i="3" s="1"/>
  <c r="L82" i="3" s="1"/>
  <c r="I82" i="3"/>
  <c r="H82" i="3"/>
  <c r="G82" i="3"/>
  <c r="F82" i="3"/>
  <c r="E82" i="3"/>
  <c r="T81" i="3"/>
  <c r="S81" i="3"/>
  <c r="U81" i="3" s="1"/>
  <c r="Q81" i="3"/>
  <c r="J81" i="3"/>
  <c r="K81" i="3" s="1"/>
  <c r="L81" i="3" s="1"/>
  <c r="I81" i="3"/>
  <c r="H81" i="3"/>
  <c r="G81" i="3"/>
  <c r="F81" i="3"/>
  <c r="E81" i="3"/>
  <c r="T80" i="3"/>
  <c r="S80" i="3"/>
  <c r="U80" i="3" s="1"/>
  <c r="Q80" i="3"/>
  <c r="J80" i="3"/>
  <c r="K80" i="3" s="1"/>
  <c r="L80" i="3" s="1"/>
  <c r="I80" i="3"/>
  <c r="H80" i="3"/>
  <c r="G80" i="3"/>
  <c r="F80" i="3"/>
  <c r="E80" i="3"/>
  <c r="T79" i="3"/>
  <c r="S79" i="3"/>
  <c r="U79" i="3" s="1"/>
  <c r="Q79" i="3"/>
  <c r="J79" i="3"/>
  <c r="K79" i="3" s="1"/>
  <c r="L79" i="3" s="1"/>
  <c r="I79" i="3"/>
  <c r="H79" i="3"/>
  <c r="G79" i="3"/>
  <c r="F79" i="3"/>
  <c r="E79" i="3"/>
  <c r="T78" i="3"/>
  <c r="S78" i="3"/>
  <c r="U78" i="3" s="1"/>
  <c r="Q78" i="3"/>
  <c r="J78" i="3"/>
  <c r="K78" i="3" s="1"/>
  <c r="L78" i="3" s="1"/>
  <c r="I78" i="3"/>
  <c r="H78" i="3"/>
  <c r="G78" i="3"/>
  <c r="F78" i="3"/>
  <c r="E78" i="3"/>
  <c r="T77" i="3"/>
  <c r="S77" i="3"/>
  <c r="U77" i="3" s="1"/>
  <c r="Q77" i="3"/>
  <c r="J77" i="3"/>
  <c r="K77" i="3" s="1"/>
  <c r="L77" i="3" s="1"/>
  <c r="I77" i="3"/>
  <c r="H77" i="3"/>
  <c r="G77" i="3"/>
  <c r="F77" i="3"/>
  <c r="E77" i="3"/>
  <c r="T76" i="3"/>
  <c r="S76" i="3"/>
  <c r="U76" i="3" s="1"/>
  <c r="Q76" i="3"/>
  <c r="J76" i="3"/>
  <c r="K76" i="3" s="1"/>
  <c r="L76" i="3" s="1"/>
  <c r="I76" i="3"/>
  <c r="H76" i="3"/>
  <c r="G76" i="3"/>
  <c r="F76" i="3"/>
  <c r="E76" i="3"/>
  <c r="T75" i="3"/>
  <c r="S75" i="3"/>
  <c r="U75" i="3" s="1"/>
  <c r="Q75" i="3"/>
  <c r="J75" i="3"/>
  <c r="K75" i="3" s="1"/>
  <c r="L75" i="3" s="1"/>
  <c r="I75" i="3"/>
  <c r="H75" i="3"/>
  <c r="G75" i="3"/>
  <c r="F75" i="3"/>
  <c r="E75" i="3"/>
  <c r="T74" i="3"/>
  <c r="S74" i="3"/>
  <c r="U74" i="3" s="1"/>
  <c r="Q74" i="3"/>
  <c r="J74" i="3"/>
  <c r="K74" i="3" s="1"/>
  <c r="L74" i="3" s="1"/>
  <c r="I74" i="3"/>
  <c r="H74" i="3"/>
  <c r="G74" i="3"/>
  <c r="F74" i="3"/>
  <c r="E74" i="3"/>
  <c r="T73" i="3"/>
  <c r="S73" i="3"/>
  <c r="U73" i="3" s="1"/>
  <c r="Q73" i="3"/>
  <c r="J73" i="3"/>
  <c r="K73" i="3" s="1"/>
  <c r="L73" i="3" s="1"/>
  <c r="I73" i="3"/>
  <c r="H73" i="3"/>
  <c r="G73" i="3"/>
  <c r="F73" i="3"/>
  <c r="E73" i="3"/>
  <c r="T72" i="3"/>
  <c r="S72" i="3"/>
  <c r="U72" i="3" s="1"/>
  <c r="Q72" i="3"/>
  <c r="J72" i="3"/>
  <c r="K72" i="3" s="1"/>
  <c r="L72" i="3" s="1"/>
  <c r="I72" i="3"/>
  <c r="H72" i="3"/>
  <c r="G72" i="3"/>
  <c r="F72" i="3"/>
  <c r="E72" i="3"/>
  <c r="T71" i="3"/>
  <c r="S71" i="3"/>
  <c r="U71" i="3" s="1"/>
  <c r="Q71" i="3"/>
  <c r="J71" i="3"/>
  <c r="K71" i="3" s="1"/>
  <c r="L71" i="3" s="1"/>
  <c r="I71" i="3"/>
  <c r="H71" i="3"/>
  <c r="G71" i="3"/>
  <c r="F71" i="3"/>
  <c r="E71" i="3"/>
  <c r="T70" i="3"/>
  <c r="S70" i="3"/>
  <c r="U70" i="3" s="1"/>
  <c r="Q70" i="3"/>
  <c r="J70" i="3"/>
  <c r="K70" i="3" s="1"/>
  <c r="L70" i="3" s="1"/>
  <c r="I70" i="3"/>
  <c r="H70" i="3"/>
  <c r="G70" i="3"/>
  <c r="F70" i="3"/>
  <c r="E70" i="3"/>
  <c r="T69" i="3"/>
  <c r="S69" i="3"/>
  <c r="U69" i="3" s="1"/>
  <c r="Q69" i="3"/>
  <c r="J69" i="3"/>
  <c r="K69" i="3" s="1"/>
  <c r="L69" i="3" s="1"/>
  <c r="I69" i="3"/>
  <c r="H69" i="3"/>
  <c r="G69" i="3"/>
  <c r="F69" i="3"/>
  <c r="E69" i="3"/>
  <c r="T68" i="3"/>
  <c r="S68" i="3"/>
  <c r="U68" i="3" s="1"/>
  <c r="Q68" i="3"/>
  <c r="J68" i="3"/>
  <c r="K68" i="3" s="1"/>
  <c r="L68" i="3" s="1"/>
  <c r="I68" i="3"/>
  <c r="H68" i="3"/>
  <c r="G68" i="3"/>
  <c r="F68" i="3"/>
  <c r="E68" i="3"/>
  <c r="T67" i="3"/>
  <c r="S67" i="3"/>
  <c r="U67" i="3" s="1"/>
  <c r="Q67" i="3"/>
  <c r="J67" i="3"/>
  <c r="K67" i="3" s="1"/>
  <c r="L67" i="3" s="1"/>
  <c r="I67" i="3"/>
  <c r="H67" i="3"/>
  <c r="G67" i="3"/>
  <c r="F67" i="3"/>
  <c r="E67" i="3"/>
  <c r="T66" i="3"/>
  <c r="S66" i="3"/>
  <c r="U66" i="3" s="1"/>
  <c r="Q66" i="3"/>
  <c r="J66" i="3"/>
  <c r="K66" i="3" s="1"/>
  <c r="L66" i="3" s="1"/>
  <c r="I66" i="3"/>
  <c r="H66" i="3"/>
  <c r="G66" i="3"/>
  <c r="F66" i="3"/>
  <c r="E66" i="3"/>
  <c r="T65" i="3"/>
  <c r="S65" i="3"/>
  <c r="U65" i="3" s="1"/>
  <c r="Q65" i="3"/>
  <c r="J65" i="3"/>
  <c r="K65" i="3" s="1"/>
  <c r="L65" i="3" s="1"/>
  <c r="I65" i="3"/>
  <c r="H65" i="3"/>
  <c r="G65" i="3"/>
  <c r="F65" i="3"/>
  <c r="E65" i="3"/>
  <c r="T64" i="3"/>
  <c r="S64" i="3"/>
  <c r="U64" i="3" s="1"/>
  <c r="Q64" i="3"/>
  <c r="J64" i="3"/>
  <c r="K64" i="3" s="1"/>
  <c r="L64" i="3" s="1"/>
  <c r="I64" i="3"/>
  <c r="H64" i="3"/>
  <c r="G64" i="3"/>
  <c r="F64" i="3"/>
  <c r="E64" i="3"/>
  <c r="T63" i="3"/>
  <c r="S63" i="3"/>
  <c r="U63" i="3" s="1"/>
  <c r="Q63" i="3"/>
  <c r="J63" i="3"/>
  <c r="K63" i="3" s="1"/>
  <c r="L63" i="3" s="1"/>
  <c r="I63" i="3"/>
  <c r="H63" i="3"/>
  <c r="G63" i="3"/>
  <c r="F63" i="3"/>
  <c r="E63" i="3"/>
  <c r="T62" i="3"/>
  <c r="S62" i="3"/>
  <c r="U62" i="3" s="1"/>
  <c r="Q62" i="3"/>
  <c r="J62" i="3"/>
  <c r="K62" i="3" s="1"/>
  <c r="L62" i="3" s="1"/>
  <c r="I62" i="3"/>
  <c r="H62" i="3"/>
  <c r="G62" i="3"/>
  <c r="F62" i="3"/>
  <c r="E62" i="3"/>
  <c r="T61" i="3"/>
  <c r="S61" i="3"/>
  <c r="U61" i="3" s="1"/>
  <c r="Q61" i="3"/>
  <c r="J61" i="3"/>
  <c r="K61" i="3" s="1"/>
  <c r="L61" i="3" s="1"/>
  <c r="I61" i="3"/>
  <c r="H61" i="3"/>
  <c r="G61" i="3"/>
  <c r="F61" i="3"/>
  <c r="E61" i="3"/>
  <c r="T60" i="3"/>
  <c r="S60" i="3"/>
  <c r="U60" i="3" s="1"/>
  <c r="Q60" i="3"/>
  <c r="J60" i="3"/>
  <c r="K60" i="3" s="1"/>
  <c r="L60" i="3" s="1"/>
  <c r="I60" i="3"/>
  <c r="H60" i="3"/>
  <c r="G60" i="3"/>
  <c r="F60" i="3"/>
  <c r="E60" i="3"/>
  <c r="T59" i="3"/>
  <c r="S59" i="3"/>
  <c r="U59" i="3" s="1"/>
  <c r="Q59" i="3"/>
  <c r="J59" i="3"/>
  <c r="K59" i="3" s="1"/>
  <c r="L59" i="3" s="1"/>
  <c r="I59" i="3"/>
  <c r="H59" i="3"/>
  <c r="G59" i="3"/>
  <c r="F59" i="3"/>
  <c r="E59" i="3"/>
  <c r="T58" i="3"/>
  <c r="S58" i="3"/>
  <c r="U58" i="3" s="1"/>
  <c r="Q58" i="3"/>
  <c r="J58" i="3"/>
  <c r="K58" i="3" s="1"/>
  <c r="L58" i="3" s="1"/>
  <c r="I58" i="3"/>
  <c r="H58" i="3"/>
  <c r="G58" i="3"/>
  <c r="F58" i="3"/>
  <c r="E58" i="3"/>
  <c r="T57" i="3"/>
  <c r="S57" i="3"/>
  <c r="U57" i="3" s="1"/>
  <c r="Q57" i="3"/>
  <c r="J57" i="3"/>
  <c r="K57" i="3" s="1"/>
  <c r="L57" i="3" s="1"/>
  <c r="I57" i="3"/>
  <c r="H57" i="3"/>
  <c r="G57" i="3"/>
  <c r="F57" i="3"/>
  <c r="E57" i="3"/>
  <c r="T56" i="3"/>
  <c r="S56" i="3"/>
  <c r="U56" i="3" s="1"/>
  <c r="Q56" i="3"/>
  <c r="J56" i="3"/>
  <c r="K56" i="3" s="1"/>
  <c r="L56" i="3" s="1"/>
  <c r="I56" i="3"/>
  <c r="H56" i="3"/>
  <c r="G56" i="3"/>
  <c r="F56" i="3"/>
  <c r="E56" i="3"/>
  <c r="T55" i="3"/>
  <c r="S55" i="3"/>
  <c r="U55" i="3" s="1"/>
  <c r="Q55" i="3"/>
  <c r="J55" i="3"/>
  <c r="K55" i="3" s="1"/>
  <c r="L55" i="3" s="1"/>
  <c r="I55" i="3"/>
  <c r="H55" i="3"/>
  <c r="G55" i="3"/>
  <c r="F55" i="3"/>
  <c r="E55" i="3"/>
  <c r="T54" i="3"/>
  <c r="S54" i="3"/>
  <c r="U54" i="3" s="1"/>
  <c r="Q54" i="3"/>
  <c r="J54" i="3"/>
  <c r="K54" i="3" s="1"/>
  <c r="L54" i="3" s="1"/>
  <c r="I54" i="3"/>
  <c r="H54" i="3"/>
  <c r="G54" i="3"/>
  <c r="F54" i="3"/>
  <c r="E54" i="3"/>
  <c r="T53" i="3"/>
  <c r="S53" i="3"/>
  <c r="U53" i="3" s="1"/>
  <c r="Q53" i="3"/>
  <c r="J53" i="3"/>
  <c r="K53" i="3" s="1"/>
  <c r="L53" i="3" s="1"/>
  <c r="I53" i="3"/>
  <c r="H53" i="3"/>
  <c r="G53" i="3"/>
  <c r="F53" i="3"/>
  <c r="E53" i="3"/>
  <c r="T52" i="3"/>
  <c r="S52" i="3"/>
  <c r="U52" i="3" s="1"/>
  <c r="Q52" i="3"/>
  <c r="J52" i="3"/>
  <c r="K52" i="3" s="1"/>
  <c r="L52" i="3" s="1"/>
  <c r="I52" i="3"/>
  <c r="H52" i="3"/>
  <c r="G52" i="3"/>
  <c r="F52" i="3"/>
  <c r="E52" i="3"/>
  <c r="T51" i="3"/>
  <c r="S51" i="3"/>
  <c r="U51" i="3" s="1"/>
  <c r="Q51" i="3"/>
  <c r="J51" i="3"/>
  <c r="K51" i="3" s="1"/>
  <c r="L51" i="3" s="1"/>
  <c r="I51" i="3"/>
  <c r="H51" i="3"/>
  <c r="G51" i="3"/>
  <c r="F51" i="3"/>
  <c r="E51" i="3"/>
  <c r="T50" i="3"/>
  <c r="S50" i="3"/>
  <c r="U50" i="3" s="1"/>
  <c r="Q50" i="3"/>
  <c r="J50" i="3"/>
  <c r="K50" i="3" s="1"/>
  <c r="L50" i="3" s="1"/>
  <c r="I50" i="3"/>
  <c r="H50" i="3"/>
  <c r="G50" i="3"/>
  <c r="F50" i="3"/>
  <c r="E50" i="3"/>
  <c r="T49" i="3"/>
  <c r="S49" i="3"/>
  <c r="U49" i="3" s="1"/>
  <c r="Q49" i="3"/>
  <c r="J49" i="3"/>
  <c r="K49" i="3" s="1"/>
  <c r="L49" i="3" s="1"/>
  <c r="I49" i="3"/>
  <c r="H49" i="3"/>
  <c r="G49" i="3"/>
  <c r="F49" i="3"/>
  <c r="E49" i="3"/>
  <c r="T48" i="3"/>
  <c r="S48" i="3"/>
  <c r="U48" i="3" s="1"/>
  <c r="Q48" i="3"/>
  <c r="J48" i="3"/>
  <c r="K48" i="3" s="1"/>
  <c r="L48" i="3" s="1"/>
  <c r="I48" i="3"/>
  <c r="H48" i="3"/>
  <c r="G48" i="3"/>
  <c r="F48" i="3"/>
  <c r="E48" i="3"/>
  <c r="T47" i="3"/>
  <c r="S47" i="3"/>
  <c r="U47" i="3" s="1"/>
  <c r="Q47" i="3"/>
  <c r="J47" i="3"/>
  <c r="K47" i="3" s="1"/>
  <c r="L47" i="3" s="1"/>
  <c r="I47" i="3"/>
  <c r="H47" i="3"/>
  <c r="G47" i="3"/>
  <c r="F47" i="3"/>
  <c r="E47" i="3"/>
  <c r="T46" i="3"/>
  <c r="S46" i="3"/>
  <c r="U46" i="3" s="1"/>
  <c r="Q46" i="3"/>
  <c r="J46" i="3"/>
  <c r="K46" i="3" s="1"/>
  <c r="L46" i="3" s="1"/>
  <c r="I46" i="3"/>
  <c r="H46" i="3"/>
  <c r="G46" i="3"/>
  <c r="F46" i="3"/>
  <c r="E46" i="3"/>
  <c r="T45" i="3"/>
  <c r="S45" i="3"/>
  <c r="U45" i="3" s="1"/>
  <c r="Q45" i="3"/>
  <c r="J45" i="3"/>
  <c r="K45" i="3" s="1"/>
  <c r="L45" i="3" s="1"/>
  <c r="I45" i="3"/>
  <c r="H45" i="3"/>
  <c r="G45" i="3"/>
  <c r="F45" i="3"/>
  <c r="E45" i="3"/>
  <c r="T44" i="3"/>
  <c r="S44" i="3"/>
  <c r="U44" i="3" s="1"/>
  <c r="Q44" i="3"/>
  <c r="J44" i="3"/>
  <c r="K44" i="3" s="1"/>
  <c r="L44" i="3" s="1"/>
  <c r="I44" i="3"/>
  <c r="H44" i="3"/>
  <c r="G44" i="3"/>
  <c r="F44" i="3"/>
  <c r="E44" i="3"/>
  <c r="T43" i="3"/>
  <c r="S43" i="3"/>
  <c r="U43" i="3" s="1"/>
  <c r="Q43" i="3"/>
  <c r="J43" i="3"/>
  <c r="K43" i="3" s="1"/>
  <c r="L43" i="3" s="1"/>
  <c r="I43" i="3"/>
  <c r="H43" i="3"/>
  <c r="G43" i="3"/>
  <c r="F43" i="3"/>
  <c r="E43" i="3"/>
  <c r="T42" i="3"/>
  <c r="S42" i="3"/>
  <c r="U42" i="3" s="1"/>
  <c r="Q42" i="3"/>
  <c r="J42" i="3"/>
  <c r="K42" i="3" s="1"/>
  <c r="L42" i="3" s="1"/>
  <c r="I42" i="3"/>
  <c r="H42" i="3"/>
  <c r="G42" i="3"/>
  <c r="F42" i="3"/>
  <c r="E42" i="3"/>
  <c r="T41" i="3"/>
  <c r="S41" i="3"/>
  <c r="U41" i="3" s="1"/>
  <c r="Q41" i="3"/>
  <c r="J41" i="3"/>
  <c r="K41" i="3" s="1"/>
  <c r="L41" i="3" s="1"/>
  <c r="I41" i="3"/>
  <c r="H41" i="3"/>
  <c r="G41" i="3"/>
  <c r="F41" i="3"/>
  <c r="E41" i="3"/>
  <c r="T40" i="3"/>
  <c r="S40" i="3"/>
  <c r="U40" i="3" s="1"/>
  <c r="Q40" i="3"/>
  <c r="J40" i="3"/>
  <c r="K40" i="3" s="1"/>
  <c r="L40" i="3" s="1"/>
  <c r="I40" i="3"/>
  <c r="H40" i="3"/>
  <c r="G40" i="3"/>
  <c r="F40" i="3"/>
  <c r="E40" i="3"/>
  <c r="T39" i="3"/>
  <c r="S39" i="3"/>
  <c r="U39" i="3" s="1"/>
  <c r="Q39" i="3"/>
  <c r="J39" i="3"/>
  <c r="K39" i="3" s="1"/>
  <c r="L39" i="3" s="1"/>
  <c r="I39" i="3"/>
  <c r="H39" i="3"/>
  <c r="G39" i="3"/>
  <c r="F39" i="3"/>
  <c r="E39" i="3"/>
  <c r="T38" i="3"/>
  <c r="S38" i="3"/>
  <c r="U38" i="3" s="1"/>
  <c r="Q38" i="3"/>
  <c r="J38" i="3"/>
  <c r="K38" i="3" s="1"/>
  <c r="L38" i="3" s="1"/>
  <c r="I38" i="3"/>
  <c r="H38" i="3"/>
  <c r="G38" i="3"/>
  <c r="F38" i="3"/>
  <c r="E38" i="3"/>
  <c r="T37" i="3"/>
  <c r="S37" i="3"/>
  <c r="U37" i="3" s="1"/>
  <c r="Q37" i="3"/>
  <c r="J37" i="3"/>
  <c r="K37" i="3" s="1"/>
  <c r="L37" i="3" s="1"/>
  <c r="I37" i="3"/>
  <c r="H37" i="3"/>
  <c r="G37" i="3"/>
  <c r="F37" i="3"/>
  <c r="E37" i="3"/>
  <c r="T36" i="3"/>
  <c r="S36" i="3"/>
  <c r="U36" i="3" s="1"/>
  <c r="Q36" i="3"/>
  <c r="J36" i="3"/>
  <c r="K36" i="3" s="1"/>
  <c r="L36" i="3" s="1"/>
  <c r="I36" i="3"/>
  <c r="H36" i="3"/>
  <c r="G36" i="3"/>
  <c r="F36" i="3"/>
  <c r="E36" i="3"/>
  <c r="T35" i="3"/>
  <c r="S35" i="3"/>
  <c r="U35" i="3" s="1"/>
  <c r="Q35" i="3"/>
  <c r="J35" i="3"/>
  <c r="K35" i="3" s="1"/>
  <c r="L35" i="3" s="1"/>
  <c r="I35" i="3"/>
  <c r="H35" i="3"/>
  <c r="G35" i="3"/>
  <c r="F35" i="3"/>
  <c r="E35" i="3"/>
  <c r="T34" i="3"/>
  <c r="S34" i="3"/>
  <c r="U34" i="3" s="1"/>
  <c r="Q34" i="3"/>
  <c r="J34" i="3"/>
  <c r="K34" i="3" s="1"/>
  <c r="L34" i="3" s="1"/>
  <c r="I34" i="3"/>
  <c r="H34" i="3"/>
  <c r="G34" i="3"/>
  <c r="F34" i="3"/>
  <c r="E34" i="3"/>
  <c r="T33" i="3"/>
  <c r="S33" i="3"/>
  <c r="U33" i="3" s="1"/>
  <c r="Q33" i="3"/>
  <c r="J33" i="3"/>
  <c r="K33" i="3" s="1"/>
  <c r="L33" i="3" s="1"/>
  <c r="I33" i="3"/>
  <c r="H33" i="3"/>
  <c r="G33" i="3"/>
  <c r="F33" i="3"/>
  <c r="E33" i="3"/>
  <c r="T32" i="3"/>
  <c r="S32" i="3"/>
  <c r="U32" i="3" s="1"/>
  <c r="Q32" i="3"/>
  <c r="J32" i="3"/>
  <c r="K32" i="3" s="1"/>
  <c r="L32" i="3" s="1"/>
  <c r="I32" i="3"/>
  <c r="H32" i="3"/>
  <c r="G32" i="3"/>
  <c r="F32" i="3"/>
  <c r="E32" i="3"/>
  <c r="T31" i="3"/>
  <c r="S31" i="3"/>
  <c r="U31" i="3" s="1"/>
  <c r="Q31" i="3"/>
  <c r="J31" i="3"/>
  <c r="K31" i="3" s="1"/>
  <c r="L31" i="3" s="1"/>
  <c r="I31" i="3"/>
  <c r="H31" i="3"/>
  <c r="G31" i="3"/>
  <c r="F31" i="3"/>
  <c r="E31" i="3"/>
  <c r="Q30" i="3"/>
  <c r="J30" i="3"/>
  <c r="K30" i="3" s="1"/>
  <c r="L30" i="3" s="1"/>
  <c r="I30" i="3"/>
  <c r="H30" i="3"/>
  <c r="G30" i="3"/>
  <c r="F30" i="3"/>
  <c r="E30" i="3"/>
  <c r="T29" i="3"/>
  <c r="S29" i="3"/>
  <c r="U29" i="3" s="1"/>
  <c r="Q29" i="3"/>
  <c r="J29" i="3"/>
  <c r="K29" i="3" s="1"/>
  <c r="L29" i="3" s="1"/>
  <c r="I29" i="3"/>
  <c r="H29" i="3"/>
  <c r="G29" i="3"/>
  <c r="F29" i="3"/>
  <c r="E29" i="3"/>
  <c r="T28" i="3"/>
  <c r="S28" i="3"/>
  <c r="U28" i="3" s="1"/>
  <c r="Q28" i="3"/>
  <c r="J28" i="3"/>
  <c r="K28" i="3" s="1"/>
  <c r="L28" i="3" s="1"/>
  <c r="I28" i="3"/>
  <c r="H28" i="3"/>
  <c r="G28" i="3"/>
  <c r="F28" i="3"/>
  <c r="E28" i="3"/>
  <c r="T27" i="3"/>
  <c r="S27" i="3"/>
  <c r="U27" i="3" s="1"/>
  <c r="Q27" i="3"/>
  <c r="J27" i="3"/>
  <c r="K27" i="3" s="1"/>
  <c r="L27" i="3" s="1"/>
  <c r="I27" i="3"/>
  <c r="H27" i="3"/>
  <c r="G27" i="3"/>
  <c r="F27" i="3"/>
  <c r="E27" i="3"/>
  <c r="T26" i="3"/>
  <c r="S26" i="3"/>
  <c r="U26" i="3" s="1"/>
  <c r="Q26" i="3"/>
  <c r="J26" i="3"/>
  <c r="K26" i="3" s="1"/>
  <c r="L26" i="3" s="1"/>
  <c r="I26" i="3"/>
  <c r="H26" i="3"/>
  <c r="G26" i="3"/>
  <c r="F26" i="3"/>
  <c r="E26" i="3"/>
  <c r="T25" i="3"/>
  <c r="S25" i="3"/>
  <c r="U25" i="3" s="1"/>
  <c r="Q25" i="3"/>
  <c r="J25" i="3"/>
  <c r="K25" i="3" s="1"/>
  <c r="L25" i="3" s="1"/>
  <c r="I25" i="3"/>
  <c r="H25" i="3"/>
  <c r="G25" i="3"/>
  <c r="F25" i="3"/>
  <c r="E25" i="3"/>
  <c r="T24" i="3"/>
  <c r="S24" i="3"/>
  <c r="U24" i="3" s="1"/>
  <c r="Q24" i="3"/>
  <c r="J24" i="3"/>
  <c r="K24" i="3" s="1"/>
  <c r="L24" i="3" s="1"/>
  <c r="I24" i="3"/>
  <c r="H24" i="3"/>
  <c r="G24" i="3"/>
  <c r="F24" i="3"/>
  <c r="E24" i="3"/>
  <c r="T23" i="3"/>
  <c r="S23" i="3"/>
  <c r="U23" i="3" s="1"/>
  <c r="Q23" i="3"/>
  <c r="J23" i="3"/>
  <c r="K23" i="3" s="1"/>
  <c r="L23" i="3" s="1"/>
  <c r="I23" i="3"/>
  <c r="H23" i="3"/>
  <c r="G23" i="3"/>
  <c r="F23" i="3"/>
  <c r="E23" i="3"/>
  <c r="T22" i="3"/>
  <c r="S22" i="3"/>
  <c r="U22" i="3" s="1"/>
  <c r="Q22" i="3"/>
  <c r="J22" i="3"/>
  <c r="K22" i="3" s="1"/>
  <c r="L22" i="3" s="1"/>
  <c r="I22" i="3"/>
  <c r="H22" i="3"/>
  <c r="G22" i="3"/>
  <c r="F22" i="3"/>
  <c r="E22" i="3"/>
  <c r="T21" i="3"/>
  <c r="S21" i="3"/>
  <c r="U21" i="3" s="1"/>
  <c r="Q21" i="3"/>
  <c r="J21" i="3"/>
  <c r="K21" i="3" s="1"/>
  <c r="L21" i="3" s="1"/>
  <c r="I21" i="3"/>
  <c r="H21" i="3"/>
  <c r="G21" i="3"/>
  <c r="F21" i="3"/>
  <c r="E21" i="3"/>
  <c r="T20" i="3"/>
  <c r="S20" i="3"/>
  <c r="U20" i="3" s="1"/>
  <c r="Q20" i="3"/>
  <c r="J20" i="3"/>
  <c r="K20" i="3" s="1"/>
  <c r="L20" i="3" s="1"/>
  <c r="I20" i="3"/>
  <c r="H20" i="3"/>
  <c r="G20" i="3"/>
  <c r="F20" i="3"/>
  <c r="E20" i="3"/>
  <c r="T19" i="3"/>
  <c r="S19" i="3"/>
  <c r="U19" i="3" s="1"/>
  <c r="Q19" i="3"/>
  <c r="J19" i="3"/>
  <c r="K19" i="3" s="1"/>
  <c r="L19" i="3" s="1"/>
  <c r="I19" i="3"/>
  <c r="H19" i="3"/>
  <c r="G19" i="3"/>
  <c r="F19" i="3"/>
  <c r="E19" i="3"/>
  <c r="T18" i="3"/>
  <c r="S18" i="3"/>
  <c r="U18" i="3" s="1"/>
  <c r="Q18" i="3"/>
  <c r="J18" i="3"/>
  <c r="K18" i="3" s="1"/>
  <c r="L18" i="3" s="1"/>
  <c r="I18" i="3"/>
  <c r="H18" i="3"/>
  <c r="G18" i="3"/>
  <c r="F18" i="3"/>
  <c r="E18" i="3"/>
  <c r="T17" i="3"/>
  <c r="S17" i="3"/>
  <c r="U17" i="3" s="1"/>
  <c r="Q17" i="3"/>
  <c r="J17" i="3"/>
  <c r="K17" i="3" s="1"/>
  <c r="L17" i="3" s="1"/>
  <c r="I17" i="3"/>
  <c r="H17" i="3"/>
  <c r="G17" i="3"/>
  <c r="F17" i="3"/>
  <c r="E17" i="3"/>
  <c r="T16" i="3"/>
  <c r="S16" i="3"/>
  <c r="U16" i="3" s="1"/>
  <c r="Q16" i="3"/>
  <c r="J16" i="3"/>
  <c r="K16" i="3" s="1"/>
  <c r="L16" i="3" s="1"/>
  <c r="I16" i="3"/>
  <c r="H16" i="3"/>
  <c r="G16" i="3"/>
  <c r="F16" i="3"/>
  <c r="E16" i="3"/>
  <c r="T15" i="3"/>
  <c r="S15" i="3"/>
  <c r="U15" i="3" s="1"/>
  <c r="Q15" i="3"/>
  <c r="J15" i="3"/>
  <c r="K15" i="3" s="1"/>
  <c r="L15" i="3" s="1"/>
  <c r="I15" i="3"/>
  <c r="H15" i="3"/>
  <c r="G15" i="3"/>
  <c r="F15" i="3"/>
  <c r="E15" i="3"/>
  <c r="T14" i="3"/>
  <c r="S14" i="3"/>
  <c r="U14" i="3" s="1"/>
  <c r="Q14" i="3"/>
  <c r="J14" i="3"/>
  <c r="K14" i="3" s="1"/>
  <c r="L14" i="3" s="1"/>
  <c r="I14" i="3"/>
  <c r="H14" i="3"/>
  <c r="G14" i="3"/>
  <c r="F14" i="3"/>
  <c r="E14" i="3"/>
  <c r="T13" i="3"/>
  <c r="S13" i="3"/>
  <c r="U13" i="3" s="1"/>
  <c r="Q13" i="3"/>
  <c r="J13" i="3"/>
  <c r="K13" i="3" s="1"/>
  <c r="L13" i="3" s="1"/>
  <c r="I13" i="3"/>
  <c r="H13" i="3"/>
  <c r="G13" i="3"/>
  <c r="F13" i="3"/>
  <c r="E13" i="3"/>
  <c r="T12" i="3"/>
  <c r="S12" i="3"/>
  <c r="U12" i="3" s="1"/>
  <c r="Q12" i="3"/>
  <c r="J12" i="3"/>
  <c r="K12" i="3" s="1"/>
  <c r="L12" i="3" s="1"/>
  <c r="I12" i="3"/>
  <c r="H12" i="3"/>
  <c r="G12" i="3"/>
  <c r="F12" i="3"/>
  <c r="E12" i="3"/>
  <c r="T11" i="3"/>
  <c r="S11" i="3"/>
  <c r="U11" i="3" s="1"/>
  <c r="Q11" i="3"/>
  <c r="J11" i="3"/>
  <c r="K11" i="3" s="1"/>
  <c r="L11" i="3" s="1"/>
  <c r="I11" i="3"/>
  <c r="H11" i="3"/>
  <c r="G11" i="3"/>
  <c r="F11" i="3"/>
  <c r="E11" i="3"/>
  <c r="T10" i="3"/>
  <c r="S10" i="3"/>
  <c r="Q10" i="3"/>
  <c r="J10" i="3"/>
  <c r="K10" i="3" s="1"/>
  <c r="L10" i="3" s="1"/>
  <c r="I10" i="3"/>
  <c r="H10" i="3"/>
  <c r="G10" i="3"/>
  <c r="F10" i="3"/>
  <c r="E10" i="3"/>
  <c r="T9" i="3"/>
  <c r="S9" i="3"/>
  <c r="U9" i="3" s="1"/>
  <c r="Q9" i="3"/>
  <c r="J9" i="3"/>
  <c r="K9" i="3" s="1"/>
  <c r="L9" i="3" s="1"/>
  <c r="I9" i="3"/>
  <c r="H9" i="3"/>
  <c r="G9" i="3"/>
  <c r="F9" i="3"/>
  <c r="E9" i="3"/>
  <c r="T8" i="3"/>
  <c r="S8" i="3"/>
  <c r="U8" i="3" s="1"/>
  <c r="Q8" i="3"/>
  <c r="J8" i="3"/>
  <c r="K8" i="3" s="1"/>
  <c r="L8" i="3" s="1"/>
  <c r="I8" i="3"/>
  <c r="H8" i="3"/>
  <c r="G8" i="3"/>
  <c r="F8" i="3"/>
  <c r="E8" i="3"/>
  <c r="T7" i="3"/>
  <c r="S7" i="3"/>
  <c r="U7" i="3" s="1"/>
  <c r="Q7" i="3"/>
  <c r="J7" i="3"/>
  <c r="K7" i="3" s="1"/>
  <c r="L7" i="3" s="1"/>
  <c r="I7" i="3"/>
  <c r="H7" i="3"/>
  <c r="G7" i="3"/>
  <c r="F7" i="3"/>
  <c r="E7" i="3"/>
  <c r="T6" i="3"/>
  <c r="S6" i="3"/>
  <c r="U6" i="3" s="1"/>
  <c r="Q6" i="3"/>
  <c r="J6" i="3"/>
  <c r="K6" i="3" s="1"/>
  <c r="L6" i="3" s="1"/>
  <c r="I6" i="3"/>
  <c r="H6" i="3"/>
  <c r="G6" i="3"/>
  <c r="F6" i="3"/>
  <c r="E6" i="3"/>
  <c r="Q5" i="3"/>
  <c r="P5" i="3"/>
  <c r="X175" i="2"/>
  <c r="W175" i="2"/>
  <c r="V175" i="2"/>
  <c r="U175" i="2"/>
  <c r="T175" i="2"/>
  <c r="S175" i="2"/>
  <c r="R175" i="2"/>
  <c r="X174" i="2"/>
  <c r="W174" i="2"/>
  <c r="V174" i="2"/>
  <c r="U174" i="2"/>
  <c r="T174" i="2"/>
  <c r="S174" i="2"/>
  <c r="R174" i="2"/>
  <c r="X173" i="2"/>
  <c r="W173" i="2"/>
  <c r="V173" i="2"/>
  <c r="U173" i="2"/>
  <c r="T173" i="2"/>
  <c r="S173" i="2"/>
  <c r="R173" i="2"/>
  <c r="X172" i="2"/>
  <c r="W172" i="2"/>
  <c r="V172" i="2"/>
  <c r="U172" i="2"/>
  <c r="T172" i="2"/>
  <c r="S172" i="2"/>
  <c r="R172" i="2"/>
  <c r="X171" i="2"/>
  <c r="W171" i="2"/>
  <c r="V171" i="2"/>
  <c r="U171" i="2"/>
  <c r="T171" i="2"/>
  <c r="S171" i="2"/>
  <c r="R171" i="2"/>
  <c r="X170" i="2"/>
  <c r="W170" i="2"/>
  <c r="V170" i="2"/>
  <c r="U170" i="2"/>
  <c r="T170" i="2"/>
  <c r="S170" i="2"/>
  <c r="R170" i="2"/>
  <c r="X169" i="2"/>
  <c r="W169" i="2"/>
  <c r="V169" i="2"/>
  <c r="U169" i="2"/>
  <c r="T169" i="2"/>
  <c r="S169" i="2"/>
  <c r="R169" i="2"/>
  <c r="X168" i="2"/>
  <c r="W168" i="2"/>
  <c r="V168" i="2"/>
  <c r="U168" i="2"/>
  <c r="T168" i="2"/>
  <c r="S168" i="2"/>
  <c r="R168" i="2"/>
  <c r="X167" i="2"/>
  <c r="W167" i="2"/>
  <c r="V167" i="2"/>
  <c r="U167" i="2"/>
  <c r="T167" i="2"/>
  <c r="S167" i="2"/>
  <c r="R167" i="2"/>
  <c r="X166" i="2"/>
  <c r="W166" i="2"/>
  <c r="V166" i="2"/>
  <c r="U166" i="2"/>
  <c r="T166" i="2"/>
  <c r="S166" i="2"/>
  <c r="R166" i="2"/>
  <c r="X165" i="2"/>
  <c r="W165" i="2"/>
  <c r="V165" i="2"/>
  <c r="U165" i="2"/>
  <c r="T165" i="2"/>
  <c r="S165" i="2"/>
  <c r="R165" i="2"/>
  <c r="X164" i="2"/>
  <c r="W164" i="2"/>
  <c r="V164" i="2"/>
  <c r="U164" i="2"/>
  <c r="T164" i="2"/>
  <c r="S164" i="2"/>
  <c r="R164" i="2"/>
  <c r="X163" i="2"/>
  <c r="W163" i="2"/>
  <c r="V163" i="2"/>
  <c r="U163" i="2"/>
  <c r="T163" i="2"/>
  <c r="S163" i="2"/>
  <c r="R163" i="2"/>
  <c r="X162" i="2"/>
  <c r="W162" i="2"/>
  <c r="V162" i="2"/>
  <c r="U162" i="2"/>
  <c r="T162" i="2"/>
  <c r="S162" i="2"/>
  <c r="R162" i="2"/>
  <c r="X161" i="2"/>
  <c r="W161" i="2"/>
  <c r="V161" i="2"/>
  <c r="U161" i="2"/>
  <c r="T161" i="2"/>
  <c r="S161" i="2"/>
  <c r="R161" i="2"/>
  <c r="X160" i="2"/>
  <c r="W160" i="2"/>
  <c r="V160" i="2"/>
  <c r="U160" i="2"/>
  <c r="T160" i="2"/>
  <c r="S160" i="2"/>
  <c r="R160" i="2"/>
  <c r="X159" i="2"/>
  <c r="W159" i="2"/>
  <c r="V159" i="2"/>
  <c r="U159" i="2"/>
  <c r="T159" i="2"/>
  <c r="S159" i="2"/>
  <c r="R159" i="2"/>
  <c r="X158" i="2"/>
  <c r="W158" i="2"/>
  <c r="V158" i="2"/>
  <c r="U158" i="2"/>
  <c r="T158" i="2"/>
  <c r="S158" i="2"/>
  <c r="R158" i="2"/>
  <c r="X157" i="2"/>
  <c r="W157" i="2"/>
  <c r="V157" i="2"/>
  <c r="U157" i="2"/>
  <c r="T157" i="2"/>
  <c r="S157" i="2"/>
  <c r="R157" i="2"/>
  <c r="X156" i="2"/>
  <c r="W156" i="2"/>
  <c r="V156" i="2"/>
  <c r="U156" i="2"/>
  <c r="T156" i="2"/>
  <c r="S156" i="2"/>
  <c r="R156" i="2"/>
  <c r="X155" i="2"/>
  <c r="W155" i="2"/>
  <c r="V155" i="2"/>
  <c r="U155" i="2"/>
  <c r="T155" i="2"/>
  <c r="S155" i="2"/>
  <c r="R155" i="2"/>
  <c r="X154" i="2"/>
  <c r="W154" i="2"/>
  <c r="V154" i="2"/>
  <c r="U154" i="2"/>
  <c r="T154" i="2"/>
  <c r="S154" i="2"/>
  <c r="R154" i="2"/>
  <c r="X153" i="2"/>
  <c r="W153" i="2"/>
  <c r="V153" i="2"/>
  <c r="U153" i="2"/>
  <c r="T153" i="2"/>
  <c r="S153" i="2"/>
  <c r="R153" i="2"/>
  <c r="X152" i="2"/>
  <c r="W152" i="2"/>
  <c r="V152" i="2"/>
  <c r="U152" i="2"/>
  <c r="T152" i="2"/>
  <c r="S152" i="2"/>
  <c r="R152" i="2"/>
  <c r="X151" i="2"/>
  <c r="W151" i="2"/>
  <c r="V151" i="2"/>
  <c r="U151" i="2"/>
  <c r="T151" i="2"/>
  <c r="S151" i="2"/>
  <c r="R151" i="2"/>
  <c r="X150" i="2"/>
  <c r="W150" i="2"/>
  <c r="V150" i="2"/>
  <c r="U150" i="2"/>
  <c r="T150" i="2"/>
  <c r="S150" i="2"/>
  <c r="R150" i="2"/>
  <c r="X149" i="2"/>
  <c r="W149" i="2"/>
  <c r="V149" i="2"/>
  <c r="U149" i="2"/>
  <c r="T149" i="2"/>
  <c r="S149" i="2"/>
  <c r="R149" i="2"/>
  <c r="X148" i="2"/>
  <c r="W148" i="2"/>
  <c r="V148" i="2"/>
  <c r="U148" i="2"/>
  <c r="T148" i="2"/>
  <c r="S148" i="2"/>
  <c r="R148" i="2"/>
  <c r="X147" i="2"/>
  <c r="W147" i="2"/>
  <c r="V147" i="2"/>
  <c r="U147" i="2"/>
  <c r="T147" i="2"/>
  <c r="S147" i="2"/>
  <c r="R147" i="2"/>
  <c r="X146" i="2"/>
  <c r="W146" i="2"/>
  <c r="V146" i="2"/>
  <c r="U146" i="2"/>
  <c r="T146" i="2"/>
  <c r="S146" i="2"/>
  <c r="R146" i="2"/>
  <c r="X145" i="2"/>
  <c r="W145" i="2"/>
  <c r="V145" i="2"/>
  <c r="U145" i="2"/>
  <c r="T145" i="2"/>
  <c r="S145" i="2"/>
  <c r="R145" i="2"/>
  <c r="X144" i="2"/>
  <c r="W144" i="2"/>
  <c r="V144" i="2"/>
  <c r="U144" i="2"/>
  <c r="T144" i="2"/>
  <c r="S144" i="2"/>
  <c r="R144" i="2"/>
  <c r="X143" i="2"/>
  <c r="W143" i="2"/>
  <c r="V143" i="2"/>
  <c r="U143" i="2"/>
  <c r="T143" i="2"/>
  <c r="S143" i="2"/>
  <c r="R143" i="2"/>
  <c r="X142" i="2"/>
  <c r="W142" i="2"/>
  <c r="V142" i="2"/>
  <c r="U142" i="2"/>
  <c r="T142" i="2"/>
  <c r="S142" i="2"/>
  <c r="R142" i="2"/>
  <c r="X141" i="2"/>
  <c r="W141" i="2"/>
  <c r="V141" i="2"/>
  <c r="U141" i="2"/>
  <c r="T141" i="2"/>
  <c r="S141" i="2"/>
  <c r="R141" i="2"/>
  <c r="X140" i="2"/>
  <c r="W140" i="2"/>
  <c r="V140" i="2"/>
  <c r="U140" i="2"/>
  <c r="T140" i="2"/>
  <c r="S140" i="2"/>
  <c r="R140" i="2"/>
  <c r="X139" i="2"/>
  <c r="W139" i="2"/>
  <c r="V139" i="2"/>
  <c r="U139" i="2"/>
  <c r="T139" i="2"/>
  <c r="S139" i="2"/>
  <c r="R139" i="2"/>
  <c r="X138" i="2"/>
  <c r="W138" i="2"/>
  <c r="V138" i="2"/>
  <c r="U138" i="2"/>
  <c r="T138" i="2"/>
  <c r="S138" i="2"/>
  <c r="R138" i="2"/>
  <c r="X137" i="2"/>
  <c r="W137" i="2"/>
  <c r="V137" i="2"/>
  <c r="U137" i="2"/>
  <c r="T137" i="2"/>
  <c r="S137" i="2"/>
  <c r="R137" i="2"/>
  <c r="X136" i="2"/>
  <c r="U136" i="2"/>
  <c r="S136" i="2"/>
  <c r="R136" i="2"/>
  <c r="X135" i="2"/>
  <c r="W135" i="2"/>
  <c r="V135" i="2"/>
  <c r="U135" i="2"/>
  <c r="T135" i="2"/>
  <c r="S135" i="2"/>
  <c r="R135" i="2"/>
  <c r="X134" i="2"/>
  <c r="W134" i="2"/>
  <c r="V134" i="2"/>
  <c r="U134" i="2"/>
  <c r="T134" i="2"/>
  <c r="S134" i="2"/>
  <c r="R134" i="2"/>
  <c r="X133" i="2"/>
  <c r="W133" i="2"/>
  <c r="V133" i="2"/>
  <c r="U133" i="2"/>
  <c r="T134" i="3" s="1"/>
  <c r="T133" i="2"/>
  <c r="S133" i="2"/>
  <c r="S134" i="3" s="1"/>
  <c r="U134" i="3" s="1"/>
  <c r="R133" i="2"/>
  <c r="X132" i="2"/>
  <c r="W132" i="2"/>
  <c r="V132" i="2"/>
  <c r="U132" i="2"/>
  <c r="T133" i="3" s="1"/>
  <c r="T132" i="2"/>
  <c r="S132" i="2"/>
  <c r="S133" i="3" s="1"/>
  <c r="U133" i="3" s="1"/>
  <c r="R132" i="2"/>
  <c r="X131" i="2"/>
  <c r="W131" i="2"/>
  <c r="V131" i="2"/>
  <c r="U131" i="2"/>
  <c r="T132" i="3" s="1"/>
  <c r="T131" i="2"/>
  <c r="S131" i="2"/>
  <c r="S132" i="3" s="1"/>
  <c r="U132" i="3" s="1"/>
  <c r="R131" i="2"/>
  <c r="X130" i="2"/>
  <c r="W130" i="2"/>
  <c r="V130" i="2"/>
  <c r="U130" i="2"/>
  <c r="T131" i="3" s="1"/>
  <c r="T130" i="2"/>
  <c r="S130" i="2"/>
  <c r="S131" i="3" s="1"/>
  <c r="U131" i="3" s="1"/>
  <c r="R130" i="2"/>
  <c r="X129" i="2"/>
  <c r="W129" i="2"/>
  <c r="V129" i="2"/>
  <c r="U129" i="2"/>
  <c r="T130" i="3" s="1"/>
  <c r="T129" i="2"/>
  <c r="S129" i="2"/>
  <c r="S130" i="3" s="1"/>
  <c r="U130" i="3" s="1"/>
  <c r="R129" i="2"/>
  <c r="X128" i="2"/>
  <c r="W128" i="2"/>
  <c r="V128" i="2"/>
  <c r="U128" i="2"/>
  <c r="T129" i="3" s="1"/>
  <c r="T128" i="2"/>
  <c r="S128" i="2"/>
  <c r="S129" i="3" s="1"/>
  <c r="U129" i="3" s="1"/>
  <c r="R128" i="2"/>
  <c r="X127" i="2"/>
  <c r="W127" i="2"/>
  <c r="V127" i="2"/>
  <c r="U127" i="2"/>
  <c r="T128" i="3" s="1"/>
  <c r="T127" i="2"/>
  <c r="S127" i="2"/>
  <c r="S128" i="3" s="1"/>
  <c r="U128" i="3" s="1"/>
  <c r="R127" i="2"/>
  <c r="X126" i="2"/>
  <c r="W126" i="2"/>
  <c r="V126" i="2"/>
  <c r="U126" i="2"/>
  <c r="T127" i="3" s="1"/>
  <c r="T126" i="2"/>
  <c r="S126" i="2"/>
  <c r="S127" i="3" s="1"/>
  <c r="U127" i="3" s="1"/>
  <c r="R126" i="2"/>
  <c r="X125" i="2"/>
  <c r="W125" i="2"/>
  <c r="V125" i="2"/>
  <c r="U125" i="2"/>
  <c r="T126" i="3" s="1"/>
  <c r="T125" i="2"/>
  <c r="S125" i="2"/>
  <c r="S126" i="3" s="1"/>
  <c r="U126" i="3" s="1"/>
  <c r="R125" i="2"/>
  <c r="X124" i="2"/>
  <c r="W124" i="2"/>
  <c r="V124" i="2"/>
  <c r="U124" i="2"/>
  <c r="T125" i="3" s="1"/>
  <c r="T124" i="2"/>
  <c r="S124" i="2"/>
  <c r="S125" i="3" s="1"/>
  <c r="U125" i="3" s="1"/>
  <c r="R124" i="2"/>
  <c r="X123" i="2"/>
  <c r="W123" i="2"/>
  <c r="V123" i="2"/>
  <c r="U123" i="2"/>
  <c r="T123" i="2"/>
  <c r="S123" i="2"/>
  <c r="R123" i="2"/>
  <c r="X122" i="2"/>
  <c r="W122" i="2"/>
  <c r="V122" i="2"/>
  <c r="U122" i="2"/>
  <c r="T122" i="2"/>
  <c r="S122" i="2"/>
  <c r="R122" i="2"/>
  <c r="X121" i="2"/>
  <c r="W121" i="2"/>
  <c r="V121" i="2"/>
  <c r="U121" i="2"/>
  <c r="T121" i="2"/>
  <c r="S121" i="2"/>
  <c r="R121" i="2"/>
  <c r="X120" i="2"/>
  <c r="W120" i="2"/>
  <c r="V120" i="2"/>
  <c r="U120" i="2"/>
  <c r="T120" i="2"/>
  <c r="S120" i="2"/>
  <c r="R120" i="2"/>
  <c r="X119" i="2"/>
  <c r="W119" i="2"/>
  <c r="V119" i="2"/>
  <c r="U119" i="2"/>
  <c r="T119" i="2"/>
  <c r="S119" i="2"/>
  <c r="R119" i="2"/>
  <c r="X118" i="2"/>
  <c r="W118" i="2"/>
  <c r="V118" i="2"/>
  <c r="U118" i="2"/>
  <c r="T118" i="2"/>
  <c r="S118" i="2"/>
  <c r="R118" i="2"/>
  <c r="X117" i="2"/>
  <c r="W117" i="2"/>
  <c r="V117" i="2"/>
  <c r="U117" i="2"/>
  <c r="T117" i="2"/>
  <c r="S117" i="2"/>
  <c r="R117" i="2"/>
  <c r="X116" i="2"/>
  <c r="W116" i="2"/>
  <c r="V116" i="2"/>
  <c r="U116" i="2"/>
  <c r="T116" i="2"/>
  <c r="S116" i="2"/>
  <c r="R116" i="2"/>
  <c r="X115" i="2"/>
  <c r="W115" i="2"/>
  <c r="V115" i="2"/>
  <c r="U115" i="2"/>
  <c r="T115" i="2"/>
  <c r="S115" i="2"/>
  <c r="R115" i="2"/>
  <c r="X114" i="2"/>
  <c r="W114" i="2"/>
  <c r="V114" i="2"/>
  <c r="U114" i="2"/>
  <c r="T114" i="2"/>
  <c r="S114" i="2"/>
  <c r="R114" i="2"/>
  <c r="X113" i="2"/>
  <c r="W113" i="2"/>
  <c r="V113" i="2"/>
  <c r="U113" i="2"/>
  <c r="T113" i="2"/>
  <c r="S113" i="2"/>
  <c r="R113" i="2"/>
  <c r="X112" i="2"/>
  <c r="W112" i="2"/>
  <c r="V112" i="2"/>
  <c r="U112" i="2"/>
  <c r="T112" i="2"/>
  <c r="S112" i="2"/>
  <c r="R112" i="2"/>
  <c r="X111" i="2"/>
  <c r="W111" i="2"/>
  <c r="V111" i="2"/>
  <c r="U111" i="2"/>
  <c r="T111" i="2"/>
  <c r="S111" i="2"/>
  <c r="R111" i="2"/>
  <c r="X110" i="2"/>
  <c r="W110" i="2"/>
  <c r="V110" i="2"/>
  <c r="U110" i="2"/>
  <c r="T110" i="2"/>
  <c r="S110" i="2"/>
  <c r="R110" i="2"/>
  <c r="X109" i="2"/>
  <c r="W109" i="2"/>
  <c r="V109" i="2"/>
  <c r="U109" i="2"/>
  <c r="T109" i="2"/>
  <c r="S109" i="2"/>
  <c r="R109" i="2"/>
  <c r="X108" i="2"/>
  <c r="W108" i="2"/>
  <c r="V108" i="2"/>
  <c r="U108" i="2"/>
  <c r="T108" i="2"/>
  <c r="S108" i="2"/>
  <c r="R108" i="2"/>
  <c r="X107" i="2"/>
  <c r="W107" i="2"/>
  <c r="V107" i="2"/>
  <c r="U107" i="2"/>
  <c r="T108" i="3" s="1"/>
  <c r="T107" i="2"/>
  <c r="S107" i="2"/>
  <c r="S108" i="3" s="1"/>
  <c r="U108" i="3" s="1"/>
  <c r="R107" i="2"/>
  <c r="X106" i="2"/>
  <c r="W106" i="2"/>
  <c r="V106" i="2"/>
  <c r="U106" i="2"/>
  <c r="T106" i="2"/>
  <c r="S106" i="2"/>
  <c r="R106" i="2"/>
  <c r="X105" i="2"/>
  <c r="W105" i="2"/>
  <c r="V105" i="2"/>
  <c r="U105" i="2"/>
  <c r="T105" i="2"/>
  <c r="S105" i="2"/>
  <c r="R105" i="2"/>
  <c r="X104" i="2"/>
  <c r="W104" i="2"/>
  <c r="V104" i="2"/>
  <c r="U104" i="2"/>
  <c r="T104" i="2"/>
  <c r="S104" i="2"/>
  <c r="R104" i="2"/>
  <c r="X103" i="2"/>
  <c r="W103" i="2"/>
  <c r="V103" i="2"/>
  <c r="U103" i="2"/>
  <c r="T103" i="2"/>
  <c r="S103" i="2"/>
  <c r="R103" i="2"/>
  <c r="X102" i="2"/>
  <c r="W102" i="2"/>
  <c r="V102" i="2"/>
  <c r="U102" i="2"/>
  <c r="T102" i="2"/>
  <c r="S102" i="2"/>
  <c r="R102" i="2"/>
  <c r="X101" i="2"/>
  <c r="W101" i="2"/>
  <c r="V101" i="2"/>
  <c r="U101" i="2"/>
  <c r="T101" i="2"/>
  <c r="S101" i="2"/>
  <c r="R101" i="2"/>
  <c r="X100" i="2"/>
  <c r="W100" i="2"/>
  <c r="V100" i="2"/>
  <c r="U100" i="2"/>
  <c r="T100" i="2"/>
  <c r="S100" i="2"/>
  <c r="R100" i="2"/>
  <c r="X99" i="2"/>
  <c r="W99" i="2"/>
  <c r="V99" i="2"/>
  <c r="U99" i="2"/>
  <c r="T99" i="2"/>
  <c r="S99" i="2"/>
  <c r="R99" i="2"/>
  <c r="X98" i="2"/>
  <c r="W98" i="2"/>
  <c r="V98" i="2"/>
  <c r="U98" i="2"/>
  <c r="T98" i="2"/>
  <c r="S98" i="2"/>
  <c r="R98" i="2"/>
  <c r="X97" i="2"/>
  <c r="W97" i="2"/>
  <c r="V97" i="2"/>
  <c r="U97" i="2"/>
  <c r="T97" i="2"/>
  <c r="S97" i="2"/>
  <c r="R97" i="2"/>
  <c r="X96" i="2"/>
  <c r="U96" i="2"/>
  <c r="S96" i="2"/>
  <c r="R96" i="2"/>
  <c r="X95" i="2"/>
  <c r="W95" i="2"/>
  <c r="V95" i="2"/>
  <c r="U95" i="2"/>
  <c r="T95" i="2"/>
  <c r="S95" i="2"/>
  <c r="R95" i="2"/>
  <c r="X94" i="2"/>
  <c r="W94" i="2"/>
  <c r="V94" i="2"/>
  <c r="U94" i="2"/>
  <c r="T94" i="2"/>
  <c r="S94" i="2"/>
  <c r="R94" i="2"/>
  <c r="X93" i="2"/>
  <c r="W93" i="2"/>
  <c r="V93" i="2"/>
  <c r="U93" i="2"/>
  <c r="T93" i="2"/>
  <c r="S93" i="2"/>
  <c r="R93" i="2"/>
  <c r="X92" i="2"/>
  <c r="W92" i="2"/>
  <c r="V92" i="2"/>
  <c r="U92" i="2"/>
  <c r="T92" i="2"/>
  <c r="S92" i="2"/>
  <c r="R92" i="2"/>
  <c r="X91" i="2"/>
  <c r="W91" i="2"/>
  <c r="V91" i="2"/>
  <c r="U91" i="2"/>
  <c r="T91" i="2"/>
  <c r="S91" i="2"/>
  <c r="R91" i="2"/>
  <c r="X90" i="2"/>
  <c r="W90" i="2"/>
  <c r="V90" i="2"/>
  <c r="U90" i="2"/>
  <c r="T90" i="2"/>
  <c r="S90" i="2"/>
  <c r="R90" i="2"/>
  <c r="X89" i="2"/>
  <c r="W89" i="2"/>
  <c r="V89" i="2"/>
  <c r="U89" i="2"/>
  <c r="T89" i="2"/>
  <c r="S89" i="2"/>
  <c r="R89" i="2"/>
  <c r="X88" i="2"/>
  <c r="W88" i="2"/>
  <c r="V88" i="2"/>
  <c r="U88" i="2"/>
  <c r="T88" i="2"/>
  <c r="S88" i="2"/>
  <c r="R88" i="2"/>
  <c r="X87" i="2"/>
  <c r="W87" i="2"/>
  <c r="V87" i="2"/>
  <c r="U87" i="2"/>
  <c r="T87" i="2"/>
  <c r="S87" i="2"/>
  <c r="R87" i="2"/>
  <c r="X86" i="2"/>
  <c r="W86" i="2"/>
  <c r="V86" i="2"/>
  <c r="U86" i="2"/>
  <c r="T86" i="2"/>
  <c r="S86" i="2"/>
  <c r="R86" i="2"/>
  <c r="X85" i="2"/>
  <c r="W85" i="2"/>
  <c r="V85" i="2"/>
  <c r="U85" i="2"/>
  <c r="T85" i="2"/>
  <c r="S85" i="2"/>
  <c r="R85" i="2"/>
  <c r="X84" i="2"/>
  <c r="W84" i="2"/>
  <c r="V84" i="2"/>
  <c r="U84" i="2"/>
  <c r="T84" i="2"/>
  <c r="S84" i="2"/>
  <c r="R84" i="2"/>
  <c r="X83" i="2"/>
  <c r="W83" i="2"/>
  <c r="V83" i="2"/>
  <c r="U83" i="2"/>
  <c r="T83" i="2"/>
  <c r="S83" i="2"/>
  <c r="R83" i="2"/>
  <c r="X82" i="2"/>
  <c r="W82" i="2"/>
  <c r="V82" i="2"/>
  <c r="U82" i="2"/>
  <c r="T82" i="2"/>
  <c r="S82" i="2"/>
  <c r="R82" i="2"/>
  <c r="X81" i="2"/>
  <c r="W81" i="2"/>
  <c r="V81" i="2"/>
  <c r="U81" i="2"/>
  <c r="T82" i="3" s="1"/>
  <c r="T81" i="2"/>
  <c r="S81" i="2"/>
  <c r="S82" i="3" s="1"/>
  <c r="U82" i="3" s="1"/>
  <c r="R81" i="2"/>
  <c r="X80" i="2"/>
  <c r="W80" i="2"/>
  <c r="V80" i="2"/>
  <c r="U80" i="2"/>
  <c r="T80" i="2"/>
  <c r="S80" i="2"/>
  <c r="R80" i="2"/>
  <c r="X79" i="2"/>
  <c r="W79" i="2"/>
  <c r="V79" i="2"/>
  <c r="U79" i="2"/>
  <c r="T79" i="2"/>
  <c r="S79" i="2"/>
  <c r="R79" i="2"/>
  <c r="X78" i="2"/>
  <c r="W78" i="2"/>
  <c r="V78" i="2"/>
  <c r="U78" i="2"/>
  <c r="T78" i="2"/>
  <c r="S78" i="2"/>
  <c r="R78" i="2"/>
  <c r="X77" i="2"/>
  <c r="W77" i="2"/>
  <c r="V77" i="2"/>
  <c r="U77" i="2"/>
  <c r="T77" i="2"/>
  <c r="S77" i="2"/>
  <c r="R77" i="2"/>
  <c r="X76" i="2"/>
  <c r="W76" i="2"/>
  <c r="V76" i="2"/>
  <c r="U76" i="2"/>
  <c r="T76" i="2"/>
  <c r="S76" i="2"/>
  <c r="R76" i="2"/>
  <c r="X75" i="2"/>
  <c r="W75" i="2"/>
  <c r="V75" i="2"/>
  <c r="U75" i="2"/>
  <c r="T75" i="2"/>
  <c r="S75" i="2"/>
  <c r="R75" i="2"/>
  <c r="X74" i="2"/>
  <c r="W74" i="2"/>
  <c r="V74" i="2"/>
  <c r="U74" i="2"/>
  <c r="T74" i="2"/>
  <c r="S74" i="2"/>
  <c r="R74" i="2"/>
  <c r="X73" i="2"/>
  <c r="W73" i="2"/>
  <c r="V73" i="2"/>
  <c r="U73" i="2"/>
  <c r="T73" i="2"/>
  <c r="S73" i="2"/>
  <c r="R73" i="2"/>
  <c r="X72" i="2"/>
  <c r="W72" i="2"/>
  <c r="V72" i="2"/>
  <c r="U72" i="2"/>
  <c r="T72" i="2"/>
  <c r="S72" i="2"/>
  <c r="R72" i="2"/>
  <c r="X71" i="2"/>
  <c r="W71" i="2"/>
  <c r="V71" i="2"/>
  <c r="U71" i="2"/>
  <c r="T71" i="2"/>
  <c r="S71" i="2"/>
  <c r="R71" i="2"/>
  <c r="X70" i="2"/>
  <c r="W70" i="2"/>
  <c r="V70" i="2"/>
  <c r="U70" i="2"/>
  <c r="T70" i="2"/>
  <c r="S70" i="2"/>
  <c r="R70" i="2"/>
  <c r="X69" i="2"/>
  <c r="W69" i="2"/>
  <c r="V69" i="2"/>
  <c r="U69" i="2"/>
  <c r="T69" i="2"/>
  <c r="S69" i="2"/>
  <c r="R69" i="2"/>
  <c r="X68" i="2"/>
  <c r="W68" i="2"/>
  <c r="V68" i="2"/>
  <c r="U68" i="2"/>
  <c r="T68" i="2"/>
  <c r="S68" i="2"/>
  <c r="R68" i="2"/>
  <c r="X67" i="2"/>
  <c r="W67" i="2"/>
  <c r="V67" i="2"/>
  <c r="U67" i="2"/>
  <c r="T67" i="2"/>
  <c r="S67" i="2"/>
  <c r="R67" i="2"/>
  <c r="X66" i="2"/>
  <c r="W66" i="2"/>
  <c r="V66" i="2"/>
  <c r="U66" i="2"/>
  <c r="T66" i="2"/>
  <c r="S66" i="2"/>
  <c r="R66" i="2"/>
  <c r="X65" i="2"/>
  <c r="W65" i="2"/>
  <c r="V65" i="2"/>
  <c r="U65" i="2"/>
  <c r="T65" i="2"/>
  <c r="S65" i="2"/>
  <c r="R65" i="2"/>
  <c r="X64" i="2"/>
  <c r="W64" i="2"/>
  <c r="V64" i="2"/>
  <c r="U64" i="2"/>
  <c r="T64" i="2"/>
  <c r="S64" i="2"/>
  <c r="R64" i="2"/>
  <c r="X63" i="2"/>
  <c r="W63" i="2"/>
  <c r="V63" i="2"/>
  <c r="U63" i="2"/>
  <c r="T63" i="2"/>
  <c r="S63" i="2"/>
  <c r="R63" i="2"/>
  <c r="X62" i="2"/>
  <c r="W62" i="2"/>
  <c r="V62" i="2"/>
  <c r="U62" i="2"/>
  <c r="T62" i="2"/>
  <c r="S62" i="2"/>
  <c r="R62" i="2"/>
  <c r="X61" i="2"/>
  <c r="W61" i="2"/>
  <c r="V61" i="2"/>
  <c r="U61" i="2"/>
  <c r="T61" i="2"/>
  <c r="S61" i="2"/>
  <c r="R61" i="2"/>
  <c r="X60" i="2"/>
  <c r="W60" i="2"/>
  <c r="V60" i="2"/>
  <c r="U60" i="2"/>
  <c r="T60" i="2"/>
  <c r="S60" i="2"/>
  <c r="R60" i="2"/>
  <c r="X59" i="2"/>
  <c r="W59" i="2"/>
  <c r="V59" i="2"/>
  <c r="U59" i="2"/>
  <c r="T59" i="2"/>
  <c r="S59" i="2"/>
  <c r="R59" i="2"/>
  <c r="X58" i="2"/>
  <c r="W58" i="2"/>
  <c r="V58" i="2"/>
  <c r="U58" i="2"/>
  <c r="T58" i="2"/>
  <c r="S58" i="2"/>
  <c r="R58" i="2"/>
  <c r="X57" i="2"/>
  <c r="W57" i="2"/>
  <c r="V57" i="2"/>
  <c r="U57" i="2"/>
  <c r="T57" i="2"/>
  <c r="S57" i="2"/>
  <c r="R57" i="2"/>
  <c r="X56" i="2"/>
  <c r="W56" i="2"/>
  <c r="V56" i="2"/>
  <c r="U56" i="2"/>
  <c r="T56" i="2"/>
  <c r="S56" i="2"/>
  <c r="R56" i="2"/>
  <c r="X55" i="2"/>
  <c r="W55" i="2"/>
  <c r="V55" i="2"/>
  <c r="U55" i="2"/>
  <c r="T55" i="2"/>
  <c r="S55" i="2"/>
  <c r="R55" i="2"/>
  <c r="X54" i="2"/>
  <c r="W54" i="2"/>
  <c r="V54" i="2"/>
  <c r="U54" i="2"/>
  <c r="T54" i="2"/>
  <c r="S54" i="2"/>
  <c r="R54" i="2"/>
  <c r="X53" i="2"/>
  <c r="W53" i="2"/>
  <c r="V53" i="2"/>
  <c r="U53" i="2"/>
  <c r="T53" i="2"/>
  <c r="S53" i="2"/>
  <c r="R53" i="2"/>
  <c r="X52" i="2"/>
  <c r="W52" i="2"/>
  <c r="V52" i="2"/>
  <c r="U52" i="2"/>
  <c r="T52" i="2"/>
  <c r="S52" i="2"/>
  <c r="R52" i="2"/>
  <c r="X51" i="2"/>
  <c r="W51" i="2"/>
  <c r="V51" i="2"/>
  <c r="U51" i="2"/>
  <c r="T51" i="2"/>
  <c r="S51" i="2"/>
  <c r="R51" i="2"/>
  <c r="X50" i="2"/>
  <c r="W50" i="2"/>
  <c r="V50" i="2"/>
  <c r="U50" i="2"/>
  <c r="T50" i="2"/>
  <c r="S50" i="2"/>
  <c r="R50" i="2"/>
  <c r="X49" i="2"/>
  <c r="W49" i="2"/>
  <c r="V49" i="2"/>
  <c r="U49" i="2"/>
  <c r="T49" i="2"/>
  <c r="S49" i="2"/>
  <c r="R49" i="2"/>
  <c r="X48" i="2"/>
  <c r="W48" i="2"/>
  <c r="V48" i="2"/>
  <c r="U48" i="2"/>
  <c r="T48" i="2"/>
  <c r="S48" i="2"/>
  <c r="R48" i="2"/>
  <c r="X47" i="2"/>
  <c r="W47" i="2"/>
  <c r="V47" i="2"/>
  <c r="U47" i="2"/>
  <c r="T47" i="2"/>
  <c r="S47" i="2"/>
  <c r="R47" i="2"/>
  <c r="X46" i="2"/>
  <c r="W46" i="2"/>
  <c r="V46" i="2"/>
  <c r="U46" i="2"/>
  <c r="T46" i="2"/>
  <c r="S46" i="2"/>
  <c r="R46" i="2"/>
  <c r="X45" i="2"/>
  <c r="W45" i="2"/>
  <c r="V45" i="2"/>
  <c r="U45" i="2"/>
  <c r="T45" i="2"/>
  <c r="S45" i="2"/>
  <c r="R45" i="2"/>
  <c r="X44" i="2"/>
  <c r="W44" i="2"/>
  <c r="V44" i="2"/>
  <c r="U44" i="2"/>
  <c r="T44" i="2"/>
  <c r="S44" i="2"/>
  <c r="R44" i="2"/>
  <c r="X43" i="2"/>
  <c r="W43" i="2"/>
  <c r="V43" i="2"/>
  <c r="U43" i="2"/>
  <c r="T43" i="2"/>
  <c r="S43" i="2"/>
  <c r="R43" i="2"/>
  <c r="X42" i="2"/>
  <c r="W42" i="2"/>
  <c r="V42" i="2"/>
  <c r="U42" i="2"/>
  <c r="T42" i="2"/>
  <c r="S42" i="2"/>
  <c r="R42" i="2"/>
  <c r="X41" i="2"/>
  <c r="W41" i="2"/>
  <c r="V41" i="2"/>
  <c r="U41" i="2"/>
  <c r="T41" i="2"/>
  <c r="S41" i="2"/>
  <c r="R41" i="2"/>
  <c r="X40" i="2"/>
  <c r="W40" i="2"/>
  <c r="V40" i="2"/>
  <c r="U40" i="2"/>
  <c r="T40" i="2"/>
  <c r="S40" i="2"/>
  <c r="R40" i="2"/>
  <c r="X39" i="2"/>
  <c r="W39" i="2"/>
  <c r="V39" i="2"/>
  <c r="U39" i="2"/>
  <c r="T39" i="2"/>
  <c r="S39" i="2"/>
  <c r="R39" i="2"/>
  <c r="X38" i="2"/>
  <c r="W38" i="2"/>
  <c r="V38" i="2"/>
  <c r="U38" i="2"/>
  <c r="T38" i="2"/>
  <c r="S38" i="2"/>
  <c r="R38" i="2"/>
  <c r="X37" i="2"/>
  <c r="W37" i="2"/>
  <c r="V37" i="2"/>
  <c r="U37" i="2"/>
  <c r="T37" i="2"/>
  <c r="S37" i="2"/>
  <c r="R37" i="2"/>
  <c r="X36" i="2"/>
  <c r="W36" i="2"/>
  <c r="V36" i="2"/>
  <c r="U36" i="2"/>
  <c r="T36" i="2"/>
  <c r="S36" i="2"/>
  <c r="R36" i="2"/>
  <c r="X35" i="2"/>
  <c r="W35" i="2"/>
  <c r="V35" i="2"/>
  <c r="U35" i="2"/>
  <c r="T35" i="2"/>
  <c r="S35" i="2"/>
  <c r="R35" i="2"/>
  <c r="X34" i="2"/>
  <c r="W34" i="2"/>
  <c r="V34" i="2"/>
  <c r="U34" i="2"/>
  <c r="T34" i="2"/>
  <c r="S34" i="2"/>
  <c r="R34" i="2"/>
  <c r="X33" i="2"/>
  <c r="W33" i="2"/>
  <c r="V33" i="2"/>
  <c r="U33" i="2"/>
  <c r="T33" i="2"/>
  <c r="S33" i="2"/>
  <c r="R33" i="2"/>
  <c r="X32" i="2"/>
  <c r="W32" i="2"/>
  <c r="V32" i="2"/>
  <c r="U32" i="2"/>
  <c r="T32" i="2"/>
  <c r="S32" i="2"/>
  <c r="R32" i="2"/>
  <c r="X31" i="2"/>
  <c r="W31" i="2"/>
  <c r="V31" i="2"/>
  <c r="U31" i="2"/>
  <c r="T31" i="2"/>
  <c r="S31" i="2"/>
  <c r="R31" i="2"/>
  <c r="X30" i="2"/>
  <c r="W30" i="2"/>
  <c r="V30" i="2"/>
  <c r="U30" i="2"/>
  <c r="T30" i="2"/>
  <c r="S30" i="2"/>
  <c r="R30" i="2"/>
  <c r="X29" i="2"/>
  <c r="W29" i="2"/>
  <c r="V29" i="2"/>
  <c r="U29" i="2"/>
  <c r="T30" i="3" s="1"/>
  <c r="T29" i="2"/>
  <c r="S29" i="2"/>
  <c r="S30" i="3" s="1"/>
  <c r="U30" i="3" s="1"/>
  <c r="R29" i="2"/>
  <c r="X28" i="2"/>
  <c r="W28" i="2"/>
  <c r="V28" i="2"/>
  <c r="U28" i="2"/>
  <c r="T28" i="2"/>
  <c r="S28" i="2"/>
  <c r="R28" i="2"/>
  <c r="X27" i="2"/>
  <c r="W27" i="2"/>
  <c r="V27" i="2"/>
  <c r="U27" i="2"/>
  <c r="T27" i="2"/>
  <c r="S27" i="2"/>
  <c r="R27" i="2"/>
  <c r="X26" i="2"/>
  <c r="W26" i="2"/>
  <c r="V26" i="2"/>
  <c r="U26" i="2"/>
  <c r="T26" i="2"/>
  <c r="S26" i="2"/>
  <c r="R26" i="2"/>
  <c r="X25" i="2"/>
  <c r="W25" i="2"/>
  <c r="V25" i="2"/>
  <c r="U25" i="2"/>
  <c r="T25" i="2"/>
  <c r="S25" i="2"/>
  <c r="R25" i="2"/>
  <c r="X24" i="2"/>
  <c r="W24" i="2"/>
  <c r="V24" i="2"/>
  <c r="U24" i="2"/>
  <c r="T24" i="2"/>
  <c r="S24" i="2"/>
  <c r="R24" i="2"/>
  <c r="X23" i="2"/>
  <c r="W23" i="2"/>
  <c r="V23" i="2"/>
  <c r="U23" i="2"/>
  <c r="T23" i="2"/>
  <c r="S23" i="2"/>
  <c r="R23" i="2"/>
  <c r="X22" i="2"/>
  <c r="W22" i="2"/>
  <c r="V22" i="2"/>
  <c r="U22" i="2"/>
  <c r="T22" i="2"/>
  <c r="S22" i="2"/>
  <c r="R22" i="2"/>
  <c r="X21" i="2"/>
  <c r="W21" i="2"/>
  <c r="V21" i="2"/>
  <c r="U21" i="2"/>
  <c r="T21" i="2"/>
  <c r="S21" i="2"/>
  <c r="R21" i="2"/>
  <c r="X20" i="2"/>
  <c r="W20" i="2"/>
  <c r="V20" i="2"/>
  <c r="U20" i="2"/>
  <c r="T20" i="2"/>
  <c r="S20" i="2"/>
  <c r="R20" i="2"/>
  <c r="X19" i="2"/>
  <c r="W19" i="2"/>
  <c r="V19" i="2"/>
  <c r="U19" i="2"/>
  <c r="T19" i="2"/>
  <c r="S19" i="2"/>
  <c r="R19" i="2"/>
  <c r="X18" i="2"/>
  <c r="W18" i="2"/>
  <c r="V18" i="2"/>
  <c r="U18" i="2"/>
  <c r="T18" i="2"/>
  <c r="S18" i="2"/>
  <c r="R18" i="2"/>
  <c r="X17" i="2"/>
  <c r="W17" i="2"/>
  <c r="V17" i="2"/>
  <c r="U17" i="2"/>
  <c r="T17" i="2"/>
  <c r="S17" i="2"/>
  <c r="R17" i="2"/>
  <c r="X16" i="2"/>
  <c r="W16" i="2"/>
  <c r="V16" i="2"/>
  <c r="U16" i="2"/>
  <c r="T16" i="2"/>
  <c r="S16" i="2"/>
  <c r="R16" i="2"/>
  <c r="X15" i="2"/>
  <c r="W15" i="2"/>
  <c r="V15" i="2"/>
  <c r="U15" i="2"/>
  <c r="T15" i="2"/>
  <c r="S15" i="2"/>
  <c r="R15" i="2"/>
  <c r="X14" i="2"/>
  <c r="W14" i="2"/>
  <c r="V14" i="2"/>
  <c r="U14" i="2"/>
  <c r="T14" i="2"/>
  <c r="S14" i="2"/>
  <c r="R14" i="2"/>
  <c r="X13" i="2"/>
  <c r="W13" i="2"/>
  <c r="V13" i="2"/>
  <c r="U13" i="2"/>
  <c r="T13" i="2"/>
  <c r="S13" i="2"/>
  <c r="R13" i="2"/>
  <c r="X12" i="2"/>
  <c r="W12" i="2"/>
  <c r="V12" i="2"/>
  <c r="U12" i="2"/>
  <c r="T12" i="2"/>
  <c r="S12" i="2"/>
  <c r="R12" i="2"/>
  <c r="X11" i="2"/>
  <c r="W11" i="2"/>
  <c r="V11" i="2"/>
  <c r="U11" i="2"/>
  <c r="T11" i="2"/>
  <c r="S11" i="2"/>
  <c r="R11" i="2"/>
  <c r="X10" i="2"/>
  <c r="W10" i="2"/>
  <c r="V10" i="2"/>
  <c r="U10" i="2"/>
  <c r="T10" i="2"/>
  <c r="S10" i="2"/>
  <c r="R10" i="2"/>
  <c r="X9" i="2"/>
  <c r="W9" i="2"/>
  <c r="V9" i="2"/>
  <c r="U9" i="2"/>
  <c r="T9" i="2"/>
  <c r="S9" i="2"/>
  <c r="R9" i="2"/>
  <c r="X8" i="2"/>
  <c r="U8" i="2"/>
  <c r="S8" i="2"/>
  <c r="R8" i="2"/>
  <c r="X7" i="2"/>
  <c r="W7" i="2"/>
  <c r="V7" i="2"/>
  <c r="U7" i="2"/>
  <c r="T7" i="2"/>
  <c r="S7" i="2"/>
  <c r="R7" i="2"/>
  <c r="X6" i="2"/>
  <c r="W6" i="2"/>
  <c r="V6" i="2"/>
  <c r="U6" i="2"/>
  <c r="T6" i="2"/>
  <c r="S6" i="2"/>
  <c r="R6" i="2"/>
  <c r="X5" i="2"/>
  <c r="W5" i="2"/>
  <c r="V5" i="2"/>
  <c r="U5" i="2"/>
  <c r="T5" i="2"/>
  <c r="S5" i="2"/>
  <c r="R5" i="2"/>
  <c r="X4" i="2"/>
  <c r="W4" i="2"/>
  <c r="V4" i="2"/>
  <c r="U4" i="2"/>
  <c r="T4" i="2"/>
  <c r="S4" i="2"/>
  <c r="R4" i="2"/>
  <c r="L54" i="9" l="1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4" i="9"/>
  <c r="K44" i="9"/>
  <c r="L43" i="9"/>
  <c r="K43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K32" i="9"/>
  <c r="L32" i="9"/>
  <c r="L31" i="9"/>
  <c r="K31" i="9"/>
  <c r="L30" i="9"/>
  <c r="K30" i="9"/>
  <c r="L29" i="9"/>
  <c r="K29" i="9"/>
  <c r="K28" i="9"/>
  <c r="L28" i="9"/>
  <c r="K27" i="9"/>
  <c r="L27" i="9"/>
  <c r="L26" i="9"/>
  <c r="K26" i="9"/>
  <c r="L25" i="9"/>
  <c r="K25" i="9"/>
  <c r="L24" i="9"/>
  <c r="K24" i="9"/>
  <c r="L23" i="9"/>
  <c r="K23" i="9"/>
  <c r="L22" i="9"/>
  <c r="K22" i="9"/>
  <c r="K21" i="9"/>
  <c r="L21" i="9"/>
  <c r="K20" i="9"/>
  <c r="L20" i="9"/>
  <c r="K19" i="9"/>
  <c r="L19" i="9"/>
  <c r="L18" i="9"/>
  <c r="K18" i="9"/>
  <c r="K17" i="9"/>
  <c r="L17" i="9"/>
  <c r="K16" i="9"/>
  <c r="L16" i="9"/>
  <c r="K15" i="9"/>
  <c r="L15" i="9"/>
  <c r="K14" i="9"/>
  <c r="L14" i="9"/>
  <c r="K13" i="9"/>
  <c r="L13" i="9"/>
  <c r="K12" i="9"/>
  <c r="L12" i="9"/>
  <c r="L11" i="9"/>
  <c r="K11" i="9"/>
  <c r="L10" i="9"/>
  <c r="K10" i="9"/>
  <c r="L9" i="9"/>
  <c r="K9" i="9"/>
  <c r="K8" i="9"/>
  <c r="L8" i="9"/>
  <c r="K7" i="9"/>
  <c r="L7" i="9"/>
  <c r="L6" i="9"/>
  <c r="K6" i="9"/>
  <c r="K5" i="9"/>
  <c r="L5" i="9"/>
  <c r="K4" i="9"/>
  <c r="T96" i="2" s="1"/>
  <c r="L4" i="9"/>
  <c r="V96" i="2" s="1"/>
  <c r="L3" i="9"/>
  <c r="V136" i="2" s="1"/>
  <c r="K3" i="9"/>
  <c r="T136" i="2" s="1"/>
  <c r="L2" i="9"/>
  <c r="V8" i="2" s="1"/>
  <c r="K2" i="9"/>
  <c r="T8" i="2" s="1"/>
  <c r="M175" i="3"/>
  <c r="N175" i="3"/>
  <c r="M174" i="3"/>
  <c r="N174" i="3"/>
  <c r="M173" i="3"/>
  <c r="N173" i="3"/>
  <c r="M172" i="3"/>
  <c r="N172" i="3"/>
  <c r="M171" i="3"/>
  <c r="N171" i="3"/>
  <c r="M170" i="3"/>
  <c r="N170" i="3"/>
  <c r="M169" i="3"/>
  <c r="N169" i="3"/>
  <c r="M168" i="3"/>
  <c r="N168" i="3"/>
  <c r="M167" i="3"/>
  <c r="N167" i="3"/>
  <c r="M166" i="3"/>
  <c r="N166" i="3"/>
  <c r="M165" i="3"/>
  <c r="N165" i="3"/>
  <c r="M164" i="3"/>
  <c r="N164" i="3"/>
  <c r="M163" i="3"/>
  <c r="N163" i="3"/>
  <c r="M162" i="3"/>
  <c r="N162" i="3"/>
  <c r="M161" i="3"/>
  <c r="N161" i="3"/>
  <c r="M160" i="3"/>
  <c r="N160" i="3"/>
  <c r="M159" i="3"/>
  <c r="N159" i="3"/>
  <c r="M158" i="3"/>
  <c r="N158" i="3"/>
  <c r="M157" i="3"/>
  <c r="N157" i="3"/>
  <c r="M156" i="3"/>
  <c r="N156" i="3"/>
  <c r="M155" i="3"/>
  <c r="N155" i="3"/>
  <c r="M154" i="3"/>
  <c r="N154" i="3"/>
  <c r="M153" i="3"/>
  <c r="N153" i="3"/>
  <c r="M152" i="3"/>
  <c r="N152" i="3"/>
  <c r="M151" i="3"/>
  <c r="N151" i="3"/>
  <c r="M150" i="3"/>
  <c r="N150" i="3"/>
  <c r="M149" i="3"/>
  <c r="N149" i="3"/>
  <c r="M148" i="3"/>
  <c r="N148" i="3"/>
  <c r="M147" i="3"/>
  <c r="N147" i="3"/>
  <c r="M146" i="3"/>
  <c r="N146" i="3"/>
  <c r="M145" i="3"/>
  <c r="N145" i="3"/>
  <c r="M144" i="3"/>
  <c r="N144" i="3"/>
  <c r="M143" i="3"/>
  <c r="N143" i="3"/>
  <c r="M142" i="3"/>
  <c r="N142" i="3"/>
  <c r="M141" i="3"/>
  <c r="N141" i="3"/>
  <c r="M140" i="3"/>
  <c r="N140" i="3"/>
  <c r="M139" i="3"/>
  <c r="N139" i="3"/>
  <c r="M138" i="3"/>
  <c r="N138" i="3"/>
  <c r="M137" i="3"/>
  <c r="N137" i="3"/>
  <c r="M136" i="3"/>
  <c r="N136" i="3"/>
  <c r="M135" i="3"/>
  <c r="N135" i="3"/>
  <c r="M134" i="3"/>
  <c r="N134" i="3"/>
  <c r="M133" i="3"/>
  <c r="N133" i="3"/>
  <c r="M132" i="3"/>
  <c r="N132" i="3"/>
  <c r="M131" i="3"/>
  <c r="N131" i="3"/>
  <c r="M130" i="3"/>
  <c r="N130" i="3"/>
  <c r="M129" i="3"/>
  <c r="N129" i="3"/>
  <c r="M128" i="3"/>
  <c r="N128" i="3"/>
  <c r="M127" i="3"/>
  <c r="N127" i="3"/>
  <c r="M126" i="3"/>
  <c r="N126" i="3"/>
  <c r="M125" i="3"/>
  <c r="N125" i="3"/>
  <c r="M124" i="3"/>
  <c r="N124" i="3"/>
  <c r="M123" i="3"/>
  <c r="N123" i="3"/>
  <c r="M122" i="3"/>
  <c r="N122" i="3"/>
  <c r="M121" i="3"/>
  <c r="N121" i="3"/>
  <c r="M120" i="3"/>
  <c r="N120" i="3"/>
  <c r="M119" i="3"/>
  <c r="N119" i="3"/>
  <c r="M118" i="3"/>
  <c r="N118" i="3"/>
  <c r="M117" i="3"/>
  <c r="N117" i="3"/>
  <c r="M116" i="3"/>
  <c r="N116" i="3"/>
  <c r="M115" i="3"/>
  <c r="N115" i="3"/>
  <c r="M114" i="3"/>
  <c r="N114" i="3"/>
  <c r="M113" i="3"/>
  <c r="N113" i="3"/>
  <c r="M112" i="3"/>
  <c r="N112" i="3"/>
  <c r="M111" i="3"/>
  <c r="N111" i="3"/>
  <c r="M110" i="3"/>
  <c r="N110" i="3"/>
  <c r="M109" i="3"/>
  <c r="N109" i="3"/>
  <c r="M108" i="3"/>
  <c r="N108" i="3"/>
  <c r="M107" i="3"/>
  <c r="N107" i="3"/>
  <c r="M106" i="3"/>
  <c r="N106" i="3"/>
  <c r="M105" i="3"/>
  <c r="N105" i="3"/>
  <c r="M104" i="3"/>
  <c r="N104" i="3"/>
  <c r="M103" i="3"/>
  <c r="N103" i="3"/>
  <c r="M102" i="3"/>
  <c r="N102" i="3"/>
  <c r="M101" i="3"/>
  <c r="N101" i="3"/>
  <c r="M100" i="3"/>
  <c r="N100" i="3"/>
  <c r="M99" i="3"/>
  <c r="N99" i="3"/>
  <c r="M98" i="3"/>
  <c r="N98" i="3"/>
  <c r="M97" i="3"/>
  <c r="N97" i="3"/>
  <c r="M96" i="3"/>
  <c r="N96" i="3"/>
  <c r="M95" i="3"/>
  <c r="N95" i="3"/>
  <c r="M94" i="3"/>
  <c r="N94" i="3"/>
  <c r="M93" i="3"/>
  <c r="N93" i="3"/>
  <c r="M92" i="3"/>
  <c r="N92" i="3"/>
  <c r="M91" i="3"/>
  <c r="N91" i="3"/>
  <c r="M90" i="3"/>
  <c r="N90" i="3"/>
  <c r="M89" i="3"/>
  <c r="N89" i="3"/>
  <c r="M88" i="3"/>
  <c r="N88" i="3"/>
  <c r="M87" i="3"/>
  <c r="N87" i="3"/>
  <c r="M86" i="3"/>
  <c r="N86" i="3"/>
  <c r="M85" i="3"/>
  <c r="N85" i="3"/>
  <c r="M84" i="3"/>
  <c r="N84" i="3"/>
  <c r="M83" i="3"/>
  <c r="N83" i="3"/>
  <c r="M82" i="3"/>
  <c r="N82" i="3"/>
  <c r="M81" i="3"/>
  <c r="N81" i="3"/>
  <c r="M80" i="3"/>
  <c r="N80" i="3"/>
  <c r="M79" i="3"/>
  <c r="N79" i="3"/>
  <c r="M78" i="3"/>
  <c r="N78" i="3"/>
  <c r="M77" i="3"/>
  <c r="N77" i="3"/>
  <c r="M76" i="3"/>
  <c r="N76" i="3"/>
  <c r="M75" i="3"/>
  <c r="N75" i="3"/>
  <c r="M74" i="3"/>
  <c r="N74" i="3"/>
  <c r="M73" i="3"/>
  <c r="N73" i="3"/>
  <c r="M72" i="3"/>
  <c r="N72" i="3"/>
  <c r="M71" i="3"/>
  <c r="N71" i="3"/>
  <c r="M70" i="3"/>
  <c r="N70" i="3"/>
  <c r="M69" i="3"/>
  <c r="N69" i="3"/>
  <c r="M68" i="3"/>
  <c r="N68" i="3"/>
  <c r="M67" i="3"/>
  <c r="N67" i="3"/>
  <c r="M66" i="3"/>
  <c r="N66" i="3"/>
  <c r="M65" i="3"/>
  <c r="N65" i="3"/>
  <c r="M64" i="3"/>
  <c r="N64" i="3"/>
  <c r="M63" i="3"/>
  <c r="N63" i="3"/>
  <c r="M62" i="3"/>
  <c r="N62" i="3"/>
  <c r="M61" i="3"/>
  <c r="N61" i="3"/>
  <c r="M60" i="3"/>
  <c r="N60" i="3"/>
  <c r="M59" i="3"/>
  <c r="N59" i="3"/>
  <c r="M58" i="3"/>
  <c r="N58" i="3"/>
  <c r="M57" i="3"/>
  <c r="N57" i="3"/>
  <c r="M56" i="3"/>
  <c r="N56" i="3"/>
  <c r="M55" i="3"/>
  <c r="N55" i="3"/>
  <c r="M54" i="3"/>
  <c r="N54" i="3"/>
  <c r="M53" i="3"/>
  <c r="N53" i="3"/>
  <c r="M52" i="3"/>
  <c r="N52" i="3"/>
  <c r="M51" i="3"/>
  <c r="N51" i="3"/>
  <c r="M50" i="3"/>
  <c r="N50" i="3"/>
  <c r="M49" i="3"/>
  <c r="N49" i="3"/>
  <c r="M48" i="3"/>
  <c r="N48" i="3"/>
  <c r="M47" i="3"/>
  <c r="N47" i="3"/>
  <c r="M46" i="3"/>
  <c r="N46" i="3"/>
  <c r="M45" i="3"/>
  <c r="N45" i="3"/>
  <c r="M44" i="3"/>
  <c r="N44" i="3"/>
  <c r="M43" i="3"/>
  <c r="N43" i="3"/>
  <c r="M42" i="3"/>
  <c r="N42" i="3"/>
  <c r="M41" i="3"/>
  <c r="N41" i="3"/>
  <c r="M40" i="3"/>
  <c r="N40" i="3"/>
  <c r="M39" i="3"/>
  <c r="N39" i="3"/>
  <c r="M38" i="3"/>
  <c r="N38" i="3"/>
  <c r="M37" i="3"/>
  <c r="N37" i="3"/>
  <c r="M36" i="3"/>
  <c r="N36" i="3"/>
  <c r="M35" i="3"/>
  <c r="N35" i="3"/>
  <c r="M34" i="3"/>
  <c r="N34" i="3"/>
  <c r="M33" i="3"/>
  <c r="N33" i="3"/>
  <c r="M32" i="3"/>
  <c r="N32" i="3"/>
  <c r="M31" i="3"/>
  <c r="N31" i="3"/>
  <c r="M30" i="3"/>
  <c r="N30" i="3"/>
  <c r="M29" i="3"/>
  <c r="N29" i="3"/>
  <c r="M28" i="3"/>
  <c r="N28" i="3"/>
  <c r="M27" i="3"/>
  <c r="N27" i="3"/>
  <c r="M26" i="3"/>
  <c r="N26" i="3"/>
  <c r="M25" i="3"/>
  <c r="N25" i="3"/>
  <c r="M24" i="3"/>
  <c r="N24" i="3"/>
  <c r="M23" i="3"/>
  <c r="N23" i="3"/>
  <c r="M22" i="3"/>
  <c r="N22" i="3"/>
  <c r="M21" i="3"/>
  <c r="N21" i="3"/>
  <c r="M20" i="3"/>
  <c r="N20" i="3"/>
  <c r="M19" i="3"/>
  <c r="N19" i="3"/>
  <c r="M18" i="3"/>
  <c r="N18" i="3"/>
  <c r="M17" i="3"/>
  <c r="N17" i="3"/>
  <c r="M16" i="3"/>
  <c r="N16" i="3"/>
  <c r="M15" i="3"/>
  <c r="N15" i="3"/>
  <c r="M14" i="3"/>
  <c r="N14" i="3"/>
  <c r="M13" i="3"/>
  <c r="N13" i="3"/>
  <c r="M12" i="3"/>
  <c r="N12" i="3"/>
  <c r="M11" i="3"/>
  <c r="N11" i="3"/>
  <c r="M10" i="3"/>
  <c r="N10" i="3"/>
  <c r="M9" i="3"/>
  <c r="N9" i="3"/>
  <c r="M8" i="3"/>
  <c r="N8" i="3"/>
  <c r="M7" i="3"/>
  <c r="N7" i="3"/>
  <c r="M6" i="3"/>
  <c r="N6" i="3"/>
  <c r="U10" i="3"/>
  <c r="O175" i="3" l="1"/>
  <c r="P175" i="3"/>
  <c r="O174" i="3"/>
  <c r="P174" i="3"/>
  <c r="O173" i="3"/>
  <c r="P173" i="3"/>
  <c r="O172" i="3"/>
  <c r="P172" i="3"/>
  <c r="O171" i="3"/>
  <c r="P171" i="3"/>
  <c r="O170" i="3"/>
  <c r="P170" i="3"/>
  <c r="O169" i="3"/>
  <c r="P169" i="3"/>
  <c r="O168" i="3"/>
  <c r="P168" i="3"/>
  <c r="O167" i="3"/>
  <c r="P167" i="3"/>
  <c r="O166" i="3"/>
  <c r="P166" i="3"/>
  <c r="O165" i="3"/>
  <c r="P165" i="3"/>
  <c r="O164" i="3"/>
  <c r="P164" i="3"/>
  <c r="O163" i="3"/>
  <c r="P163" i="3"/>
  <c r="O162" i="3"/>
  <c r="P162" i="3"/>
  <c r="O161" i="3"/>
  <c r="P161" i="3"/>
  <c r="O160" i="3"/>
  <c r="P160" i="3"/>
  <c r="O159" i="3"/>
  <c r="P159" i="3"/>
  <c r="O158" i="3"/>
  <c r="P158" i="3"/>
  <c r="O157" i="3"/>
  <c r="P157" i="3"/>
  <c r="O156" i="3"/>
  <c r="P156" i="3"/>
  <c r="O155" i="3"/>
  <c r="P155" i="3"/>
  <c r="O154" i="3"/>
  <c r="P154" i="3"/>
  <c r="O153" i="3"/>
  <c r="P153" i="3"/>
  <c r="O152" i="3"/>
  <c r="P152" i="3"/>
  <c r="O151" i="3"/>
  <c r="P151" i="3"/>
  <c r="O150" i="3"/>
  <c r="P150" i="3"/>
  <c r="O149" i="3"/>
  <c r="P149" i="3"/>
  <c r="O148" i="3"/>
  <c r="P148" i="3"/>
  <c r="O147" i="3"/>
  <c r="P147" i="3"/>
  <c r="O146" i="3"/>
  <c r="P146" i="3"/>
  <c r="O145" i="3"/>
  <c r="P145" i="3"/>
  <c r="O144" i="3"/>
  <c r="P144" i="3"/>
  <c r="O143" i="3"/>
  <c r="P143" i="3"/>
  <c r="O142" i="3"/>
  <c r="P142" i="3"/>
  <c r="O141" i="3"/>
  <c r="P141" i="3"/>
  <c r="O140" i="3"/>
  <c r="P140" i="3"/>
  <c r="O139" i="3"/>
  <c r="P139" i="3"/>
  <c r="O138" i="3"/>
  <c r="P138" i="3"/>
  <c r="O137" i="3"/>
  <c r="P137" i="3"/>
  <c r="O136" i="3"/>
  <c r="P136" i="3"/>
  <c r="O135" i="3"/>
  <c r="P135" i="3"/>
  <c r="O134" i="3"/>
  <c r="P134" i="3"/>
  <c r="O133" i="3"/>
  <c r="P133" i="3"/>
  <c r="O132" i="3"/>
  <c r="P132" i="3"/>
  <c r="O131" i="3"/>
  <c r="P131" i="3"/>
  <c r="O130" i="3"/>
  <c r="P130" i="3"/>
  <c r="O129" i="3"/>
  <c r="P129" i="3"/>
  <c r="O128" i="3"/>
  <c r="P128" i="3"/>
  <c r="O127" i="3"/>
  <c r="P127" i="3"/>
  <c r="O126" i="3"/>
  <c r="P126" i="3"/>
  <c r="O125" i="3"/>
  <c r="P125" i="3"/>
  <c r="O124" i="3"/>
  <c r="P124" i="3"/>
  <c r="O123" i="3"/>
  <c r="P123" i="3"/>
  <c r="O122" i="3"/>
  <c r="P122" i="3"/>
  <c r="O121" i="3"/>
  <c r="P121" i="3"/>
  <c r="O120" i="3"/>
  <c r="P120" i="3"/>
  <c r="O119" i="3"/>
  <c r="P119" i="3"/>
  <c r="O118" i="3"/>
  <c r="P118" i="3"/>
  <c r="O117" i="3"/>
  <c r="P117" i="3"/>
  <c r="O116" i="3"/>
  <c r="P116" i="3"/>
  <c r="O115" i="3"/>
  <c r="P115" i="3"/>
  <c r="O114" i="3"/>
  <c r="P114" i="3"/>
  <c r="O113" i="3"/>
  <c r="P113" i="3"/>
  <c r="O112" i="3"/>
  <c r="P112" i="3"/>
  <c r="O111" i="3"/>
  <c r="P111" i="3"/>
  <c r="O110" i="3"/>
  <c r="P110" i="3"/>
  <c r="O109" i="3"/>
  <c r="P109" i="3"/>
  <c r="O108" i="3"/>
  <c r="P108" i="3"/>
  <c r="O107" i="3"/>
  <c r="P107" i="3"/>
  <c r="O106" i="3"/>
  <c r="P106" i="3"/>
  <c r="O105" i="3"/>
  <c r="P105" i="3"/>
  <c r="O104" i="3"/>
  <c r="P104" i="3"/>
  <c r="O103" i="3"/>
  <c r="P103" i="3"/>
  <c r="O102" i="3"/>
  <c r="P102" i="3"/>
  <c r="O101" i="3"/>
  <c r="P101" i="3"/>
  <c r="O100" i="3"/>
  <c r="P100" i="3"/>
  <c r="O99" i="3"/>
  <c r="P99" i="3"/>
  <c r="O98" i="3"/>
  <c r="P98" i="3"/>
  <c r="O97" i="3"/>
  <c r="P97" i="3"/>
  <c r="O96" i="3"/>
  <c r="P96" i="3"/>
  <c r="O95" i="3"/>
  <c r="P95" i="3"/>
  <c r="O94" i="3"/>
  <c r="P94" i="3"/>
  <c r="O93" i="3"/>
  <c r="P93" i="3"/>
  <c r="O92" i="3"/>
  <c r="P92" i="3"/>
  <c r="O91" i="3"/>
  <c r="P91" i="3"/>
  <c r="O90" i="3"/>
  <c r="P90" i="3"/>
  <c r="O89" i="3"/>
  <c r="P89" i="3"/>
  <c r="O88" i="3"/>
  <c r="P88" i="3"/>
  <c r="O87" i="3"/>
  <c r="P87" i="3"/>
  <c r="O86" i="3"/>
  <c r="P86" i="3"/>
  <c r="O85" i="3"/>
  <c r="P85" i="3"/>
  <c r="O84" i="3"/>
  <c r="P84" i="3"/>
  <c r="O83" i="3"/>
  <c r="P83" i="3"/>
  <c r="O82" i="3"/>
  <c r="P82" i="3"/>
  <c r="O81" i="3"/>
  <c r="P81" i="3"/>
  <c r="O80" i="3"/>
  <c r="P80" i="3"/>
  <c r="O79" i="3"/>
  <c r="P79" i="3"/>
  <c r="O78" i="3"/>
  <c r="P78" i="3"/>
  <c r="O77" i="3"/>
  <c r="P77" i="3"/>
  <c r="O76" i="3"/>
  <c r="P76" i="3"/>
  <c r="O75" i="3"/>
  <c r="P75" i="3"/>
  <c r="O74" i="3"/>
  <c r="P74" i="3"/>
  <c r="O73" i="3"/>
  <c r="P73" i="3"/>
  <c r="O72" i="3"/>
  <c r="P72" i="3"/>
  <c r="O71" i="3"/>
  <c r="P71" i="3"/>
  <c r="O70" i="3"/>
  <c r="P70" i="3"/>
  <c r="O69" i="3"/>
  <c r="P69" i="3"/>
  <c r="O68" i="3"/>
  <c r="P68" i="3"/>
  <c r="O67" i="3"/>
  <c r="P67" i="3"/>
  <c r="O66" i="3"/>
  <c r="P66" i="3"/>
  <c r="O65" i="3"/>
  <c r="P65" i="3"/>
  <c r="O64" i="3"/>
  <c r="P64" i="3"/>
  <c r="O63" i="3"/>
  <c r="P63" i="3"/>
  <c r="O62" i="3"/>
  <c r="P62" i="3"/>
  <c r="O61" i="3"/>
  <c r="P61" i="3"/>
  <c r="O60" i="3"/>
  <c r="P60" i="3"/>
  <c r="O59" i="3"/>
  <c r="P59" i="3"/>
  <c r="O58" i="3"/>
  <c r="P58" i="3"/>
  <c r="O57" i="3"/>
  <c r="P57" i="3"/>
  <c r="O56" i="3"/>
  <c r="P56" i="3"/>
  <c r="O55" i="3"/>
  <c r="P55" i="3"/>
  <c r="O54" i="3"/>
  <c r="P54" i="3"/>
  <c r="O53" i="3"/>
  <c r="P53" i="3"/>
  <c r="O52" i="3"/>
  <c r="P52" i="3"/>
  <c r="O51" i="3"/>
  <c r="P51" i="3"/>
  <c r="O50" i="3"/>
  <c r="P50" i="3"/>
  <c r="O49" i="3"/>
  <c r="P49" i="3"/>
  <c r="O48" i="3"/>
  <c r="P48" i="3"/>
  <c r="O47" i="3"/>
  <c r="P47" i="3"/>
  <c r="O46" i="3"/>
  <c r="P46" i="3"/>
  <c r="O45" i="3"/>
  <c r="P45" i="3"/>
  <c r="O44" i="3"/>
  <c r="P44" i="3"/>
  <c r="O43" i="3"/>
  <c r="P43" i="3"/>
  <c r="O42" i="3"/>
  <c r="P42" i="3"/>
  <c r="O41" i="3"/>
  <c r="P41" i="3"/>
  <c r="O40" i="3"/>
  <c r="P40" i="3"/>
  <c r="O39" i="3"/>
  <c r="P39" i="3"/>
  <c r="O38" i="3"/>
  <c r="P38" i="3"/>
  <c r="O37" i="3"/>
  <c r="P37" i="3"/>
  <c r="O36" i="3"/>
  <c r="P36" i="3"/>
  <c r="O35" i="3"/>
  <c r="P35" i="3"/>
  <c r="O34" i="3"/>
  <c r="P34" i="3"/>
  <c r="O33" i="3"/>
  <c r="P33" i="3"/>
  <c r="O32" i="3"/>
  <c r="P32" i="3"/>
  <c r="O31" i="3"/>
  <c r="P31" i="3"/>
  <c r="O30" i="3"/>
  <c r="P30" i="3"/>
  <c r="O29" i="3"/>
  <c r="P29" i="3"/>
  <c r="O28" i="3"/>
  <c r="P28" i="3"/>
  <c r="O27" i="3"/>
  <c r="P27" i="3"/>
  <c r="O26" i="3"/>
  <c r="P26" i="3"/>
  <c r="O25" i="3"/>
  <c r="P25" i="3"/>
  <c r="O24" i="3"/>
  <c r="P24" i="3"/>
  <c r="O23" i="3"/>
  <c r="P23" i="3"/>
  <c r="O22" i="3"/>
  <c r="P22" i="3"/>
  <c r="O21" i="3"/>
  <c r="P21" i="3"/>
  <c r="O20" i="3"/>
  <c r="P20" i="3"/>
  <c r="O19" i="3"/>
  <c r="P19" i="3"/>
  <c r="O18" i="3"/>
  <c r="P18" i="3"/>
  <c r="O17" i="3"/>
  <c r="P17" i="3"/>
  <c r="O16" i="3"/>
  <c r="P16" i="3"/>
  <c r="O15" i="3"/>
  <c r="P15" i="3"/>
  <c r="O14" i="3"/>
  <c r="P14" i="3"/>
  <c r="O13" i="3"/>
  <c r="P13" i="3"/>
  <c r="O12" i="3"/>
  <c r="P12" i="3"/>
  <c r="O11" i="3"/>
  <c r="P11" i="3"/>
  <c r="O10" i="3"/>
  <c r="P10" i="3"/>
  <c r="O9" i="3"/>
  <c r="P9" i="3"/>
  <c r="O8" i="3"/>
  <c r="P8" i="3"/>
  <c r="O7" i="3"/>
  <c r="P7" i="3"/>
  <c r="O6" i="3"/>
  <c r="P6" i="3"/>
</calcChain>
</file>

<file path=xl/sharedStrings.xml><?xml version="1.0" encoding="utf-8"?>
<sst xmlns="http://schemas.openxmlformats.org/spreadsheetml/2006/main" count="1968" uniqueCount="742">
  <si>
    <t>S&amp;K OIL SALES — DELIVERY LOG  ↓ Append new deliveries below. Column B = Customer # (numeric ID). Column D = lbs delivered.</t>
  </si>
  <si>
    <t>Columns C, E–K auto-calculate. Do NOT re-sort rows.</t>
  </si>
  <si>
    <t>Date</t>
  </si>
  <si>
    <t>Customer #</t>
  </si>
  <si>
    <t>Customer Name ←auto</t>
  </si>
  <si>
    <t>Qty Delivered (lbs)</t>
  </si>
  <si>
    <t>Zone ←auto</t>
  </si>
  <si>
    <t>Zone Code 
←auto</t>
  </si>
  <si>
    <t>Product 
←auto</t>
  </si>
  <si>
    <t>Tank (lbs)
 ←auto</t>
  </si>
  <si>
    <t>Days Since Last
 ←auto</t>
  </si>
  <si>
    <t>Lbs/Day
 ←auto</t>
  </si>
  <si>
    <t>Running Avg Lbs/Day 
←auto</t>
  </si>
  <si>
    <t>4015A</t>
  </si>
  <si>
    <t>S&amp;K CLIENT LIST  —  Edit Address, Lat, Lon, Tank Size and Product here</t>
  </si>
  <si>
    <t>YELLOW columns = edit freely.  Changes here flow automatically into Optimizer_Input via VLOOKUP.  Customer name in col B must match Delivery_Log exactly.</t>
  </si>
  <si>
    <t>ID</t>
  </si>
  <si>
    <t>Customer Name</t>
  </si>
  <si>
    <t>Zone</t>
  </si>
  <si>
    <t>Zone Code</t>
  </si>
  <si>
    <t>Street Address</t>
  </si>
  <si>
    <t>City</t>
  </si>
  <si>
    <t>State</t>
  </si>
  <si>
    <t>Latitude</t>
  </si>
  <si>
    <t>Longitude</t>
  </si>
  <si>
    <t>Tank Size (lbs)</t>
  </si>
  <si>
    <t>Product</t>
  </si>
  <si>
    <t>ANOVA</t>
  </si>
  <si>
    <t>Notes</t>
  </si>
  <si>
    <t>Do_Not_Schedule</t>
  </si>
  <si>
    <t>RTU ID</t>
  </si>
  <si>
    <t>Anova Level (lbs)</t>
  </si>
  <si>
    <t>Anova % Full</t>
  </si>
  <si>
    <t>Anova Last Reading</t>
  </si>
  <si>
    <t>Anova Deliverable</t>
  </si>
  <si>
    <t>Anova Age (hrs)</t>
  </si>
  <si>
    <t>Anova Source</t>
  </si>
  <si>
    <t>51ST - 0001 - 51ST AVE CAFE</t>
  </si>
  <si>
    <t>2</t>
  </si>
  <si>
    <t>2D</t>
  </si>
  <si>
    <t>5511 N 51St Ave</t>
  </si>
  <si>
    <t>Glendale</t>
  </si>
  <si>
    <t>AZ</t>
  </si>
  <si>
    <t>FRYERS CHOICE BLEND</t>
  </si>
  <si>
    <t>254-237-3350</t>
  </si>
  <si>
    <t>AJO - 1018 - AJO ALS BELL</t>
  </si>
  <si>
    <t>2C</t>
  </si>
  <si>
    <t>7458 W Bell Rd</t>
  </si>
  <si>
    <t>CANOLA OIL</t>
  </si>
  <si>
    <t>623-334-9899</t>
  </si>
  <si>
    <t>ALL - 1063 - ALL AMERICAN MODERN SPORTS GRILL</t>
  </si>
  <si>
    <t>4</t>
  </si>
  <si>
    <t>4C</t>
  </si>
  <si>
    <t>20751 N PIMA RD #105</t>
  </si>
  <si>
    <t>Scottsdale</t>
  </si>
  <si>
    <t>(480) 887-0652</t>
  </si>
  <si>
    <t>AME - 1073 - AMELIO C ENTERPRISES, INC (CACTUS CANDY)</t>
  </si>
  <si>
    <t>2656 N 37TH DR</t>
  </si>
  <si>
    <t>PHOENIX</t>
  </si>
  <si>
    <t>(602) 956-4833</t>
  </si>
  <si>
    <t>DO NOT PUT IN ROUTE SCHEDULE</t>
  </si>
  <si>
    <t>Y</t>
  </si>
  <si>
    <t>ANG - 1054 - ANGRY CRAB SURPRISE</t>
  </si>
  <si>
    <t>1</t>
  </si>
  <si>
    <t>1C</t>
  </si>
  <si>
    <t>11340 W BELL RD SUITE 118</t>
  </si>
  <si>
    <t>SURPRISE</t>
  </si>
  <si>
    <t>(623) 248-9190</t>
  </si>
  <si>
    <t>ARR79 - 1000 - ARRIBAS 79TH AVE.</t>
  </si>
  <si>
    <t>17211 N 79Th Ave</t>
  </si>
  <si>
    <t>623-878-5777</t>
  </si>
  <si>
    <t>ARRC - 1001 - ARRIBAS CAMELBACK</t>
  </si>
  <si>
    <t>3</t>
  </si>
  <si>
    <t>3D</t>
  </si>
  <si>
    <t>1812 E Camelback Rd</t>
  </si>
  <si>
    <t>Phoenix</t>
  </si>
  <si>
    <t>480-948-9969</t>
  </si>
  <si>
    <t>ARRC - 1011 - ARRIBAS CHANDLER</t>
  </si>
  <si>
    <t>4F</t>
  </si>
  <si>
    <t>4649 E Chandler Blvd</t>
  </si>
  <si>
    <t>ARRC - 1014 - ARRIBA  GILBERT</t>
  </si>
  <si>
    <t>5</t>
  </si>
  <si>
    <t>5F</t>
  </si>
  <si>
    <t>2855 S Market St, Gilbert, AZ 85295</t>
  </si>
  <si>
    <t>Gilbert</t>
  </si>
  <si>
    <t>480-899-7337</t>
  </si>
  <si>
    <t>ARRM - 1013 - ARRIBAS GOODYEAR</t>
  </si>
  <si>
    <t>1D</t>
  </si>
  <si>
    <t>15370 W McDowell Rd</t>
  </si>
  <si>
    <t>Goodyear</t>
  </si>
  <si>
    <t>623-223-1735</t>
  </si>
  <si>
    <t>SCHEDULE 4/30</t>
  </si>
  <si>
    <t>ATL - 1081 - ATL WINGS ROOSEVELT</t>
  </si>
  <si>
    <t>330 E ROOSEVELT RD</t>
  </si>
  <si>
    <t>(602) 741-9554</t>
  </si>
  <si>
    <t>SCHEDULE 4/29</t>
  </si>
  <si>
    <t>ATL - 1083 - ATL WINGS MESA</t>
  </si>
  <si>
    <t>5D</t>
  </si>
  <si>
    <t>6837 E MAIN ST</t>
  </si>
  <si>
    <t>Mesa</t>
  </si>
  <si>
    <t>(480) 722-9464</t>
  </si>
  <si>
    <t>SCHEDULE 4/28</t>
  </si>
  <si>
    <t>BAC - 19039 - BACKYARD GILBERT</t>
  </si>
  <si>
    <t>BACKYARD (SANDBAR) GILBERT</t>
  </si>
  <si>
    <t>480-822-6921</t>
  </si>
  <si>
    <t>BAC - 2067 - BACKYARD - DESERT RIDGE</t>
  </si>
  <si>
    <t>21001 N Tatum Blvd</t>
  </si>
  <si>
    <t>480-585-5900</t>
  </si>
  <si>
    <t>BAJ - 2053 - BAJA JOES</t>
  </si>
  <si>
    <t>1927 N Gilbert Road</t>
  </si>
  <si>
    <t>(480) 655-1828</t>
  </si>
  <si>
    <t>BAR - 2045 - BARRIO BREWING</t>
  </si>
  <si>
    <t>5803 S Sossaman Rd</t>
  </si>
  <si>
    <t>(480) 988-7171</t>
  </si>
  <si>
    <t>BEL - 2038 - BELLE'S NASHVILLE KITCHEN</t>
  </si>
  <si>
    <t>4D</t>
  </si>
  <si>
    <t>7212 E MAIN ST</t>
  </si>
  <si>
    <t>A Z</t>
  </si>
  <si>
    <t>(916) 730-3071</t>
  </si>
  <si>
    <t>BOO - 2023 - BOOTY GOODYEAR</t>
  </si>
  <si>
    <t>13375 W MCDOWELL RD STE 101</t>
  </si>
  <si>
    <t>GOODYEAR</t>
  </si>
  <si>
    <t>999-999-9999</t>
  </si>
  <si>
    <t>BOOW - 2017 - BOOTY'S WATSON</t>
  </si>
  <si>
    <t>1300 S Watson Rd Ste 109</t>
  </si>
  <si>
    <t>Buckeye</t>
  </si>
  <si>
    <t>623-386-3080</t>
  </si>
  <si>
    <t>BOT - 2013 - BOTTLED BLONDE</t>
  </si>
  <si>
    <t>7340 E Indian Plz</t>
  </si>
  <si>
    <t>480-970-1112</t>
  </si>
  <si>
    <t>BRO - 2078 - BROTHER'S PIZZA INDIAN SCHOOL</t>
  </si>
  <si>
    <t>3E</t>
  </si>
  <si>
    <t>10720 W Indian School Rd</t>
  </si>
  <si>
    <t>(602) 320-8496</t>
  </si>
  <si>
    <t>CLOSED ON TUESDAYS</t>
  </si>
  <si>
    <t>BRU - 2073 - BRUNCH SNOB</t>
  </si>
  <si>
    <t>1920 W GERMANN RD</t>
  </si>
  <si>
    <t>CHANDLER</t>
  </si>
  <si>
    <t>(816) 803-1258</t>
  </si>
  <si>
    <t>BUR - 4038 - BURGERS &amp; BREWS GLENDALE</t>
  </si>
  <si>
    <t>6670 W CACTUS RD</t>
  </si>
  <si>
    <t>GLENDALE</t>
  </si>
  <si>
    <t>(623) 776-2266</t>
  </si>
  <si>
    <t>CAR - 3063 - CARDINAL STADIUM</t>
  </si>
  <si>
    <t>1 CARDINAL DR</t>
  </si>
  <si>
    <t>ARIZONA</t>
  </si>
  <si>
    <t>CAS - 3069 - CASA DE FALAFEL</t>
  </si>
  <si>
    <t>4920 W Thunderbird Rd</t>
  </si>
  <si>
    <t>(480) 689-0514</t>
  </si>
  <si>
    <t>CRA - 3021 - JC FOOD TRADING/GLEN</t>
  </si>
  <si>
    <t>CRAZY MIKES CHICKEN</t>
  </si>
  <si>
    <t>623-463-6881</t>
  </si>
  <si>
    <t>CRA - 3046 - JC FOOD TRADING /GOODYEAR</t>
  </si>
  <si>
    <t>CRAZY MIKE'S GOODYEAR</t>
  </si>
  <si>
    <t>213-700-4092</t>
  </si>
  <si>
    <t>CRA - 3065 - CRAFTED CUISINE</t>
  </si>
  <si>
    <t>6736 E Avalon Dr</t>
  </si>
  <si>
    <t>(210) 529-1900</t>
  </si>
  <si>
    <t>CRO - 3064 - CROWNE PLAZA RESORT</t>
  </si>
  <si>
    <t>One N San Marcos Pl</t>
  </si>
  <si>
    <t>Chandler</t>
  </si>
  <si>
    <t>Arizona</t>
  </si>
  <si>
    <t>(480) 812-0900</t>
  </si>
  <si>
    <t>DAI - 4015A - DAIRY QUEEN BELL</t>
  </si>
  <si>
    <t>3C</t>
  </si>
  <si>
    <t>3550 E BELL ROAD</t>
  </si>
  <si>
    <t>602-788-0261 (JACIE M</t>
  </si>
  <si>
    <t>DAR - 4026 - DARUMA BY RIE</t>
  </si>
  <si>
    <t>4E</t>
  </si>
  <si>
    <t>1116 E DOBSON RD</t>
  </si>
  <si>
    <t>MESA</t>
  </si>
  <si>
    <t>(480) 590-7979</t>
  </si>
  <si>
    <t>CLOSED EVERY TUESDAY | DAR 4037 - DARUMA RAMEN AND BOWL | CLOSED ON TUESDAY</t>
  </si>
  <si>
    <t>DAR - 4037 - DARUMA RAMEN AND BOWL</t>
  </si>
  <si>
    <t>2650 E UNIVERSITY DR</t>
  </si>
  <si>
    <t>(562) 760-8262</t>
  </si>
  <si>
    <t>DIL - 4009 - DILLONS BBQ</t>
  </si>
  <si>
    <t>16335 W Northern Ave</t>
  </si>
  <si>
    <t>Litchfield Pk</t>
  </si>
  <si>
    <t>623-535-4249</t>
  </si>
  <si>
    <t>C173</t>
  </si>
  <si>
    <t>PIN - 16058 - PINYON RESTAURANT</t>
  </si>
  <si>
    <t>7363 E Scottsdale Mall</t>
  </si>
  <si>
    <t>FRYERS CHOICE</t>
  </si>
  <si>
    <t>DIL- 4014 - DILLONS BAYOU</t>
  </si>
  <si>
    <t>2A</t>
  </si>
  <si>
    <t>40202 N 87Th Ave</t>
  </si>
  <si>
    <t>Peoria</t>
  </si>
  <si>
    <t>623-498-5427</t>
  </si>
  <si>
    <t>DIL59 - 4010 - DILLONS 59TH AVE</t>
  </si>
  <si>
    <t>20585 N 59Th Ave</t>
  </si>
  <si>
    <t>623-979-5353</t>
  </si>
  <si>
    <t>DIR - 4027 - DIRTWATER</t>
  </si>
  <si>
    <t>5E</t>
  </si>
  <si>
    <t>586 W APACHE</t>
  </si>
  <si>
    <t>APACHE JUNCTION</t>
  </si>
  <si>
    <t>480-983-3478</t>
  </si>
  <si>
    <t>DUR - 4029 - DURVILL FOODS</t>
  </si>
  <si>
    <t>DURVILL FOODS</t>
  </si>
  <si>
    <t>I AM NOT TYPICALLY PRIVY TO DELIVERIES SINCE FARAZ USUALLY DOES THEM</t>
  </si>
  <si>
    <t>ECH - 5006 - ECHO 5 SPORTS BAR</t>
  </si>
  <si>
    <t>ECHO 5 SPORTS BAR</t>
  </si>
  <si>
    <t>602-391-7707</t>
  </si>
  <si>
    <t>CLOSED PERMANENTLY 4/20/2026</t>
  </si>
  <si>
    <t>ELT - 5004 - EL TACO TOTE</t>
  </si>
  <si>
    <t>3464 W Camelback Rd</t>
  </si>
  <si>
    <t>602-866-8683</t>
  </si>
  <si>
    <t>ENR - 5018 - ENROUTE COFFEE AND TEA</t>
  </si>
  <si>
    <t>15605 W ROOSEVELT ST</t>
  </si>
  <si>
    <t>(253) 359-7081</t>
  </si>
  <si>
    <t>FAT - 6101 - FATE BREWERY</t>
  </si>
  <si>
    <t>1312 N SCOTTSDALE RD</t>
  </si>
  <si>
    <t>SCOTTSDALE</t>
  </si>
  <si>
    <t>480-656-9100</t>
  </si>
  <si>
    <t>FAT - 6109 - FATE BREWING TEMPE</t>
  </si>
  <si>
    <t>201 E SOUTHERN AVE</t>
  </si>
  <si>
    <t>TEMPE</t>
  </si>
  <si>
    <t>FOU - 6077 - FOUR PEAKS BREWING</t>
  </si>
  <si>
    <t>1340 E 8Th St</t>
  </si>
  <si>
    <t>Tempe</t>
  </si>
  <si>
    <t>480-303-9967</t>
  </si>
  <si>
    <t>FUN - 12047 - FUNKY FRIDAS</t>
  </si>
  <si>
    <t>4910 E Indian School Rd</t>
  </si>
  <si>
    <t>(602) 955-0358</t>
  </si>
  <si>
    <t>GAR - 7001 - GARCIAS MEXICAN RESTAURANT</t>
  </si>
  <si>
    <t>2212 N 35Th Ave</t>
  </si>
  <si>
    <t>602-272-5584</t>
  </si>
  <si>
    <t>GIL - 7002 - GILBERT PIZZA</t>
  </si>
  <si>
    <t>GILBERT PIZZA</t>
  </si>
  <si>
    <t>GLE - 7053 - GLENROSA</t>
  </si>
  <si>
    <t>1415 N Mill Ave</t>
  </si>
  <si>
    <t>(480) 530-9880</t>
  </si>
  <si>
    <t>GOL - 7052 - GOLD CANYON RESORT &amp; SPA</t>
  </si>
  <si>
    <t>6100 S Kings Ranch Road</t>
  </si>
  <si>
    <t>Gold Canyon</t>
  </si>
  <si>
    <t>(480) 671-5533</t>
  </si>
  <si>
    <t>HAR - 8031 - HAROLDS</t>
  </si>
  <si>
    <t>4A</t>
  </si>
  <si>
    <t>6895 E Cave Creek Rd</t>
  </si>
  <si>
    <t>Cave Creek</t>
  </si>
  <si>
    <t>HOR - 8034 - HORNY TOAD</t>
  </si>
  <si>
    <t>6738 E Cave Creek Rd</t>
  </si>
  <si>
    <t>(480) 488-9542</t>
  </si>
  <si>
    <t>HUN - 8005 - HUNGRY MONK</t>
  </si>
  <si>
    <t>1760 W Chandler Blvd</t>
  </si>
  <si>
    <t>480-963-8000 - Jimmy</t>
  </si>
  <si>
    <t>JALS - 10001 - JALAPENOS INFERNO SCOTTS</t>
  </si>
  <si>
    <t>4B</t>
  </si>
  <si>
    <t>JALAPENO'S INFERNO BISTRO</t>
  </si>
  <si>
    <t>480-585-6442</t>
  </si>
  <si>
    <t>JIC - 10011 - JICKY JACKS</t>
  </si>
  <si>
    <t>9611 W CAMELBACK, STE 101</t>
  </si>
  <si>
    <t>KAR - 11005 - KARMA SUSHI</t>
  </si>
  <si>
    <t>6 E Route 66</t>
  </si>
  <si>
    <t>Flagstaff</t>
  </si>
  <si>
    <t>928-774-6100</t>
  </si>
  <si>
    <t>KAR - 11014 - KARIBU RESTAURANT</t>
  </si>
  <si>
    <t>4935 W Glendale</t>
  </si>
  <si>
    <t>KOD - 11013 - K O'DONNELS SPORTS BAR &amp; GRILL</t>
  </si>
  <si>
    <t>14850 N Northsight Blvd</t>
  </si>
  <si>
    <t>(480) 241-1533</t>
  </si>
  <si>
    <t>KRI - 11016 - KRISPY KRUNCHY CHICKEN</t>
  </si>
  <si>
    <t>3501 WEST PEORIA AVE</t>
  </si>
  <si>
    <t>(602) 621-7062</t>
  </si>
  <si>
    <t>LA - 12053 - LA FIESTA CARNICERIA</t>
  </si>
  <si>
    <t>7707 W MC 85</t>
  </si>
  <si>
    <t>(623) 474-0088</t>
  </si>
  <si>
    <t>LIB - 2010 - LIBERTY TAVERN</t>
  </si>
  <si>
    <t>LIBERTY TAVERN</t>
  </si>
  <si>
    <t>LIT - 12055 - LITTLE O'S CENTRAL</t>
  </si>
  <si>
    <t>8525 N CENTRAL AVE</t>
  </si>
  <si>
    <t>DARRELL (602) 803-1875</t>
  </si>
  <si>
    <t>LIV - 12048 - LIVING ROOM SCOTTSDALE</t>
  </si>
  <si>
    <t>20751 N Pima Rd</t>
  </si>
  <si>
    <t>(480) 404-7465</t>
  </si>
  <si>
    <t>LOC - 12025 - LOCO PATRON</t>
  </si>
  <si>
    <t>14950 N NORTHSIGHT BLVD</t>
  </si>
  <si>
    <t>480-699-7271</t>
  </si>
  <si>
    <t>LON - 12050 - LONG WONG 35TH</t>
  </si>
  <si>
    <t>6260 S 35TH AVE</t>
  </si>
  <si>
    <t>(602) 268-3350</t>
  </si>
  <si>
    <t>LON - 12051 - LONG WONG LOWER BUCKEYE</t>
  </si>
  <si>
    <t>2E</t>
  </si>
  <si>
    <t>7625 W LOWER BUCKEYE RD</t>
  </si>
  <si>
    <t>(623) 248-4165</t>
  </si>
  <si>
    <t>LON75 - 12009 - LONG WONG 75/THOMAS</t>
  </si>
  <si>
    <t>7415 W Thomas Rd</t>
  </si>
  <si>
    <t>623-247-5310</t>
  </si>
  <si>
    <t>MAN - 13057 - MANUEL CHANDLER</t>
  </si>
  <si>
    <t>4210 S Arizona Ave</t>
  </si>
  <si>
    <t>MAN - 13069 - MANUEL SHEA</t>
  </si>
  <si>
    <t>3131 E Shea Blvd</t>
  </si>
  <si>
    <t>MAN1 - 13012 - MANUEL MCDOWELL</t>
  </si>
  <si>
    <t>MANUEL MCDOWELL</t>
  </si>
  <si>
    <t>623-435-3793</t>
  </si>
  <si>
    <t>MAN3 - 13011 - MANUEL INDIAN SCHOOL</t>
  </si>
  <si>
    <t>2820 E Indian School Rd</t>
  </si>
  <si>
    <t>602-957-7540</t>
  </si>
  <si>
    <t>MAN6 - 13009 - MANUEL BELL</t>
  </si>
  <si>
    <t>MANUEL BELL</t>
  </si>
  <si>
    <t>602-993-8778</t>
  </si>
  <si>
    <t>MAN7 - 13015 - MANUEL SOUTHERN</t>
  </si>
  <si>
    <t>2350 E Southern Ave</t>
  </si>
  <si>
    <t>480-345-1961 Ext. 1</t>
  </si>
  <si>
    <t>MAN9 - 13014 - MANUEL SCOTTSDALE</t>
  </si>
  <si>
    <t>8809 E Mountain View Rd</t>
  </si>
  <si>
    <t>480-661-1587</t>
  </si>
  <si>
    <t>MANP - 13013 - MANUEL PEORIA</t>
  </si>
  <si>
    <t>MANUEL PEORIA</t>
  </si>
  <si>
    <t>623-979-3500</t>
  </si>
  <si>
    <t>MAS - 13086 - MASON'S FAMOUS LOBSTER ROLLS</t>
  </si>
  <si>
    <t>15257 N Scottsdale Rd</t>
  </si>
  <si>
    <t>(646) 431-1315</t>
  </si>
  <si>
    <t>MTV - 13061 - MOUNTAIN VIEW PUB</t>
  </si>
  <si>
    <t>7033 E Cave Creek Rd</t>
  </si>
  <si>
    <t>(480) 575-7782</t>
  </si>
  <si>
    <t>MVP - 2021 - MVP SPORTS BAR &amp; GRILL</t>
  </si>
  <si>
    <t>980 E PECOS RD SUITE 5</t>
  </si>
  <si>
    <t>NEW - 14009 - NEW PENNY CAFE</t>
  </si>
  <si>
    <t>1E</t>
  </si>
  <si>
    <t>735 N 114TH AVE</t>
  </si>
  <si>
    <t>AVONDALE</t>
  </si>
  <si>
    <t>(623) 258-2546</t>
  </si>
  <si>
    <t>NOU - 14008 - NOURISH KITCHEN</t>
  </si>
  <si>
    <t>140 S. LINDON LN</t>
  </si>
  <si>
    <t>(480) 912-5143</t>
  </si>
  <si>
    <t>OHS - 15000 - OHSO INDIAN SCHOOL</t>
  </si>
  <si>
    <t>4900 E Indian School Rd</t>
  </si>
  <si>
    <t>602-955-0358</t>
  </si>
  <si>
    <t>OHS - 15035 - OHSO GILBERT</t>
  </si>
  <si>
    <t>OHSO GILBERT</t>
  </si>
  <si>
    <t>(602) 738-9894</t>
  </si>
  <si>
    <t>OHSH - 15001 - OHSO SCOTTSDALE</t>
  </si>
  <si>
    <t>15681 N Hayden Rd Ste 112</t>
  </si>
  <si>
    <t>480-948-3159</t>
  </si>
  <si>
    <t>OHST - 15007 - OHSO TATUM</t>
  </si>
  <si>
    <t>10810 N Tatum Blvd Ste 126</t>
  </si>
  <si>
    <t>OREGANO CORP</t>
  </si>
  <si>
    <t>ORE - 15041 - OREGANO PIMA</t>
  </si>
  <si>
    <t>OREGANO</t>
  </si>
  <si>
    <t>OREB - 15003 - OREGANO BELL</t>
  </si>
  <si>
    <t>6738 W Bell Rd</t>
  </si>
  <si>
    <t>623-223-1150</t>
  </si>
  <si>
    <t>OREB - 15016 - OREGANO SURPRISE</t>
  </si>
  <si>
    <t>16914 W Bell Rd</t>
  </si>
  <si>
    <t>Surprise</t>
  </si>
  <si>
    <t>OREC - 15020 - OREGANO CAMELBACK</t>
  </si>
  <si>
    <t>1008 E Camelback Rd</t>
  </si>
  <si>
    <t>602-241-0707</t>
  </si>
  <si>
    <t>OREC - 15026 - OREGANO PARADISE VALLEY</t>
  </si>
  <si>
    <t>4602 E Cactus Rd</t>
  </si>
  <si>
    <t>602-482-0054</t>
  </si>
  <si>
    <t>ORECC - 15002 - OREGANO CAVE CREEK</t>
  </si>
  <si>
    <t>37645 N Cave Creek Rd</t>
  </si>
  <si>
    <t>480-889-0386</t>
  </si>
  <si>
    <t>OREE - 15025 - OREGANO ELLIOT</t>
  </si>
  <si>
    <t>1475 W Elliot Rd</t>
  </si>
  <si>
    <t>480-966-0401</t>
  </si>
  <si>
    <t>OREG - 15024 - OREGANO GILBERT</t>
  </si>
  <si>
    <t>328 N Gilbert Rd</t>
  </si>
  <si>
    <t>480-882-9336</t>
  </si>
  <si>
    <t>OREG - 15027 - OREGANO CHANDLER</t>
  </si>
  <si>
    <t>1960 W Germann Rd Ste 5 Bldg G</t>
  </si>
  <si>
    <t>480-265-4580</t>
  </si>
  <si>
    <t>OREM - 15005 - OREGANO GOODYEAR</t>
  </si>
  <si>
    <t>15280 W Mcdowell Rd</t>
  </si>
  <si>
    <t>623-760-9588</t>
  </si>
  <si>
    <t>OREM - 15009 - OREGANO QUEEN CREEK</t>
  </si>
  <si>
    <t>20677 E Maya Rd</t>
  </si>
  <si>
    <t>Queen Creek</t>
  </si>
  <si>
    <t>480-355-0750</t>
  </si>
  <si>
    <t>OREM - 15023 - OREGANO MESA</t>
  </si>
  <si>
    <t>OREGANO MESA</t>
  </si>
  <si>
    <t>480-962-0036</t>
  </si>
  <si>
    <t>ORES - 15015 - OREGANO SUPERSTITION</t>
  </si>
  <si>
    <t>6821 E Superstition Springs Blvd</t>
  </si>
  <si>
    <t>ORES - 15018 - OREGANO SCOTTSDALE</t>
  </si>
  <si>
    <t>3102 N Scottsdale Rd</t>
  </si>
  <si>
    <t>480-970-1860</t>
  </si>
  <si>
    <t>ORI - 15051 - ORIGEN GILBERT LLC</t>
  </si>
  <si>
    <t>2472 S Recker Rd</t>
  </si>
  <si>
    <t>(480) 765-7873</t>
  </si>
  <si>
    <t>PET44 - 16006 - PETES FISH 44TH ST</t>
  </si>
  <si>
    <t>PETE'S 44TH ST</t>
  </si>
  <si>
    <t>602-840-0630</t>
  </si>
  <si>
    <t>DELIVERY 9AM - 10AM</t>
  </si>
  <si>
    <t>PETA - 16007 - PETES FISH APACHE</t>
  </si>
  <si>
    <t>1017 E Apache Blvd</t>
  </si>
  <si>
    <t>(602) 882-8145</t>
  </si>
  <si>
    <t>DELIVERY 8:30 - 10 AM</t>
  </si>
  <si>
    <t>PETB - 16004 - PETES FISH BUCKEYE</t>
  </si>
  <si>
    <t>PETE'S BUCKEYE</t>
  </si>
  <si>
    <t>602-252-9341</t>
  </si>
  <si>
    <t>DELIVERY 8:30 - 9 AM</t>
  </si>
  <si>
    <t>PETC - 16003 - PETES FISH CENTRAL</t>
  </si>
  <si>
    <t>PETE'S CENTRAL</t>
  </si>
  <si>
    <t>602-268-1828</t>
  </si>
  <si>
    <t>DELIVERY 9 - 10 AM</t>
  </si>
  <si>
    <t>PETG - 16008 - PETES FISH GLENDALE</t>
  </si>
  <si>
    <t>5516 W Glendale Ave</t>
  </si>
  <si>
    <t>623-937-6001</t>
  </si>
  <si>
    <t>AFTER 9 AM</t>
  </si>
  <si>
    <t>PETM - 16009 - PETES FISH MESA</t>
  </si>
  <si>
    <t>22 S Mesa Dr</t>
  </si>
  <si>
    <t>480-962-7992</t>
  </si>
  <si>
    <t>PETTOL - 16010 - PETES TOLLESON</t>
  </si>
  <si>
    <t>9309 W Van Buren St</t>
  </si>
  <si>
    <t>Tolleson</t>
  </si>
  <si>
    <t>623-936-3111</t>
  </si>
  <si>
    <t>DELIVERY 9:15 - 9:45</t>
  </si>
  <si>
    <t>PETVB - 16005 - PETES FISH 26TH</t>
  </si>
  <si>
    <t>PETE'S 26TH</t>
  </si>
  <si>
    <t>602-278-3351</t>
  </si>
  <si>
    <t>DELIVERY  9 AM - 10 AM</t>
  </si>
  <si>
    <t>PIRA - 16019 - PIRATES ARIZONA AVE</t>
  </si>
  <si>
    <t>200 S Arizona Ave</t>
  </si>
  <si>
    <t>PIRL - 16018 - PIRATES MESA</t>
  </si>
  <si>
    <t>PIRATES MESA</t>
  </si>
  <si>
    <t>480-834-1288</t>
  </si>
  <si>
    <t>POP59 - 16015 - POPO BELL</t>
  </si>
  <si>
    <t>17037 N 59Th Ave</t>
  </si>
  <si>
    <t>602-354-7738</t>
  </si>
  <si>
    <t>POPIS - 16014 - POPO INDIAN SCHOOL</t>
  </si>
  <si>
    <t>6542 W Indian School Rd</t>
  </si>
  <si>
    <t>623-846-2636</t>
  </si>
  <si>
    <t>RAN - 18042 - RANCHO BAR 7</t>
  </si>
  <si>
    <t>1A</t>
  </si>
  <si>
    <t>111 E Wickenburg Way</t>
  </si>
  <si>
    <t>Wickenburg</t>
  </si>
  <si>
    <t>(928) 684-2492</t>
  </si>
  <si>
    <t>RED - 18004 - RED WHITE BREW</t>
  </si>
  <si>
    <t>6740 E MCDOWELL RD</t>
  </si>
  <si>
    <t>480-807-9393</t>
  </si>
  <si>
    <t>RED - 18031 - RED DEVIL SOUTHERN</t>
  </si>
  <si>
    <t>208 W SOUTHERN AVE</t>
  </si>
  <si>
    <t>RED - 18051 - RED ZONE SPORTS GRILL</t>
  </si>
  <si>
    <t>8110 W UNION HILLS DR</t>
  </si>
  <si>
    <t>(731) 443-1553</t>
  </si>
  <si>
    <t>REDB - 18003 - RED DEVIL BELL</t>
  </si>
  <si>
    <t>3004 E Bell Rd</t>
  </si>
  <si>
    <t>602-493-0211</t>
  </si>
  <si>
    <t>REDM - 18001 - RED DEVIL MCDOWELL</t>
  </si>
  <si>
    <t>RED DEVIL MCDOWELL</t>
  </si>
  <si>
    <t>602-267-1036</t>
  </si>
  <si>
    <t>ROA - 18036 - ROADRUNNER SALOON</t>
  </si>
  <si>
    <t>3A</t>
  </si>
  <si>
    <t>47801 N Black Canyon Hwy</t>
  </si>
  <si>
    <t>New River</t>
  </si>
  <si>
    <t>(480) 411-1111</t>
  </si>
  <si>
    <t>RUS - 18054 - RUSTY BUCKLE SALOON</t>
  </si>
  <si>
    <t>285 NORTH APACHE TRAIL</t>
  </si>
  <si>
    <t>(480) 899-2999</t>
  </si>
  <si>
    <t>SAD - 19022 - SADDLE MOUNTAIN</t>
  </si>
  <si>
    <t>SADDLE MOUNTAIN</t>
  </si>
  <si>
    <t>623-249-5520</t>
  </si>
  <si>
    <t>SAR - 19080 - SARDELLA'S LAKE PLEASANT</t>
  </si>
  <si>
    <t>8278 W Lake Pleasant Pkwy</t>
  </si>
  <si>
    <t>(623) 561-9200</t>
  </si>
  <si>
    <t>SAR - 19081 - SARDELLA'S 19TH AVE</t>
  </si>
  <si>
    <t>18631 N 19Th Ave</t>
  </si>
  <si>
    <t>(623) 492-0550</t>
  </si>
  <si>
    <t>SAR - 19082 - SARDELLA'S CACTUS</t>
  </si>
  <si>
    <t>4212 W Cactus Rd</t>
  </si>
  <si>
    <t>SEI - 19089 - SEIDO SUSHI</t>
  </si>
  <si>
    <t>4372 W. Olive Ave</t>
  </si>
  <si>
    <t>SHA - 19107 - SHARKO'S CATERING</t>
  </si>
  <si>
    <t>4522 North 26th Dr.</t>
  </si>
  <si>
    <t>(602) 242-2662</t>
  </si>
  <si>
    <t>CHECK THIS CUSTOMER - 4 MONTH AND | AND ONLY DRAINS - ALSO A FILL CUST</t>
  </si>
  <si>
    <t>SOC - 19110 - SOCIAL TAP EATERY</t>
  </si>
  <si>
    <t>4312 N Brown Ave</t>
  </si>
  <si>
    <t>(937) 776-6762</t>
  </si>
  <si>
    <t>SOU - 19119 - SOUL FIRE TACOS</t>
  </si>
  <si>
    <t>15111 N HAYDEN RD #120</t>
  </si>
  <si>
    <t>(480) 225-4342</t>
  </si>
  <si>
    <t>STA - 19031 - STATE 48 BREWERY</t>
  </si>
  <si>
    <t>13823 W BELL RD</t>
  </si>
  <si>
    <t>SUPRISE</t>
  </si>
  <si>
    <t>623-584-1095</t>
  </si>
  <si>
    <t>SCHEDULE 4/29 | CHECK THIS - THIS IS ACCURATE YES IT IS</t>
  </si>
  <si>
    <t>STA - 19033 - STATE 48 SCOTTSDALE</t>
  </si>
  <si>
    <t>15600 N Hayden Rd</t>
  </si>
  <si>
    <t>STA - 19035 - STATE 48 GLENDALE</t>
  </si>
  <si>
    <t>6770 N SUNRISE BLVD G-100</t>
  </si>
  <si>
    <t>CHECK IF MISSING TRANSACTION | 4/15, WASTE ONLY | 4/22, WASTE ONLY</t>
  </si>
  <si>
    <t>STA - 19123 - STATE 48 HAPPY VALLEY</t>
  </si>
  <si>
    <t>3B</t>
  </si>
  <si>
    <t>2530 W HAPPY VALLEY RD</t>
  </si>
  <si>
    <t>SUG - 19077- SUGAR JAM</t>
  </si>
  <si>
    <t>15111 N Hayden Rd Ste 170</t>
  </si>
  <si>
    <t>(480) 225-4242</t>
  </si>
  <si>
    <t>SUN - 19117 - SUNSHINE BREAKFAST BAR TEMPE</t>
  </si>
  <si>
    <t>788 E BASELINE RD</t>
  </si>
  <si>
    <t>(480) 272-2388</t>
  </si>
  <si>
    <t>TAC - 20081 - TACO GUILD</t>
  </si>
  <si>
    <t>TACO GUILD</t>
  </si>
  <si>
    <t>TAI - 20090 - TAILGATERS LAKE PLEASANT</t>
  </si>
  <si>
    <t>10146 W LAKE PLEASANT PKWY</t>
  </si>
  <si>
    <t>PEORIA</t>
  </si>
  <si>
    <t>(623) 825-9999</t>
  </si>
  <si>
    <t>TAI - 20091 - TAILGATERS BELL SURPRISE</t>
  </si>
  <si>
    <t>15529 W BELL RD</t>
  </si>
  <si>
    <t>(623) 544-1111</t>
  </si>
  <si>
    <t>TAI - 20092 - TAILGATERS ESTRELLA</t>
  </si>
  <si>
    <t>530 N ESTRELLA PKWY</t>
  </si>
  <si>
    <t>(623) 533-6888</t>
  </si>
  <si>
    <t>TAI - 20093 - TAILGATERS DYSART</t>
  </si>
  <si>
    <t>5110 N DYSART RD</t>
  </si>
  <si>
    <t>LITCHFIELD PARK</t>
  </si>
  <si>
    <t>(623) 547-2227</t>
  </si>
  <si>
    <t>TAI - 20094 - TAILGATERS WATSON</t>
  </si>
  <si>
    <t>457 S WATSON RD</t>
  </si>
  <si>
    <t>BUCKEYE</t>
  </si>
  <si>
    <t>(623) 440-2222</t>
  </si>
  <si>
    <t>TAI - 20095 - TAILGATERS TATUM CAVE CR</t>
  </si>
  <si>
    <t>28234 N TATUM BLVD</t>
  </si>
  <si>
    <t>CAVE CREEK</t>
  </si>
  <si>
    <t>(480) 585-7777</t>
  </si>
  <si>
    <t>TAI - 20098 - IL PRIMO BELL CAVE CREEK</t>
  </si>
  <si>
    <t>16880 N CAVE CREEK RD</t>
  </si>
  <si>
    <t>TAP - 22006 - TAP HOUSE SPORTS GRILL</t>
  </si>
  <si>
    <t>VENUE TAPROOM</t>
  </si>
  <si>
    <t>(623) 584-0255</t>
  </si>
  <si>
    <t>THE - 20013 - THE VIG HAYDEN</t>
  </si>
  <si>
    <t>7345 N Via Paseo Del Sur</t>
  </si>
  <si>
    <t>(480) 758-5399</t>
  </si>
  <si>
    <t>THE - 20014 - THE TACK ROOM</t>
  </si>
  <si>
    <t>10300 South Miller Road</t>
  </si>
  <si>
    <t>THE - 20019 - THE PLACE</t>
  </si>
  <si>
    <t>5171 W Bell Rd</t>
  </si>
  <si>
    <t>(602) 896-9929</t>
  </si>
  <si>
    <t>THE - 20021 - THE VIG VAL VISTA</t>
  </si>
  <si>
    <t>1744 S VAL VISTA DR</t>
  </si>
  <si>
    <t>THE - 20088 - THE VIG BELL</t>
  </si>
  <si>
    <t>10199 E BELL RD</t>
  </si>
  <si>
    <t>(480) 935-2949</t>
  </si>
  <si>
    <t>THE- 20033 - THE HERMOSA INN</t>
  </si>
  <si>
    <t>THE HERMOSA INN</t>
  </si>
  <si>
    <t>Paradise Vly</t>
  </si>
  <si>
    <t>602-955-8614</t>
  </si>
  <si>
    <t>TIM - 20051 - TIM FINNEGANS</t>
  </si>
  <si>
    <t>TIM FINNEGANS</t>
  </si>
  <si>
    <t>602 875 8331</t>
  </si>
  <si>
    <t>TON - 20077 - TONTO BAR AND GRILL</t>
  </si>
  <si>
    <t>5736 E RANCHO MANANA BLVD</t>
  </si>
  <si>
    <t>480-575-1916</t>
  </si>
  <si>
    <t>BOX</t>
  </si>
  <si>
    <t>UNC83 - 21001 - UNCLE SAMS PEORIA</t>
  </si>
  <si>
    <t>18913 N 83Rd Ave</t>
  </si>
  <si>
    <t>602-996-3511</t>
  </si>
  <si>
    <t>UNCS - 21002 - UNCLE SAMS PHOENIX</t>
  </si>
  <si>
    <t>3217 E Shea Blvd</t>
  </si>
  <si>
    <t>VIG - 20097 - THE VIG PARK WEST</t>
  </si>
  <si>
    <t>9824 W NORTHERN AVE</t>
  </si>
  <si>
    <t>(602) 478-2414</t>
  </si>
  <si>
    <t>ANG - 1057 - ANGRY CRAB TUCSON</t>
  </si>
  <si>
    <t>TU</t>
  </si>
  <si>
    <t>ANGRY CRAB TUCSON</t>
  </si>
  <si>
    <t>TUCSON</t>
  </si>
  <si>
    <t>602-403-0439</t>
  </si>
  <si>
    <t>BOO - 2016 - BOOTY'S SURPRISE</t>
  </si>
  <si>
    <t>15557 W BELL RD STE 405</t>
  </si>
  <si>
    <t>623-546-7757</t>
  </si>
  <si>
    <t>CHA - 3056 - CHARLEYS AT THE LAKE</t>
  </si>
  <si>
    <t>19260 N WESTBROOK PKWY</t>
  </si>
  <si>
    <t>(608) 235-2558</t>
  </si>
  <si>
    <t>COW - 3028 - COWBOY COOKIN</t>
  </si>
  <si>
    <t>W</t>
  </si>
  <si>
    <t>495 E WICKENBURG WAY</t>
  </si>
  <si>
    <t>(928) 684-3882</t>
  </si>
  <si>
    <t>CRU - 3083 - CRUST - PEORIA</t>
  </si>
  <si>
    <t>25201 N WESTWING PKWY</t>
  </si>
  <si>
    <t>(480) 797-7823</t>
  </si>
  <si>
    <t>JAY - 10012 - JAY TRAVEL CENTER</t>
  </si>
  <si>
    <t>2500 Interstate 10 Business Loop</t>
  </si>
  <si>
    <t>SAN SIMON</t>
  </si>
  <si>
    <t>(520) 262-9358</t>
  </si>
  <si>
    <t>EVERY 2 MONTHS</t>
  </si>
  <si>
    <t>LOT - 12021 - LOTUS LOUNGE</t>
  </si>
  <si>
    <t>F</t>
  </si>
  <si>
    <t>106 N San Francisco St</t>
  </si>
  <si>
    <t>928-779-6971</t>
  </si>
  <si>
    <t>LOV - 12062 - LOVEY'S ESSENCE - AVONDALE</t>
  </si>
  <si>
    <t>214 E. WESTERN AVE</t>
  </si>
  <si>
    <t>(623) 910-6861</t>
  </si>
  <si>
    <t>CLOSED TUESDAY | WED - SAT 12 TO 8, SUN 12 TO 5</t>
  </si>
  <si>
    <t>ORE - 15032 - OREGANO COUNTRY</t>
  </si>
  <si>
    <t>T</t>
  </si>
  <si>
    <t>980 N Country Club Dr</t>
  </si>
  <si>
    <t>OREL - 15033 - OREGANO LANDING</t>
  </si>
  <si>
    <t>4884 S Landing Way</t>
  </si>
  <si>
    <t>Tucson</t>
  </si>
  <si>
    <t>OREO - 15028 - OREGANO TUCSON</t>
  </si>
  <si>
    <t>100 W Orange Grove Rd</t>
  </si>
  <si>
    <t>520-229-9999</t>
  </si>
  <si>
    <t>ORER - 15004 - OREGANO FLAGSTAFF</t>
  </si>
  <si>
    <t>1061 S Plaza Way</t>
  </si>
  <si>
    <t>(928) 773-8600</t>
  </si>
  <si>
    <t>ORES - 15021 - OREGANO SPEEDWAY</t>
  </si>
  <si>
    <t>4900 E Speedway Blvd</t>
  </si>
  <si>
    <t>520-327-8955</t>
  </si>
  <si>
    <t>PAL - 16052 - THE PALACE SALOON</t>
  </si>
  <si>
    <t>P</t>
  </si>
  <si>
    <t>120 S Montezuma St</t>
  </si>
  <si>
    <t>Prescott</t>
  </si>
  <si>
    <t>(428) 541-1996</t>
  </si>
  <si>
    <t>PIR - 16027 - PIRATE CASA GRANDE</t>
  </si>
  <si>
    <t>C</t>
  </si>
  <si>
    <t>818 N Pinal Ave</t>
  </si>
  <si>
    <t>Casa Grande</t>
  </si>
  <si>
    <t>520-836-2646</t>
  </si>
  <si>
    <t>POP - 16051 - POPOS MCDOWELL</t>
  </si>
  <si>
    <t>15375 W MCDOWELL RD</t>
  </si>
  <si>
    <t>TAI - 20089 - TAILGATERS PRESCOTT</t>
  </si>
  <si>
    <t>7160 E PAV WAY</t>
  </si>
  <si>
    <t>PRESCOTT VALLEY</t>
  </si>
  <si>
    <t> 7363 E Scottsdale Mall, Scottsdale, AZ 85251</t>
  </si>
  <si>
    <t>DIL - 4025 - DILLON WESTERN TRAILS</t>
  </si>
  <si>
    <t>1B</t>
  </si>
  <si>
    <t>37838 W GRAND AVE</t>
  </si>
  <si>
    <t>MORISTOWN</t>
  </si>
  <si>
    <t>S&amp;K OIL SALES — OPTIMIZER INPUT  (all calculations auto-update from Delivery_Log)</t>
  </si>
  <si>
    <t>Min Oil %</t>
  </si>
  <si>
    <t>Visit Window (days)</t>
  </si>
  <si>
    <t>Shift Min</t>
  </si>
  <si>
    <t>Svc Min/Stop</t>
  </si>
  <si>
    <t># of Deliveries since:</t>
  </si>
  <si>
    <t xml:space="preserve">■ Red=Critical(≤2d)  ■ Amber=Urgent(3–5d)  ■ Green=Normal(6–7d)  ■ Grey=Not needed  │  Blue italic = live formula pulling from Delivery_Log  </t>
  </si>
  <si>
    <t>CLIENT &amp; LOCATION</t>
  </si>
  <si>
    <t>TANK &amp; CONSUMPTION</t>
  </si>
  <si>
    <t>LAST DELIVERY  ← from log</t>
  </si>
  <si>
    <t>CALCULATED</t>
  </si>
  <si>
    <t>Num.</t>
  </si>
  <si>
    <t>Customer</t>
  </si>
  <si>
    <t>Address</t>
  </si>
  <si>
    <t>Lat / Lon</t>
  </si>
  <si>
    <t>Tank (lbs)</t>
  </si>
  <si>
    <t>Last Per Day Cons
(lbs/day)</t>
  </si>
  <si>
    <t>Last Delivery</t>
  </si>
  <si>
    <t>Days Since</t>
  </si>
  <si>
    <t>Est. Current
(lbs)</t>
  </si>
  <si>
    <t>Refill
(lbs)</t>
  </si>
  <si>
    <t>Days Until
Empty</t>
  </si>
  <si>
    <t>Next Delivery By:</t>
  </si>
  <si>
    <t>Anova Updated</t>
  </si>
  <si>
    <t>Anova Status</t>
  </si>
  <si>
    <t>0001</t>
  </si>
  <si>
    <t>4037</t>
  </si>
  <si>
    <t>Pull this out</t>
  </si>
  <si>
    <t>19123</t>
  </si>
  <si>
    <t>3028</t>
  </si>
  <si>
    <t>Truck Configuration</t>
  </si>
  <si>
    <t>Truck_Name</t>
  </si>
  <si>
    <t>Capacity_lbs</t>
  </si>
  <si>
    <t>Pump_Rate_lbs_per_min</t>
  </si>
  <si>
    <t>Fixed_Setup_min</t>
  </si>
  <si>
    <t>Truck2</t>
  </si>
  <si>
    <t>Truck9</t>
  </si>
  <si>
    <t>Depot Configuration (key-value pairs)</t>
  </si>
  <si>
    <t>Key</t>
  </si>
  <si>
    <t>Value</t>
  </si>
  <si>
    <t>Depot_Lat</t>
  </si>
  <si>
    <t>Depot_Lon</t>
  </si>
  <si>
    <t>Shift_Start_HHMM</t>
  </si>
  <si>
    <t>06:00</t>
  </si>
  <si>
    <t>Shift_End_HHMM</t>
  </si>
  <si>
    <t>16:00</t>
  </si>
  <si>
    <t>Morning_Load_Min</t>
  </si>
  <si>
    <t>Evening_Unload_Min</t>
  </si>
  <si>
    <t>Work_Days</t>
  </si>
  <si>
    <t>Tue,Wed,Thu,Fri,Sat</t>
  </si>
  <si>
    <t>Client time windows — one row per client. Day_of_Week="All" applies to every workday (Tue-Sat).</t>
  </si>
  <si>
    <t>Edit by hand: add a row per client with restricted hours. Empty sheet = no restrictions.</t>
  </si>
  <si>
    <t>Client_ID</t>
  </si>
  <si>
    <t>Day_of_Week</t>
  </si>
  <si>
    <t>Open_HHMM</t>
  </si>
  <si>
    <t>Close_HHMM</t>
  </si>
  <si>
    <t>EXAMPLE_C042</t>
  </si>
  <si>
    <t>EXAMPLE - 0042 - Sample Restaurant</t>
  </si>
  <si>
    <t>All</t>
  </si>
  <si>
    <t>09:00</t>
  </si>
  <si>
    <t>11:00</t>
  </si>
  <si>
    <t>morning delivery only</t>
  </si>
  <si>
    <t>16006</t>
  </si>
  <si>
    <t>10:00</t>
  </si>
  <si>
    <t>16007</t>
  </si>
  <si>
    <t>08:30</t>
  </si>
  <si>
    <t>16004</t>
  </si>
  <si>
    <t>16003</t>
  </si>
  <si>
    <t>16008</t>
  </si>
  <si>
    <t>17:00</t>
  </si>
  <si>
    <t>16009</t>
  </si>
  <si>
    <t>16010</t>
  </si>
  <si>
    <t>09:15</t>
  </si>
  <si>
    <t>09:45</t>
  </si>
  <si>
    <t>16005</t>
  </si>
  <si>
    <t>Client closures — one row per rule. For weekly closures set Recurring_DOW (e.g. "Tue") and leave dates blank. For one-off ranges fill Start/End dates.</t>
  </si>
  <si>
    <t>Edit by hand: add a row per closure rule. Empty sheet = no closures.</t>
  </si>
  <si>
    <t>Recurring_DOW</t>
  </si>
  <si>
    <t>Start_Date</t>
  </si>
  <si>
    <t>End_Date</t>
  </si>
  <si>
    <t>Reason</t>
  </si>
  <si>
    <t>Tue</t>
  </si>
  <si>
    <t>closed every Tuesday (example — delete this row)</t>
  </si>
  <si>
    <t>2078</t>
  </si>
  <si>
    <t>CLOSED TUE</t>
  </si>
  <si>
    <t>4026</t>
  </si>
  <si>
    <t>5006</t>
  </si>
  <si>
    <t>CLOSED PERMANENTLY</t>
  </si>
  <si>
    <t>12062</t>
  </si>
  <si>
    <t>device_id</t>
  </si>
  <si>
    <t>customer</t>
  </si>
  <si>
    <t>display_value</t>
  </si>
  <si>
    <t>display_unit</t>
  </si>
  <si>
    <t>scaled_value</t>
  </si>
  <si>
    <t>scaled_unit</t>
  </si>
  <si>
    <t>product</t>
  </si>
  <si>
    <t>timestamp</t>
  </si>
  <si>
    <t>received_at</t>
  </si>
  <si>
    <t>124697513</t>
  </si>
  <si>
    <t>lbs</t>
  </si>
  <si>
    <t>mm WC</t>
  </si>
  <si>
    <t>Fryers Choice</t>
  </si>
  <si>
    <t>2026-05-06T11:00:25Z</t>
  </si>
  <si>
    <t>2026-05-06T11:09:11.552Z</t>
  </si>
  <si>
    <t>121381187</t>
  </si>
  <si>
    <t>Palm Oil</t>
  </si>
  <si>
    <t>2026-05-06T11:00:29Z</t>
  </si>
  <si>
    <t>2026-05-06T11:10:40.370Z</t>
  </si>
  <si>
    <t>124677515</t>
  </si>
  <si>
    <t>Canola Oil</t>
  </si>
  <si>
    <t>2026-05-06T11:00:42Z</t>
  </si>
  <si>
    <t>2026-05-06T11:11:09.331Z</t>
  </si>
  <si>
    <t>client_id</t>
  </si>
  <si>
    <t>client_name</t>
  </si>
  <si>
    <t>customer_ref</t>
  </si>
  <si>
    <t>tank_capacity</t>
  </si>
  <si>
    <t>pct_full</t>
  </si>
  <si>
    <t>deliverable_lbs</t>
  </si>
  <si>
    <t>age_hours</t>
  </si>
  <si>
    <t>source</t>
  </si>
  <si>
    <t>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</si>
</sst>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8"/>
  <sheetViews>
    <sheetView tabSelected="1" workbookViewId="0"/>
  </sheetViews>
  <sheetFormatPr baseColWidth="10" defaultColWidth="8.83203125" defaultRowHeight="15" x14ac:dyDescent="0.2"/>
  <sheetData>
    <row r="1" spans="1:11" x14ac:dyDescent="0.2">
      <c r="A1" t="s">
        <v>0</v>
      </c>
    </row>
    <row r="2" spans="1:11" x14ac:dyDescent="0.2">
      <c r="A2" t="s">
        <v>1</v>
      </c>
    </row>
    <row r="3" spans="1:11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spans="1:11" x14ac:dyDescent="0.2">
      <c r="A4" s="1">
        <v>45955</v>
      </c>
      <c r="B4">
        <v>1073</v>
      </c>
      <c r="D4">
        <v>1903</v>
      </c>
    </row>
    <row r="5" spans="1:11" x14ac:dyDescent="0.2">
      <c r="A5" s="1">
        <v>45965</v>
      </c>
      <c r="B5">
        <v>19107</v>
      </c>
      <c r="D5">
        <v>228</v>
      </c>
    </row>
    <row r="6" spans="1:11" x14ac:dyDescent="0.2">
      <c r="A6" s="1">
        <v>46024</v>
      </c>
      <c r="B6">
        <v>1083</v>
      </c>
      <c r="D6">
        <v>354</v>
      </c>
    </row>
    <row r="7" spans="1:11" x14ac:dyDescent="0.2">
      <c r="A7" s="1">
        <v>46024</v>
      </c>
      <c r="B7">
        <v>3063</v>
      </c>
      <c r="D7">
        <v>1596</v>
      </c>
    </row>
    <row r="8" spans="1:11" x14ac:dyDescent="0.2">
      <c r="A8" s="1">
        <v>46024</v>
      </c>
      <c r="B8">
        <v>4037</v>
      </c>
      <c r="D8">
        <v>361</v>
      </c>
    </row>
    <row r="9" spans="1:11" x14ac:dyDescent="0.2">
      <c r="A9" s="1">
        <v>46024</v>
      </c>
      <c r="B9">
        <v>8031</v>
      </c>
      <c r="D9">
        <v>705</v>
      </c>
    </row>
    <row r="10" spans="1:11" x14ac:dyDescent="0.2">
      <c r="A10" s="1">
        <v>46024</v>
      </c>
      <c r="B10">
        <v>10001</v>
      </c>
      <c r="D10">
        <v>882</v>
      </c>
    </row>
    <row r="11" spans="1:11" x14ac:dyDescent="0.2">
      <c r="A11" s="1">
        <v>46024</v>
      </c>
      <c r="B11">
        <v>14008</v>
      </c>
      <c r="D11">
        <v>1151</v>
      </c>
    </row>
    <row r="12" spans="1:11" x14ac:dyDescent="0.2">
      <c r="A12" s="1">
        <v>46024</v>
      </c>
      <c r="B12">
        <v>15035</v>
      </c>
      <c r="D12">
        <v>1401</v>
      </c>
    </row>
    <row r="13" spans="1:11" x14ac:dyDescent="0.2">
      <c r="A13" s="1">
        <v>46024</v>
      </c>
      <c r="B13">
        <v>16010</v>
      </c>
      <c r="D13">
        <v>1737</v>
      </c>
    </row>
    <row r="14" spans="1:11" x14ac:dyDescent="0.2">
      <c r="A14" s="1">
        <v>46025</v>
      </c>
      <c r="B14">
        <v>1057</v>
      </c>
      <c r="D14">
        <v>591</v>
      </c>
    </row>
    <row r="15" spans="1:11" x14ac:dyDescent="0.2">
      <c r="A15" s="1">
        <v>46025</v>
      </c>
      <c r="B15">
        <v>2016</v>
      </c>
      <c r="D15">
        <v>265</v>
      </c>
    </row>
    <row r="16" spans="1:11" x14ac:dyDescent="0.2">
      <c r="A16" s="1">
        <v>46025</v>
      </c>
      <c r="B16">
        <v>3056</v>
      </c>
      <c r="D16">
        <v>223</v>
      </c>
    </row>
    <row r="17" spans="1:4" x14ac:dyDescent="0.2">
      <c r="A17" s="1">
        <v>46025</v>
      </c>
      <c r="B17">
        <v>4010</v>
      </c>
      <c r="D17">
        <v>514</v>
      </c>
    </row>
    <row r="18" spans="1:4" x14ac:dyDescent="0.2">
      <c r="A18" s="1">
        <v>46025</v>
      </c>
      <c r="B18">
        <v>6101</v>
      </c>
      <c r="D18">
        <v>569</v>
      </c>
    </row>
    <row r="19" spans="1:4" x14ac:dyDescent="0.2">
      <c r="A19" s="1">
        <v>46025</v>
      </c>
      <c r="B19">
        <v>15021</v>
      </c>
      <c r="D19">
        <v>272</v>
      </c>
    </row>
    <row r="20" spans="1:4" x14ac:dyDescent="0.2">
      <c r="A20" s="1">
        <v>46025</v>
      </c>
      <c r="B20">
        <v>15028</v>
      </c>
      <c r="D20">
        <v>605</v>
      </c>
    </row>
    <row r="21" spans="1:4" x14ac:dyDescent="0.2">
      <c r="A21" s="1">
        <v>46025</v>
      </c>
      <c r="B21">
        <v>15033</v>
      </c>
      <c r="D21">
        <v>327</v>
      </c>
    </row>
    <row r="22" spans="1:4" x14ac:dyDescent="0.2">
      <c r="A22" s="1">
        <v>46025</v>
      </c>
      <c r="B22">
        <v>16014</v>
      </c>
      <c r="D22">
        <v>1772</v>
      </c>
    </row>
    <row r="23" spans="1:4" x14ac:dyDescent="0.2">
      <c r="A23" s="1">
        <v>46025</v>
      </c>
      <c r="B23">
        <v>19031</v>
      </c>
      <c r="D23">
        <v>620</v>
      </c>
    </row>
    <row r="24" spans="1:4" x14ac:dyDescent="0.2">
      <c r="A24" s="1">
        <v>46025</v>
      </c>
      <c r="B24">
        <v>21001</v>
      </c>
      <c r="D24">
        <v>731</v>
      </c>
    </row>
    <row r="25" spans="1:4" x14ac:dyDescent="0.2">
      <c r="A25" s="1">
        <v>46026</v>
      </c>
      <c r="B25">
        <v>16005</v>
      </c>
      <c r="D25">
        <v>703</v>
      </c>
    </row>
    <row r="26" spans="1:4" x14ac:dyDescent="0.2">
      <c r="A26" s="1">
        <v>46026</v>
      </c>
      <c r="B26">
        <v>16051</v>
      </c>
      <c r="D26">
        <v>1507</v>
      </c>
    </row>
    <row r="27" spans="1:4" x14ac:dyDescent="0.2">
      <c r="A27" s="1">
        <v>46027</v>
      </c>
      <c r="B27">
        <v>1011</v>
      </c>
      <c r="D27">
        <v>949</v>
      </c>
    </row>
    <row r="28" spans="1:4" x14ac:dyDescent="0.2">
      <c r="A28" s="1">
        <v>46027</v>
      </c>
      <c r="B28">
        <v>2010</v>
      </c>
      <c r="D28">
        <v>507</v>
      </c>
    </row>
    <row r="29" spans="1:4" x14ac:dyDescent="0.2">
      <c r="A29" s="1">
        <v>46027</v>
      </c>
      <c r="B29">
        <v>3021</v>
      </c>
      <c r="D29">
        <v>291</v>
      </c>
    </row>
    <row r="30" spans="1:4" x14ac:dyDescent="0.2">
      <c r="A30" s="1">
        <v>46027</v>
      </c>
      <c r="B30">
        <v>5006</v>
      </c>
      <c r="D30">
        <v>406</v>
      </c>
    </row>
    <row r="31" spans="1:4" x14ac:dyDescent="0.2">
      <c r="A31" s="1">
        <v>46027</v>
      </c>
      <c r="B31">
        <v>6077</v>
      </c>
      <c r="D31">
        <v>1513</v>
      </c>
    </row>
    <row r="32" spans="1:4" x14ac:dyDescent="0.2">
      <c r="A32" s="1">
        <v>46027</v>
      </c>
      <c r="B32">
        <v>8031</v>
      </c>
      <c r="D32">
        <v>762</v>
      </c>
    </row>
    <row r="33" spans="1:4" x14ac:dyDescent="0.2">
      <c r="A33" s="1">
        <v>46027</v>
      </c>
      <c r="B33">
        <v>13013</v>
      </c>
      <c r="D33">
        <v>898</v>
      </c>
    </row>
    <row r="34" spans="1:4" x14ac:dyDescent="0.2">
      <c r="A34" s="1">
        <v>46027</v>
      </c>
      <c r="B34">
        <v>13061</v>
      </c>
      <c r="D34">
        <v>457</v>
      </c>
    </row>
    <row r="35" spans="1:4" x14ac:dyDescent="0.2">
      <c r="A35" s="1">
        <v>46027</v>
      </c>
      <c r="B35">
        <v>16004</v>
      </c>
      <c r="D35">
        <v>438</v>
      </c>
    </row>
    <row r="36" spans="1:4" x14ac:dyDescent="0.2">
      <c r="A36" s="1">
        <v>46027</v>
      </c>
      <c r="B36">
        <v>16008</v>
      </c>
      <c r="D36">
        <v>715</v>
      </c>
    </row>
    <row r="37" spans="1:4" x14ac:dyDescent="0.2">
      <c r="A37" s="1">
        <v>46027</v>
      </c>
      <c r="B37">
        <v>18001</v>
      </c>
      <c r="D37">
        <v>268</v>
      </c>
    </row>
    <row r="38" spans="1:4" x14ac:dyDescent="0.2">
      <c r="A38" s="1">
        <v>46027</v>
      </c>
      <c r="B38">
        <v>18003</v>
      </c>
      <c r="D38">
        <v>337</v>
      </c>
    </row>
    <row r="39" spans="1:4" x14ac:dyDescent="0.2">
      <c r="A39" s="1">
        <v>46027</v>
      </c>
      <c r="B39">
        <v>18004</v>
      </c>
      <c r="D39">
        <v>669</v>
      </c>
    </row>
    <row r="40" spans="1:4" x14ac:dyDescent="0.2">
      <c r="A40" s="1">
        <v>46027</v>
      </c>
      <c r="B40">
        <v>18031</v>
      </c>
      <c r="D40">
        <v>507</v>
      </c>
    </row>
    <row r="41" spans="1:4" x14ac:dyDescent="0.2">
      <c r="A41" s="1">
        <v>46027</v>
      </c>
      <c r="B41">
        <v>18054</v>
      </c>
      <c r="D41">
        <v>1128</v>
      </c>
    </row>
    <row r="42" spans="1:4" x14ac:dyDescent="0.2">
      <c r="A42" s="1">
        <v>46027</v>
      </c>
      <c r="B42">
        <v>19117</v>
      </c>
      <c r="D42">
        <v>357</v>
      </c>
    </row>
    <row r="43" spans="1:4" x14ac:dyDescent="0.2">
      <c r="A43" s="1">
        <v>46028</v>
      </c>
      <c r="B43">
        <v>1001</v>
      </c>
      <c r="D43">
        <v>814</v>
      </c>
    </row>
    <row r="44" spans="1:4" x14ac:dyDescent="0.2">
      <c r="A44" s="1">
        <v>46028</v>
      </c>
      <c r="B44">
        <v>1013</v>
      </c>
      <c r="D44">
        <v>904</v>
      </c>
    </row>
    <row r="45" spans="1:4" x14ac:dyDescent="0.2">
      <c r="A45" s="1">
        <v>46028</v>
      </c>
      <c r="B45">
        <v>1054</v>
      </c>
      <c r="D45">
        <v>522</v>
      </c>
    </row>
    <row r="46" spans="1:4" x14ac:dyDescent="0.2">
      <c r="A46" s="1">
        <v>46028</v>
      </c>
      <c r="B46">
        <v>2017</v>
      </c>
      <c r="D46">
        <v>433</v>
      </c>
    </row>
    <row r="47" spans="1:4" x14ac:dyDescent="0.2">
      <c r="A47" s="1">
        <v>46028</v>
      </c>
      <c r="B47">
        <v>2023</v>
      </c>
      <c r="D47">
        <v>705</v>
      </c>
    </row>
    <row r="48" spans="1:4" x14ac:dyDescent="0.2">
      <c r="A48" s="1">
        <v>46028</v>
      </c>
      <c r="B48">
        <v>4025</v>
      </c>
      <c r="D48">
        <v>863</v>
      </c>
    </row>
    <row r="49" spans="1:4" x14ac:dyDescent="0.2">
      <c r="A49" s="1">
        <v>46028</v>
      </c>
      <c r="B49">
        <v>5018</v>
      </c>
      <c r="D49">
        <v>286</v>
      </c>
    </row>
    <row r="50" spans="1:4" x14ac:dyDescent="0.2">
      <c r="A50" s="1">
        <v>46028</v>
      </c>
      <c r="B50">
        <v>6109</v>
      </c>
      <c r="D50">
        <v>445</v>
      </c>
    </row>
    <row r="51" spans="1:4" x14ac:dyDescent="0.2">
      <c r="A51" s="1">
        <v>46028</v>
      </c>
      <c r="B51">
        <v>19022</v>
      </c>
      <c r="D51">
        <v>920</v>
      </c>
    </row>
    <row r="52" spans="1:4" x14ac:dyDescent="0.2">
      <c r="A52" s="1">
        <v>46028</v>
      </c>
      <c r="B52">
        <v>20014</v>
      </c>
      <c r="D52">
        <v>925</v>
      </c>
    </row>
    <row r="53" spans="1:4" x14ac:dyDescent="0.2">
      <c r="A53" s="1">
        <v>46028</v>
      </c>
      <c r="B53">
        <v>20093</v>
      </c>
      <c r="D53">
        <v>987</v>
      </c>
    </row>
    <row r="54" spans="1:4" x14ac:dyDescent="0.2">
      <c r="A54" s="1">
        <v>46029</v>
      </c>
      <c r="B54">
        <v>1063</v>
      </c>
      <c r="D54">
        <v>853</v>
      </c>
    </row>
    <row r="55" spans="1:4" x14ac:dyDescent="0.2">
      <c r="A55" s="1">
        <v>46029</v>
      </c>
      <c r="B55">
        <v>1083</v>
      </c>
      <c r="D55">
        <v>181</v>
      </c>
    </row>
    <row r="56" spans="1:4" x14ac:dyDescent="0.2">
      <c r="A56" s="1">
        <v>46029</v>
      </c>
      <c r="B56">
        <v>2021</v>
      </c>
      <c r="D56">
        <v>511</v>
      </c>
    </row>
    <row r="57" spans="1:4" x14ac:dyDescent="0.2">
      <c r="A57" s="1">
        <v>46029</v>
      </c>
      <c r="B57">
        <v>2045</v>
      </c>
      <c r="D57">
        <v>232</v>
      </c>
    </row>
    <row r="58" spans="1:4" x14ac:dyDescent="0.2">
      <c r="A58" s="1">
        <v>46029</v>
      </c>
      <c r="B58">
        <v>2073</v>
      </c>
      <c r="D58">
        <v>315</v>
      </c>
    </row>
    <row r="59" spans="1:4" x14ac:dyDescent="0.2">
      <c r="A59" s="1">
        <v>46029</v>
      </c>
      <c r="B59">
        <v>4029</v>
      </c>
      <c r="D59">
        <v>1900</v>
      </c>
    </row>
    <row r="60" spans="1:4" x14ac:dyDescent="0.2">
      <c r="A60" s="1">
        <v>46029</v>
      </c>
      <c r="B60">
        <v>7002</v>
      </c>
      <c r="D60">
        <v>318</v>
      </c>
    </row>
    <row r="61" spans="1:4" x14ac:dyDescent="0.2">
      <c r="A61" s="1">
        <v>46029</v>
      </c>
      <c r="B61">
        <v>8034</v>
      </c>
      <c r="D61">
        <v>684</v>
      </c>
    </row>
    <row r="62" spans="1:4" x14ac:dyDescent="0.2">
      <c r="A62" s="1">
        <v>46029</v>
      </c>
      <c r="B62">
        <v>13011</v>
      </c>
      <c r="D62">
        <v>686</v>
      </c>
    </row>
    <row r="63" spans="1:4" x14ac:dyDescent="0.2">
      <c r="A63" s="1">
        <v>46029</v>
      </c>
      <c r="B63">
        <v>15000</v>
      </c>
      <c r="D63">
        <v>823</v>
      </c>
    </row>
    <row r="64" spans="1:4" x14ac:dyDescent="0.2">
      <c r="A64" s="1">
        <v>46029</v>
      </c>
      <c r="B64">
        <v>15009</v>
      </c>
      <c r="D64">
        <v>434</v>
      </c>
    </row>
    <row r="65" spans="1:4" x14ac:dyDescent="0.2">
      <c r="A65" s="1">
        <v>46029</v>
      </c>
      <c r="B65">
        <v>15015</v>
      </c>
      <c r="D65">
        <v>441</v>
      </c>
    </row>
    <row r="66" spans="1:4" x14ac:dyDescent="0.2">
      <c r="A66" s="1">
        <v>46029</v>
      </c>
      <c r="B66">
        <v>16006</v>
      </c>
      <c r="D66">
        <v>872</v>
      </c>
    </row>
    <row r="67" spans="1:4" x14ac:dyDescent="0.2">
      <c r="A67" s="1">
        <v>46029</v>
      </c>
      <c r="B67">
        <v>16018</v>
      </c>
      <c r="D67">
        <v>668</v>
      </c>
    </row>
    <row r="68" spans="1:4" x14ac:dyDescent="0.2">
      <c r="A68" s="1">
        <v>46029</v>
      </c>
      <c r="B68">
        <v>16019</v>
      </c>
      <c r="D68">
        <v>661</v>
      </c>
    </row>
    <row r="69" spans="1:4" x14ac:dyDescent="0.2">
      <c r="A69" s="1">
        <v>46029</v>
      </c>
      <c r="B69">
        <v>20088</v>
      </c>
      <c r="D69">
        <v>979</v>
      </c>
    </row>
    <row r="70" spans="1:4" x14ac:dyDescent="0.2">
      <c r="A70" s="1">
        <v>46030</v>
      </c>
      <c r="B70">
        <v>1018</v>
      </c>
      <c r="D70">
        <v>631</v>
      </c>
    </row>
    <row r="71" spans="1:4" x14ac:dyDescent="0.2">
      <c r="A71" s="1">
        <v>46030</v>
      </c>
      <c r="B71">
        <v>4009</v>
      </c>
      <c r="D71">
        <v>686</v>
      </c>
    </row>
    <row r="72" spans="1:4" x14ac:dyDescent="0.2">
      <c r="A72" s="1">
        <v>46030</v>
      </c>
      <c r="B72">
        <v>13012</v>
      </c>
      <c r="D72">
        <v>518</v>
      </c>
    </row>
    <row r="73" spans="1:4" x14ac:dyDescent="0.2">
      <c r="A73" s="1">
        <v>46030</v>
      </c>
      <c r="B73">
        <v>13014</v>
      </c>
      <c r="D73">
        <v>804</v>
      </c>
    </row>
    <row r="74" spans="1:4" x14ac:dyDescent="0.2">
      <c r="A74" s="1">
        <v>46030</v>
      </c>
      <c r="B74">
        <v>19035</v>
      </c>
      <c r="D74">
        <v>333</v>
      </c>
    </row>
    <row r="75" spans="1:4" x14ac:dyDescent="0.2">
      <c r="A75" s="1">
        <v>46030</v>
      </c>
      <c r="B75">
        <v>19077</v>
      </c>
      <c r="D75">
        <v>865</v>
      </c>
    </row>
    <row r="76" spans="1:4" x14ac:dyDescent="0.2">
      <c r="A76" s="1">
        <v>46030</v>
      </c>
      <c r="B76">
        <v>19080</v>
      </c>
      <c r="D76">
        <v>393</v>
      </c>
    </row>
    <row r="77" spans="1:4" x14ac:dyDescent="0.2">
      <c r="A77" s="1">
        <v>46030</v>
      </c>
      <c r="B77">
        <v>19081</v>
      </c>
      <c r="D77">
        <v>416</v>
      </c>
    </row>
    <row r="78" spans="1:4" x14ac:dyDescent="0.2">
      <c r="A78" s="1">
        <v>46030</v>
      </c>
      <c r="B78">
        <v>20019</v>
      </c>
      <c r="D78">
        <v>595</v>
      </c>
    </row>
    <row r="79" spans="1:4" x14ac:dyDescent="0.2">
      <c r="A79" s="1">
        <v>46030</v>
      </c>
      <c r="B79">
        <v>20051</v>
      </c>
      <c r="D79">
        <v>289</v>
      </c>
    </row>
    <row r="80" spans="1:4" x14ac:dyDescent="0.2">
      <c r="A80" s="1">
        <v>46031</v>
      </c>
      <c r="B80">
        <v>2016</v>
      </c>
      <c r="D80">
        <v>274</v>
      </c>
    </row>
    <row r="81" spans="1:4" x14ac:dyDescent="0.2">
      <c r="A81" s="1">
        <v>46031</v>
      </c>
      <c r="B81">
        <v>2067</v>
      </c>
      <c r="D81">
        <v>789</v>
      </c>
    </row>
    <row r="82" spans="1:4" x14ac:dyDescent="0.2">
      <c r="A82" s="1">
        <v>46031</v>
      </c>
      <c r="B82" t="s">
        <v>13</v>
      </c>
      <c r="D82">
        <v>480</v>
      </c>
    </row>
    <row r="83" spans="1:4" x14ac:dyDescent="0.2">
      <c r="A83" s="1">
        <v>46031</v>
      </c>
      <c r="B83">
        <v>7001</v>
      </c>
      <c r="D83">
        <v>1347</v>
      </c>
    </row>
    <row r="84" spans="1:4" x14ac:dyDescent="0.2">
      <c r="A84" s="1">
        <v>46031</v>
      </c>
      <c r="B84">
        <v>13009</v>
      </c>
      <c r="D84">
        <v>832</v>
      </c>
    </row>
    <row r="85" spans="1:4" x14ac:dyDescent="0.2">
      <c r="A85" s="1">
        <v>46031</v>
      </c>
      <c r="B85">
        <v>15016</v>
      </c>
      <c r="D85">
        <v>340</v>
      </c>
    </row>
    <row r="86" spans="1:4" x14ac:dyDescent="0.2">
      <c r="A86" s="1">
        <v>46031</v>
      </c>
      <c r="B86">
        <v>16015</v>
      </c>
      <c r="D86">
        <v>1514</v>
      </c>
    </row>
    <row r="87" spans="1:4" x14ac:dyDescent="0.2">
      <c r="A87" s="1">
        <v>46031</v>
      </c>
      <c r="B87">
        <v>22006</v>
      </c>
      <c r="D87">
        <v>676</v>
      </c>
    </row>
    <row r="88" spans="1:4" x14ac:dyDescent="0.2">
      <c r="A88" s="1">
        <v>46032</v>
      </c>
      <c r="B88">
        <v>11005</v>
      </c>
      <c r="D88">
        <v>639</v>
      </c>
    </row>
    <row r="89" spans="1:4" x14ac:dyDescent="0.2">
      <c r="A89" s="1">
        <v>46032</v>
      </c>
      <c r="B89">
        <v>12021</v>
      </c>
      <c r="D89">
        <v>348</v>
      </c>
    </row>
    <row r="90" spans="1:4" x14ac:dyDescent="0.2">
      <c r="A90" s="1">
        <v>46032</v>
      </c>
      <c r="B90">
        <v>15004</v>
      </c>
      <c r="D90">
        <v>386</v>
      </c>
    </row>
    <row r="91" spans="1:4" x14ac:dyDescent="0.2">
      <c r="A91" s="1">
        <v>46032</v>
      </c>
      <c r="B91">
        <v>15032</v>
      </c>
      <c r="D91">
        <v>632</v>
      </c>
    </row>
    <row r="92" spans="1:4" x14ac:dyDescent="0.2">
      <c r="A92" s="1">
        <v>46033</v>
      </c>
      <c r="B92">
        <v>1000</v>
      </c>
      <c r="D92">
        <v>938</v>
      </c>
    </row>
    <row r="93" spans="1:4" x14ac:dyDescent="0.2">
      <c r="A93" s="1">
        <v>46033</v>
      </c>
      <c r="B93">
        <v>1081</v>
      </c>
      <c r="D93">
        <v>307</v>
      </c>
    </row>
    <row r="94" spans="1:4" x14ac:dyDescent="0.2">
      <c r="A94" s="1">
        <v>46033</v>
      </c>
      <c r="B94">
        <v>4026</v>
      </c>
      <c r="D94">
        <v>336</v>
      </c>
    </row>
    <row r="95" spans="1:4" x14ac:dyDescent="0.2">
      <c r="A95" s="1">
        <v>46033</v>
      </c>
      <c r="B95">
        <v>6101</v>
      </c>
      <c r="D95">
        <v>611</v>
      </c>
    </row>
    <row r="96" spans="1:4" x14ac:dyDescent="0.2">
      <c r="A96" s="1">
        <v>46033</v>
      </c>
      <c r="B96">
        <v>8005</v>
      </c>
      <c r="D96">
        <v>915</v>
      </c>
    </row>
    <row r="97" spans="1:4" x14ac:dyDescent="0.2">
      <c r="A97" s="1">
        <v>46033</v>
      </c>
      <c r="B97">
        <v>13015</v>
      </c>
      <c r="D97">
        <v>911</v>
      </c>
    </row>
    <row r="98" spans="1:4" x14ac:dyDescent="0.2">
      <c r="A98" s="1">
        <v>46033</v>
      </c>
      <c r="B98">
        <v>20021</v>
      </c>
      <c r="D98">
        <v>1005</v>
      </c>
    </row>
    <row r="99" spans="1:4" x14ac:dyDescent="0.2">
      <c r="A99" s="1">
        <v>46033</v>
      </c>
      <c r="B99">
        <v>20098</v>
      </c>
      <c r="D99">
        <v>150</v>
      </c>
    </row>
    <row r="100" spans="1:4" x14ac:dyDescent="0.2">
      <c r="A100" s="1">
        <v>46035</v>
      </c>
      <c r="B100">
        <v>2023</v>
      </c>
      <c r="D100">
        <v>690</v>
      </c>
    </row>
    <row r="101" spans="1:4" x14ac:dyDescent="0.2">
      <c r="A101" s="1">
        <v>46035</v>
      </c>
      <c r="B101">
        <v>3069</v>
      </c>
      <c r="D101">
        <v>1079</v>
      </c>
    </row>
    <row r="102" spans="1:4" x14ac:dyDescent="0.2">
      <c r="A102" s="1">
        <v>46035</v>
      </c>
      <c r="B102">
        <v>8031</v>
      </c>
      <c r="D102">
        <v>1167</v>
      </c>
    </row>
    <row r="103" spans="1:4" x14ac:dyDescent="0.2">
      <c r="A103" s="1">
        <v>46035</v>
      </c>
      <c r="B103">
        <v>8034</v>
      </c>
      <c r="D103">
        <v>373</v>
      </c>
    </row>
    <row r="104" spans="1:4" x14ac:dyDescent="0.2">
      <c r="A104" s="1">
        <v>46035</v>
      </c>
      <c r="B104">
        <v>10001</v>
      </c>
      <c r="D104">
        <v>911</v>
      </c>
    </row>
    <row r="105" spans="1:4" x14ac:dyDescent="0.2">
      <c r="A105" s="1">
        <v>46035</v>
      </c>
      <c r="B105">
        <v>11013</v>
      </c>
      <c r="D105">
        <v>1037</v>
      </c>
    </row>
    <row r="106" spans="1:4" x14ac:dyDescent="0.2">
      <c r="A106" s="1">
        <v>46035</v>
      </c>
      <c r="B106">
        <v>12025</v>
      </c>
      <c r="D106">
        <v>612</v>
      </c>
    </row>
    <row r="107" spans="1:4" x14ac:dyDescent="0.2">
      <c r="A107" s="1">
        <v>46035</v>
      </c>
      <c r="B107">
        <v>12051</v>
      </c>
      <c r="D107">
        <v>1011</v>
      </c>
    </row>
    <row r="108" spans="1:4" x14ac:dyDescent="0.2">
      <c r="A108" s="1">
        <v>46035</v>
      </c>
      <c r="B108">
        <v>13013</v>
      </c>
      <c r="D108">
        <v>891</v>
      </c>
    </row>
    <row r="109" spans="1:4" x14ac:dyDescent="0.2">
      <c r="A109" s="1">
        <v>46035</v>
      </c>
      <c r="B109">
        <v>15002</v>
      </c>
      <c r="D109">
        <v>482</v>
      </c>
    </row>
    <row r="110" spans="1:4" x14ac:dyDescent="0.2">
      <c r="A110" s="1">
        <v>46035</v>
      </c>
      <c r="B110">
        <v>15005</v>
      </c>
      <c r="D110">
        <v>648</v>
      </c>
    </row>
    <row r="111" spans="1:4" x14ac:dyDescent="0.2">
      <c r="A111" s="1">
        <v>46035</v>
      </c>
      <c r="B111">
        <v>16005</v>
      </c>
      <c r="D111">
        <v>788</v>
      </c>
    </row>
    <row r="112" spans="1:4" x14ac:dyDescent="0.2">
      <c r="A112" s="1">
        <v>46035</v>
      </c>
      <c r="B112">
        <v>16008</v>
      </c>
      <c r="D112">
        <v>919</v>
      </c>
    </row>
    <row r="113" spans="1:4" x14ac:dyDescent="0.2">
      <c r="A113" s="1">
        <v>46035</v>
      </c>
      <c r="B113">
        <v>16010</v>
      </c>
      <c r="D113">
        <v>1115</v>
      </c>
    </row>
    <row r="114" spans="1:4" x14ac:dyDescent="0.2">
      <c r="A114" s="1">
        <v>46035</v>
      </c>
      <c r="B114">
        <v>20091</v>
      </c>
      <c r="D114">
        <v>976</v>
      </c>
    </row>
    <row r="115" spans="1:4" x14ac:dyDescent="0.2">
      <c r="A115" s="1">
        <v>46035</v>
      </c>
      <c r="B115">
        <v>20092</v>
      </c>
      <c r="D115">
        <v>1096</v>
      </c>
    </row>
    <row r="116" spans="1:4" x14ac:dyDescent="0.2">
      <c r="A116" s="1">
        <v>46035</v>
      </c>
      <c r="B116">
        <v>20097</v>
      </c>
      <c r="D116">
        <v>964</v>
      </c>
    </row>
    <row r="117" spans="1:4" x14ac:dyDescent="0.2">
      <c r="A117" s="1">
        <v>46035</v>
      </c>
      <c r="B117">
        <v>20098</v>
      </c>
      <c r="D117">
        <v>1023</v>
      </c>
    </row>
    <row r="118" spans="1:4" x14ac:dyDescent="0.2">
      <c r="A118" s="1">
        <v>46036</v>
      </c>
      <c r="B118">
        <v>2038</v>
      </c>
      <c r="D118">
        <v>614</v>
      </c>
    </row>
    <row r="119" spans="1:4" x14ac:dyDescent="0.2">
      <c r="A119" s="1">
        <v>46036</v>
      </c>
      <c r="B119">
        <v>2078</v>
      </c>
      <c r="D119">
        <v>316</v>
      </c>
    </row>
    <row r="120" spans="1:4" x14ac:dyDescent="0.2">
      <c r="A120" s="1">
        <v>46036</v>
      </c>
      <c r="B120">
        <v>3063</v>
      </c>
      <c r="D120">
        <v>1361</v>
      </c>
    </row>
    <row r="121" spans="1:4" x14ac:dyDescent="0.2">
      <c r="A121" s="1">
        <v>46036</v>
      </c>
      <c r="B121">
        <v>6109</v>
      </c>
      <c r="D121">
        <v>521</v>
      </c>
    </row>
    <row r="122" spans="1:4" x14ac:dyDescent="0.2">
      <c r="A122" s="1">
        <v>46036</v>
      </c>
      <c r="B122">
        <v>7053</v>
      </c>
      <c r="D122">
        <v>362</v>
      </c>
    </row>
    <row r="123" spans="1:4" x14ac:dyDescent="0.2">
      <c r="A123" s="1">
        <v>46036</v>
      </c>
      <c r="B123">
        <v>12047</v>
      </c>
      <c r="D123">
        <v>632</v>
      </c>
    </row>
    <row r="124" spans="1:4" x14ac:dyDescent="0.2">
      <c r="A124" s="1">
        <v>46036</v>
      </c>
      <c r="B124">
        <v>12055</v>
      </c>
      <c r="D124">
        <v>1045</v>
      </c>
    </row>
    <row r="125" spans="1:4" x14ac:dyDescent="0.2">
      <c r="A125" s="1">
        <v>46036</v>
      </c>
      <c r="B125">
        <v>13057</v>
      </c>
      <c r="D125">
        <v>938</v>
      </c>
    </row>
    <row r="126" spans="1:4" x14ac:dyDescent="0.2">
      <c r="A126" s="1">
        <v>46036</v>
      </c>
      <c r="B126">
        <v>15020</v>
      </c>
      <c r="D126">
        <v>452</v>
      </c>
    </row>
    <row r="127" spans="1:4" x14ac:dyDescent="0.2">
      <c r="A127" s="1">
        <v>46036</v>
      </c>
      <c r="B127">
        <v>15023</v>
      </c>
      <c r="D127">
        <v>314</v>
      </c>
    </row>
    <row r="128" spans="1:4" x14ac:dyDescent="0.2">
      <c r="A128" s="1">
        <v>46036</v>
      </c>
      <c r="B128">
        <v>15035</v>
      </c>
      <c r="D128">
        <v>1433</v>
      </c>
    </row>
    <row r="129" spans="1:4" x14ac:dyDescent="0.2">
      <c r="A129" s="1">
        <v>46036</v>
      </c>
      <c r="B129">
        <v>16003</v>
      </c>
      <c r="D129">
        <v>776</v>
      </c>
    </row>
    <row r="130" spans="1:4" x14ac:dyDescent="0.2">
      <c r="A130" s="1">
        <v>46036</v>
      </c>
      <c r="B130">
        <v>16004</v>
      </c>
      <c r="D130">
        <v>561</v>
      </c>
    </row>
    <row r="131" spans="1:4" x14ac:dyDescent="0.2">
      <c r="A131" s="1">
        <v>46036</v>
      </c>
      <c r="B131">
        <v>16007</v>
      </c>
      <c r="D131">
        <v>841</v>
      </c>
    </row>
    <row r="132" spans="1:4" x14ac:dyDescent="0.2">
      <c r="A132" s="1">
        <v>46036</v>
      </c>
      <c r="B132">
        <v>16009</v>
      </c>
      <c r="D132">
        <v>1930</v>
      </c>
    </row>
    <row r="133" spans="1:4" x14ac:dyDescent="0.2">
      <c r="A133" s="1">
        <v>46036</v>
      </c>
      <c r="B133">
        <v>18001</v>
      </c>
      <c r="D133">
        <v>901</v>
      </c>
    </row>
    <row r="134" spans="1:4" x14ac:dyDescent="0.2">
      <c r="A134" s="1">
        <v>46036</v>
      </c>
      <c r="B134">
        <v>19082</v>
      </c>
      <c r="D134">
        <v>616</v>
      </c>
    </row>
    <row r="135" spans="1:4" x14ac:dyDescent="0.2">
      <c r="A135" s="1">
        <v>46036</v>
      </c>
      <c r="B135">
        <v>20013</v>
      </c>
      <c r="D135">
        <v>1051</v>
      </c>
    </row>
    <row r="136" spans="1:4" x14ac:dyDescent="0.2">
      <c r="A136" s="1">
        <v>46036</v>
      </c>
      <c r="B136">
        <v>20077</v>
      </c>
      <c r="D136">
        <v>652</v>
      </c>
    </row>
    <row r="137" spans="1:4" x14ac:dyDescent="0.2">
      <c r="A137" s="1">
        <v>46037</v>
      </c>
      <c r="B137">
        <v>1014</v>
      </c>
      <c r="D137">
        <v>1059</v>
      </c>
    </row>
    <row r="138" spans="1:4" x14ac:dyDescent="0.2">
      <c r="A138" s="1">
        <v>46037</v>
      </c>
      <c r="B138">
        <v>1083</v>
      </c>
      <c r="D138">
        <v>227</v>
      </c>
    </row>
    <row r="139" spans="1:4" x14ac:dyDescent="0.2">
      <c r="A139" s="1">
        <v>46037</v>
      </c>
      <c r="B139">
        <v>2053</v>
      </c>
      <c r="D139">
        <v>1051</v>
      </c>
    </row>
    <row r="140" spans="1:4" x14ac:dyDescent="0.2">
      <c r="A140" s="1">
        <v>46037</v>
      </c>
      <c r="B140">
        <v>4027</v>
      </c>
      <c r="D140">
        <v>683</v>
      </c>
    </row>
    <row r="141" spans="1:4" x14ac:dyDescent="0.2">
      <c r="A141" s="1">
        <v>46037</v>
      </c>
      <c r="B141">
        <v>5006</v>
      </c>
      <c r="D141">
        <v>317</v>
      </c>
    </row>
    <row r="142" spans="1:4" x14ac:dyDescent="0.2">
      <c r="A142" s="1">
        <v>46037</v>
      </c>
      <c r="B142">
        <v>7052</v>
      </c>
      <c r="D142">
        <v>368</v>
      </c>
    </row>
    <row r="143" spans="1:4" x14ac:dyDescent="0.2">
      <c r="A143" s="1">
        <v>46037</v>
      </c>
      <c r="B143">
        <v>15001</v>
      </c>
      <c r="D143">
        <v>1000</v>
      </c>
    </row>
    <row r="144" spans="1:4" x14ac:dyDescent="0.2">
      <c r="A144" s="1">
        <v>46037</v>
      </c>
      <c r="B144">
        <v>16014</v>
      </c>
      <c r="D144">
        <v>1196</v>
      </c>
    </row>
    <row r="145" spans="1:4" x14ac:dyDescent="0.2">
      <c r="A145" s="1">
        <v>46037</v>
      </c>
      <c r="B145">
        <v>16052</v>
      </c>
      <c r="D145">
        <v>883</v>
      </c>
    </row>
    <row r="146" spans="1:4" x14ac:dyDescent="0.2">
      <c r="A146" s="1">
        <v>46037</v>
      </c>
      <c r="B146">
        <v>18004</v>
      </c>
      <c r="D146">
        <v>500</v>
      </c>
    </row>
    <row r="147" spans="1:4" x14ac:dyDescent="0.2">
      <c r="A147" s="1">
        <v>46037</v>
      </c>
      <c r="B147">
        <v>18036</v>
      </c>
      <c r="D147">
        <v>1565</v>
      </c>
    </row>
    <row r="148" spans="1:4" x14ac:dyDescent="0.2">
      <c r="A148" s="1">
        <v>46037</v>
      </c>
      <c r="B148">
        <v>19039</v>
      </c>
      <c r="D148">
        <v>912</v>
      </c>
    </row>
    <row r="149" spans="1:4" x14ac:dyDescent="0.2">
      <c r="A149" s="1">
        <v>46037</v>
      </c>
      <c r="B149">
        <v>20089</v>
      </c>
      <c r="D149">
        <v>909</v>
      </c>
    </row>
    <row r="150" spans="1:4" x14ac:dyDescent="0.2">
      <c r="A150" s="1">
        <v>46038</v>
      </c>
      <c r="B150">
        <v>2016</v>
      </c>
      <c r="D150">
        <v>451</v>
      </c>
    </row>
    <row r="151" spans="1:4" x14ac:dyDescent="0.2">
      <c r="A151" s="1">
        <v>46038</v>
      </c>
      <c r="B151">
        <v>2017</v>
      </c>
      <c r="D151">
        <v>605</v>
      </c>
    </row>
    <row r="152" spans="1:4" x14ac:dyDescent="0.2">
      <c r="A152" s="1">
        <v>46038</v>
      </c>
      <c r="B152">
        <v>2045</v>
      </c>
      <c r="D152">
        <v>188</v>
      </c>
    </row>
    <row r="153" spans="1:4" x14ac:dyDescent="0.2">
      <c r="A153" s="1">
        <v>46038</v>
      </c>
      <c r="B153">
        <v>2073</v>
      </c>
      <c r="D153">
        <v>341</v>
      </c>
    </row>
    <row r="154" spans="1:4" x14ac:dyDescent="0.2">
      <c r="A154" s="1">
        <v>46038</v>
      </c>
      <c r="B154">
        <v>3021</v>
      </c>
      <c r="D154">
        <v>413</v>
      </c>
    </row>
    <row r="155" spans="1:4" x14ac:dyDescent="0.2">
      <c r="A155" s="1">
        <v>46038</v>
      </c>
      <c r="B155">
        <v>3028</v>
      </c>
      <c r="D155">
        <v>901</v>
      </c>
    </row>
    <row r="156" spans="1:4" x14ac:dyDescent="0.2">
      <c r="A156" s="1">
        <v>46038</v>
      </c>
      <c r="B156">
        <v>4010</v>
      </c>
      <c r="D156">
        <v>421</v>
      </c>
    </row>
    <row r="157" spans="1:4" x14ac:dyDescent="0.2">
      <c r="A157" s="1">
        <v>46038</v>
      </c>
      <c r="B157">
        <v>4029</v>
      </c>
      <c r="D157">
        <v>2004</v>
      </c>
    </row>
    <row r="158" spans="1:4" x14ac:dyDescent="0.2">
      <c r="A158" s="1">
        <v>46038</v>
      </c>
      <c r="B158">
        <v>5004</v>
      </c>
      <c r="D158">
        <v>561</v>
      </c>
    </row>
    <row r="159" spans="1:4" x14ac:dyDescent="0.2">
      <c r="A159" s="1">
        <v>46038</v>
      </c>
      <c r="B159">
        <v>7002</v>
      </c>
      <c r="D159">
        <v>439</v>
      </c>
    </row>
    <row r="160" spans="1:4" x14ac:dyDescent="0.2">
      <c r="A160" s="1">
        <v>46038</v>
      </c>
      <c r="B160">
        <v>15009</v>
      </c>
      <c r="D160">
        <v>500</v>
      </c>
    </row>
    <row r="161" spans="1:4" x14ac:dyDescent="0.2">
      <c r="A161" s="1">
        <v>46038</v>
      </c>
      <c r="B161">
        <v>15018</v>
      </c>
      <c r="D161">
        <v>470</v>
      </c>
    </row>
    <row r="162" spans="1:4" x14ac:dyDescent="0.2">
      <c r="A162" s="1">
        <v>46038</v>
      </c>
      <c r="B162">
        <v>15024</v>
      </c>
      <c r="D162">
        <v>479</v>
      </c>
    </row>
    <row r="163" spans="1:4" x14ac:dyDescent="0.2">
      <c r="A163" s="1">
        <v>46038</v>
      </c>
      <c r="B163">
        <v>15025</v>
      </c>
      <c r="D163">
        <v>606</v>
      </c>
    </row>
    <row r="164" spans="1:4" x14ac:dyDescent="0.2">
      <c r="A164" s="1">
        <v>46038</v>
      </c>
      <c r="B164">
        <v>15027</v>
      </c>
      <c r="D164">
        <v>292</v>
      </c>
    </row>
    <row r="165" spans="1:4" x14ac:dyDescent="0.2">
      <c r="A165" s="1">
        <v>46038</v>
      </c>
      <c r="B165">
        <v>15051</v>
      </c>
      <c r="D165">
        <v>511</v>
      </c>
    </row>
    <row r="166" spans="1:4" x14ac:dyDescent="0.2">
      <c r="A166" s="1">
        <v>46038</v>
      </c>
      <c r="B166">
        <v>18042</v>
      </c>
      <c r="D166">
        <v>836</v>
      </c>
    </row>
    <row r="167" spans="1:4" x14ac:dyDescent="0.2">
      <c r="A167" s="1">
        <v>46038</v>
      </c>
      <c r="B167">
        <v>19031</v>
      </c>
      <c r="D167">
        <v>626</v>
      </c>
    </row>
    <row r="168" spans="1:4" x14ac:dyDescent="0.2">
      <c r="A168" s="1">
        <v>46038</v>
      </c>
      <c r="B168">
        <v>19077</v>
      </c>
      <c r="D168">
        <v>800</v>
      </c>
    </row>
    <row r="169" spans="1:4" x14ac:dyDescent="0.2">
      <c r="A169" s="1">
        <v>46038</v>
      </c>
      <c r="B169">
        <v>20094</v>
      </c>
      <c r="D169">
        <v>1093</v>
      </c>
    </row>
    <row r="170" spans="1:4" x14ac:dyDescent="0.2">
      <c r="A170" s="1">
        <v>46039</v>
      </c>
      <c r="B170">
        <v>1013</v>
      </c>
      <c r="D170">
        <v>828</v>
      </c>
    </row>
    <row r="171" spans="1:4" x14ac:dyDescent="0.2">
      <c r="A171" s="1">
        <v>46039</v>
      </c>
      <c r="B171">
        <v>1057</v>
      </c>
      <c r="D171">
        <v>743</v>
      </c>
    </row>
    <row r="172" spans="1:4" x14ac:dyDescent="0.2">
      <c r="A172" s="1">
        <v>46039</v>
      </c>
      <c r="B172">
        <v>3064</v>
      </c>
      <c r="D172">
        <v>571</v>
      </c>
    </row>
    <row r="173" spans="1:4" x14ac:dyDescent="0.2">
      <c r="A173" s="1">
        <v>46039</v>
      </c>
      <c r="B173">
        <v>15021</v>
      </c>
      <c r="D173">
        <v>349</v>
      </c>
    </row>
    <row r="174" spans="1:4" x14ac:dyDescent="0.2">
      <c r="A174" s="1">
        <v>46039</v>
      </c>
      <c r="B174">
        <v>15028</v>
      </c>
      <c r="D174">
        <v>683</v>
      </c>
    </row>
    <row r="175" spans="1:4" x14ac:dyDescent="0.2">
      <c r="A175" s="1">
        <v>46039</v>
      </c>
      <c r="B175">
        <v>15033</v>
      </c>
      <c r="D175">
        <v>457</v>
      </c>
    </row>
    <row r="176" spans="1:4" x14ac:dyDescent="0.2">
      <c r="A176" s="1">
        <v>46039</v>
      </c>
      <c r="B176">
        <v>16027</v>
      </c>
      <c r="D176">
        <v>466</v>
      </c>
    </row>
    <row r="177" spans="1:4" x14ac:dyDescent="0.2">
      <c r="A177" s="1">
        <v>46039</v>
      </c>
      <c r="B177">
        <v>18003</v>
      </c>
      <c r="D177">
        <v>425</v>
      </c>
    </row>
    <row r="178" spans="1:4" x14ac:dyDescent="0.2">
      <c r="A178" s="1">
        <v>46039</v>
      </c>
      <c r="B178">
        <v>19035</v>
      </c>
      <c r="D178">
        <v>344</v>
      </c>
    </row>
    <row r="179" spans="1:4" x14ac:dyDescent="0.2">
      <c r="A179" s="1">
        <v>46039</v>
      </c>
      <c r="B179">
        <v>19110</v>
      </c>
      <c r="D179">
        <v>258</v>
      </c>
    </row>
    <row r="180" spans="1:4" x14ac:dyDescent="0.2">
      <c r="A180" s="1">
        <v>46039</v>
      </c>
      <c r="B180">
        <v>19123</v>
      </c>
      <c r="D180">
        <v>258</v>
      </c>
    </row>
    <row r="181" spans="1:4" x14ac:dyDescent="0.2">
      <c r="A181" s="1">
        <v>46040</v>
      </c>
      <c r="B181">
        <v>2023</v>
      </c>
      <c r="D181">
        <v>717</v>
      </c>
    </row>
    <row r="182" spans="1:4" x14ac:dyDescent="0.2">
      <c r="A182" s="1">
        <v>46040</v>
      </c>
      <c r="B182">
        <v>12009</v>
      </c>
      <c r="D182">
        <v>267</v>
      </c>
    </row>
    <row r="183" spans="1:4" x14ac:dyDescent="0.2">
      <c r="A183" s="1">
        <v>46040</v>
      </c>
      <c r="B183">
        <v>12050</v>
      </c>
      <c r="D183">
        <v>1007</v>
      </c>
    </row>
    <row r="184" spans="1:4" x14ac:dyDescent="0.2">
      <c r="A184" s="1">
        <v>46040</v>
      </c>
      <c r="B184">
        <v>13012</v>
      </c>
      <c r="D184">
        <v>828</v>
      </c>
    </row>
    <row r="185" spans="1:4" x14ac:dyDescent="0.2">
      <c r="A185" s="1">
        <v>46040</v>
      </c>
      <c r="B185">
        <v>16051</v>
      </c>
      <c r="D185">
        <v>1803</v>
      </c>
    </row>
    <row r="186" spans="1:4" x14ac:dyDescent="0.2">
      <c r="A186" s="1">
        <v>46040</v>
      </c>
      <c r="B186">
        <v>20090</v>
      </c>
      <c r="D186">
        <v>1064</v>
      </c>
    </row>
    <row r="187" spans="1:4" x14ac:dyDescent="0.2">
      <c r="A187" s="1">
        <v>46041</v>
      </c>
      <c r="B187">
        <v>1001</v>
      </c>
      <c r="D187">
        <v>710</v>
      </c>
    </row>
    <row r="188" spans="1:4" x14ac:dyDescent="0.2">
      <c r="A188" s="1">
        <v>46041</v>
      </c>
      <c r="B188">
        <v>7052</v>
      </c>
      <c r="D188">
        <v>368</v>
      </c>
    </row>
    <row r="189" spans="1:4" x14ac:dyDescent="0.2">
      <c r="A189" s="1">
        <v>46041</v>
      </c>
      <c r="B189">
        <v>8031</v>
      </c>
      <c r="D189">
        <v>1110</v>
      </c>
    </row>
    <row r="190" spans="1:4" x14ac:dyDescent="0.2">
      <c r="A190" s="1">
        <v>46041</v>
      </c>
      <c r="B190">
        <v>12048</v>
      </c>
      <c r="D190">
        <v>1027</v>
      </c>
    </row>
    <row r="191" spans="1:4" x14ac:dyDescent="0.2">
      <c r="A191" s="1">
        <v>46041</v>
      </c>
      <c r="B191">
        <v>13086</v>
      </c>
      <c r="D191">
        <v>259</v>
      </c>
    </row>
    <row r="192" spans="1:4" x14ac:dyDescent="0.2">
      <c r="A192" s="1">
        <v>46041</v>
      </c>
      <c r="B192">
        <v>15007</v>
      </c>
      <c r="D192">
        <v>1079</v>
      </c>
    </row>
    <row r="193" spans="1:4" x14ac:dyDescent="0.2">
      <c r="A193" s="1">
        <v>46041</v>
      </c>
      <c r="B193">
        <v>16006</v>
      </c>
      <c r="D193">
        <v>860</v>
      </c>
    </row>
    <row r="194" spans="1:4" x14ac:dyDescent="0.2">
      <c r="A194" s="1">
        <v>46041</v>
      </c>
      <c r="B194">
        <v>16015</v>
      </c>
      <c r="D194">
        <v>1851</v>
      </c>
    </row>
    <row r="195" spans="1:4" x14ac:dyDescent="0.2">
      <c r="A195" s="1">
        <v>46041</v>
      </c>
      <c r="B195">
        <v>19033</v>
      </c>
      <c r="D195">
        <v>339</v>
      </c>
    </row>
    <row r="196" spans="1:4" x14ac:dyDescent="0.2">
      <c r="A196" s="1">
        <v>46041</v>
      </c>
      <c r="B196">
        <v>20051</v>
      </c>
      <c r="D196">
        <v>291</v>
      </c>
    </row>
    <row r="197" spans="1:4" x14ac:dyDescent="0.2">
      <c r="A197" s="1">
        <v>46041</v>
      </c>
      <c r="B197">
        <v>20088</v>
      </c>
      <c r="D197">
        <v>983</v>
      </c>
    </row>
    <row r="198" spans="1:4" x14ac:dyDescent="0.2">
      <c r="A198" s="1">
        <v>46042</v>
      </c>
      <c r="B198">
        <v>1011</v>
      </c>
      <c r="D198">
        <v>1022</v>
      </c>
    </row>
    <row r="199" spans="1:4" x14ac:dyDescent="0.2">
      <c r="A199" s="1">
        <v>46042</v>
      </c>
      <c r="B199">
        <v>2021</v>
      </c>
      <c r="D199">
        <v>435</v>
      </c>
    </row>
    <row r="200" spans="1:4" x14ac:dyDescent="0.2">
      <c r="A200" s="1">
        <v>46042</v>
      </c>
      <c r="B200">
        <v>2067</v>
      </c>
      <c r="D200">
        <v>945</v>
      </c>
    </row>
    <row r="201" spans="1:4" x14ac:dyDescent="0.2">
      <c r="A201" s="1">
        <v>46042</v>
      </c>
      <c r="B201">
        <v>3046</v>
      </c>
      <c r="D201">
        <v>736</v>
      </c>
    </row>
    <row r="202" spans="1:4" x14ac:dyDescent="0.2">
      <c r="A202" s="1">
        <v>46042</v>
      </c>
      <c r="B202">
        <v>6077</v>
      </c>
      <c r="D202">
        <v>2079</v>
      </c>
    </row>
    <row r="203" spans="1:4" x14ac:dyDescent="0.2">
      <c r="A203" s="1">
        <v>46042</v>
      </c>
      <c r="B203">
        <v>6109</v>
      </c>
      <c r="D203">
        <v>433</v>
      </c>
    </row>
    <row r="204" spans="1:4" x14ac:dyDescent="0.2">
      <c r="A204" s="1">
        <v>46042</v>
      </c>
      <c r="B204">
        <v>13009</v>
      </c>
      <c r="D204">
        <v>820</v>
      </c>
    </row>
    <row r="205" spans="1:4" x14ac:dyDescent="0.2">
      <c r="A205" s="1">
        <v>46042</v>
      </c>
      <c r="B205">
        <v>13013</v>
      </c>
      <c r="D205">
        <v>859</v>
      </c>
    </row>
    <row r="206" spans="1:4" x14ac:dyDescent="0.2">
      <c r="A206" s="1">
        <v>46042</v>
      </c>
      <c r="B206">
        <v>15015</v>
      </c>
      <c r="D206">
        <v>324</v>
      </c>
    </row>
    <row r="207" spans="1:4" x14ac:dyDescent="0.2">
      <c r="A207" s="1">
        <v>46042</v>
      </c>
      <c r="B207">
        <v>16005</v>
      </c>
      <c r="D207">
        <v>655</v>
      </c>
    </row>
    <row r="208" spans="1:4" x14ac:dyDescent="0.2">
      <c r="A208" s="1">
        <v>46042</v>
      </c>
      <c r="B208">
        <v>16008</v>
      </c>
      <c r="D208">
        <v>787</v>
      </c>
    </row>
    <row r="209" spans="1:4" x14ac:dyDescent="0.2">
      <c r="A209" s="1">
        <v>46043</v>
      </c>
      <c r="B209">
        <v>1000</v>
      </c>
      <c r="D209">
        <v>781</v>
      </c>
    </row>
    <row r="210" spans="1:4" x14ac:dyDescent="0.2">
      <c r="A210" s="1">
        <v>46043</v>
      </c>
      <c r="B210">
        <v>1018</v>
      </c>
      <c r="D210">
        <v>833</v>
      </c>
    </row>
    <row r="211" spans="1:4" x14ac:dyDescent="0.2">
      <c r="A211" s="1">
        <v>46043</v>
      </c>
      <c r="B211">
        <v>1081</v>
      </c>
      <c r="D211">
        <v>364</v>
      </c>
    </row>
    <row r="212" spans="1:4" x14ac:dyDescent="0.2">
      <c r="A212" s="1">
        <v>46043</v>
      </c>
      <c r="B212">
        <v>4029</v>
      </c>
      <c r="D212">
        <v>1776</v>
      </c>
    </row>
    <row r="213" spans="1:4" x14ac:dyDescent="0.2">
      <c r="A213" s="1">
        <v>46043</v>
      </c>
      <c r="B213">
        <v>7053</v>
      </c>
      <c r="D213">
        <v>359</v>
      </c>
    </row>
    <row r="214" spans="1:4" x14ac:dyDescent="0.2">
      <c r="A214" s="1">
        <v>46043</v>
      </c>
      <c r="B214">
        <v>13011</v>
      </c>
      <c r="D214">
        <v>654</v>
      </c>
    </row>
    <row r="215" spans="1:4" x14ac:dyDescent="0.2">
      <c r="A215" s="1">
        <v>46043</v>
      </c>
      <c r="B215">
        <v>15035</v>
      </c>
      <c r="D215">
        <v>1438</v>
      </c>
    </row>
    <row r="216" spans="1:4" x14ac:dyDescent="0.2">
      <c r="A216" s="1">
        <v>46043</v>
      </c>
      <c r="B216">
        <v>18001</v>
      </c>
      <c r="D216">
        <v>593</v>
      </c>
    </row>
    <row r="217" spans="1:4" x14ac:dyDescent="0.2">
      <c r="A217" s="1">
        <v>46043</v>
      </c>
      <c r="B217">
        <v>20033</v>
      </c>
      <c r="D217">
        <v>1014</v>
      </c>
    </row>
    <row r="218" spans="1:4" x14ac:dyDescent="0.2">
      <c r="A218" s="1">
        <v>46043</v>
      </c>
      <c r="B218">
        <v>20081</v>
      </c>
      <c r="D218">
        <v>843</v>
      </c>
    </row>
    <row r="219" spans="1:4" x14ac:dyDescent="0.2">
      <c r="A219" s="1">
        <v>46044</v>
      </c>
      <c r="B219">
        <v>1054</v>
      </c>
      <c r="D219">
        <v>711</v>
      </c>
    </row>
    <row r="220" spans="1:4" x14ac:dyDescent="0.2">
      <c r="A220" s="1">
        <v>46044</v>
      </c>
      <c r="B220">
        <v>1063</v>
      </c>
      <c r="D220">
        <v>783</v>
      </c>
    </row>
    <row r="221" spans="1:4" x14ac:dyDescent="0.2">
      <c r="A221" s="1">
        <v>46044</v>
      </c>
      <c r="B221">
        <v>1083</v>
      </c>
      <c r="D221">
        <v>249</v>
      </c>
    </row>
    <row r="222" spans="1:4" x14ac:dyDescent="0.2">
      <c r="A222" s="1">
        <v>46044</v>
      </c>
      <c r="B222">
        <v>2016</v>
      </c>
      <c r="D222">
        <v>298</v>
      </c>
    </row>
    <row r="223" spans="1:4" x14ac:dyDescent="0.2">
      <c r="A223" s="1">
        <v>46044</v>
      </c>
      <c r="B223">
        <v>2017</v>
      </c>
      <c r="D223">
        <v>251</v>
      </c>
    </row>
    <row r="224" spans="1:4" x14ac:dyDescent="0.2">
      <c r="A224" s="1">
        <v>46044</v>
      </c>
      <c r="B224">
        <v>3056</v>
      </c>
      <c r="D224">
        <v>329</v>
      </c>
    </row>
    <row r="225" spans="1:4" x14ac:dyDescent="0.2">
      <c r="A225" s="1">
        <v>46044</v>
      </c>
      <c r="B225">
        <v>3065</v>
      </c>
      <c r="D225">
        <v>382</v>
      </c>
    </row>
    <row r="226" spans="1:4" x14ac:dyDescent="0.2">
      <c r="A226" s="1">
        <v>46044</v>
      </c>
      <c r="B226">
        <v>4037</v>
      </c>
      <c r="D226">
        <v>142</v>
      </c>
    </row>
    <row r="227" spans="1:4" x14ac:dyDescent="0.2">
      <c r="A227" s="1">
        <v>46044</v>
      </c>
      <c r="B227">
        <v>10001</v>
      </c>
      <c r="D227">
        <v>777</v>
      </c>
    </row>
    <row r="228" spans="1:4" x14ac:dyDescent="0.2">
      <c r="A228" s="1">
        <v>46044</v>
      </c>
      <c r="B228">
        <v>13014</v>
      </c>
      <c r="D228">
        <v>704</v>
      </c>
    </row>
    <row r="229" spans="1:4" x14ac:dyDescent="0.2">
      <c r="A229" s="1">
        <v>46044</v>
      </c>
      <c r="B229">
        <v>14009</v>
      </c>
      <c r="D229">
        <v>928</v>
      </c>
    </row>
    <row r="230" spans="1:4" x14ac:dyDescent="0.2">
      <c r="A230" s="1">
        <v>46044</v>
      </c>
      <c r="B230">
        <v>15000</v>
      </c>
      <c r="D230">
        <v>1038</v>
      </c>
    </row>
    <row r="231" spans="1:4" x14ac:dyDescent="0.2">
      <c r="A231" s="1">
        <v>46044</v>
      </c>
      <c r="B231">
        <v>15026</v>
      </c>
      <c r="D231">
        <v>479</v>
      </c>
    </row>
    <row r="232" spans="1:4" x14ac:dyDescent="0.2">
      <c r="A232" s="1">
        <v>46044</v>
      </c>
      <c r="B232">
        <v>15041</v>
      </c>
      <c r="D232">
        <v>444</v>
      </c>
    </row>
    <row r="233" spans="1:4" x14ac:dyDescent="0.2">
      <c r="A233" s="1">
        <v>46044</v>
      </c>
      <c r="B233">
        <v>18054</v>
      </c>
      <c r="D233">
        <v>1107</v>
      </c>
    </row>
    <row r="234" spans="1:4" x14ac:dyDescent="0.2">
      <c r="A234" s="1">
        <v>46044</v>
      </c>
      <c r="B234">
        <v>19080</v>
      </c>
      <c r="D234">
        <v>482</v>
      </c>
    </row>
    <row r="235" spans="1:4" x14ac:dyDescent="0.2">
      <c r="A235" s="1">
        <v>46044</v>
      </c>
      <c r="B235">
        <v>19089</v>
      </c>
      <c r="D235">
        <v>299</v>
      </c>
    </row>
    <row r="236" spans="1:4" x14ac:dyDescent="0.2">
      <c r="A236" s="1">
        <v>46045</v>
      </c>
      <c r="B236">
        <v>2038</v>
      </c>
      <c r="D236">
        <v>482</v>
      </c>
    </row>
    <row r="237" spans="1:4" x14ac:dyDescent="0.2">
      <c r="A237" s="1">
        <v>46045</v>
      </c>
      <c r="B237">
        <v>2073</v>
      </c>
      <c r="D237">
        <v>344</v>
      </c>
    </row>
    <row r="238" spans="1:4" x14ac:dyDescent="0.2">
      <c r="A238" s="1">
        <v>46045</v>
      </c>
      <c r="B238">
        <v>4009</v>
      </c>
      <c r="D238">
        <v>677</v>
      </c>
    </row>
    <row r="239" spans="1:4" x14ac:dyDescent="0.2">
      <c r="A239" s="1">
        <v>46045</v>
      </c>
      <c r="B239" t="s">
        <v>13</v>
      </c>
      <c r="D239">
        <v>490</v>
      </c>
    </row>
    <row r="240" spans="1:4" x14ac:dyDescent="0.2">
      <c r="A240" s="1">
        <v>46045</v>
      </c>
      <c r="B240">
        <v>6101</v>
      </c>
      <c r="D240">
        <v>641</v>
      </c>
    </row>
    <row r="241" spans="1:4" x14ac:dyDescent="0.2">
      <c r="A241" s="1">
        <v>46045</v>
      </c>
      <c r="B241">
        <v>8034</v>
      </c>
      <c r="D241">
        <v>609</v>
      </c>
    </row>
    <row r="242" spans="1:4" x14ac:dyDescent="0.2">
      <c r="A242" s="1">
        <v>46045</v>
      </c>
      <c r="B242">
        <v>12025</v>
      </c>
      <c r="D242">
        <v>381</v>
      </c>
    </row>
    <row r="243" spans="1:4" x14ac:dyDescent="0.2">
      <c r="A243" s="1">
        <v>46045</v>
      </c>
      <c r="B243">
        <v>13015</v>
      </c>
      <c r="D243">
        <v>946</v>
      </c>
    </row>
    <row r="244" spans="1:4" x14ac:dyDescent="0.2">
      <c r="A244" s="1">
        <v>46045</v>
      </c>
      <c r="B244">
        <v>13061</v>
      </c>
      <c r="D244">
        <v>340</v>
      </c>
    </row>
    <row r="245" spans="1:4" x14ac:dyDescent="0.2">
      <c r="A245" s="1">
        <v>46045</v>
      </c>
      <c r="B245">
        <v>13069</v>
      </c>
      <c r="D245">
        <v>958</v>
      </c>
    </row>
    <row r="246" spans="1:4" x14ac:dyDescent="0.2">
      <c r="A246" s="1">
        <v>46045</v>
      </c>
      <c r="B246">
        <v>15016</v>
      </c>
      <c r="D246">
        <v>318</v>
      </c>
    </row>
    <row r="247" spans="1:4" x14ac:dyDescent="0.2">
      <c r="A247" s="1">
        <v>46045</v>
      </c>
      <c r="B247">
        <v>16007</v>
      </c>
      <c r="D247">
        <v>494</v>
      </c>
    </row>
    <row r="248" spans="1:4" x14ac:dyDescent="0.2">
      <c r="A248" s="1">
        <v>46045</v>
      </c>
      <c r="B248">
        <v>16009</v>
      </c>
      <c r="D248">
        <v>1484</v>
      </c>
    </row>
    <row r="249" spans="1:4" x14ac:dyDescent="0.2">
      <c r="A249" s="1">
        <v>46045</v>
      </c>
      <c r="B249">
        <v>16019</v>
      </c>
      <c r="D249">
        <v>779</v>
      </c>
    </row>
    <row r="250" spans="1:4" x14ac:dyDescent="0.2">
      <c r="A250" s="1">
        <v>46045</v>
      </c>
      <c r="B250">
        <v>18003</v>
      </c>
      <c r="D250">
        <v>387</v>
      </c>
    </row>
    <row r="251" spans="1:4" x14ac:dyDescent="0.2">
      <c r="A251" s="1">
        <v>46045</v>
      </c>
      <c r="B251">
        <v>18031</v>
      </c>
      <c r="D251">
        <v>421</v>
      </c>
    </row>
    <row r="252" spans="1:4" x14ac:dyDescent="0.2">
      <c r="A252" s="1">
        <v>46045</v>
      </c>
      <c r="B252">
        <v>19035</v>
      </c>
      <c r="D252">
        <v>138</v>
      </c>
    </row>
    <row r="253" spans="1:4" x14ac:dyDescent="0.2">
      <c r="A253" s="1">
        <v>46045</v>
      </c>
      <c r="B253">
        <v>19081</v>
      </c>
      <c r="D253">
        <v>403</v>
      </c>
    </row>
    <row r="254" spans="1:4" x14ac:dyDescent="0.2">
      <c r="A254" s="1">
        <v>46045</v>
      </c>
      <c r="B254">
        <v>19110</v>
      </c>
      <c r="D254">
        <v>330</v>
      </c>
    </row>
    <row r="255" spans="1:4" x14ac:dyDescent="0.2">
      <c r="A255" s="1">
        <v>46045</v>
      </c>
      <c r="B255">
        <v>19123</v>
      </c>
      <c r="D255">
        <v>330</v>
      </c>
    </row>
    <row r="256" spans="1:4" x14ac:dyDescent="0.2">
      <c r="A256" s="1">
        <v>46045</v>
      </c>
      <c r="B256">
        <v>20093</v>
      </c>
      <c r="D256">
        <v>1092</v>
      </c>
    </row>
    <row r="257" spans="1:4" x14ac:dyDescent="0.2">
      <c r="A257" s="1">
        <v>46046</v>
      </c>
      <c r="B257">
        <v>2023</v>
      </c>
      <c r="D257">
        <v>549</v>
      </c>
    </row>
    <row r="258" spans="1:4" x14ac:dyDescent="0.2">
      <c r="A258" s="1">
        <v>46046</v>
      </c>
      <c r="B258">
        <v>8031</v>
      </c>
      <c r="D258">
        <v>884</v>
      </c>
    </row>
    <row r="259" spans="1:4" x14ac:dyDescent="0.2">
      <c r="A259" s="1">
        <v>46046</v>
      </c>
      <c r="B259">
        <v>11005</v>
      </c>
      <c r="D259">
        <v>690</v>
      </c>
    </row>
    <row r="260" spans="1:4" x14ac:dyDescent="0.2">
      <c r="A260" s="1">
        <v>46046</v>
      </c>
      <c r="B260">
        <v>12021</v>
      </c>
      <c r="D260">
        <v>296</v>
      </c>
    </row>
    <row r="261" spans="1:4" x14ac:dyDescent="0.2">
      <c r="A261" s="1">
        <v>46046</v>
      </c>
      <c r="B261">
        <v>15005</v>
      </c>
      <c r="D261">
        <v>490</v>
      </c>
    </row>
    <row r="262" spans="1:4" x14ac:dyDescent="0.2">
      <c r="A262" s="1">
        <v>46046</v>
      </c>
      <c r="B262">
        <v>15032</v>
      </c>
      <c r="D262">
        <v>602</v>
      </c>
    </row>
    <row r="263" spans="1:4" x14ac:dyDescent="0.2">
      <c r="A263" s="1">
        <v>46046</v>
      </c>
      <c r="B263">
        <v>16004</v>
      </c>
      <c r="D263">
        <v>756</v>
      </c>
    </row>
    <row r="264" spans="1:4" x14ac:dyDescent="0.2">
      <c r="A264" s="1">
        <v>46046</v>
      </c>
      <c r="B264">
        <v>16010</v>
      </c>
      <c r="D264">
        <v>1679</v>
      </c>
    </row>
    <row r="265" spans="1:4" x14ac:dyDescent="0.2">
      <c r="A265" s="1">
        <v>46046</v>
      </c>
      <c r="B265">
        <v>18051</v>
      </c>
      <c r="D265">
        <v>955</v>
      </c>
    </row>
    <row r="266" spans="1:4" x14ac:dyDescent="0.2">
      <c r="A266" s="1">
        <v>46046</v>
      </c>
      <c r="B266">
        <v>19077</v>
      </c>
      <c r="D266">
        <v>1013</v>
      </c>
    </row>
    <row r="267" spans="1:4" x14ac:dyDescent="0.2">
      <c r="A267" s="1">
        <v>46046</v>
      </c>
      <c r="B267">
        <v>20091</v>
      </c>
      <c r="D267">
        <v>1127</v>
      </c>
    </row>
    <row r="268" spans="1:4" x14ac:dyDescent="0.2">
      <c r="A268" s="1">
        <v>46046</v>
      </c>
      <c r="B268">
        <v>20095</v>
      </c>
      <c r="D268">
        <v>849</v>
      </c>
    </row>
    <row r="269" spans="1:4" x14ac:dyDescent="0.2">
      <c r="A269" s="1">
        <v>46046</v>
      </c>
      <c r="B269">
        <v>20098</v>
      </c>
      <c r="D269">
        <v>776</v>
      </c>
    </row>
    <row r="270" spans="1:4" x14ac:dyDescent="0.2">
      <c r="A270" s="1">
        <v>46047</v>
      </c>
      <c r="B270">
        <v>1014</v>
      </c>
      <c r="D270">
        <v>636</v>
      </c>
    </row>
    <row r="271" spans="1:4" x14ac:dyDescent="0.2">
      <c r="A271" s="1">
        <v>46047</v>
      </c>
      <c r="B271">
        <v>2045</v>
      </c>
      <c r="D271">
        <v>273</v>
      </c>
    </row>
    <row r="272" spans="1:4" x14ac:dyDescent="0.2">
      <c r="A272" s="1">
        <v>46047</v>
      </c>
      <c r="B272">
        <v>5006</v>
      </c>
      <c r="D272">
        <v>406</v>
      </c>
    </row>
    <row r="273" spans="1:4" x14ac:dyDescent="0.2">
      <c r="A273" s="1">
        <v>46047</v>
      </c>
      <c r="B273">
        <v>7002</v>
      </c>
      <c r="D273">
        <v>446</v>
      </c>
    </row>
    <row r="274" spans="1:4" x14ac:dyDescent="0.2">
      <c r="A274" s="1">
        <v>46047</v>
      </c>
      <c r="B274">
        <v>13057</v>
      </c>
      <c r="D274">
        <v>540</v>
      </c>
    </row>
    <row r="275" spans="1:4" x14ac:dyDescent="0.2">
      <c r="A275" s="1">
        <v>46047</v>
      </c>
      <c r="B275">
        <v>15009</v>
      </c>
      <c r="D275">
        <v>253</v>
      </c>
    </row>
    <row r="276" spans="1:4" x14ac:dyDescent="0.2">
      <c r="A276" s="1">
        <v>46047</v>
      </c>
      <c r="B276">
        <v>15020</v>
      </c>
      <c r="D276">
        <v>180</v>
      </c>
    </row>
    <row r="277" spans="1:4" x14ac:dyDescent="0.2">
      <c r="A277" s="1">
        <v>46047</v>
      </c>
      <c r="B277">
        <v>15024</v>
      </c>
      <c r="D277">
        <v>173</v>
      </c>
    </row>
    <row r="278" spans="1:4" x14ac:dyDescent="0.2">
      <c r="A278" s="1">
        <v>46047</v>
      </c>
      <c r="B278">
        <v>15051</v>
      </c>
      <c r="D278">
        <v>250</v>
      </c>
    </row>
    <row r="279" spans="1:4" x14ac:dyDescent="0.2">
      <c r="A279" s="1">
        <v>46047</v>
      </c>
      <c r="B279">
        <v>16003</v>
      </c>
      <c r="D279">
        <v>836</v>
      </c>
    </row>
    <row r="280" spans="1:4" x14ac:dyDescent="0.2">
      <c r="A280" s="1">
        <v>46047</v>
      </c>
      <c r="B280">
        <v>18004</v>
      </c>
      <c r="D280">
        <v>650</v>
      </c>
    </row>
    <row r="281" spans="1:4" x14ac:dyDescent="0.2">
      <c r="A281" s="1">
        <v>46048</v>
      </c>
      <c r="B281">
        <v>1013</v>
      </c>
      <c r="D281">
        <v>597</v>
      </c>
    </row>
    <row r="282" spans="1:4" x14ac:dyDescent="0.2">
      <c r="A282" s="1">
        <v>46048</v>
      </c>
      <c r="B282">
        <v>3021</v>
      </c>
      <c r="D282">
        <v>288</v>
      </c>
    </row>
    <row r="283" spans="1:4" x14ac:dyDescent="0.2">
      <c r="A283" s="1">
        <v>46048</v>
      </c>
      <c r="B283">
        <v>13013</v>
      </c>
      <c r="D283">
        <v>797</v>
      </c>
    </row>
    <row r="284" spans="1:4" x14ac:dyDescent="0.2">
      <c r="A284" s="1">
        <v>46048</v>
      </c>
      <c r="B284">
        <v>16005</v>
      </c>
      <c r="D284">
        <v>588</v>
      </c>
    </row>
    <row r="285" spans="1:4" x14ac:dyDescent="0.2">
      <c r="A285" s="1">
        <v>46048</v>
      </c>
      <c r="B285">
        <v>16008</v>
      </c>
      <c r="D285">
        <v>753</v>
      </c>
    </row>
    <row r="286" spans="1:4" x14ac:dyDescent="0.2">
      <c r="A286" s="1">
        <v>46048</v>
      </c>
      <c r="B286">
        <v>16014</v>
      </c>
      <c r="D286">
        <v>904</v>
      </c>
    </row>
    <row r="287" spans="1:4" x14ac:dyDescent="0.2">
      <c r="A287" s="1">
        <v>46048</v>
      </c>
      <c r="B287">
        <v>19033</v>
      </c>
      <c r="D287">
        <v>287</v>
      </c>
    </row>
    <row r="288" spans="1:4" x14ac:dyDescent="0.2">
      <c r="A288" s="1">
        <v>46048</v>
      </c>
      <c r="B288">
        <v>19082</v>
      </c>
      <c r="D288">
        <v>429</v>
      </c>
    </row>
    <row r="289" spans="1:4" x14ac:dyDescent="0.2">
      <c r="A289" s="1">
        <v>46048</v>
      </c>
      <c r="B289">
        <v>19107</v>
      </c>
      <c r="D289">
        <v>365</v>
      </c>
    </row>
    <row r="290" spans="1:4" x14ac:dyDescent="0.2">
      <c r="A290" s="1">
        <v>46048</v>
      </c>
      <c r="B290">
        <v>20051</v>
      </c>
      <c r="D290">
        <v>278</v>
      </c>
    </row>
    <row r="291" spans="1:4" x14ac:dyDescent="0.2">
      <c r="A291" s="1">
        <v>46049</v>
      </c>
      <c r="B291">
        <v>1001</v>
      </c>
      <c r="D291">
        <v>510</v>
      </c>
    </row>
    <row r="292" spans="1:4" x14ac:dyDescent="0.2">
      <c r="A292" s="1">
        <v>46049</v>
      </c>
      <c r="B292">
        <v>4038</v>
      </c>
      <c r="D292">
        <v>860</v>
      </c>
    </row>
    <row r="293" spans="1:4" x14ac:dyDescent="0.2">
      <c r="A293" s="1">
        <v>46049</v>
      </c>
      <c r="B293">
        <v>6109</v>
      </c>
      <c r="D293">
        <v>510</v>
      </c>
    </row>
    <row r="294" spans="1:4" x14ac:dyDescent="0.2">
      <c r="A294" s="1">
        <v>46049</v>
      </c>
      <c r="B294">
        <v>11013</v>
      </c>
      <c r="D294">
        <v>1017</v>
      </c>
    </row>
    <row r="295" spans="1:4" x14ac:dyDescent="0.2">
      <c r="A295" s="1">
        <v>46049</v>
      </c>
      <c r="B295">
        <v>12051</v>
      </c>
      <c r="D295">
        <v>952</v>
      </c>
    </row>
    <row r="296" spans="1:4" x14ac:dyDescent="0.2">
      <c r="A296" s="1">
        <v>46049</v>
      </c>
      <c r="B296">
        <v>13009</v>
      </c>
      <c r="D296">
        <v>937</v>
      </c>
    </row>
    <row r="297" spans="1:4" x14ac:dyDescent="0.2">
      <c r="A297" s="1">
        <v>46049</v>
      </c>
      <c r="B297">
        <v>14008</v>
      </c>
      <c r="D297">
        <v>1400</v>
      </c>
    </row>
    <row r="298" spans="1:4" x14ac:dyDescent="0.2">
      <c r="A298" s="1">
        <v>46049</v>
      </c>
      <c r="B298">
        <v>15001</v>
      </c>
      <c r="D298">
        <v>1061</v>
      </c>
    </row>
    <row r="299" spans="1:4" x14ac:dyDescent="0.2">
      <c r="A299" s="1">
        <v>46049</v>
      </c>
      <c r="B299">
        <v>15002</v>
      </c>
      <c r="D299">
        <v>373</v>
      </c>
    </row>
    <row r="300" spans="1:4" x14ac:dyDescent="0.2">
      <c r="A300" s="1">
        <v>46049</v>
      </c>
      <c r="B300">
        <v>19110</v>
      </c>
      <c r="D300">
        <v>1252</v>
      </c>
    </row>
    <row r="301" spans="1:4" x14ac:dyDescent="0.2">
      <c r="A301" s="1">
        <v>46050</v>
      </c>
      <c r="B301">
        <v>1081</v>
      </c>
      <c r="D301">
        <v>311</v>
      </c>
    </row>
    <row r="302" spans="1:4" x14ac:dyDescent="0.2">
      <c r="A302" s="1">
        <v>46050</v>
      </c>
      <c r="B302">
        <v>4029</v>
      </c>
      <c r="D302">
        <v>2004</v>
      </c>
    </row>
    <row r="303" spans="1:4" x14ac:dyDescent="0.2">
      <c r="A303" s="1">
        <v>46050</v>
      </c>
      <c r="B303">
        <v>7001</v>
      </c>
      <c r="D303">
        <v>1252</v>
      </c>
    </row>
    <row r="304" spans="1:4" x14ac:dyDescent="0.2">
      <c r="A304" s="1">
        <v>46050</v>
      </c>
      <c r="B304">
        <v>7052</v>
      </c>
      <c r="D304">
        <v>348</v>
      </c>
    </row>
    <row r="305" spans="1:4" x14ac:dyDescent="0.2">
      <c r="A305" s="1">
        <v>46050</v>
      </c>
      <c r="B305">
        <v>10011</v>
      </c>
      <c r="D305">
        <v>300</v>
      </c>
    </row>
    <row r="306" spans="1:4" x14ac:dyDescent="0.2">
      <c r="A306" s="1">
        <v>46050</v>
      </c>
      <c r="B306">
        <v>13012</v>
      </c>
      <c r="D306">
        <v>711</v>
      </c>
    </row>
    <row r="307" spans="1:4" x14ac:dyDescent="0.2">
      <c r="A307" s="1">
        <v>46050</v>
      </c>
      <c r="B307">
        <v>15023</v>
      </c>
      <c r="D307">
        <v>336</v>
      </c>
    </row>
    <row r="308" spans="1:4" x14ac:dyDescent="0.2">
      <c r="A308" s="1">
        <v>46050</v>
      </c>
      <c r="B308">
        <v>19022</v>
      </c>
      <c r="D308">
        <v>851</v>
      </c>
    </row>
    <row r="309" spans="1:4" x14ac:dyDescent="0.2">
      <c r="A309" s="1">
        <v>46050</v>
      </c>
      <c r="B309">
        <v>20014</v>
      </c>
      <c r="D309">
        <v>904</v>
      </c>
    </row>
    <row r="310" spans="1:4" x14ac:dyDescent="0.2">
      <c r="A310" s="1">
        <v>46051</v>
      </c>
      <c r="B310">
        <v>1083</v>
      </c>
      <c r="D310">
        <v>310</v>
      </c>
    </row>
    <row r="311" spans="1:4" x14ac:dyDescent="0.2">
      <c r="A311" s="1">
        <v>46051</v>
      </c>
      <c r="B311">
        <v>2017</v>
      </c>
      <c r="D311">
        <v>428</v>
      </c>
    </row>
    <row r="312" spans="1:4" x14ac:dyDescent="0.2">
      <c r="A312" s="1">
        <v>46051</v>
      </c>
      <c r="B312">
        <v>2053</v>
      </c>
      <c r="D312">
        <v>901</v>
      </c>
    </row>
    <row r="313" spans="1:4" x14ac:dyDescent="0.2">
      <c r="A313" s="1">
        <v>46051</v>
      </c>
      <c r="B313">
        <v>2067</v>
      </c>
      <c r="D313">
        <v>723</v>
      </c>
    </row>
    <row r="314" spans="1:4" x14ac:dyDescent="0.2">
      <c r="A314" s="1">
        <v>46051</v>
      </c>
      <c r="B314">
        <v>2078</v>
      </c>
      <c r="D314">
        <v>318</v>
      </c>
    </row>
    <row r="315" spans="1:4" x14ac:dyDescent="0.2">
      <c r="A315" s="1">
        <v>46051</v>
      </c>
      <c r="B315">
        <v>4010</v>
      </c>
      <c r="D315">
        <v>457</v>
      </c>
    </row>
    <row r="316" spans="1:4" x14ac:dyDescent="0.2">
      <c r="A316" s="1">
        <v>46051</v>
      </c>
      <c r="B316">
        <v>5018</v>
      </c>
      <c r="D316">
        <v>170</v>
      </c>
    </row>
    <row r="317" spans="1:4" x14ac:dyDescent="0.2">
      <c r="A317" s="1">
        <v>46051</v>
      </c>
      <c r="B317">
        <v>7053</v>
      </c>
      <c r="D317">
        <v>251</v>
      </c>
    </row>
    <row r="318" spans="1:4" x14ac:dyDescent="0.2">
      <c r="A318" s="1">
        <v>46051</v>
      </c>
      <c r="B318">
        <v>8031</v>
      </c>
      <c r="D318">
        <v>788</v>
      </c>
    </row>
    <row r="319" spans="1:4" x14ac:dyDescent="0.2">
      <c r="A319" s="1">
        <v>46051</v>
      </c>
      <c r="B319">
        <v>8034</v>
      </c>
      <c r="D319">
        <v>399</v>
      </c>
    </row>
    <row r="320" spans="1:4" x14ac:dyDescent="0.2">
      <c r="A320" s="1">
        <v>46051</v>
      </c>
      <c r="B320">
        <v>15003</v>
      </c>
      <c r="D320">
        <v>773</v>
      </c>
    </row>
    <row r="321" spans="1:4" x14ac:dyDescent="0.2">
      <c r="A321" s="1">
        <v>46051</v>
      </c>
      <c r="B321">
        <v>16006</v>
      </c>
      <c r="D321">
        <v>700</v>
      </c>
    </row>
    <row r="322" spans="1:4" x14ac:dyDescent="0.2">
      <c r="A322" s="1">
        <v>46051</v>
      </c>
      <c r="B322">
        <v>16015</v>
      </c>
      <c r="D322">
        <v>1391</v>
      </c>
    </row>
    <row r="323" spans="1:4" x14ac:dyDescent="0.2">
      <c r="A323" s="1">
        <v>46051</v>
      </c>
      <c r="B323">
        <v>19119</v>
      </c>
      <c r="D323">
        <v>379</v>
      </c>
    </row>
    <row r="324" spans="1:4" x14ac:dyDescent="0.2">
      <c r="A324" s="1">
        <v>46051</v>
      </c>
      <c r="B324">
        <v>20021</v>
      </c>
      <c r="D324">
        <v>520</v>
      </c>
    </row>
    <row r="325" spans="1:4" x14ac:dyDescent="0.2">
      <c r="A325" s="1">
        <v>46051</v>
      </c>
      <c r="B325">
        <v>20092</v>
      </c>
      <c r="D325">
        <v>1079</v>
      </c>
    </row>
    <row r="326" spans="1:4" x14ac:dyDescent="0.2">
      <c r="A326" s="1">
        <v>46051</v>
      </c>
      <c r="B326">
        <v>20097</v>
      </c>
      <c r="D326">
        <v>957</v>
      </c>
    </row>
    <row r="327" spans="1:4" x14ac:dyDescent="0.2">
      <c r="A327" s="1">
        <v>46051</v>
      </c>
      <c r="B327">
        <v>21001</v>
      </c>
      <c r="D327">
        <v>1200</v>
      </c>
    </row>
    <row r="328" spans="1:4" x14ac:dyDescent="0.2">
      <c r="A328" s="1">
        <v>46052</v>
      </c>
      <c r="B328">
        <v>1000</v>
      </c>
      <c r="D328">
        <v>623</v>
      </c>
    </row>
    <row r="329" spans="1:4" x14ac:dyDescent="0.2">
      <c r="A329" s="1">
        <v>46052</v>
      </c>
      <c r="B329">
        <v>1018</v>
      </c>
      <c r="D329">
        <v>859</v>
      </c>
    </row>
    <row r="330" spans="1:4" x14ac:dyDescent="0.2">
      <c r="A330" s="1">
        <v>46052</v>
      </c>
      <c r="B330">
        <v>1054</v>
      </c>
      <c r="D330">
        <v>314</v>
      </c>
    </row>
    <row r="331" spans="1:4" x14ac:dyDescent="0.2">
      <c r="A331" s="1">
        <v>46052</v>
      </c>
      <c r="B331">
        <v>2016</v>
      </c>
      <c r="D331">
        <v>489</v>
      </c>
    </row>
    <row r="332" spans="1:4" x14ac:dyDescent="0.2">
      <c r="A332" s="1">
        <v>46052</v>
      </c>
      <c r="B332">
        <v>2023</v>
      </c>
      <c r="D332">
        <v>812</v>
      </c>
    </row>
    <row r="333" spans="1:4" x14ac:dyDescent="0.2">
      <c r="A333" s="1">
        <v>46052</v>
      </c>
      <c r="B333">
        <v>2073</v>
      </c>
      <c r="D333">
        <v>279</v>
      </c>
    </row>
    <row r="334" spans="1:4" x14ac:dyDescent="0.2">
      <c r="A334" s="1">
        <v>46052</v>
      </c>
      <c r="B334">
        <v>4025</v>
      </c>
      <c r="D334">
        <v>851</v>
      </c>
    </row>
    <row r="335" spans="1:4" x14ac:dyDescent="0.2">
      <c r="A335" s="1">
        <v>46052</v>
      </c>
      <c r="B335">
        <v>8005</v>
      </c>
      <c r="D335">
        <v>548</v>
      </c>
    </row>
    <row r="336" spans="1:4" x14ac:dyDescent="0.2">
      <c r="A336" s="1">
        <v>46052</v>
      </c>
      <c r="B336">
        <v>15015</v>
      </c>
      <c r="D336">
        <v>309</v>
      </c>
    </row>
    <row r="337" spans="1:4" x14ac:dyDescent="0.2">
      <c r="A337" s="1">
        <v>46052</v>
      </c>
      <c r="B337">
        <v>15018</v>
      </c>
      <c r="D337">
        <v>447</v>
      </c>
    </row>
    <row r="338" spans="1:4" x14ac:dyDescent="0.2">
      <c r="A338" s="1">
        <v>46052</v>
      </c>
      <c r="B338">
        <v>15035</v>
      </c>
      <c r="D338">
        <v>1197</v>
      </c>
    </row>
    <row r="339" spans="1:4" x14ac:dyDescent="0.2">
      <c r="A339" s="1">
        <v>46052</v>
      </c>
      <c r="B339">
        <v>16018</v>
      </c>
      <c r="D339">
        <v>736</v>
      </c>
    </row>
    <row r="340" spans="1:4" x14ac:dyDescent="0.2">
      <c r="A340" s="1">
        <v>46052</v>
      </c>
      <c r="B340">
        <v>19031</v>
      </c>
      <c r="D340">
        <v>641</v>
      </c>
    </row>
    <row r="341" spans="1:4" x14ac:dyDescent="0.2">
      <c r="A341" s="1">
        <v>46052</v>
      </c>
      <c r="B341">
        <v>19035</v>
      </c>
      <c r="D341">
        <v>244</v>
      </c>
    </row>
    <row r="342" spans="1:4" x14ac:dyDescent="0.2">
      <c r="A342" s="1">
        <v>46052</v>
      </c>
      <c r="B342">
        <v>19039</v>
      </c>
      <c r="D342">
        <v>632</v>
      </c>
    </row>
    <row r="343" spans="1:4" x14ac:dyDescent="0.2">
      <c r="A343" s="1">
        <v>46052</v>
      </c>
      <c r="B343">
        <v>20077</v>
      </c>
      <c r="D343">
        <v>518</v>
      </c>
    </row>
    <row r="344" spans="1:4" x14ac:dyDescent="0.2">
      <c r="A344" s="1">
        <v>46052</v>
      </c>
      <c r="B344">
        <v>22006</v>
      </c>
      <c r="D344">
        <v>555</v>
      </c>
    </row>
    <row r="345" spans="1:4" x14ac:dyDescent="0.2">
      <c r="A345" s="1">
        <v>46053</v>
      </c>
      <c r="B345">
        <v>1057</v>
      </c>
      <c r="D345">
        <v>773</v>
      </c>
    </row>
    <row r="346" spans="1:4" x14ac:dyDescent="0.2">
      <c r="A346" s="1">
        <v>46053</v>
      </c>
      <c r="B346">
        <v>6101</v>
      </c>
      <c r="D346">
        <v>534</v>
      </c>
    </row>
    <row r="347" spans="1:4" x14ac:dyDescent="0.2">
      <c r="A347" s="1">
        <v>46053</v>
      </c>
      <c r="B347">
        <v>12055</v>
      </c>
      <c r="D347">
        <v>844</v>
      </c>
    </row>
    <row r="348" spans="1:4" x14ac:dyDescent="0.2">
      <c r="A348" s="1">
        <v>46053</v>
      </c>
      <c r="B348">
        <v>13015</v>
      </c>
      <c r="D348">
        <v>698</v>
      </c>
    </row>
    <row r="349" spans="1:4" x14ac:dyDescent="0.2">
      <c r="A349" s="1">
        <v>46053</v>
      </c>
      <c r="B349">
        <v>15021</v>
      </c>
      <c r="D349">
        <v>338</v>
      </c>
    </row>
    <row r="350" spans="1:4" x14ac:dyDescent="0.2">
      <c r="A350" s="1">
        <v>46053</v>
      </c>
      <c r="B350">
        <v>15028</v>
      </c>
      <c r="D350">
        <v>580</v>
      </c>
    </row>
    <row r="351" spans="1:4" x14ac:dyDescent="0.2">
      <c r="A351" s="1">
        <v>46053</v>
      </c>
      <c r="B351">
        <v>15033</v>
      </c>
      <c r="D351">
        <v>453</v>
      </c>
    </row>
    <row r="352" spans="1:4" x14ac:dyDescent="0.2">
      <c r="A352" s="1">
        <v>46053</v>
      </c>
      <c r="B352">
        <v>16027</v>
      </c>
      <c r="D352">
        <v>502</v>
      </c>
    </row>
    <row r="353" spans="1:4" x14ac:dyDescent="0.2">
      <c r="A353" s="1">
        <v>46053</v>
      </c>
      <c r="B353">
        <v>16051</v>
      </c>
      <c r="D353">
        <v>1228</v>
      </c>
    </row>
    <row r="354" spans="1:4" x14ac:dyDescent="0.2">
      <c r="A354" s="1">
        <v>46053</v>
      </c>
      <c r="B354">
        <v>18001</v>
      </c>
      <c r="D354">
        <v>829</v>
      </c>
    </row>
    <row r="355" spans="1:4" x14ac:dyDescent="0.2">
      <c r="A355" s="1">
        <v>46053</v>
      </c>
      <c r="B355">
        <v>20094</v>
      </c>
      <c r="D355">
        <v>968</v>
      </c>
    </row>
    <row r="356" spans="1:4" x14ac:dyDescent="0.2">
      <c r="A356" s="1">
        <v>46054</v>
      </c>
      <c r="B356">
        <v>2038</v>
      </c>
      <c r="D356">
        <v>414</v>
      </c>
    </row>
    <row r="357" spans="1:4" x14ac:dyDescent="0.2">
      <c r="A357" s="1">
        <v>46054</v>
      </c>
      <c r="B357">
        <v>2045</v>
      </c>
      <c r="D357">
        <v>229</v>
      </c>
    </row>
    <row r="358" spans="1:4" x14ac:dyDescent="0.2">
      <c r="A358" s="1">
        <v>46054</v>
      </c>
      <c r="B358">
        <v>4026</v>
      </c>
      <c r="D358">
        <v>371</v>
      </c>
    </row>
    <row r="359" spans="1:4" x14ac:dyDescent="0.2">
      <c r="A359" s="1">
        <v>46054</v>
      </c>
      <c r="B359">
        <v>5006</v>
      </c>
      <c r="D359">
        <v>255</v>
      </c>
    </row>
    <row r="360" spans="1:4" x14ac:dyDescent="0.2">
      <c r="A360" s="1">
        <v>46054</v>
      </c>
      <c r="B360">
        <v>10001</v>
      </c>
      <c r="D360">
        <v>815</v>
      </c>
    </row>
    <row r="361" spans="1:4" x14ac:dyDescent="0.2">
      <c r="A361" s="1">
        <v>46054</v>
      </c>
      <c r="B361">
        <v>12047</v>
      </c>
      <c r="D361">
        <v>584</v>
      </c>
    </row>
    <row r="362" spans="1:4" x14ac:dyDescent="0.2">
      <c r="A362" s="1">
        <v>46054</v>
      </c>
      <c r="B362">
        <v>15051</v>
      </c>
      <c r="D362">
        <v>180</v>
      </c>
    </row>
    <row r="363" spans="1:4" x14ac:dyDescent="0.2">
      <c r="A363" s="1">
        <v>46054</v>
      </c>
      <c r="B363">
        <v>19110</v>
      </c>
      <c r="D363">
        <v>358</v>
      </c>
    </row>
    <row r="364" spans="1:4" x14ac:dyDescent="0.2">
      <c r="A364" s="1">
        <v>46054</v>
      </c>
      <c r="B364">
        <v>19123</v>
      </c>
      <c r="D364">
        <v>358</v>
      </c>
    </row>
    <row r="365" spans="1:4" x14ac:dyDescent="0.2">
      <c r="A365" s="1">
        <v>46054</v>
      </c>
      <c r="B365">
        <v>20088</v>
      </c>
      <c r="D365">
        <v>917</v>
      </c>
    </row>
    <row r="366" spans="1:4" x14ac:dyDescent="0.2">
      <c r="A366" s="1">
        <v>46055</v>
      </c>
      <c r="B366">
        <v>1</v>
      </c>
      <c r="D366">
        <v>263</v>
      </c>
    </row>
    <row r="367" spans="1:4" x14ac:dyDescent="0.2">
      <c r="A367" s="1">
        <v>46055</v>
      </c>
      <c r="B367">
        <v>13013</v>
      </c>
      <c r="D367">
        <v>870</v>
      </c>
    </row>
    <row r="368" spans="1:4" x14ac:dyDescent="0.2">
      <c r="A368" s="1">
        <v>46055</v>
      </c>
      <c r="B368">
        <v>15000</v>
      </c>
      <c r="D368">
        <v>969</v>
      </c>
    </row>
    <row r="369" spans="1:4" x14ac:dyDescent="0.2">
      <c r="A369" s="1">
        <v>46055</v>
      </c>
      <c r="B369">
        <v>15007</v>
      </c>
      <c r="D369">
        <v>887</v>
      </c>
    </row>
    <row r="370" spans="1:4" x14ac:dyDescent="0.2">
      <c r="A370" s="1">
        <v>46055</v>
      </c>
      <c r="B370">
        <v>16008</v>
      </c>
      <c r="D370">
        <v>744</v>
      </c>
    </row>
    <row r="371" spans="1:4" x14ac:dyDescent="0.2">
      <c r="A371" s="1">
        <v>46055</v>
      </c>
      <c r="B371">
        <v>18003</v>
      </c>
      <c r="D371">
        <v>446</v>
      </c>
    </row>
    <row r="372" spans="1:4" x14ac:dyDescent="0.2">
      <c r="A372" s="1">
        <v>46056</v>
      </c>
      <c r="B372">
        <v>1011</v>
      </c>
      <c r="D372">
        <v>899</v>
      </c>
    </row>
    <row r="373" spans="1:4" x14ac:dyDescent="0.2">
      <c r="A373" s="1">
        <v>46056</v>
      </c>
      <c r="B373">
        <v>1081</v>
      </c>
      <c r="D373">
        <v>228</v>
      </c>
    </row>
    <row r="374" spans="1:4" x14ac:dyDescent="0.2">
      <c r="A374" s="1">
        <v>46056</v>
      </c>
      <c r="B374">
        <v>6109</v>
      </c>
      <c r="D374">
        <v>485</v>
      </c>
    </row>
    <row r="375" spans="1:4" x14ac:dyDescent="0.2">
      <c r="A375" s="1">
        <v>46056</v>
      </c>
      <c r="B375">
        <v>8031</v>
      </c>
      <c r="D375">
        <v>881</v>
      </c>
    </row>
    <row r="376" spans="1:4" x14ac:dyDescent="0.2">
      <c r="A376" s="1">
        <v>46056</v>
      </c>
      <c r="B376">
        <v>12048</v>
      </c>
      <c r="D376">
        <v>901</v>
      </c>
    </row>
    <row r="377" spans="1:4" x14ac:dyDescent="0.2">
      <c r="A377" s="1">
        <v>46056</v>
      </c>
      <c r="B377">
        <v>15020</v>
      </c>
      <c r="D377">
        <v>440</v>
      </c>
    </row>
    <row r="378" spans="1:4" x14ac:dyDescent="0.2">
      <c r="A378" s="1">
        <v>46056</v>
      </c>
      <c r="B378">
        <v>16004</v>
      </c>
      <c r="D378">
        <v>609</v>
      </c>
    </row>
    <row r="379" spans="1:4" x14ac:dyDescent="0.2">
      <c r="A379" s="1">
        <v>46056</v>
      </c>
      <c r="B379">
        <v>16005</v>
      </c>
      <c r="D379">
        <v>740</v>
      </c>
    </row>
    <row r="380" spans="1:4" x14ac:dyDescent="0.2">
      <c r="A380" s="1">
        <v>46056</v>
      </c>
      <c r="B380">
        <v>16009</v>
      </c>
      <c r="D380">
        <v>1321</v>
      </c>
    </row>
    <row r="381" spans="1:4" x14ac:dyDescent="0.2">
      <c r="A381" s="1">
        <v>46056</v>
      </c>
      <c r="B381">
        <v>18004</v>
      </c>
      <c r="D381">
        <v>558</v>
      </c>
    </row>
    <row r="382" spans="1:4" x14ac:dyDescent="0.2">
      <c r="A382" s="1">
        <v>46056</v>
      </c>
      <c r="B382">
        <v>19077</v>
      </c>
      <c r="D382">
        <v>1108</v>
      </c>
    </row>
    <row r="383" spans="1:4" x14ac:dyDescent="0.2">
      <c r="A383" s="1">
        <v>46057</v>
      </c>
      <c r="B383">
        <v>2023</v>
      </c>
      <c r="D383">
        <v>545</v>
      </c>
    </row>
    <row r="384" spans="1:4" x14ac:dyDescent="0.2">
      <c r="A384" s="1">
        <v>46057</v>
      </c>
      <c r="B384">
        <v>4014</v>
      </c>
      <c r="D384">
        <v>544</v>
      </c>
    </row>
    <row r="385" spans="1:4" x14ac:dyDescent="0.2">
      <c r="A385" s="1">
        <v>46057</v>
      </c>
      <c r="B385">
        <v>5004</v>
      </c>
      <c r="D385">
        <v>303</v>
      </c>
    </row>
    <row r="386" spans="1:4" x14ac:dyDescent="0.2">
      <c r="A386" s="1">
        <v>46057</v>
      </c>
      <c r="B386">
        <v>13011</v>
      </c>
      <c r="D386">
        <v>687</v>
      </c>
    </row>
    <row r="387" spans="1:4" x14ac:dyDescent="0.2">
      <c r="A387" s="1">
        <v>46057</v>
      </c>
      <c r="B387">
        <v>15025</v>
      </c>
      <c r="D387">
        <v>479</v>
      </c>
    </row>
    <row r="388" spans="1:4" x14ac:dyDescent="0.2">
      <c r="A388" s="1">
        <v>46057</v>
      </c>
      <c r="B388">
        <v>16010</v>
      </c>
      <c r="D388">
        <v>1540</v>
      </c>
    </row>
    <row r="389" spans="1:4" x14ac:dyDescent="0.2">
      <c r="A389" s="1">
        <v>46057</v>
      </c>
      <c r="B389">
        <v>20051</v>
      </c>
      <c r="D389">
        <v>283</v>
      </c>
    </row>
    <row r="390" spans="1:4" x14ac:dyDescent="0.2">
      <c r="A390" s="1">
        <v>46057</v>
      </c>
      <c r="B390">
        <v>20081</v>
      </c>
      <c r="D390">
        <v>869</v>
      </c>
    </row>
    <row r="391" spans="1:4" x14ac:dyDescent="0.2">
      <c r="A391" s="1">
        <v>46058</v>
      </c>
      <c r="B391">
        <v>1013</v>
      </c>
      <c r="D391">
        <v>777</v>
      </c>
    </row>
    <row r="392" spans="1:4" x14ac:dyDescent="0.2">
      <c r="A392" s="1">
        <v>46058</v>
      </c>
      <c r="B392">
        <v>1014</v>
      </c>
      <c r="D392">
        <v>575</v>
      </c>
    </row>
    <row r="393" spans="1:4" x14ac:dyDescent="0.2">
      <c r="A393" s="1">
        <v>46058</v>
      </c>
      <c r="B393">
        <v>1083</v>
      </c>
      <c r="D393">
        <v>247</v>
      </c>
    </row>
    <row r="394" spans="1:4" x14ac:dyDescent="0.2">
      <c r="A394" s="1">
        <v>46058</v>
      </c>
      <c r="B394">
        <v>2017</v>
      </c>
      <c r="D394">
        <v>603</v>
      </c>
    </row>
    <row r="395" spans="1:4" x14ac:dyDescent="0.2">
      <c r="A395" s="1">
        <v>46058</v>
      </c>
      <c r="B395">
        <v>4009</v>
      </c>
      <c r="D395">
        <v>616</v>
      </c>
    </row>
    <row r="396" spans="1:4" x14ac:dyDescent="0.2">
      <c r="A396" s="1">
        <v>46058</v>
      </c>
      <c r="B396" t="s">
        <v>13</v>
      </c>
      <c r="D396">
        <v>417</v>
      </c>
    </row>
    <row r="397" spans="1:4" x14ac:dyDescent="0.2">
      <c r="A397" s="1">
        <v>46058</v>
      </c>
      <c r="B397">
        <v>4029</v>
      </c>
      <c r="D397">
        <v>1703</v>
      </c>
    </row>
    <row r="398" spans="1:4" x14ac:dyDescent="0.2">
      <c r="A398" s="1">
        <v>46058</v>
      </c>
      <c r="B398">
        <v>7002</v>
      </c>
      <c r="D398">
        <v>441</v>
      </c>
    </row>
    <row r="399" spans="1:4" x14ac:dyDescent="0.2">
      <c r="A399" s="1">
        <v>46058</v>
      </c>
      <c r="B399">
        <v>7052</v>
      </c>
      <c r="D399">
        <v>177</v>
      </c>
    </row>
    <row r="400" spans="1:4" x14ac:dyDescent="0.2">
      <c r="A400" s="1">
        <v>46058</v>
      </c>
      <c r="B400">
        <v>11014</v>
      </c>
      <c r="D400">
        <v>332</v>
      </c>
    </row>
    <row r="401" spans="1:4" x14ac:dyDescent="0.2">
      <c r="A401" s="1">
        <v>46058</v>
      </c>
      <c r="B401">
        <v>12050</v>
      </c>
      <c r="D401">
        <v>903</v>
      </c>
    </row>
    <row r="402" spans="1:4" x14ac:dyDescent="0.2">
      <c r="A402" s="1">
        <v>46058</v>
      </c>
      <c r="B402">
        <v>15009</v>
      </c>
      <c r="D402">
        <v>447</v>
      </c>
    </row>
    <row r="403" spans="1:4" x14ac:dyDescent="0.2">
      <c r="A403" s="1">
        <v>46058</v>
      </c>
      <c r="B403">
        <v>15027</v>
      </c>
      <c r="D403">
        <v>648</v>
      </c>
    </row>
    <row r="404" spans="1:4" x14ac:dyDescent="0.2">
      <c r="A404" s="1">
        <v>46058</v>
      </c>
      <c r="B404">
        <v>16003</v>
      </c>
      <c r="D404">
        <v>642</v>
      </c>
    </row>
    <row r="405" spans="1:4" x14ac:dyDescent="0.2">
      <c r="A405" s="1">
        <v>46058</v>
      </c>
      <c r="B405">
        <v>16007</v>
      </c>
      <c r="D405">
        <v>720</v>
      </c>
    </row>
    <row r="406" spans="1:4" x14ac:dyDescent="0.2">
      <c r="A406" s="1">
        <v>46058</v>
      </c>
      <c r="B406">
        <v>19081</v>
      </c>
      <c r="D406">
        <v>331</v>
      </c>
    </row>
    <row r="407" spans="1:4" x14ac:dyDescent="0.2">
      <c r="A407" s="1">
        <v>46059</v>
      </c>
      <c r="B407">
        <v>1063</v>
      </c>
      <c r="D407">
        <v>765</v>
      </c>
    </row>
    <row r="408" spans="1:4" x14ac:dyDescent="0.2">
      <c r="A408" s="1">
        <v>46059</v>
      </c>
      <c r="B408">
        <v>3021</v>
      </c>
      <c r="D408">
        <v>496</v>
      </c>
    </row>
    <row r="409" spans="1:4" x14ac:dyDescent="0.2">
      <c r="A409" s="1">
        <v>46059</v>
      </c>
      <c r="B409">
        <v>3056</v>
      </c>
      <c r="D409">
        <v>257</v>
      </c>
    </row>
    <row r="410" spans="1:4" x14ac:dyDescent="0.2">
      <c r="A410" s="1">
        <v>46059</v>
      </c>
      <c r="B410">
        <v>3064</v>
      </c>
      <c r="D410">
        <v>553</v>
      </c>
    </row>
    <row r="411" spans="1:4" x14ac:dyDescent="0.2">
      <c r="A411" s="1">
        <v>46059</v>
      </c>
      <c r="B411">
        <v>6101</v>
      </c>
      <c r="D411">
        <v>451</v>
      </c>
    </row>
    <row r="412" spans="1:4" x14ac:dyDescent="0.2">
      <c r="A412" s="1">
        <v>46059</v>
      </c>
      <c r="B412">
        <v>7053</v>
      </c>
      <c r="D412">
        <v>195</v>
      </c>
    </row>
    <row r="413" spans="1:4" x14ac:dyDescent="0.2">
      <c r="A413" s="1">
        <v>46059</v>
      </c>
      <c r="B413">
        <v>12025</v>
      </c>
      <c r="D413">
        <v>538</v>
      </c>
    </row>
    <row r="414" spans="1:4" x14ac:dyDescent="0.2">
      <c r="A414" s="1">
        <v>46059</v>
      </c>
      <c r="B414">
        <v>13009</v>
      </c>
      <c r="D414">
        <v>1001</v>
      </c>
    </row>
    <row r="415" spans="1:4" x14ac:dyDescent="0.2">
      <c r="A415" s="1">
        <v>46059</v>
      </c>
      <c r="B415">
        <v>13012</v>
      </c>
      <c r="D415">
        <v>723</v>
      </c>
    </row>
    <row r="416" spans="1:4" x14ac:dyDescent="0.2">
      <c r="A416" s="1">
        <v>46059</v>
      </c>
      <c r="B416">
        <v>13014</v>
      </c>
      <c r="D416">
        <v>752</v>
      </c>
    </row>
    <row r="417" spans="1:4" x14ac:dyDescent="0.2">
      <c r="A417" s="1">
        <v>46059</v>
      </c>
      <c r="B417">
        <v>13057</v>
      </c>
      <c r="D417">
        <v>567</v>
      </c>
    </row>
    <row r="418" spans="1:4" x14ac:dyDescent="0.2">
      <c r="A418" s="1">
        <v>46059</v>
      </c>
      <c r="B418">
        <v>15005</v>
      </c>
      <c r="D418">
        <v>644</v>
      </c>
    </row>
    <row r="419" spans="1:4" x14ac:dyDescent="0.2">
      <c r="A419" s="1">
        <v>46059</v>
      </c>
      <c r="B419">
        <v>16019</v>
      </c>
      <c r="D419">
        <v>634</v>
      </c>
    </row>
    <row r="420" spans="1:4" x14ac:dyDescent="0.2">
      <c r="A420" s="1">
        <v>46059</v>
      </c>
      <c r="B420">
        <v>18036</v>
      </c>
      <c r="D420">
        <v>1555</v>
      </c>
    </row>
    <row r="421" spans="1:4" x14ac:dyDescent="0.2">
      <c r="A421" s="1">
        <v>46059</v>
      </c>
      <c r="B421">
        <v>19080</v>
      </c>
      <c r="D421">
        <v>326</v>
      </c>
    </row>
    <row r="422" spans="1:4" x14ac:dyDescent="0.2">
      <c r="A422" s="1">
        <v>46059</v>
      </c>
      <c r="B422">
        <v>20090</v>
      </c>
      <c r="D422">
        <v>902</v>
      </c>
    </row>
    <row r="423" spans="1:4" x14ac:dyDescent="0.2">
      <c r="A423" s="1">
        <v>46059</v>
      </c>
      <c r="B423">
        <v>20091</v>
      </c>
      <c r="D423">
        <v>990</v>
      </c>
    </row>
    <row r="424" spans="1:4" x14ac:dyDescent="0.2">
      <c r="A424" s="1">
        <v>46059</v>
      </c>
      <c r="B424">
        <v>20093</v>
      </c>
      <c r="D424">
        <v>925</v>
      </c>
    </row>
    <row r="425" spans="1:4" x14ac:dyDescent="0.2">
      <c r="A425" s="1">
        <v>46060</v>
      </c>
      <c r="B425">
        <v>1001</v>
      </c>
      <c r="D425">
        <v>703</v>
      </c>
    </row>
    <row r="426" spans="1:4" x14ac:dyDescent="0.2">
      <c r="A426" s="1">
        <v>46060</v>
      </c>
      <c r="B426">
        <v>2078</v>
      </c>
      <c r="D426">
        <v>178</v>
      </c>
    </row>
    <row r="427" spans="1:4" x14ac:dyDescent="0.2">
      <c r="A427" s="1">
        <v>46060</v>
      </c>
      <c r="B427">
        <v>8031</v>
      </c>
      <c r="D427">
        <v>737</v>
      </c>
    </row>
    <row r="428" spans="1:4" x14ac:dyDescent="0.2">
      <c r="A428" s="1">
        <v>46060</v>
      </c>
      <c r="B428">
        <v>8034</v>
      </c>
      <c r="D428">
        <v>500</v>
      </c>
    </row>
    <row r="429" spans="1:4" x14ac:dyDescent="0.2">
      <c r="A429" s="1">
        <v>46060</v>
      </c>
      <c r="B429">
        <v>11005</v>
      </c>
      <c r="D429">
        <v>747</v>
      </c>
    </row>
    <row r="430" spans="1:4" x14ac:dyDescent="0.2">
      <c r="A430" s="1">
        <v>46060</v>
      </c>
      <c r="B430">
        <v>12021</v>
      </c>
      <c r="D430">
        <v>214</v>
      </c>
    </row>
    <row r="431" spans="1:4" x14ac:dyDescent="0.2">
      <c r="A431" s="1">
        <v>46060</v>
      </c>
      <c r="B431">
        <v>15004</v>
      </c>
      <c r="D431">
        <v>611</v>
      </c>
    </row>
    <row r="432" spans="1:4" x14ac:dyDescent="0.2">
      <c r="A432" s="1">
        <v>46060</v>
      </c>
      <c r="B432">
        <v>15032</v>
      </c>
      <c r="D432">
        <v>491</v>
      </c>
    </row>
    <row r="433" spans="1:4" x14ac:dyDescent="0.2">
      <c r="A433" s="1">
        <v>46060</v>
      </c>
      <c r="B433">
        <v>16015</v>
      </c>
      <c r="D433">
        <v>1441</v>
      </c>
    </row>
    <row r="434" spans="1:4" x14ac:dyDescent="0.2">
      <c r="A434" s="1">
        <v>46060</v>
      </c>
      <c r="B434">
        <v>19035</v>
      </c>
      <c r="D434">
        <v>266</v>
      </c>
    </row>
    <row r="435" spans="1:4" x14ac:dyDescent="0.2">
      <c r="A435" s="1">
        <v>46060</v>
      </c>
      <c r="B435">
        <v>19082</v>
      </c>
      <c r="D435">
        <v>563</v>
      </c>
    </row>
    <row r="436" spans="1:4" x14ac:dyDescent="0.2">
      <c r="A436" s="1">
        <v>46060</v>
      </c>
      <c r="B436">
        <v>19089</v>
      </c>
      <c r="D436">
        <v>219</v>
      </c>
    </row>
    <row r="437" spans="1:4" x14ac:dyDescent="0.2">
      <c r="A437" s="1">
        <v>46060</v>
      </c>
      <c r="B437">
        <v>19110</v>
      </c>
      <c r="D437">
        <v>258</v>
      </c>
    </row>
    <row r="438" spans="1:4" x14ac:dyDescent="0.2">
      <c r="A438" s="1">
        <v>46060</v>
      </c>
      <c r="B438">
        <v>19123</v>
      </c>
      <c r="D438">
        <v>258</v>
      </c>
    </row>
    <row r="439" spans="1:4" x14ac:dyDescent="0.2">
      <c r="A439" s="1">
        <v>46060</v>
      </c>
      <c r="B439">
        <v>20013</v>
      </c>
      <c r="D439">
        <v>986</v>
      </c>
    </row>
    <row r="440" spans="1:4" x14ac:dyDescent="0.2">
      <c r="A440" s="1">
        <v>46060</v>
      </c>
      <c r="B440">
        <v>20019</v>
      </c>
      <c r="D440">
        <v>908</v>
      </c>
    </row>
    <row r="441" spans="1:4" x14ac:dyDescent="0.2">
      <c r="A441" s="1">
        <v>46060</v>
      </c>
      <c r="B441">
        <v>20098</v>
      </c>
      <c r="D441">
        <v>942</v>
      </c>
    </row>
    <row r="442" spans="1:4" x14ac:dyDescent="0.2">
      <c r="A442" s="1">
        <v>46061</v>
      </c>
      <c r="B442">
        <v>2016</v>
      </c>
      <c r="D442">
        <v>252</v>
      </c>
    </row>
    <row r="443" spans="1:4" x14ac:dyDescent="0.2">
      <c r="A443" s="1">
        <v>46061</v>
      </c>
      <c r="B443">
        <v>2021</v>
      </c>
      <c r="D443">
        <v>527</v>
      </c>
    </row>
    <row r="444" spans="1:4" x14ac:dyDescent="0.2">
      <c r="A444" s="1">
        <v>46061</v>
      </c>
      <c r="B444">
        <v>2067</v>
      </c>
      <c r="D444">
        <v>798</v>
      </c>
    </row>
    <row r="445" spans="1:4" x14ac:dyDescent="0.2">
      <c r="A445" s="1">
        <v>46061</v>
      </c>
      <c r="B445">
        <v>4037</v>
      </c>
      <c r="D445">
        <v>186</v>
      </c>
    </row>
    <row r="446" spans="1:4" x14ac:dyDescent="0.2">
      <c r="A446" s="1">
        <v>46061</v>
      </c>
      <c r="B446">
        <v>13015</v>
      </c>
      <c r="D446">
        <v>752</v>
      </c>
    </row>
    <row r="447" spans="1:4" x14ac:dyDescent="0.2">
      <c r="A447" s="1">
        <v>46061</v>
      </c>
      <c r="B447">
        <v>15016</v>
      </c>
      <c r="D447">
        <v>356</v>
      </c>
    </row>
    <row r="448" spans="1:4" x14ac:dyDescent="0.2">
      <c r="A448" s="1">
        <v>46061</v>
      </c>
      <c r="B448">
        <v>15024</v>
      </c>
      <c r="D448">
        <v>415</v>
      </c>
    </row>
    <row r="449" spans="1:4" x14ac:dyDescent="0.2">
      <c r="A449" s="1">
        <v>46061</v>
      </c>
      <c r="B449">
        <v>15035</v>
      </c>
      <c r="D449">
        <v>1275</v>
      </c>
    </row>
    <row r="450" spans="1:4" x14ac:dyDescent="0.2">
      <c r="A450" s="1">
        <v>46061</v>
      </c>
      <c r="B450">
        <v>18001</v>
      </c>
      <c r="D450">
        <v>883</v>
      </c>
    </row>
    <row r="451" spans="1:4" x14ac:dyDescent="0.2">
      <c r="A451" s="1">
        <v>46061</v>
      </c>
      <c r="B451">
        <v>18003</v>
      </c>
      <c r="D451">
        <v>179</v>
      </c>
    </row>
    <row r="452" spans="1:4" x14ac:dyDescent="0.2">
      <c r="A452" s="1">
        <v>46062</v>
      </c>
      <c r="B452">
        <v>1000</v>
      </c>
      <c r="D452">
        <v>734</v>
      </c>
    </row>
    <row r="453" spans="1:4" x14ac:dyDescent="0.2">
      <c r="A453" s="1">
        <v>46062</v>
      </c>
      <c r="B453">
        <v>1018</v>
      </c>
      <c r="D453">
        <v>682</v>
      </c>
    </row>
    <row r="454" spans="1:4" x14ac:dyDescent="0.2">
      <c r="A454" s="1">
        <v>46062</v>
      </c>
      <c r="B454">
        <v>2038</v>
      </c>
      <c r="D454">
        <v>459</v>
      </c>
    </row>
    <row r="455" spans="1:4" x14ac:dyDescent="0.2">
      <c r="A455" s="1">
        <v>46062</v>
      </c>
      <c r="B455">
        <v>2045</v>
      </c>
      <c r="D455">
        <v>432</v>
      </c>
    </row>
    <row r="456" spans="1:4" x14ac:dyDescent="0.2">
      <c r="A456" s="1">
        <v>46062</v>
      </c>
      <c r="B456">
        <v>11013</v>
      </c>
      <c r="D456">
        <v>918</v>
      </c>
    </row>
    <row r="457" spans="1:4" x14ac:dyDescent="0.2">
      <c r="A457" s="1">
        <v>46062</v>
      </c>
      <c r="B457">
        <v>13013</v>
      </c>
      <c r="D457">
        <v>1069</v>
      </c>
    </row>
    <row r="458" spans="1:4" x14ac:dyDescent="0.2">
      <c r="A458" s="1">
        <v>46062</v>
      </c>
      <c r="B458">
        <v>15001</v>
      </c>
      <c r="D458">
        <v>1019</v>
      </c>
    </row>
    <row r="459" spans="1:4" x14ac:dyDescent="0.2">
      <c r="A459" s="1">
        <v>46062</v>
      </c>
      <c r="B459">
        <v>16005</v>
      </c>
      <c r="D459">
        <v>587</v>
      </c>
    </row>
    <row r="460" spans="1:4" x14ac:dyDescent="0.2">
      <c r="A460" s="1">
        <v>46062</v>
      </c>
      <c r="B460">
        <v>16008</v>
      </c>
      <c r="D460">
        <v>942</v>
      </c>
    </row>
    <row r="461" spans="1:4" x14ac:dyDescent="0.2">
      <c r="A461" s="1">
        <v>46062</v>
      </c>
      <c r="B461">
        <v>16014</v>
      </c>
      <c r="D461">
        <v>1400</v>
      </c>
    </row>
    <row r="462" spans="1:4" x14ac:dyDescent="0.2">
      <c r="A462" s="1">
        <v>46062</v>
      </c>
      <c r="B462">
        <v>19033</v>
      </c>
      <c r="D462">
        <v>176</v>
      </c>
    </row>
    <row r="463" spans="1:4" x14ac:dyDescent="0.2">
      <c r="A463" s="1">
        <v>46063</v>
      </c>
      <c r="B463">
        <v>1054</v>
      </c>
      <c r="D463">
        <v>526</v>
      </c>
    </row>
    <row r="464" spans="1:4" x14ac:dyDescent="0.2">
      <c r="A464" s="1">
        <v>46063</v>
      </c>
      <c r="B464">
        <v>2023</v>
      </c>
      <c r="D464">
        <v>718</v>
      </c>
    </row>
    <row r="465" spans="1:4" x14ac:dyDescent="0.2">
      <c r="A465" s="1">
        <v>46063</v>
      </c>
      <c r="B465">
        <v>3046</v>
      </c>
      <c r="D465">
        <v>941</v>
      </c>
    </row>
    <row r="466" spans="1:4" x14ac:dyDescent="0.2">
      <c r="A466" s="1">
        <v>46063</v>
      </c>
      <c r="B466">
        <v>4027</v>
      </c>
      <c r="D466">
        <v>1023</v>
      </c>
    </row>
    <row r="467" spans="1:4" x14ac:dyDescent="0.2">
      <c r="A467" s="1">
        <v>46063</v>
      </c>
      <c r="B467">
        <v>5006</v>
      </c>
      <c r="D467">
        <v>361</v>
      </c>
    </row>
    <row r="468" spans="1:4" x14ac:dyDescent="0.2">
      <c r="A468" s="1">
        <v>46063</v>
      </c>
      <c r="B468">
        <v>15002</v>
      </c>
      <c r="D468">
        <v>329</v>
      </c>
    </row>
    <row r="469" spans="1:4" x14ac:dyDescent="0.2">
      <c r="A469" s="1">
        <v>46063</v>
      </c>
      <c r="B469">
        <v>15051</v>
      </c>
      <c r="D469">
        <v>383</v>
      </c>
    </row>
    <row r="470" spans="1:4" x14ac:dyDescent="0.2">
      <c r="A470" s="1">
        <v>46063</v>
      </c>
      <c r="B470">
        <v>16051</v>
      </c>
      <c r="D470">
        <v>1682</v>
      </c>
    </row>
    <row r="471" spans="1:4" x14ac:dyDescent="0.2">
      <c r="A471" s="1">
        <v>46063</v>
      </c>
      <c r="B471">
        <v>18054</v>
      </c>
      <c r="D471">
        <v>1077</v>
      </c>
    </row>
    <row r="472" spans="1:4" x14ac:dyDescent="0.2">
      <c r="A472" s="1">
        <v>46063</v>
      </c>
      <c r="B472">
        <v>20077</v>
      </c>
      <c r="D472">
        <v>478</v>
      </c>
    </row>
    <row r="473" spans="1:4" x14ac:dyDescent="0.2">
      <c r="A473" s="1">
        <v>46063</v>
      </c>
      <c r="B473">
        <v>20088</v>
      </c>
      <c r="D473">
        <v>1050</v>
      </c>
    </row>
    <row r="474" spans="1:4" x14ac:dyDescent="0.2">
      <c r="A474" s="1">
        <v>46064</v>
      </c>
      <c r="B474">
        <v>1081</v>
      </c>
      <c r="D474">
        <v>354</v>
      </c>
    </row>
    <row r="475" spans="1:4" x14ac:dyDescent="0.2">
      <c r="A475" s="1">
        <v>46064</v>
      </c>
      <c r="B475">
        <v>3063</v>
      </c>
      <c r="D475">
        <v>1809</v>
      </c>
    </row>
    <row r="476" spans="1:4" x14ac:dyDescent="0.2">
      <c r="A476" s="1">
        <v>46064</v>
      </c>
      <c r="B476">
        <v>6077</v>
      </c>
      <c r="D476">
        <v>2049</v>
      </c>
    </row>
    <row r="477" spans="1:4" x14ac:dyDescent="0.2">
      <c r="A477" s="1">
        <v>46064</v>
      </c>
      <c r="B477">
        <v>6109</v>
      </c>
      <c r="D477">
        <v>556</v>
      </c>
    </row>
    <row r="478" spans="1:4" x14ac:dyDescent="0.2">
      <c r="A478" s="1">
        <v>46064</v>
      </c>
      <c r="B478">
        <v>10001</v>
      </c>
      <c r="D478">
        <v>828</v>
      </c>
    </row>
    <row r="479" spans="1:4" x14ac:dyDescent="0.2">
      <c r="A479" s="1">
        <v>46064</v>
      </c>
      <c r="B479">
        <v>12051</v>
      </c>
      <c r="D479">
        <v>962</v>
      </c>
    </row>
    <row r="480" spans="1:4" x14ac:dyDescent="0.2">
      <c r="A480" s="1">
        <v>46064</v>
      </c>
      <c r="B480">
        <v>16006</v>
      </c>
      <c r="D480">
        <v>934</v>
      </c>
    </row>
    <row r="481" spans="1:4" x14ac:dyDescent="0.2">
      <c r="A481" s="1">
        <v>46064</v>
      </c>
      <c r="B481">
        <v>18031</v>
      </c>
      <c r="D481">
        <v>413</v>
      </c>
    </row>
    <row r="482" spans="1:4" x14ac:dyDescent="0.2">
      <c r="A482" s="1">
        <v>46065</v>
      </c>
      <c r="B482">
        <v>1083</v>
      </c>
      <c r="D482">
        <v>165</v>
      </c>
    </row>
    <row r="483" spans="1:4" x14ac:dyDescent="0.2">
      <c r="A483" s="1">
        <v>46065</v>
      </c>
      <c r="B483">
        <v>3069</v>
      </c>
      <c r="D483">
        <v>882</v>
      </c>
    </row>
    <row r="484" spans="1:4" x14ac:dyDescent="0.2">
      <c r="A484" s="1">
        <v>46065</v>
      </c>
      <c r="B484">
        <v>4010</v>
      </c>
      <c r="D484">
        <v>485</v>
      </c>
    </row>
    <row r="485" spans="1:4" x14ac:dyDescent="0.2">
      <c r="A485" s="1">
        <v>46065</v>
      </c>
      <c r="B485">
        <v>4014</v>
      </c>
      <c r="D485">
        <v>408</v>
      </c>
    </row>
    <row r="486" spans="1:4" x14ac:dyDescent="0.2">
      <c r="A486" s="1">
        <v>46065</v>
      </c>
      <c r="B486">
        <v>7052</v>
      </c>
      <c r="D486">
        <v>78</v>
      </c>
    </row>
    <row r="487" spans="1:4" x14ac:dyDescent="0.2">
      <c r="A487" s="1">
        <v>46065</v>
      </c>
      <c r="B487">
        <v>7053</v>
      </c>
      <c r="D487">
        <v>300</v>
      </c>
    </row>
    <row r="488" spans="1:4" x14ac:dyDescent="0.2">
      <c r="A488" s="1">
        <v>46065</v>
      </c>
      <c r="B488">
        <v>14008</v>
      </c>
      <c r="D488">
        <v>1705</v>
      </c>
    </row>
    <row r="489" spans="1:4" x14ac:dyDescent="0.2">
      <c r="A489" s="1">
        <v>46065</v>
      </c>
      <c r="B489">
        <v>15015</v>
      </c>
      <c r="D489">
        <v>456</v>
      </c>
    </row>
    <row r="490" spans="1:4" x14ac:dyDescent="0.2">
      <c r="A490" s="1">
        <v>46065</v>
      </c>
      <c r="B490">
        <v>15026</v>
      </c>
      <c r="D490">
        <v>383</v>
      </c>
    </row>
    <row r="491" spans="1:4" x14ac:dyDescent="0.2">
      <c r="A491" s="1">
        <v>46065</v>
      </c>
      <c r="B491">
        <v>16052</v>
      </c>
      <c r="D491">
        <v>1001</v>
      </c>
    </row>
    <row r="492" spans="1:4" x14ac:dyDescent="0.2">
      <c r="A492" s="1">
        <v>46065</v>
      </c>
      <c r="B492">
        <v>18004</v>
      </c>
      <c r="D492">
        <v>524</v>
      </c>
    </row>
    <row r="493" spans="1:4" x14ac:dyDescent="0.2">
      <c r="A493" s="1">
        <v>46065</v>
      </c>
      <c r="B493">
        <v>19039</v>
      </c>
      <c r="D493">
        <v>653</v>
      </c>
    </row>
    <row r="494" spans="1:4" x14ac:dyDescent="0.2">
      <c r="A494" s="1">
        <v>46065</v>
      </c>
      <c r="B494">
        <v>20089</v>
      </c>
      <c r="D494">
        <v>1066</v>
      </c>
    </row>
    <row r="495" spans="1:4" x14ac:dyDescent="0.2">
      <c r="A495" s="1">
        <v>46065</v>
      </c>
      <c r="B495">
        <v>21001</v>
      </c>
      <c r="D495">
        <v>874</v>
      </c>
    </row>
    <row r="496" spans="1:4" x14ac:dyDescent="0.2">
      <c r="A496" s="1">
        <v>46065</v>
      </c>
      <c r="B496">
        <v>21002</v>
      </c>
      <c r="D496">
        <v>1883</v>
      </c>
    </row>
    <row r="497" spans="1:4" x14ac:dyDescent="0.2">
      <c r="A497" s="1">
        <v>46066</v>
      </c>
      <c r="B497">
        <v>1013</v>
      </c>
      <c r="D497">
        <v>595</v>
      </c>
    </row>
    <row r="498" spans="1:4" x14ac:dyDescent="0.2">
      <c r="A498" s="1">
        <v>46066</v>
      </c>
      <c r="B498">
        <v>2016</v>
      </c>
      <c r="D498">
        <v>492</v>
      </c>
    </row>
    <row r="499" spans="1:4" x14ac:dyDescent="0.2">
      <c r="A499" s="1">
        <v>46066</v>
      </c>
      <c r="B499">
        <v>2017</v>
      </c>
      <c r="D499">
        <v>673</v>
      </c>
    </row>
    <row r="500" spans="1:4" x14ac:dyDescent="0.2">
      <c r="A500" s="1">
        <v>46066</v>
      </c>
      <c r="B500">
        <v>2073</v>
      </c>
      <c r="D500">
        <v>297</v>
      </c>
    </row>
    <row r="501" spans="1:4" x14ac:dyDescent="0.2">
      <c r="A501" s="1">
        <v>46066</v>
      </c>
      <c r="B501">
        <v>3065</v>
      </c>
      <c r="D501">
        <v>265</v>
      </c>
    </row>
    <row r="502" spans="1:4" x14ac:dyDescent="0.2">
      <c r="A502" s="1">
        <v>46066</v>
      </c>
      <c r="B502">
        <v>6101</v>
      </c>
      <c r="D502">
        <v>490</v>
      </c>
    </row>
    <row r="503" spans="1:4" x14ac:dyDescent="0.2">
      <c r="A503" s="1">
        <v>46066</v>
      </c>
      <c r="B503">
        <v>8031</v>
      </c>
      <c r="D503">
        <v>975</v>
      </c>
    </row>
    <row r="504" spans="1:4" x14ac:dyDescent="0.2">
      <c r="A504" s="1">
        <v>46066</v>
      </c>
      <c r="B504">
        <v>13061</v>
      </c>
      <c r="D504">
        <v>388</v>
      </c>
    </row>
    <row r="505" spans="1:4" x14ac:dyDescent="0.2">
      <c r="A505" s="1">
        <v>46066</v>
      </c>
      <c r="B505">
        <v>15041</v>
      </c>
      <c r="D505">
        <v>505</v>
      </c>
    </row>
    <row r="506" spans="1:4" x14ac:dyDescent="0.2">
      <c r="A506" s="1">
        <v>46066</v>
      </c>
      <c r="B506">
        <v>16009</v>
      </c>
      <c r="D506">
        <v>1451</v>
      </c>
    </row>
    <row r="507" spans="1:4" x14ac:dyDescent="0.2">
      <c r="A507" s="1">
        <v>46066</v>
      </c>
      <c r="B507">
        <v>18036</v>
      </c>
      <c r="D507">
        <v>600</v>
      </c>
    </row>
    <row r="508" spans="1:4" x14ac:dyDescent="0.2">
      <c r="A508" s="1">
        <v>46066</v>
      </c>
      <c r="B508">
        <v>19022</v>
      </c>
      <c r="D508">
        <v>867</v>
      </c>
    </row>
    <row r="509" spans="1:4" x14ac:dyDescent="0.2">
      <c r="A509" s="1">
        <v>46066</v>
      </c>
      <c r="B509">
        <v>19031</v>
      </c>
      <c r="D509">
        <v>634</v>
      </c>
    </row>
    <row r="510" spans="1:4" x14ac:dyDescent="0.2">
      <c r="A510" s="1">
        <v>46066</v>
      </c>
      <c r="B510">
        <v>19033</v>
      </c>
      <c r="D510">
        <v>194</v>
      </c>
    </row>
    <row r="511" spans="1:4" x14ac:dyDescent="0.2">
      <c r="A511" s="1">
        <v>46066</v>
      </c>
      <c r="B511">
        <v>19110</v>
      </c>
      <c r="D511">
        <v>245</v>
      </c>
    </row>
    <row r="512" spans="1:4" x14ac:dyDescent="0.2">
      <c r="A512" s="1">
        <v>46066</v>
      </c>
      <c r="B512">
        <v>19123</v>
      </c>
      <c r="D512">
        <v>245</v>
      </c>
    </row>
    <row r="513" spans="1:4" x14ac:dyDescent="0.2">
      <c r="A513" s="1">
        <v>46066</v>
      </c>
      <c r="B513">
        <v>20051</v>
      </c>
      <c r="D513">
        <v>230</v>
      </c>
    </row>
    <row r="514" spans="1:4" x14ac:dyDescent="0.2">
      <c r="A514" s="1">
        <v>46066</v>
      </c>
      <c r="B514">
        <v>20094</v>
      </c>
      <c r="D514">
        <v>913</v>
      </c>
    </row>
    <row r="515" spans="1:4" x14ac:dyDescent="0.2">
      <c r="A515" s="1">
        <v>46067</v>
      </c>
      <c r="B515">
        <v>1057</v>
      </c>
      <c r="D515">
        <v>708</v>
      </c>
    </row>
    <row r="516" spans="1:4" x14ac:dyDescent="0.2">
      <c r="A516" s="1">
        <v>46067</v>
      </c>
      <c r="B516">
        <v>2053</v>
      </c>
      <c r="D516">
        <v>977</v>
      </c>
    </row>
    <row r="517" spans="1:4" x14ac:dyDescent="0.2">
      <c r="A517" s="1">
        <v>46067</v>
      </c>
      <c r="B517">
        <v>10012</v>
      </c>
      <c r="D517">
        <v>1636</v>
      </c>
    </row>
    <row r="518" spans="1:4" x14ac:dyDescent="0.2">
      <c r="A518" s="1">
        <v>46067</v>
      </c>
      <c r="B518">
        <v>15021</v>
      </c>
      <c r="D518">
        <v>372</v>
      </c>
    </row>
    <row r="519" spans="1:4" x14ac:dyDescent="0.2">
      <c r="A519" s="1">
        <v>46067</v>
      </c>
      <c r="B519">
        <v>15028</v>
      </c>
      <c r="D519">
        <v>633</v>
      </c>
    </row>
    <row r="520" spans="1:4" x14ac:dyDescent="0.2">
      <c r="A520" s="1">
        <v>46067</v>
      </c>
      <c r="B520">
        <v>15033</v>
      </c>
      <c r="D520">
        <v>345</v>
      </c>
    </row>
    <row r="521" spans="1:4" x14ac:dyDescent="0.2">
      <c r="A521" s="1">
        <v>46067</v>
      </c>
      <c r="B521">
        <v>16027</v>
      </c>
      <c r="D521">
        <v>515</v>
      </c>
    </row>
    <row r="522" spans="1:4" x14ac:dyDescent="0.2">
      <c r="A522" s="1">
        <v>46067</v>
      </c>
      <c r="B522">
        <v>20014</v>
      </c>
      <c r="D522">
        <v>877</v>
      </c>
    </row>
    <row r="523" spans="1:4" x14ac:dyDescent="0.2">
      <c r="A523" s="1">
        <v>46067</v>
      </c>
      <c r="B523">
        <v>20021</v>
      </c>
      <c r="D523">
        <v>902</v>
      </c>
    </row>
    <row r="524" spans="1:4" x14ac:dyDescent="0.2">
      <c r="A524" s="1">
        <v>46067</v>
      </c>
      <c r="B524">
        <v>20097</v>
      </c>
      <c r="D524">
        <v>988</v>
      </c>
    </row>
    <row r="525" spans="1:4" x14ac:dyDescent="0.2">
      <c r="A525" s="1">
        <v>46068</v>
      </c>
      <c r="B525">
        <v>1014</v>
      </c>
      <c r="D525">
        <v>482</v>
      </c>
    </row>
    <row r="526" spans="1:4" x14ac:dyDescent="0.2">
      <c r="A526" s="1">
        <v>46068</v>
      </c>
      <c r="B526">
        <v>1063</v>
      </c>
      <c r="D526">
        <v>479</v>
      </c>
    </row>
    <row r="527" spans="1:4" x14ac:dyDescent="0.2">
      <c r="A527" s="1">
        <v>46068</v>
      </c>
      <c r="B527">
        <v>2045</v>
      </c>
      <c r="D527">
        <v>197</v>
      </c>
    </row>
    <row r="528" spans="1:4" x14ac:dyDescent="0.2">
      <c r="A528" s="1">
        <v>46068</v>
      </c>
      <c r="B528">
        <v>7002</v>
      </c>
      <c r="D528">
        <v>482</v>
      </c>
    </row>
    <row r="529" spans="1:4" x14ac:dyDescent="0.2">
      <c r="A529" s="1">
        <v>46068</v>
      </c>
      <c r="B529">
        <v>12048</v>
      </c>
      <c r="D529">
        <v>998</v>
      </c>
    </row>
    <row r="530" spans="1:4" x14ac:dyDescent="0.2">
      <c r="A530" s="1">
        <v>46068</v>
      </c>
      <c r="B530">
        <v>15009</v>
      </c>
      <c r="D530">
        <v>429</v>
      </c>
    </row>
    <row r="531" spans="1:4" x14ac:dyDescent="0.2">
      <c r="A531" s="1">
        <v>46068</v>
      </c>
      <c r="B531">
        <v>15018</v>
      </c>
      <c r="D531">
        <v>362</v>
      </c>
    </row>
    <row r="532" spans="1:4" x14ac:dyDescent="0.2">
      <c r="A532" s="1">
        <v>46068</v>
      </c>
      <c r="B532">
        <v>19077</v>
      </c>
      <c r="D532">
        <v>1078</v>
      </c>
    </row>
    <row r="533" spans="1:4" x14ac:dyDescent="0.2">
      <c r="A533" s="1">
        <v>46069</v>
      </c>
      <c r="B533">
        <v>2023</v>
      </c>
      <c r="D533">
        <v>577</v>
      </c>
    </row>
    <row r="534" spans="1:4" x14ac:dyDescent="0.2">
      <c r="A534" s="1">
        <v>46069</v>
      </c>
      <c r="B534">
        <v>3021</v>
      </c>
      <c r="D534">
        <v>343</v>
      </c>
    </row>
    <row r="535" spans="1:4" x14ac:dyDescent="0.2">
      <c r="A535" s="1">
        <v>46069</v>
      </c>
      <c r="B535">
        <v>12047</v>
      </c>
      <c r="D535">
        <v>629</v>
      </c>
    </row>
    <row r="536" spans="1:4" x14ac:dyDescent="0.2">
      <c r="A536" s="1">
        <v>46069</v>
      </c>
      <c r="B536">
        <v>12055</v>
      </c>
      <c r="D536">
        <v>949</v>
      </c>
    </row>
    <row r="537" spans="1:4" x14ac:dyDescent="0.2">
      <c r="A537" s="1">
        <v>46069</v>
      </c>
      <c r="B537">
        <v>13009</v>
      </c>
      <c r="D537">
        <v>1056</v>
      </c>
    </row>
    <row r="538" spans="1:4" x14ac:dyDescent="0.2">
      <c r="A538" s="1">
        <v>46069</v>
      </c>
      <c r="B538">
        <v>13012</v>
      </c>
      <c r="D538">
        <v>699</v>
      </c>
    </row>
    <row r="539" spans="1:4" x14ac:dyDescent="0.2">
      <c r="A539" s="1">
        <v>46069</v>
      </c>
      <c r="B539">
        <v>13013</v>
      </c>
      <c r="D539">
        <v>1047</v>
      </c>
    </row>
    <row r="540" spans="1:4" x14ac:dyDescent="0.2">
      <c r="A540" s="1">
        <v>46069</v>
      </c>
      <c r="B540">
        <v>13015</v>
      </c>
      <c r="D540">
        <v>710</v>
      </c>
    </row>
    <row r="541" spans="1:4" x14ac:dyDescent="0.2">
      <c r="A541" s="1">
        <v>46069</v>
      </c>
      <c r="B541">
        <v>15000</v>
      </c>
      <c r="D541">
        <v>1048</v>
      </c>
    </row>
    <row r="542" spans="1:4" x14ac:dyDescent="0.2">
      <c r="A542" s="1">
        <v>46069</v>
      </c>
      <c r="B542">
        <v>15005</v>
      </c>
      <c r="D542">
        <v>499</v>
      </c>
    </row>
    <row r="543" spans="1:4" x14ac:dyDescent="0.2">
      <c r="A543" s="1">
        <v>46069</v>
      </c>
      <c r="B543">
        <v>16004</v>
      </c>
      <c r="D543">
        <v>857</v>
      </c>
    </row>
    <row r="544" spans="1:4" x14ac:dyDescent="0.2">
      <c r="A544" s="1">
        <v>46069</v>
      </c>
      <c r="B544">
        <v>16005</v>
      </c>
      <c r="D544">
        <v>675</v>
      </c>
    </row>
    <row r="545" spans="1:4" x14ac:dyDescent="0.2">
      <c r="A545" s="1">
        <v>46069</v>
      </c>
      <c r="B545">
        <v>16008</v>
      </c>
      <c r="D545">
        <v>859</v>
      </c>
    </row>
    <row r="546" spans="1:4" x14ac:dyDescent="0.2">
      <c r="A546" s="1">
        <v>46069</v>
      </c>
      <c r="B546">
        <v>16010</v>
      </c>
      <c r="D546">
        <v>2004</v>
      </c>
    </row>
    <row r="547" spans="1:4" x14ac:dyDescent="0.2">
      <c r="A547" s="1">
        <v>46069</v>
      </c>
      <c r="B547">
        <v>18001</v>
      </c>
      <c r="D547">
        <v>774</v>
      </c>
    </row>
    <row r="548" spans="1:4" x14ac:dyDescent="0.2">
      <c r="A548" s="1">
        <v>46069</v>
      </c>
      <c r="B548">
        <v>18003</v>
      </c>
      <c r="D548">
        <v>344</v>
      </c>
    </row>
    <row r="549" spans="1:4" x14ac:dyDescent="0.2">
      <c r="A549" s="1">
        <v>46069</v>
      </c>
      <c r="B549">
        <v>19035</v>
      </c>
      <c r="D549">
        <v>271</v>
      </c>
    </row>
    <row r="550" spans="1:4" x14ac:dyDescent="0.2">
      <c r="A550" s="1">
        <v>46069</v>
      </c>
      <c r="B550">
        <v>20092</v>
      </c>
      <c r="D550">
        <v>979</v>
      </c>
    </row>
    <row r="551" spans="1:4" x14ac:dyDescent="0.2">
      <c r="A551" s="1">
        <v>46070</v>
      </c>
      <c r="B551">
        <v>1001</v>
      </c>
      <c r="D551">
        <v>641</v>
      </c>
    </row>
    <row r="552" spans="1:4" x14ac:dyDescent="0.2">
      <c r="A552" s="1">
        <v>46070</v>
      </c>
      <c r="B552">
        <v>1011</v>
      </c>
      <c r="D552">
        <v>933</v>
      </c>
    </row>
    <row r="553" spans="1:4" x14ac:dyDescent="0.2">
      <c r="A553" s="1">
        <v>46070</v>
      </c>
      <c r="B553">
        <v>6109</v>
      </c>
      <c r="D553">
        <v>357</v>
      </c>
    </row>
    <row r="554" spans="1:4" x14ac:dyDescent="0.2">
      <c r="A554" s="1">
        <v>46070</v>
      </c>
      <c r="B554">
        <v>11016</v>
      </c>
      <c r="D554">
        <v>255</v>
      </c>
    </row>
    <row r="555" spans="1:4" x14ac:dyDescent="0.2">
      <c r="A555" s="1">
        <v>46070</v>
      </c>
      <c r="B555">
        <v>15007</v>
      </c>
      <c r="D555">
        <v>1061</v>
      </c>
    </row>
    <row r="556" spans="1:4" x14ac:dyDescent="0.2">
      <c r="A556" s="1">
        <v>46070</v>
      </c>
      <c r="B556">
        <v>15024</v>
      </c>
      <c r="D556">
        <v>384</v>
      </c>
    </row>
    <row r="557" spans="1:4" x14ac:dyDescent="0.2">
      <c r="A557" s="1">
        <v>46070</v>
      </c>
      <c r="B557">
        <v>15035</v>
      </c>
      <c r="D557">
        <v>1531</v>
      </c>
    </row>
    <row r="558" spans="1:4" x14ac:dyDescent="0.2">
      <c r="A558" s="1">
        <v>46070</v>
      </c>
      <c r="B558">
        <v>16015</v>
      </c>
      <c r="D558">
        <v>1547</v>
      </c>
    </row>
    <row r="559" spans="1:4" x14ac:dyDescent="0.2">
      <c r="A559" s="1">
        <v>46070</v>
      </c>
      <c r="B559">
        <v>16018</v>
      </c>
      <c r="D559">
        <v>601</v>
      </c>
    </row>
    <row r="560" spans="1:4" x14ac:dyDescent="0.2">
      <c r="A560" s="1">
        <v>46070</v>
      </c>
      <c r="B560">
        <v>20033</v>
      </c>
      <c r="D560">
        <v>1066</v>
      </c>
    </row>
    <row r="561" spans="1:4" x14ac:dyDescent="0.2">
      <c r="A561" s="1">
        <v>46071</v>
      </c>
      <c r="B561">
        <v>1081</v>
      </c>
      <c r="D561">
        <v>320</v>
      </c>
    </row>
    <row r="562" spans="1:4" x14ac:dyDescent="0.2">
      <c r="A562" s="1">
        <v>46071</v>
      </c>
      <c r="B562">
        <v>2067</v>
      </c>
      <c r="D562">
        <v>835</v>
      </c>
    </row>
    <row r="563" spans="1:4" x14ac:dyDescent="0.2">
      <c r="A563" s="1">
        <v>46071</v>
      </c>
      <c r="B563">
        <v>7001</v>
      </c>
      <c r="D563">
        <v>1471</v>
      </c>
    </row>
    <row r="564" spans="1:4" x14ac:dyDescent="0.2">
      <c r="A564" s="1">
        <v>46071</v>
      </c>
      <c r="B564">
        <v>8031</v>
      </c>
      <c r="D564">
        <v>927</v>
      </c>
    </row>
    <row r="565" spans="1:4" x14ac:dyDescent="0.2">
      <c r="A565" s="1">
        <v>46071</v>
      </c>
      <c r="B565">
        <v>8034</v>
      </c>
      <c r="D565">
        <v>695</v>
      </c>
    </row>
    <row r="566" spans="1:4" x14ac:dyDescent="0.2">
      <c r="A566" s="1">
        <v>46071</v>
      </c>
      <c r="B566">
        <v>13069</v>
      </c>
      <c r="D566">
        <v>970</v>
      </c>
    </row>
    <row r="567" spans="1:4" x14ac:dyDescent="0.2">
      <c r="A567" s="1">
        <v>46071</v>
      </c>
      <c r="B567">
        <v>15020</v>
      </c>
      <c r="D567">
        <v>550</v>
      </c>
    </row>
    <row r="568" spans="1:4" x14ac:dyDescent="0.2">
      <c r="A568" s="1">
        <v>46071</v>
      </c>
      <c r="B568">
        <v>16006</v>
      </c>
      <c r="D568">
        <v>523</v>
      </c>
    </row>
    <row r="569" spans="1:4" x14ac:dyDescent="0.2">
      <c r="A569" s="1">
        <v>46071</v>
      </c>
      <c r="B569">
        <v>16007</v>
      </c>
      <c r="D569">
        <v>695</v>
      </c>
    </row>
    <row r="570" spans="1:4" x14ac:dyDescent="0.2">
      <c r="A570" s="1">
        <v>46071</v>
      </c>
      <c r="B570">
        <v>20095</v>
      </c>
      <c r="D570">
        <v>964</v>
      </c>
    </row>
    <row r="571" spans="1:4" x14ac:dyDescent="0.2">
      <c r="A571" s="1">
        <v>46072</v>
      </c>
      <c r="B571">
        <v>1000</v>
      </c>
      <c r="D571">
        <v>701</v>
      </c>
    </row>
    <row r="572" spans="1:4" x14ac:dyDescent="0.2">
      <c r="A572" s="1">
        <v>46072</v>
      </c>
      <c r="B572">
        <v>1018</v>
      </c>
      <c r="D572">
        <v>908</v>
      </c>
    </row>
    <row r="573" spans="1:4" x14ac:dyDescent="0.2">
      <c r="A573" s="1">
        <v>46072</v>
      </c>
      <c r="B573">
        <v>1054</v>
      </c>
      <c r="D573">
        <v>505</v>
      </c>
    </row>
    <row r="574" spans="1:4" x14ac:dyDescent="0.2">
      <c r="A574" s="1">
        <v>46072</v>
      </c>
      <c r="B574">
        <v>1083</v>
      </c>
      <c r="D574">
        <v>252</v>
      </c>
    </row>
    <row r="575" spans="1:4" x14ac:dyDescent="0.2">
      <c r="A575" s="1">
        <v>46072</v>
      </c>
      <c r="B575">
        <v>2016</v>
      </c>
      <c r="D575">
        <v>278</v>
      </c>
    </row>
    <row r="576" spans="1:4" x14ac:dyDescent="0.2">
      <c r="A576" s="1">
        <v>46072</v>
      </c>
      <c r="B576">
        <v>2021</v>
      </c>
      <c r="D576">
        <v>348</v>
      </c>
    </row>
    <row r="577" spans="1:4" x14ac:dyDescent="0.2">
      <c r="A577" s="1">
        <v>46072</v>
      </c>
      <c r="B577">
        <v>2073</v>
      </c>
      <c r="D577">
        <v>157</v>
      </c>
    </row>
    <row r="578" spans="1:4" x14ac:dyDescent="0.2">
      <c r="A578" s="1">
        <v>46072</v>
      </c>
      <c r="B578">
        <v>2078</v>
      </c>
      <c r="D578">
        <v>276</v>
      </c>
    </row>
    <row r="579" spans="1:4" x14ac:dyDescent="0.2">
      <c r="A579" s="1">
        <v>46072</v>
      </c>
      <c r="B579">
        <v>4009</v>
      </c>
      <c r="D579">
        <v>768</v>
      </c>
    </row>
    <row r="580" spans="1:4" x14ac:dyDescent="0.2">
      <c r="A580" s="1">
        <v>46072</v>
      </c>
      <c r="B580">
        <v>4025</v>
      </c>
      <c r="D580">
        <v>901</v>
      </c>
    </row>
    <row r="581" spans="1:4" x14ac:dyDescent="0.2">
      <c r="A581" s="1">
        <v>46072</v>
      </c>
      <c r="B581">
        <v>4029</v>
      </c>
      <c r="D581">
        <v>2388</v>
      </c>
    </row>
    <row r="582" spans="1:4" x14ac:dyDescent="0.2">
      <c r="A582" s="1">
        <v>46072</v>
      </c>
      <c r="B582">
        <v>10011</v>
      </c>
      <c r="D582">
        <v>367</v>
      </c>
    </row>
    <row r="583" spans="1:4" x14ac:dyDescent="0.2">
      <c r="A583" s="1">
        <v>46072</v>
      </c>
      <c r="B583">
        <v>13011</v>
      </c>
      <c r="D583">
        <v>680</v>
      </c>
    </row>
    <row r="584" spans="1:4" x14ac:dyDescent="0.2">
      <c r="A584" s="1">
        <v>46072</v>
      </c>
      <c r="B584">
        <v>13014</v>
      </c>
      <c r="D584">
        <v>522</v>
      </c>
    </row>
    <row r="585" spans="1:4" x14ac:dyDescent="0.2">
      <c r="A585" s="1">
        <v>46072</v>
      </c>
      <c r="B585">
        <v>15025</v>
      </c>
      <c r="D585">
        <v>600</v>
      </c>
    </row>
    <row r="586" spans="1:4" x14ac:dyDescent="0.2">
      <c r="A586" s="1">
        <v>46072</v>
      </c>
      <c r="B586">
        <v>15051</v>
      </c>
      <c r="D586">
        <v>244</v>
      </c>
    </row>
    <row r="587" spans="1:4" x14ac:dyDescent="0.2">
      <c r="A587" s="1">
        <v>46072</v>
      </c>
      <c r="B587">
        <v>16003</v>
      </c>
      <c r="D587">
        <v>889</v>
      </c>
    </row>
    <row r="588" spans="1:4" x14ac:dyDescent="0.2">
      <c r="A588" s="1">
        <v>46072</v>
      </c>
      <c r="B588">
        <v>20051</v>
      </c>
      <c r="D588">
        <v>281</v>
      </c>
    </row>
    <row r="589" spans="1:4" x14ac:dyDescent="0.2">
      <c r="A589" s="1">
        <v>46072</v>
      </c>
      <c r="B589">
        <v>20081</v>
      </c>
      <c r="D589">
        <v>1008</v>
      </c>
    </row>
    <row r="590" spans="1:4" x14ac:dyDescent="0.2">
      <c r="A590" s="1">
        <v>46072</v>
      </c>
      <c r="B590">
        <v>20088</v>
      </c>
      <c r="D590">
        <v>960</v>
      </c>
    </row>
    <row r="591" spans="1:4" x14ac:dyDescent="0.2">
      <c r="A591" s="1">
        <v>46072</v>
      </c>
      <c r="B591">
        <v>20091</v>
      </c>
      <c r="D591">
        <v>937</v>
      </c>
    </row>
    <row r="592" spans="1:4" x14ac:dyDescent="0.2">
      <c r="A592" s="1">
        <v>46072</v>
      </c>
      <c r="B592">
        <v>22006</v>
      </c>
      <c r="D592">
        <v>639</v>
      </c>
    </row>
    <row r="593" spans="1:4" x14ac:dyDescent="0.2">
      <c r="A593" s="1">
        <v>46073</v>
      </c>
      <c r="B593">
        <v>2038</v>
      </c>
      <c r="D593">
        <v>621</v>
      </c>
    </row>
    <row r="594" spans="1:4" x14ac:dyDescent="0.2">
      <c r="A594" s="1">
        <v>46073</v>
      </c>
      <c r="B594">
        <v>3056</v>
      </c>
      <c r="D594">
        <v>215</v>
      </c>
    </row>
    <row r="595" spans="1:4" x14ac:dyDescent="0.2">
      <c r="A595" s="1">
        <v>46073</v>
      </c>
      <c r="B595">
        <v>4014</v>
      </c>
      <c r="D595">
        <v>188</v>
      </c>
    </row>
    <row r="596" spans="1:4" x14ac:dyDescent="0.2">
      <c r="A596" s="1">
        <v>46073</v>
      </c>
      <c r="B596" t="s">
        <v>13</v>
      </c>
      <c r="D596">
        <v>498</v>
      </c>
    </row>
    <row r="597" spans="1:4" x14ac:dyDescent="0.2">
      <c r="A597" s="1">
        <v>46073</v>
      </c>
      <c r="B597">
        <v>5004</v>
      </c>
      <c r="D597">
        <v>302</v>
      </c>
    </row>
    <row r="598" spans="1:4" x14ac:dyDescent="0.2">
      <c r="A598" s="1">
        <v>46073</v>
      </c>
      <c r="B598">
        <v>6101</v>
      </c>
      <c r="D598">
        <v>504</v>
      </c>
    </row>
    <row r="599" spans="1:4" x14ac:dyDescent="0.2">
      <c r="A599" s="1">
        <v>46073</v>
      </c>
      <c r="B599">
        <v>7053</v>
      </c>
      <c r="D599">
        <v>237</v>
      </c>
    </row>
    <row r="600" spans="1:4" x14ac:dyDescent="0.2">
      <c r="A600" s="1">
        <v>46073</v>
      </c>
      <c r="B600">
        <v>12009</v>
      </c>
      <c r="D600">
        <v>491</v>
      </c>
    </row>
    <row r="601" spans="1:4" x14ac:dyDescent="0.2">
      <c r="A601" s="1">
        <v>46073</v>
      </c>
      <c r="B601">
        <v>12025</v>
      </c>
      <c r="D601">
        <v>533</v>
      </c>
    </row>
    <row r="602" spans="1:4" x14ac:dyDescent="0.2">
      <c r="A602" s="1">
        <v>46073</v>
      </c>
      <c r="B602">
        <v>12050</v>
      </c>
      <c r="D602">
        <v>835</v>
      </c>
    </row>
    <row r="603" spans="1:4" x14ac:dyDescent="0.2">
      <c r="A603" s="1">
        <v>46073</v>
      </c>
      <c r="B603">
        <v>15001</v>
      </c>
      <c r="D603">
        <v>788</v>
      </c>
    </row>
    <row r="604" spans="1:4" x14ac:dyDescent="0.2">
      <c r="A604" s="1">
        <v>46073</v>
      </c>
      <c r="B604">
        <v>16014</v>
      </c>
      <c r="D604">
        <v>1108</v>
      </c>
    </row>
    <row r="605" spans="1:4" x14ac:dyDescent="0.2">
      <c r="A605" s="1">
        <v>46073</v>
      </c>
      <c r="B605">
        <v>19033</v>
      </c>
      <c r="D605">
        <v>178</v>
      </c>
    </row>
    <row r="606" spans="1:4" x14ac:dyDescent="0.2">
      <c r="A606" s="1">
        <v>46073</v>
      </c>
      <c r="B606">
        <v>19035</v>
      </c>
      <c r="D606">
        <v>262</v>
      </c>
    </row>
    <row r="607" spans="1:4" x14ac:dyDescent="0.2">
      <c r="A607" s="1">
        <v>46073</v>
      </c>
      <c r="B607">
        <v>19080</v>
      </c>
      <c r="D607">
        <v>413</v>
      </c>
    </row>
    <row r="608" spans="1:4" x14ac:dyDescent="0.2">
      <c r="A608" s="1">
        <v>46073</v>
      </c>
      <c r="B608">
        <v>19081</v>
      </c>
      <c r="D608">
        <v>489</v>
      </c>
    </row>
    <row r="609" spans="1:4" x14ac:dyDescent="0.2">
      <c r="A609" s="1">
        <v>46073</v>
      </c>
      <c r="B609">
        <v>19082</v>
      </c>
      <c r="D609">
        <v>485</v>
      </c>
    </row>
    <row r="610" spans="1:4" x14ac:dyDescent="0.2">
      <c r="A610" s="1">
        <v>46073</v>
      </c>
      <c r="B610">
        <v>19089</v>
      </c>
      <c r="D610">
        <v>207</v>
      </c>
    </row>
    <row r="611" spans="1:4" x14ac:dyDescent="0.2">
      <c r="A611" s="1">
        <v>46073</v>
      </c>
      <c r="B611">
        <v>19110</v>
      </c>
      <c r="D611">
        <v>463</v>
      </c>
    </row>
    <row r="612" spans="1:4" x14ac:dyDescent="0.2">
      <c r="A612" s="1">
        <v>46073</v>
      </c>
      <c r="B612">
        <v>19117</v>
      </c>
      <c r="D612">
        <v>377</v>
      </c>
    </row>
    <row r="613" spans="1:4" x14ac:dyDescent="0.2">
      <c r="A613" s="1">
        <v>46073</v>
      </c>
      <c r="B613">
        <v>19123</v>
      </c>
      <c r="D613">
        <v>463</v>
      </c>
    </row>
    <row r="614" spans="1:4" x14ac:dyDescent="0.2">
      <c r="A614" s="1">
        <v>46074</v>
      </c>
      <c r="B614">
        <v>4037</v>
      </c>
      <c r="D614">
        <v>361</v>
      </c>
    </row>
    <row r="615" spans="1:4" x14ac:dyDescent="0.2">
      <c r="A615" s="1">
        <v>46074</v>
      </c>
      <c r="B615">
        <v>5006</v>
      </c>
      <c r="D615">
        <v>421</v>
      </c>
    </row>
    <row r="616" spans="1:4" x14ac:dyDescent="0.2">
      <c r="A616" s="1">
        <v>46074</v>
      </c>
      <c r="B616">
        <v>10001</v>
      </c>
      <c r="D616">
        <v>815</v>
      </c>
    </row>
    <row r="617" spans="1:4" x14ac:dyDescent="0.2">
      <c r="A617" s="1">
        <v>46074</v>
      </c>
      <c r="B617">
        <v>11005</v>
      </c>
      <c r="D617">
        <v>767</v>
      </c>
    </row>
    <row r="618" spans="1:4" x14ac:dyDescent="0.2">
      <c r="A618" s="1">
        <v>46074</v>
      </c>
      <c r="B618">
        <v>12021</v>
      </c>
      <c r="D618">
        <v>360</v>
      </c>
    </row>
    <row r="619" spans="1:4" x14ac:dyDescent="0.2">
      <c r="A619" s="1">
        <v>46074</v>
      </c>
      <c r="B619">
        <v>13057</v>
      </c>
      <c r="D619">
        <v>701</v>
      </c>
    </row>
    <row r="620" spans="1:4" x14ac:dyDescent="0.2">
      <c r="A620" s="1">
        <v>46074</v>
      </c>
      <c r="B620">
        <v>15032</v>
      </c>
      <c r="D620">
        <v>483</v>
      </c>
    </row>
    <row r="621" spans="1:4" x14ac:dyDescent="0.2">
      <c r="A621" s="1">
        <v>46074</v>
      </c>
      <c r="B621">
        <v>16009</v>
      </c>
      <c r="D621">
        <v>1158</v>
      </c>
    </row>
    <row r="622" spans="1:4" x14ac:dyDescent="0.2">
      <c r="A622" s="1">
        <v>46074</v>
      </c>
      <c r="B622">
        <v>16019</v>
      </c>
      <c r="D622">
        <v>785</v>
      </c>
    </row>
    <row r="623" spans="1:4" x14ac:dyDescent="0.2">
      <c r="A623" s="1">
        <v>46076</v>
      </c>
      <c r="B623">
        <v>1013</v>
      </c>
      <c r="D623">
        <v>750</v>
      </c>
    </row>
    <row r="624" spans="1:4" x14ac:dyDescent="0.2">
      <c r="A624" s="1">
        <v>46076</v>
      </c>
      <c r="B624">
        <v>2017</v>
      </c>
      <c r="D624">
        <v>716</v>
      </c>
    </row>
    <row r="625" spans="1:4" x14ac:dyDescent="0.2">
      <c r="A625" s="1">
        <v>46076</v>
      </c>
      <c r="B625">
        <v>2023</v>
      </c>
      <c r="D625">
        <v>487</v>
      </c>
    </row>
    <row r="626" spans="1:4" x14ac:dyDescent="0.2">
      <c r="A626" s="1">
        <v>46076</v>
      </c>
      <c r="B626">
        <v>13013</v>
      </c>
      <c r="D626">
        <v>905</v>
      </c>
    </row>
    <row r="627" spans="1:4" x14ac:dyDescent="0.2">
      <c r="A627" s="1">
        <v>46076</v>
      </c>
      <c r="B627">
        <v>16005</v>
      </c>
      <c r="D627">
        <v>751</v>
      </c>
    </row>
    <row r="628" spans="1:4" x14ac:dyDescent="0.2">
      <c r="A628" s="1">
        <v>46076</v>
      </c>
      <c r="B628">
        <v>16008</v>
      </c>
      <c r="D628">
        <v>855</v>
      </c>
    </row>
    <row r="629" spans="1:4" x14ac:dyDescent="0.2">
      <c r="A629" s="1">
        <v>46076</v>
      </c>
      <c r="B629">
        <v>16015</v>
      </c>
      <c r="D629">
        <v>359</v>
      </c>
    </row>
    <row r="630" spans="1:4" x14ac:dyDescent="0.2">
      <c r="A630" s="1">
        <v>46077</v>
      </c>
      <c r="B630">
        <v>1081</v>
      </c>
      <c r="D630">
        <v>261</v>
      </c>
    </row>
    <row r="631" spans="1:4" x14ac:dyDescent="0.2">
      <c r="A631" s="1">
        <v>46077</v>
      </c>
      <c r="B631">
        <v>3021</v>
      </c>
      <c r="D631">
        <v>218</v>
      </c>
    </row>
    <row r="632" spans="1:4" x14ac:dyDescent="0.2">
      <c r="A632" s="1">
        <v>46077</v>
      </c>
      <c r="B632">
        <v>5018</v>
      </c>
      <c r="D632">
        <v>201</v>
      </c>
    </row>
    <row r="633" spans="1:4" x14ac:dyDescent="0.2">
      <c r="A633" s="1">
        <v>46077</v>
      </c>
      <c r="B633">
        <v>6109</v>
      </c>
      <c r="D633">
        <v>479</v>
      </c>
    </row>
    <row r="634" spans="1:4" x14ac:dyDescent="0.2">
      <c r="A634" s="1">
        <v>46077</v>
      </c>
      <c r="B634">
        <v>7052</v>
      </c>
      <c r="D634">
        <v>300</v>
      </c>
    </row>
    <row r="635" spans="1:4" x14ac:dyDescent="0.2">
      <c r="A635" s="1">
        <v>46077</v>
      </c>
      <c r="B635">
        <v>11013</v>
      </c>
      <c r="D635">
        <v>954</v>
      </c>
    </row>
    <row r="636" spans="1:4" x14ac:dyDescent="0.2">
      <c r="A636" s="1">
        <v>46077</v>
      </c>
      <c r="B636">
        <v>12053</v>
      </c>
      <c r="D636">
        <v>1083</v>
      </c>
    </row>
    <row r="637" spans="1:4" x14ac:dyDescent="0.2">
      <c r="A637" s="1">
        <v>46077</v>
      </c>
      <c r="B637">
        <v>13015</v>
      </c>
      <c r="D637">
        <v>722</v>
      </c>
    </row>
    <row r="638" spans="1:4" x14ac:dyDescent="0.2">
      <c r="A638" s="1">
        <v>46077</v>
      </c>
      <c r="B638">
        <v>14009</v>
      </c>
      <c r="D638">
        <v>912</v>
      </c>
    </row>
    <row r="639" spans="1:4" x14ac:dyDescent="0.2">
      <c r="A639" s="1">
        <v>46077</v>
      </c>
      <c r="B639">
        <v>18001</v>
      </c>
      <c r="D639">
        <v>629</v>
      </c>
    </row>
    <row r="640" spans="1:4" x14ac:dyDescent="0.2">
      <c r="A640" s="1">
        <v>46077</v>
      </c>
      <c r="B640">
        <v>18003</v>
      </c>
      <c r="D640">
        <v>353</v>
      </c>
    </row>
    <row r="641" spans="1:4" x14ac:dyDescent="0.2">
      <c r="A641" s="1">
        <v>46077</v>
      </c>
      <c r="B641">
        <v>18004</v>
      </c>
      <c r="D641">
        <v>801</v>
      </c>
    </row>
    <row r="642" spans="1:4" x14ac:dyDescent="0.2">
      <c r="A642" s="1">
        <v>46077</v>
      </c>
      <c r="B642">
        <v>18051</v>
      </c>
      <c r="D642">
        <v>894</v>
      </c>
    </row>
    <row r="643" spans="1:4" x14ac:dyDescent="0.2">
      <c r="A643" s="1">
        <v>46077</v>
      </c>
      <c r="B643">
        <v>18054</v>
      </c>
      <c r="D643">
        <v>962</v>
      </c>
    </row>
    <row r="644" spans="1:4" x14ac:dyDescent="0.2">
      <c r="A644" s="1">
        <v>46077</v>
      </c>
      <c r="B644">
        <v>19077</v>
      </c>
      <c r="D644">
        <v>957</v>
      </c>
    </row>
    <row r="645" spans="1:4" x14ac:dyDescent="0.2">
      <c r="A645" s="1">
        <v>46077</v>
      </c>
      <c r="B645">
        <v>19110</v>
      </c>
      <c r="D645">
        <v>1248</v>
      </c>
    </row>
    <row r="646" spans="1:4" x14ac:dyDescent="0.2">
      <c r="A646" s="1">
        <v>46077</v>
      </c>
      <c r="B646">
        <v>20090</v>
      </c>
      <c r="D646">
        <v>871</v>
      </c>
    </row>
    <row r="647" spans="1:4" x14ac:dyDescent="0.2">
      <c r="A647" s="1">
        <v>46077</v>
      </c>
      <c r="B647">
        <v>20093</v>
      </c>
      <c r="D647">
        <v>1004</v>
      </c>
    </row>
    <row r="648" spans="1:4" x14ac:dyDescent="0.2">
      <c r="A648" s="1">
        <v>46077</v>
      </c>
      <c r="B648">
        <v>20094</v>
      </c>
      <c r="D648">
        <v>735</v>
      </c>
    </row>
    <row r="649" spans="1:4" x14ac:dyDescent="0.2">
      <c r="A649" s="1">
        <v>46077</v>
      </c>
      <c r="B649">
        <v>20098</v>
      </c>
      <c r="D649">
        <v>1041</v>
      </c>
    </row>
    <row r="650" spans="1:4" x14ac:dyDescent="0.2">
      <c r="A650" s="1">
        <v>46078</v>
      </c>
      <c r="B650">
        <v>1014</v>
      </c>
      <c r="D650">
        <v>641</v>
      </c>
    </row>
    <row r="651" spans="1:4" x14ac:dyDescent="0.2">
      <c r="A651" s="1">
        <v>46078</v>
      </c>
      <c r="B651">
        <v>1083</v>
      </c>
      <c r="D651">
        <v>242</v>
      </c>
    </row>
    <row r="652" spans="1:4" x14ac:dyDescent="0.2">
      <c r="A652" s="1">
        <v>46078</v>
      </c>
      <c r="B652">
        <v>2045</v>
      </c>
      <c r="D652">
        <v>288</v>
      </c>
    </row>
    <row r="653" spans="1:4" x14ac:dyDescent="0.2">
      <c r="A653" s="1">
        <v>46078</v>
      </c>
      <c r="B653">
        <v>4026</v>
      </c>
      <c r="D653">
        <v>219</v>
      </c>
    </row>
    <row r="654" spans="1:4" x14ac:dyDescent="0.2">
      <c r="A654" s="1">
        <v>46078</v>
      </c>
      <c r="B654">
        <v>7002</v>
      </c>
      <c r="D654">
        <v>361</v>
      </c>
    </row>
    <row r="655" spans="1:4" x14ac:dyDescent="0.2">
      <c r="A655" s="1">
        <v>46078</v>
      </c>
      <c r="B655">
        <v>8031</v>
      </c>
      <c r="D655">
        <v>1055</v>
      </c>
    </row>
    <row r="656" spans="1:4" x14ac:dyDescent="0.2">
      <c r="A656" s="1">
        <v>46078</v>
      </c>
      <c r="B656">
        <v>8034</v>
      </c>
      <c r="D656">
        <v>694</v>
      </c>
    </row>
    <row r="657" spans="1:4" x14ac:dyDescent="0.2">
      <c r="A657" s="1">
        <v>46078</v>
      </c>
      <c r="B657">
        <v>11014</v>
      </c>
      <c r="D657">
        <v>249</v>
      </c>
    </row>
    <row r="658" spans="1:4" x14ac:dyDescent="0.2">
      <c r="A658" s="1">
        <v>46078</v>
      </c>
      <c r="B658">
        <v>13012</v>
      </c>
      <c r="D658">
        <v>664</v>
      </c>
    </row>
    <row r="659" spans="1:4" x14ac:dyDescent="0.2">
      <c r="A659" s="1">
        <v>46078</v>
      </c>
      <c r="B659">
        <v>15002</v>
      </c>
      <c r="D659">
        <v>451</v>
      </c>
    </row>
    <row r="660" spans="1:4" x14ac:dyDescent="0.2">
      <c r="A660" s="1">
        <v>46078</v>
      </c>
      <c r="B660">
        <v>15009</v>
      </c>
      <c r="D660">
        <v>386</v>
      </c>
    </row>
    <row r="661" spans="1:4" x14ac:dyDescent="0.2">
      <c r="A661" s="1">
        <v>46078</v>
      </c>
      <c r="B661">
        <v>15015</v>
      </c>
      <c r="D661">
        <v>310</v>
      </c>
    </row>
    <row r="662" spans="1:4" x14ac:dyDescent="0.2">
      <c r="A662" s="1">
        <v>46078</v>
      </c>
      <c r="B662">
        <v>15023</v>
      </c>
      <c r="D662">
        <v>574</v>
      </c>
    </row>
    <row r="663" spans="1:4" x14ac:dyDescent="0.2">
      <c r="A663" s="1">
        <v>46078</v>
      </c>
      <c r="B663">
        <v>15035</v>
      </c>
      <c r="D663">
        <v>1165</v>
      </c>
    </row>
    <row r="664" spans="1:4" x14ac:dyDescent="0.2">
      <c r="A664" s="1">
        <v>46078</v>
      </c>
      <c r="B664">
        <v>15051</v>
      </c>
      <c r="D664">
        <v>213</v>
      </c>
    </row>
    <row r="665" spans="1:4" x14ac:dyDescent="0.2">
      <c r="A665" s="1">
        <v>46078</v>
      </c>
      <c r="B665">
        <v>16004</v>
      </c>
      <c r="D665">
        <v>827</v>
      </c>
    </row>
    <row r="666" spans="1:4" x14ac:dyDescent="0.2">
      <c r="A666" s="1">
        <v>46078</v>
      </c>
      <c r="B666">
        <v>16010</v>
      </c>
      <c r="D666">
        <v>1464</v>
      </c>
    </row>
    <row r="667" spans="1:4" x14ac:dyDescent="0.2">
      <c r="A667" s="1">
        <v>46078</v>
      </c>
      <c r="B667">
        <v>16051</v>
      </c>
      <c r="D667">
        <v>1909</v>
      </c>
    </row>
    <row r="668" spans="1:4" x14ac:dyDescent="0.2">
      <c r="A668" s="1">
        <v>46078</v>
      </c>
      <c r="B668">
        <v>19022</v>
      </c>
      <c r="D668">
        <v>830</v>
      </c>
    </row>
    <row r="669" spans="1:4" x14ac:dyDescent="0.2">
      <c r="A669" s="1">
        <v>46078</v>
      </c>
      <c r="B669">
        <v>19035</v>
      </c>
      <c r="D669">
        <v>262</v>
      </c>
    </row>
    <row r="670" spans="1:4" x14ac:dyDescent="0.2">
      <c r="A670" s="1">
        <v>46078</v>
      </c>
      <c r="B670">
        <v>19039</v>
      </c>
      <c r="D670">
        <v>512</v>
      </c>
    </row>
    <row r="671" spans="1:4" x14ac:dyDescent="0.2">
      <c r="A671" s="1">
        <v>46078</v>
      </c>
      <c r="B671">
        <v>20077</v>
      </c>
      <c r="D671">
        <v>294</v>
      </c>
    </row>
    <row r="672" spans="1:4" x14ac:dyDescent="0.2">
      <c r="A672" s="1">
        <v>46079</v>
      </c>
      <c r="B672">
        <v>2016</v>
      </c>
      <c r="D672">
        <v>309</v>
      </c>
    </row>
    <row r="673" spans="1:4" x14ac:dyDescent="0.2">
      <c r="A673" s="1">
        <v>46079</v>
      </c>
      <c r="B673">
        <v>2021</v>
      </c>
      <c r="D673">
        <v>285</v>
      </c>
    </row>
    <row r="674" spans="1:4" x14ac:dyDescent="0.2">
      <c r="A674" s="1">
        <v>46079</v>
      </c>
      <c r="B674">
        <v>3063</v>
      </c>
      <c r="D674">
        <v>1430</v>
      </c>
    </row>
    <row r="675" spans="1:4" x14ac:dyDescent="0.2">
      <c r="A675" s="1">
        <v>46079</v>
      </c>
      <c r="B675">
        <v>3064</v>
      </c>
      <c r="D675">
        <v>562</v>
      </c>
    </row>
    <row r="676" spans="1:4" x14ac:dyDescent="0.2">
      <c r="A676" s="1">
        <v>46079</v>
      </c>
      <c r="B676">
        <v>4010</v>
      </c>
      <c r="D676">
        <v>492</v>
      </c>
    </row>
    <row r="677" spans="1:4" x14ac:dyDescent="0.2">
      <c r="A677" s="1">
        <v>46079</v>
      </c>
      <c r="B677">
        <v>4029</v>
      </c>
      <c r="D677">
        <v>1715</v>
      </c>
    </row>
    <row r="678" spans="1:4" x14ac:dyDescent="0.2">
      <c r="A678" s="1">
        <v>46079</v>
      </c>
      <c r="B678">
        <v>7053</v>
      </c>
      <c r="D678">
        <v>206</v>
      </c>
    </row>
    <row r="679" spans="1:4" x14ac:dyDescent="0.2">
      <c r="A679" s="1">
        <v>46079</v>
      </c>
      <c r="B679">
        <v>15016</v>
      </c>
      <c r="D679">
        <v>500</v>
      </c>
    </row>
    <row r="680" spans="1:4" x14ac:dyDescent="0.2">
      <c r="A680" s="1">
        <v>46079</v>
      </c>
      <c r="B680">
        <v>15018</v>
      </c>
      <c r="D680">
        <v>479</v>
      </c>
    </row>
    <row r="681" spans="1:4" x14ac:dyDescent="0.2">
      <c r="A681" s="1">
        <v>46079</v>
      </c>
      <c r="B681">
        <v>16007</v>
      </c>
      <c r="D681">
        <v>404</v>
      </c>
    </row>
    <row r="682" spans="1:4" x14ac:dyDescent="0.2">
      <c r="A682" s="1">
        <v>46079</v>
      </c>
      <c r="B682">
        <v>19031</v>
      </c>
      <c r="D682">
        <v>697</v>
      </c>
    </row>
    <row r="683" spans="1:4" x14ac:dyDescent="0.2">
      <c r="A683" s="1">
        <v>46079</v>
      </c>
      <c r="B683">
        <v>20051</v>
      </c>
      <c r="D683">
        <v>191</v>
      </c>
    </row>
    <row r="684" spans="1:4" x14ac:dyDescent="0.2">
      <c r="A684" s="1">
        <v>46079</v>
      </c>
      <c r="B684">
        <v>21001</v>
      </c>
      <c r="D684">
        <v>781</v>
      </c>
    </row>
    <row r="685" spans="1:4" x14ac:dyDescent="0.2">
      <c r="A685" s="1">
        <v>46080</v>
      </c>
      <c r="B685">
        <v>1001</v>
      </c>
      <c r="D685">
        <v>695</v>
      </c>
    </row>
    <row r="686" spans="1:4" x14ac:dyDescent="0.2">
      <c r="A686" s="1">
        <v>46080</v>
      </c>
      <c r="B686">
        <v>2038</v>
      </c>
      <c r="D686">
        <v>455</v>
      </c>
    </row>
    <row r="687" spans="1:4" x14ac:dyDescent="0.2">
      <c r="A687" s="1">
        <v>46080</v>
      </c>
      <c r="B687">
        <v>2053</v>
      </c>
      <c r="D687">
        <v>764</v>
      </c>
    </row>
    <row r="688" spans="1:4" x14ac:dyDescent="0.2">
      <c r="A688" s="1">
        <v>46080</v>
      </c>
      <c r="B688">
        <v>2067</v>
      </c>
      <c r="D688">
        <v>786</v>
      </c>
    </row>
    <row r="689" spans="1:4" x14ac:dyDescent="0.2">
      <c r="A689" s="1">
        <v>46080</v>
      </c>
      <c r="B689">
        <v>2073</v>
      </c>
      <c r="D689">
        <v>274</v>
      </c>
    </row>
    <row r="690" spans="1:4" x14ac:dyDescent="0.2">
      <c r="A690" s="1">
        <v>46080</v>
      </c>
      <c r="B690">
        <v>5006</v>
      </c>
      <c r="D690">
        <v>326</v>
      </c>
    </row>
    <row r="691" spans="1:4" x14ac:dyDescent="0.2">
      <c r="A691" s="1">
        <v>46080</v>
      </c>
      <c r="B691">
        <v>6077</v>
      </c>
      <c r="D691">
        <v>1655</v>
      </c>
    </row>
    <row r="692" spans="1:4" x14ac:dyDescent="0.2">
      <c r="A692" s="1">
        <v>46080</v>
      </c>
      <c r="B692">
        <v>6101</v>
      </c>
      <c r="D692">
        <v>548</v>
      </c>
    </row>
    <row r="693" spans="1:4" x14ac:dyDescent="0.2">
      <c r="A693" s="1">
        <v>46080</v>
      </c>
      <c r="B693">
        <v>8005</v>
      </c>
      <c r="D693">
        <v>946</v>
      </c>
    </row>
    <row r="694" spans="1:4" x14ac:dyDescent="0.2">
      <c r="A694" s="1">
        <v>46080</v>
      </c>
      <c r="B694">
        <v>12047</v>
      </c>
      <c r="D694">
        <v>578</v>
      </c>
    </row>
    <row r="695" spans="1:4" x14ac:dyDescent="0.2">
      <c r="A695" s="1">
        <v>46080</v>
      </c>
      <c r="B695">
        <v>12048</v>
      </c>
      <c r="D695">
        <v>850</v>
      </c>
    </row>
    <row r="696" spans="1:4" x14ac:dyDescent="0.2">
      <c r="A696" s="1">
        <v>46080</v>
      </c>
      <c r="B696">
        <v>12055</v>
      </c>
      <c r="D696">
        <v>914</v>
      </c>
    </row>
    <row r="697" spans="1:4" x14ac:dyDescent="0.2">
      <c r="A697" s="1">
        <v>46080</v>
      </c>
      <c r="B697">
        <v>13009</v>
      </c>
      <c r="D697">
        <v>1068</v>
      </c>
    </row>
    <row r="698" spans="1:4" x14ac:dyDescent="0.2">
      <c r="A698" s="1">
        <v>46080</v>
      </c>
      <c r="B698">
        <v>13086</v>
      </c>
      <c r="D698">
        <v>342</v>
      </c>
    </row>
    <row r="699" spans="1:4" x14ac:dyDescent="0.2">
      <c r="A699" s="1">
        <v>46080</v>
      </c>
      <c r="B699">
        <v>15000</v>
      </c>
      <c r="D699">
        <v>851</v>
      </c>
    </row>
    <row r="700" spans="1:4" x14ac:dyDescent="0.2">
      <c r="A700" s="1">
        <v>46080</v>
      </c>
      <c r="B700">
        <v>15027</v>
      </c>
      <c r="D700">
        <v>615</v>
      </c>
    </row>
    <row r="701" spans="1:4" x14ac:dyDescent="0.2">
      <c r="A701" s="1">
        <v>46080</v>
      </c>
      <c r="B701">
        <v>16003</v>
      </c>
      <c r="D701">
        <v>676</v>
      </c>
    </row>
    <row r="702" spans="1:4" x14ac:dyDescent="0.2">
      <c r="A702" s="1">
        <v>46080</v>
      </c>
      <c r="B702">
        <v>16006</v>
      </c>
      <c r="D702">
        <v>793</v>
      </c>
    </row>
    <row r="703" spans="1:4" x14ac:dyDescent="0.2">
      <c r="A703" s="1">
        <v>46080</v>
      </c>
      <c r="B703">
        <v>19033</v>
      </c>
      <c r="D703">
        <v>193</v>
      </c>
    </row>
    <row r="704" spans="1:4" x14ac:dyDescent="0.2">
      <c r="A704" s="1">
        <v>46080</v>
      </c>
      <c r="B704">
        <v>19110</v>
      </c>
      <c r="D704">
        <v>102</v>
      </c>
    </row>
    <row r="705" spans="1:4" x14ac:dyDescent="0.2">
      <c r="A705" s="1">
        <v>46080</v>
      </c>
      <c r="B705">
        <v>19119</v>
      </c>
      <c r="D705">
        <v>437</v>
      </c>
    </row>
    <row r="706" spans="1:4" x14ac:dyDescent="0.2">
      <c r="A706" s="1">
        <v>46080</v>
      </c>
      <c r="B706">
        <v>19123</v>
      </c>
      <c r="D706">
        <v>102</v>
      </c>
    </row>
    <row r="707" spans="1:4" x14ac:dyDescent="0.2">
      <c r="A707" s="1">
        <v>46081</v>
      </c>
      <c r="B707">
        <v>1000</v>
      </c>
      <c r="D707">
        <v>586</v>
      </c>
    </row>
    <row r="708" spans="1:4" x14ac:dyDescent="0.2">
      <c r="A708" s="1">
        <v>46081</v>
      </c>
      <c r="B708">
        <v>1018</v>
      </c>
      <c r="D708">
        <v>766</v>
      </c>
    </row>
    <row r="709" spans="1:4" x14ac:dyDescent="0.2">
      <c r="A709" s="1">
        <v>46081</v>
      </c>
      <c r="B709">
        <v>1057</v>
      </c>
      <c r="D709">
        <v>738</v>
      </c>
    </row>
    <row r="710" spans="1:4" x14ac:dyDescent="0.2">
      <c r="A710" s="1">
        <v>46081</v>
      </c>
      <c r="B710">
        <v>2023</v>
      </c>
      <c r="D710">
        <v>829</v>
      </c>
    </row>
    <row r="711" spans="1:4" x14ac:dyDescent="0.2">
      <c r="A711" s="1">
        <v>46081</v>
      </c>
      <c r="B711">
        <v>15021</v>
      </c>
      <c r="D711">
        <v>328</v>
      </c>
    </row>
    <row r="712" spans="1:4" x14ac:dyDescent="0.2">
      <c r="A712" s="1">
        <v>46081</v>
      </c>
      <c r="B712">
        <v>15028</v>
      </c>
      <c r="D712">
        <v>598</v>
      </c>
    </row>
    <row r="713" spans="1:4" x14ac:dyDescent="0.2">
      <c r="A713" s="1">
        <v>46081</v>
      </c>
      <c r="B713">
        <v>15033</v>
      </c>
      <c r="D713">
        <v>346</v>
      </c>
    </row>
    <row r="714" spans="1:4" x14ac:dyDescent="0.2">
      <c r="A714" s="1">
        <v>46081</v>
      </c>
      <c r="B714">
        <v>16015</v>
      </c>
      <c r="D714">
        <v>1377</v>
      </c>
    </row>
    <row r="715" spans="1:4" x14ac:dyDescent="0.2">
      <c r="A715" s="1">
        <v>46081</v>
      </c>
      <c r="B715">
        <v>16027</v>
      </c>
      <c r="D715">
        <v>649</v>
      </c>
    </row>
    <row r="716" spans="1:4" x14ac:dyDescent="0.2">
      <c r="A716" s="1">
        <v>46081</v>
      </c>
      <c r="B716">
        <v>20019</v>
      </c>
      <c r="D716">
        <v>819</v>
      </c>
    </row>
    <row r="717" spans="1:4" x14ac:dyDescent="0.2">
      <c r="A717" s="1">
        <v>46081</v>
      </c>
      <c r="B717">
        <v>20097</v>
      </c>
      <c r="D717">
        <v>928</v>
      </c>
    </row>
    <row r="718" spans="1:4" x14ac:dyDescent="0.2">
      <c r="A718" s="1">
        <v>46083</v>
      </c>
      <c r="B718">
        <v>8031</v>
      </c>
      <c r="D718">
        <v>1012</v>
      </c>
    </row>
    <row r="719" spans="1:4" x14ac:dyDescent="0.2">
      <c r="A719" s="1">
        <v>46083</v>
      </c>
      <c r="B719">
        <v>8034</v>
      </c>
      <c r="D719">
        <v>553</v>
      </c>
    </row>
    <row r="720" spans="1:4" x14ac:dyDescent="0.2">
      <c r="A720" s="1">
        <v>46083</v>
      </c>
      <c r="B720">
        <v>13061</v>
      </c>
      <c r="D720">
        <v>295</v>
      </c>
    </row>
    <row r="721" spans="1:4" x14ac:dyDescent="0.2">
      <c r="A721" s="1">
        <v>46083</v>
      </c>
      <c r="B721">
        <v>20077</v>
      </c>
      <c r="D721">
        <v>260</v>
      </c>
    </row>
    <row r="722" spans="1:4" x14ac:dyDescent="0.2">
      <c r="A722" s="1">
        <v>46084</v>
      </c>
      <c r="B722">
        <v>1</v>
      </c>
      <c r="D722">
        <v>200</v>
      </c>
    </row>
    <row r="723" spans="1:4" x14ac:dyDescent="0.2">
      <c r="A723" s="1">
        <v>46084</v>
      </c>
      <c r="B723">
        <v>1011</v>
      </c>
      <c r="D723">
        <v>963</v>
      </c>
    </row>
    <row r="724" spans="1:4" x14ac:dyDescent="0.2">
      <c r="A724" s="1">
        <v>46084</v>
      </c>
      <c r="B724">
        <v>1063</v>
      </c>
      <c r="D724">
        <v>629</v>
      </c>
    </row>
    <row r="725" spans="1:4" x14ac:dyDescent="0.2">
      <c r="A725" s="1">
        <v>46084</v>
      </c>
      <c r="B725">
        <v>1081</v>
      </c>
      <c r="D725">
        <v>359</v>
      </c>
    </row>
    <row r="726" spans="1:4" x14ac:dyDescent="0.2">
      <c r="A726" s="1">
        <v>46084</v>
      </c>
      <c r="B726">
        <v>2017</v>
      </c>
      <c r="D726">
        <v>608</v>
      </c>
    </row>
    <row r="727" spans="1:4" x14ac:dyDescent="0.2">
      <c r="A727" s="1">
        <v>46084</v>
      </c>
      <c r="B727">
        <v>3046</v>
      </c>
      <c r="D727">
        <v>748</v>
      </c>
    </row>
    <row r="728" spans="1:4" x14ac:dyDescent="0.2">
      <c r="A728" s="1">
        <v>46084</v>
      </c>
      <c r="B728">
        <v>6109</v>
      </c>
      <c r="D728">
        <v>490</v>
      </c>
    </row>
    <row r="729" spans="1:4" x14ac:dyDescent="0.2">
      <c r="A729" s="1">
        <v>46084</v>
      </c>
      <c r="B729">
        <v>12051</v>
      </c>
      <c r="D729">
        <v>982</v>
      </c>
    </row>
    <row r="730" spans="1:4" x14ac:dyDescent="0.2">
      <c r="A730" s="1">
        <v>46084</v>
      </c>
      <c r="B730">
        <v>13013</v>
      </c>
      <c r="D730">
        <v>1116</v>
      </c>
    </row>
    <row r="731" spans="1:4" x14ac:dyDescent="0.2">
      <c r="A731" s="1">
        <v>46084</v>
      </c>
      <c r="B731">
        <v>15001</v>
      </c>
      <c r="D731">
        <v>990</v>
      </c>
    </row>
    <row r="732" spans="1:4" x14ac:dyDescent="0.2">
      <c r="A732" s="1">
        <v>46084</v>
      </c>
      <c r="B732">
        <v>15005</v>
      </c>
      <c r="D732">
        <v>655</v>
      </c>
    </row>
    <row r="733" spans="1:4" x14ac:dyDescent="0.2">
      <c r="A733" s="1">
        <v>46084</v>
      </c>
      <c r="B733">
        <v>15007</v>
      </c>
      <c r="D733">
        <v>1037</v>
      </c>
    </row>
    <row r="734" spans="1:4" x14ac:dyDescent="0.2">
      <c r="A734" s="1">
        <v>46084</v>
      </c>
      <c r="B734">
        <v>15025</v>
      </c>
      <c r="D734">
        <v>460</v>
      </c>
    </row>
    <row r="735" spans="1:4" x14ac:dyDescent="0.2">
      <c r="A735" s="1">
        <v>46084</v>
      </c>
      <c r="B735">
        <v>16005</v>
      </c>
      <c r="D735">
        <v>875</v>
      </c>
    </row>
    <row r="736" spans="1:4" x14ac:dyDescent="0.2">
      <c r="A736" s="1">
        <v>46084</v>
      </c>
      <c r="B736">
        <v>16008</v>
      </c>
      <c r="D736">
        <v>907</v>
      </c>
    </row>
    <row r="737" spans="1:4" x14ac:dyDescent="0.2">
      <c r="A737" s="1">
        <v>46084</v>
      </c>
      <c r="B737">
        <v>16009</v>
      </c>
      <c r="D737">
        <v>1282</v>
      </c>
    </row>
    <row r="738" spans="1:4" x14ac:dyDescent="0.2">
      <c r="A738" s="1">
        <v>46084</v>
      </c>
      <c r="B738">
        <v>20013</v>
      </c>
      <c r="D738">
        <v>874</v>
      </c>
    </row>
    <row r="739" spans="1:4" x14ac:dyDescent="0.2">
      <c r="A739" s="1">
        <v>46084</v>
      </c>
      <c r="B739">
        <v>20088</v>
      </c>
      <c r="D739">
        <v>1047</v>
      </c>
    </row>
    <row r="740" spans="1:4" x14ac:dyDescent="0.2">
      <c r="A740" s="1">
        <v>46084</v>
      </c>
      <c r="B740">
        <v>20092</v>
      </c>
      <c r="D740">
        <v>920</v>
      </c>
    </row>
    <row r="741" spans="1:4" x14ac:dyDescent="0.2">
      <c r="A741" s="1">
        <v>46085</v>
      </c>
      <c r="B741" t="s">
        <v>13</v>
      </c>
      <c r="D741">
        <v>400</v>
      </c>
    </row>
    <row r="742" spans="1:4" x14ac:dyDescent="0.2">
      <c r="A742" s="1">
        <v>46085</v>
      </c>
      <c r="B742">
        <v>4027</v>
      </c>
      <c r="D742">
        <v>803</v>
      </c>
    </row>
    <row r="743" spans="1:4" x14ac:dyDescent="0.2">
      <c r="A743" s="1">
        <v>46085</v>
      </c>
      <c r="B743">
        <v>10001</v>
      </c>
      <c r="D743">
        <v>939</v>
      </c>
    </row>
    <row r="744" spans="1:4" x14ac:dyDescent="0.2">
      <c r="A744" s="1">
        <v>46085</v>
      </c>
      <c r="B744">
        <v>13011</v>
      </c>
      <c r="D744">
        <v>624</v>
      </c>
    </row>
    <row r="745" spans="1:4" x14ac:dyDescent="0.2">
      <c r="A745" s="1">
        <v>46085</v>
      </c>
      <c r="B745">
        <v>13015</v>
      </c>
      <c r="D745">
        <v>745</v>
      </c>
    </row>
    <row r="746" spans="1:4" x14ac:dyDescent="0.2">
      <c r="A746" s="1">
        <v>46085</v>
      </c>
      <c r="B746">
        <v>14008</v>
      </c>
      <c r="D746">
        <v>1425</v>
      </c>
    </row>
    <row r="747" spans="1:4" x14ac:dyDescent="0.2">
      <c r="A747" s="1">
        <v>46085</v>
      </c>
      <c r="B747">
        <v>15009</v>
      </c>
      <c r="D747">
        <v>305</v>
      </c>
    </row>
    <row r="748" spans="1:4" x14ac:dyDescent="0.2">
      <c r="A748" s="1">
        <v>46085</v>
      </c>
      <c r="B748">
        <v>15026</v>
      </c>
      <c r="D748">
        <v>386</v>
      </c>
    </row>
    <row r="749" spans="1:4" x14ac:dyDescent="0.2">
      <c r="A749" s="1">
        <v>46085</v>
      </c>
      <c r="B749">
        <v>15035</v>
      </c>
      <c r="D749">
        <v>1389</v>
      </c>
    </row>
    <row r="750" spans="1:4" x14ac:dyDescent="0.2">
      <c r="A750" s="1">
        <v>46085</v>
      </c>
      <c r="B750">
        <v>15041</v>
      </c>
      <c r="D750">
        <v>425</v>
      </c>
    </row>
    <row r="751" spans="1:4" x14ac:dyDescent="0.2">
      <c r="A751" s="1">
        <v>46085</v>
      </c>
      <c r="B751">
        <v>16007</v>
      </c>
      <c r="D751">
        <v>254</v>
      </c>
    </row>
    <row r="752" spans="1:4" x14ac:dyDescent="0.2">
      <c r="A752" s="1">
        <v>46085</v>
      </c>
      <c r="B752">
        <v>18001</v>
      </c>
      <c r="D752">
        <v>574</v>
      </c>
    </row>
    <row r="753" spans="1:4" x14ac:dyDescent="0.2">
      <c r="A753" s="1">
        <v>46085</v>
      </c>
      <c r="B753">
        <v>18003</v>
      </c>
      <c r="D753">
        <v>335</v>
      </c>
    </row>
    <row r="754" spans="1:4" x14ac:dyDescent="0.2">
      <c r="A754" s="1">
        <v>46085</v>
      </c>
      <c r="B754">
        <v>18004</v>
      </c>
      <c r="D754">
        <v>529</v>
      </c>
    </row>
    <row r="755" spans="1:4" x14ac:dyDescent="0.2">
      <c r="A755" s="1">
        <v>46085</v>
      </c>
      <c r="B755">
        <v>19082</v>
      </c>
      <c r="D755">
        <v>561</v>
      </c>
    </row>
    <row r="756" spans="1:4" x14ac:dyDescent="0.2">
      <c r="A756" s="1">
        <v>46085</v>
      </c>
      <c r="B756">
        <v>20081</v>
      </c>
      <c r="D756">
        <v>934</v>
      </c>
    </row>
    <row r="757" spans="1:4" x14ac:dyDescent="0.2">
      <c r="A757" s="1">
        <v>46085</v>
      </c>
      <c r="B757">
        <v>21002</v>
      </c>
      <c r="D757">
        <v>635</v>
      </c>
    </row>
    <row r="758" spans="1:4" x14ac:dyDescent="0.2">
      <c r="A758" s="1">
        <v>46086</v>
      </c>
      <c r="B758">
        <v>1013</v>
      </c>
      <c r="D758">
        <v>765</v>
      </c>
    </row>
    <row r="759" spans="1:4" x14ac:dyDescent="0.2">
      <c r="A759" s="1">
        <v>46086</v>
      </c>
      <c r="B759">
        <v>1054</v>
      </c>
      <c r="D759">
        <v>581</v>
      </c>
    </row>
    <row r="760" spans="1:4" x14ac:dyDescent="0.2">
      <c r="A760" s="1">
        <v>46086</v>
      </c>
      <c r="B760">
        <v>1083</v>
      </c>
      <c r="D760">
        <v>310</v>
      </c>
    </row>
    <row r="761" spans="1:4" x14ac:dyDescent="0.2">
      <c r="A761" s="1">
        <v>46086</v>
      </c>
      <c r="B761">
        <v>2016</v>
      </c>
      <c r="D761">
        <v>292</v>
      </c>
    </row>
    <row r="762" spans="1:4" x14ac:dyDescent="0.2">
      <c r="A762" s="1">
        <v>46086</v>
      </c>
      <c r="B762">
        <v>2078</v>
      </c>
      <c r="D762">
        <v>162</v>
      </c>
    </row>
    <row r="763" spans="1:4" x14ac:dyDescent="0.2">
      <c r="A763" s="1">
        <v>46086</v>
      </c>
      <c r="B763">
        <v>3028</v>
      </c>
      <c r="D763">
        <v>759</v>
      </c>
    </row>
    <row r="764" spans="1:4" x14ac:dyDescent="0.2">
      <c r="A764" s="1">
        <v>46086</v>
      </c>
      <c r="B764">
        <v>3056</v>
      </c>
      <c r="D764">
        <v>235</v>
      </c>
    </row>
    <row r="765" spans="1:4" x14ac:dyDescent="0.2">
      <c r="A765" s="1">
        <v>46086</v>
      </c>
      <c r="B765">
        <v>4009</v>
      </c>
      <c r="D765">
        <v>647</v>
      </c>
    </row>
    <row r="766" spans="1:4" x14ac:dyDescent="0.2">
      <c r="A766" s="1">
        <v>46086</v>
      </c>
      <c r="B766">
        <v>4014</v>
      </c>
      <c r="D766">
        <v>426</v>
      </c>
    </row>
    <row r="767" spans="1:4" x14ac:dyDescent="0.2">
      <c r="A767" s="1">
        <v>46086</v>
      </c>
      <c r="B767">
        <v>4025</v>
      </c>
      <c r="D767">
        <v>566</v>
      </c>
    </row>
    <row r="768" spans="1:4" x14ac:dyDescent="0.2">
      <c r="A768" s="1">
        <v>46086</v>
      </c>
      <c r="B768">
        <v>4029</v>
      </c>
      <c r="D768">
        <v>1652</v>
      </c>
    </row>
    <row r="769" spans="1:4" x14ac:dyDescent="0.2">
      <c r="A769" s="1">
        <v>46086</v>
      </c>
      <c r="B769">
        <v>7001</v>
      </c>
      <c r="D769">
        <v>1035</v>
      </c>
    </row>
    <row r="770" spans="1:4" x14ac:dyDescent="0.2">
      <c r="A770" s="1">
        <v>46086</v>
      </c>
      <c r="B770">
        <v>16004</v>
      </c>
      <c r="D770">
        <v>630</v>
      </c>
    </row>
    <row r="771" spans="1:4" x14ac:dyDescent="0.2">
      <c r="A771" s="1">
        <v>46086</v>
      </c>
      <c r="B771">
        <v>16010</v>
      </c>
      <c r="D771">
        <v>1312</v>
      </c>
    </row>
    <row r="772" spans="1:4" x14ac:dyDescent="0.2">
      <c r="A772" s="1">
        <v>46086</v>
      </c>
      <c r="B772">
        <v>16014</v>
      </c>
      <c r="D772">
        <v>1379</v>
      </c>
    </row>
    <row r="773" spans="1:4" x14ac:dyDescent="0.2">
      <c r="A773" s="1">
        <v>46086</v>
      </c>
      <c r="B773">
        <v>18042</v>
      </c>
      <c r="D773">
        <v>1744</v>
      </c>
    </row>
    <row r="774" spans="1:4" x14ac:dyDescent="0.2">
      <c r="A774" s="1">
        <v>46086</v>
      </c>
      <c r="B774">
        <v>19035</v>
      </c>
      <c r="D774">
        <v>146</v>
      </c>
    </row>
    <row r="775" spans="1:4" x14ac:dyDescent="0.2">
      <c r="A775" s="1">
        <v>46086</v>
      </c>
      <c r="B775">
        <v>19080</v>
      </c>
      <c r="D775">
        <v>334</v>
      </c>
    </row>
    <row r="776" spans="1:4" x14ac:dyDescent="0.2">
      <c r="A776" s="1">
        <v>46086</v>
      </c>
      <c r="B776">
        <v>20091</v>
      </c>
      <c r="D776">
        <v>1083</v>
      </c>
    </row>
    <row r="777" spans="1:4" x14ac:dyDescent="0.2">
      <c r="A777" s="1">
        <v>46087</v>
      </c>
      <c r="B777">
        <v>1014</v>
      </c>
      <c r="D777">
        <v>543</v>
      </c>
    </row>
    <row r="778" spans="1:4" x14ac:dyDescent="0.2">
      <c r="A778" s="1">
        <v>46087</v>
      </c>
      <c r="B778">
        <v>2038</v>
      </c>
      <c r="D778">
        <v>367</v>
      </c>
    </row>
    <row r="779" spans="1:4" x14ac:dyDescent="0.2">
      <c r="A779" s="1">
        <v>46087</v>
      </c>
      <c r="B779">
        <v>2045</v>
      </c>
      <c r="D779">
        <v>360</v>
      </c>
    </row>
    <row r="780" spans="1:4" x14ac:dyDescent="0.2">
      <c r="A780" s="1">
        <v>46087</v>
      </c>
      <c r="B780">
        <v>2073</v>
      </c>
      <c r="D780">
        <v>270</v>
      </c>
    </row>
    <row r="781" spans="1:4" x14ac:dyDescent="0.2">
      <c r="A781" s="1">
        <v>46087</v>
      </c>
      <c r="B781">
        <v>5004</v>
      </c>
      <c r="D781">
        <v>394</v>
      </c>
    </row>
    <row r="782" spans="1:4" x14ac:dyDescent="0.2">
      <c r="A782" s="1">
        <v>46087</v>
      </c>
      <c r="B782">
        <v>6101</v>
      </c>
      <c r="D782">
        <v>534</v>
      </c>
    </row>
    <row r="783" spans="1:4" x14ac:dyDescent="0.2">
      <c r="A783" s="1">
        <v>46087</v>
      </c>
      <c r="B783">
        <v>7053</v>
      </c>
      <c r="D783">
        <v>347</v>
      </c>
    </row>
    <row r="784" spans="1:4" x14ac:dyDescent="0.2">
      <c r="A784" s="1">
        <v>46087</v>
      </c>
      <c r="B784">
        <v>13014</v>
      </c>
      <c r="D784">
        <v>754</v>
      </c>
    </row>
    <row r="785" spans="1:4" x14ac:dyDescent="0.2">
      <c r="A785" s="1">
        <v>46087</v>
      </c>
      <c r="B785">
        <v>13057</v>
      </c>
      <c r="D785">
        <v>542</v>
      </c>
    </row>
    <row r="786" spans="1:4" x14ac:dyDescent="0.2">
      <c r="A786" s="1">
        <v>46087</v>
      </c>
      <c r="B786">
        <v>15015</v>
      </c>
      <c r="D786">
        <v>299</v>
      </c>
    </row>
    <row r="787" spans="1:4" x14ac:dyDescent="0.2">
      <c r="A787" s="1">
        <v>46087</v>
      </c>
      <c r="B787">
        <v>15020</v>
      </c>
      <c r="D787">
        <v>324</v>
      </c>
    </row>
    <row r="788" spans="1:4" x14ac:dyDescent="0.2">
      <c r="A788" s="1">
        <v>46087</v>
      </c>
      <c r="B788">
        <v>15024</v>
      </c>
      <c r="D788">
        <v>421</v>
      </c>
    </row>
    <row r="789" spans="1:4" x14ac:dyDescent="0.2">
      <c r="A789" s="1">
        <v>46087</v>
      </c>
      <c r="B789">
        <v>15051</v>
      </c>
      <c r="D789">
        <v>277</v>
      </c>
    </row>
    <row r="790" spans="1:4" x14ac:dyDescent="0.2">
      <c r="A790" s="1">
        <v>46087</v>
      </c>
      <c r="B790">
        <v>16006</v>
      </c>
      <c r="D790">
        <v>573</v>
      </c>
    </row>
    <row r="791" spans="1:4" x14ac:dyDescent="0.2">
      <c r="A791" s="1">
        <v>46087</v>
      </c>
      <c r="B791">
        <v>18031</v>
      </c>
      <c r="D791">
        <v>492</v>
      </c>
    </row>
    <row r="792" spans="1:4" x14ac:dyDescent="0.2">
      <c r="A792" s="1">
        <v>46087</v>
      </c>
      <c r="B792">
        <v>19033</v>
      </c>
      <c r="D792">
        <v>183</v>
      </c>
    </row>
    <row r="793" spans="1:4" x14ac:dyDescent="0.2">
      <c r="A793" s="1">
        <v>46087</v>
      </c>
      <c r="B793">
        <v>19039</v>
      </c>
      <c r="D793">
        <v>389</v>
      </c>
    </row>
    <row r="794" spans="1:4" x14ac:dyDescent="0.2">
      <c r="A794" s="1">
        <v>46087</v>
      </c>
      <c r="B794">
        <v>19110</v>
      </c>
      <c r="D794">
        <v>426</v>
      </c>
    </row>
    <row r="795" spans="1:4" x14ac:dyDescent="0.2">
      <c r="A795" s="1">
        <v>46087</v>
      </c>
      <c r="B795">
        <v>19123</v>
      </c>
      <c r="D795">
        <v>426</v>
      </c>
    </row>
    <row r="796" spans="1:4" x14ac:dyDescent="0.2">
      <c r="A796" s="1">
        <v>46087</v>
      </c>
      <c r="B796">
        <v>20021</v>
      </c>
      <c r="D796">
        <v>999</v>
      </c>
    </row>
    <row r="797" spans="1:4" x14ac:dyDescent="0.2">
      <c r="A797" s="1">
        <v>46087</v>
      </c>
      <c r="B797">
        <v>20051</v>
      </c>
      <c r="D797">
        <v>282</v>
      </c>
    </row>
    <row r="798" spans="1:4" x14ac:dyDescent="0.2">
      <c r="A798" s="1">
        <v>46088</v>
      </c>
      <c r="B798">
        <v>2013</v>
      </c>
      <c r="D798">
        <v>475</v>
      </c>
    </row>
    <row r="799" spans="1:4" x14ac:dyDescent="0.2">
      <c r="A799" s="1">
        <v>46088</v>
      </c>
      <c r="B799">
        <v>2023</v>
      </c>
      <c r="D799">
        <v>536</v>
      </c>
    </row>
    <row r="800" spans="1:4" x14ac:dyDescent="0.2">
      <c r="A800" s="1">
        <v>46088</v>
      </c>
      <c r="B800">
        <v>2067</v>
      </c>
      <c r="D800">
        <v>743</v>
      </c>
    </row>
    <row r="801" spans="1:4" x14ac:dyDescent="0.2">
      <c r="A801" s="1">
        <v>46088</v>
      </c>
      <c r="B801">
        <v>8031</v>
      </c>
      <c r="D801">
        <v>743</v>
      </c>
    </row>
    <row r="802" spans="1:4" x14ac:dyDescent="0.2">
      <c r="A802" s="1">
        <v>46088</v>
      </c>
      <c r="B802">
        <v>11005</v>
      </c>
      <c r="D802">
        <v>849</v>
      </c>
    </row>
    <row r="803" spans="1:4" x14ac:dyDescent="0.2">
      <c r="A803" s="1">
        <v>46088</v>
      </c>
      <c r="B803">
        <v>11013</v>
      </c>
      <c r="D803">
        <v>793</v>
      </c>
    </row>
    <row r="804" spans="1:4" x14ac:dyDescent="0.2">
      <c r="A804" s="1">
        <v>46088</v>
      </c>
      <c r="B804">
        <v>12021</v>
      </c>
      <c r="D804">
        <v>334</v>
      </c>
    </row>
    <row r="805" spans="1:4" x14ac:dyDescent="0.2">
      <c r="A805" s="1">
        <v>46088</v>
      </c>
      <c r="B805">
        <v>12025</v>
      </c>
      <c r="D805">
        <v>626</v>
      </c>
    </row>
    <row r="806" spans="1:4" x14ac:dyDescent="0.2">
      <c r="A806" s="1">
        <v>46088</v>
      </c>
      <c r="B806">
        <v>13012</v>
      </c>
      <c r="D806">
        <v>687</v>
      </c>
    </row>
    <row r="807" spans="1:4" x14ac:dyDescent="0.2">
      <c r="A807" s="1">
        <v>46088</v>
      </c>
      <c r="B807">
        <v>15002</v>
      </c>
      <c r="D807">
        <v>213</v>
      </c>
    </row>
    <row r="808" spans="1:4" x14ac:dyDescent="0.2">
      <c r="A808" s="1">
        <v>46088</v>
      </c>
      <c r="B808">
        <v>15004</v>
      </c>
      <c r="D808">
        <v>450</v>
      </c>
    </row>
    <row r="809" spans="1:4" x14ac:dyDescent="0.2">
      <c r="A809" s="1">
        <v>46088</v>
      </c>
      <c r="B809">
        <v>15032</v>
      </c>
      <c r="D809">
        <v>496</v>
      </c>
    </row>
    <row r="810" spans="1:4" x14ac:dyDescent="0.2">
      <c r="A810" s="1">
        <v>46088</v>
      </c>
      <c r="B810">
        <v>18036</v>
      </c>
      <c r="D810">
        <v>1635</v>
      </c>
    </row>
    <row r="811" spans="1:4" x14ac:dyDescent="0.2">
      <c r="A811" s="1">
        <v>46088</v>
      </c>
      <c r="B811">
        <v>19077</v>
      </c>
      <c r="D811">
        <v>1101</v>
      </c>
    </row>
    <row r="812" spans="1:4" x14ac:dyDescent="0.2">
      <c r="A812" s="1">
        <v>46088</v>
      </c>
      <c r="B812">
        <v>20019</v>
      </c>
      <c r="D812">
        <v>819</v>
      </c>
    </row>
    <row r="813" spans="1:4" x14ac:dyDescent="0.2">
      <c r="A813" s="1">
        <v>46091</v>
      </c>
      <c r="B813">
        <v>1001</v>
      </c>
      <c r="D813">
        <v>633</v>
      </c>
    </row>
    <row r="814" spans="1:4" x14ac:dyDescent="0.2">
      <c r="A814" s="1">
        <v>46091</v>
      </c>
      <c r="B814">
        <v>2017</v>
      </c>
      <c r="D814">
        <v>438</v>
      </c>
    </row>
    <row r="815" spans="1:4" x14ac:dyDescent="0.2">
      <c r="A815" s="1">
        <v>46091</v>
      </c>
      <c r="B815">
        <v>3021</v>
      </c>
      <c r="D815">
        <v>466</v>
      </c>
    </row>
    <row r="816" spans="1:4" x14ac:dyDescent="0.2">
      <c r="A816" s="1">
        <v>46091</v>
      </c>
      <c r="B816">
        <v>7052</v>
      </c>
      <c r="D816">
        <v>271</v>
      </c>
    </row>
    <row r="817" spans="1:4" x14ac:dyDescent="0.2">
      <c r="A817" s="1">
        <v>46091</v>
      </c>
      <c r="B817">
        <v>12009</v>
      </c>
      <c r="D817">
        <v>326</v>
      </c>
    </row>
    <row r="818" spans="1:4" x14ac:dyDescent="0.2">
      <c r="A818" s="1">
        <v>46091</v>
      </c>
      <c r="B818">
        <v>12047</v>
      </c>
      <c r="D818">
        <v>514</v>
      </c>
    </row>
    <row r="819" spans="1:4" x14ac:dyDescent="0.2">
      <c r="A819" s="1">
        <v>46091</v>
      </c>
      <c r="B819">
        <v>12050</v>
      </c>
      <c r="D819">
        <v>980</v>
      </c>
    </row>
    <row r="820" spans="1:4" x14ac:dyDescent="0.2">
      <c r="A820" s="1">
        <v>46091</v>
      </c>
      <c r="B820">
        <v>13009</v>
      </c>
      <c r="D820">
        <v>1082</v>
      </c>
    </row>
    <row r="821" spans="1:4" x14ac:dyDescent="0.2">
      <c r="A821" s="1">
        <v>46091</v>
      </c>
      <c r="B821">
        <v>13013</v>
      </c>
      <c r="D821">
        <v>937</v>
      </c>
    </row>
    <row r="822" spans="1:4" x14ac:dyDescent="0.2">
      <c r="A822" s="1">
        <v>46091</v>
      </c>
      <c r="B822">
        <v>13069</v>
      </c>
      <c r="D822">
        <v>863</v>
      </c>
    </row>
    <row r="823" spans="1:4" x14ac:dyDescent="0.2">
      <c r="A823" s="1">
        <v>46091</v>
      </c>
      <c r="B823">
        <v>15000</v>
      </c>
      <c r="D823">
        <v>1086</v>
      </c>
    </row>
    <row r="824" spans="1:4" x14ac:dyDescent="0.2">
      <c r="A824" s="1">
        <v>46091</v>
      </c>
      <c r="B824">
        <v>15003</v>
      </c>
      <c r="D824">
        <v>1083</v>
      </c>
    </row>
    <row r="825" spans="1:4" x14ac:dyDescent="0.2">
      <c r="A825" s="1">
        <v>46091</v>
      </c>
      <c r="B825">
        <v>16003</v>
      </c>
      <c r="D825">
        <v>757</v>
      </c>
    </row>
    <row r="826" spans="1:4" x14ac:dyDescent="0.2">
      <c r="A826" s="1">
        <v>46091</v>
      </c>
      <c r="B826">
        <v>16005</v>
      </c>
      <c r="D826">
        <v>736</v>
      </c>
    </row>
    <row r="827" spans="1:4" x14ac:dyDescent="0.2">
      <c r="A827" s="1">
        <v>46091</v>
      </c>
      <c r="B827">
        <v>16008</v>
      </c>
      <c r="D827">
        <v>944</v>
      </c>
    </row>
    <row r="828" spans="1:4" x14ac:dyDescent="0.2">
      <c r="A828" s="1">
        <v>46091</v>
      </c>
      <c r="B828">
        <v>16015</v>
      </c>
      <c r="D828">
        <v>1751</v>
      </c>
    </row>
    <row r="829" spans="1:4" x14ac:dyDescent="0.2">
      <c r="A829" s="1">
        <v>46091</v>
      </c>
      <c r="B829">
        <v>18054</v>
      </c>
      <c r="D829">
        <v>905</v>
      </c>
    </row>
    <row r="830" spans="1:4" x14ac:dyDescent="0.2">
      <c r="A830" s="1">
        <v>46091</v>
      </c>
      <c r="B830">
        <v>19022</v>
      </c>
      <c r="D830">
        <v>923</v>
      </c>
    </row>
    <row r="831" spans="1:4" x14ac:dyDescent="0.2">
      <c r="A831" s="1">
        <v>46091</v>
      </c>
      <c r="B831">
        <v>19081</v>
      </c>
      <c r="D831">
        <v>320</v>
      </c>
    </row>
    <row r="832" spans="1:4" x14ac:dyDescent="0.2">
      <c r="A832" s="1">
        <v>46091</v>
      </c>
      <c r="B832">
        <v>20093</v>
      </c>
      <c r="D832">
        <v>852</v>
      </c>
    </row>
    <row r="833" spans="1:4" x14ac:dyDescent="0.2">
      <c r="A833" s="1">
        <v>46091</v>
      </c>
      <c r="B833">
        <v>20094</v>
      </c>
      <c r="D833">
        <v>658</v>
      </c>
    </row>
    <row r="834" spans="1:4" x14ac:dyDescent="0.2">
      <c r="A834" s="1">
        <v>46092</v>
      </c>
      <c r="B834">
        <v>1000</v>
      </c>
      <c r="D834">
        <v>924</v>
      </c>
    </row>
    <row r="835" spans="1:4" x14ac:dyDescent="0.2">
      <c r="A835" s="1">
        <v>46092</v>
      </c>
      <c r="B835">
        <v>1018</v>
      </c>
      <c r="D835">
        <v>771</v>
      </c>
    </row>
    <row r="836" spans="1:4" x14ac:dyDescent="0.2">
      <c r="A836" s="1">
        <v>46092</v>
      </c>
      <c r="B836">
        <v>1081</v>
      </c>
      <c r="D836">
        <v>299</v>
      </c>
    </row>
    <row r="837" spans="1:4" x14ac:dyDescent="0.2">
      <c r="A837" s="1">
        <v>46092</v>
      </c>
      <c r="B837">
        <v>2021</v>
      </c>
      <c r="D837">
        <v>340</v>
      </c>
    </row>
    <row r="838" spans="1:4" x14ac:dyDescent="0.2">
      <c r="A838" s="1">
        <v>46092</v>
      </c>
      <c r="B838">
        <v>5006</v>
      </c>
      <c r="D838">
        <v>411</v>
      </c>
    </row>
    <row r="839" spans="1:4" x14ac:dyDescent="0.2">
      <c r="A839" s="1">
        <v>46092</v>
      </c>
      <c r="B839">
        <v>6109</v>
      </c>
      <c r="D839">
        <v>661</v>
      </c>
    </row>
    <row r="840" spans="1:4" x14ac:dyDescent="0.2">
      <c r="A840" s="1">
        <v>46092</v>
      </c>
      <c r="B840">
        <v>7002</v>
      </c>
      <c r="D840">
        <v>488</v>
      </c>
    </row>
    <row r="841" spans="1:4" x14ac:dyDescent="0.2">
      <c r="A841" s="1">
        <v>46092</v>
      </c>
      <c r="B841">
        <v>10001</v>
      </c>
      <c r="D841">
        <v>649</v>
      </c>
    </row>
    <row r="842" spans="1:4" x14ac:dyDescent="0.2">
      <c r="A842" s="1">
        <v>46092</v>
      </c>
      <c r="B842">
        <v>12048</v>
      </c>
      <c r="D842">
        <v>984</v>
      </c>
    </row>
    <row r="843" spans="1:4" x14ac:dyDescent="0.2">
      <c r="A843" s="1">
        <v>46092</v>
      </c>
      <c r="B843">
        <v>12055</v>
      </c>
      <c r="D843">
        <v>897</v>
      </c>
    </row>
    <row r="844" spans="1:4" x14ac:dyDescent="0.2">
      <c r="A844" s="1">
        <v>46092</v>
      </c>
      <c r="B844">
        <v>15018</v>
      </c>
      <c r="D844">
        <v>509</v>
      </c>
    </row>
    <row r="845" spans="1:4" x14ac:dyDescent="0.2">
      <c r="A845" s="1">
        <v>46092</v>
      </c>
      <c r="B845">
        <v>16019</v>
      </c>
      <c r="D845">
        <v>827</v>
      </c>
    </row>
    <row r="846" spans="1:4" x14ac:dyDescent="0.2">
      <c r="A846" s="1">
        <v>46092</v>
      </c>
      <c r="B846">
        <v>20033</v>
      </c>
      <c r="D846">
        <v>1031</v>
      </c>
    </row>
    <row r="847" spans="1:4" x14ac:dyDescent="0.2">
      <c r="A847" s="1">
        <v>46092</v>
      </c>
      <c r="B847">
        <v>20090</v>
      </c>
      <c r="D847">
        <v>932</v>
      </c>
    </row>
    <row r="848" spans="1:4" x14ac:dyDescent="0.2">
      <c r="A848" s="1">
        <v>46092</v>
      </c>
      <c r="B848">
        <v>20095</v>
      </c>
      <c r="D848">
        <v>804</v>
      </c>
    </row>
    <row r="849" spans="1:4" x14ac:dyDescent="0.2">
      <c r="A849" s="1">
        <v>46093</v>
      </c>
      <c r="B849">
        <v>1083</v>
      </c>
      <c r="D849">
        <v>263</v>
      </c>
    </row>
    <row r="850" spans="1:4" x14ac:dyDescent="0.2">
      <c r="A850" s="1">
        <v>46093</v>
      </c>
      <c r="B850">
        <v>3046</v>
      </c>
      <c r="D850">
        <v>221</v>
      </c>
    </row>
    <row r="851" spans="1:4" x14ac:dyDescent="0.2">
      <c r="A851" s="1">
        <v>46093</v>
      </c>
      <c r="B851">
        <v>4010</v>
      </c>
      <c r="D851">
        <v>468</v>
      </c>
    </row>
    <row r="852" spans="1:4" x14ac:dyDescent="0.2">
      <c r="A852" s="1">
        <v>46093</v>
      </c>
      <c r="B852">
        <v>4026</v>
      </c>
      <c r="D852">
        <v>325</v>
      </c>
    </row>
    <row r="853" spans="1:4" x14ac:dyDescent="0.2">
      <c r="A853" s="1">
        <v>46093</v>
      </c>
      <c r="B853">
        <v>4037</v>
      </c>
      <c r="D853">
        <v>325</v>
      </c>
    </row>
    <row r="854" spans="1:4" x14ac:dyDescent="0.2">
      <c r="A854" s="1">
        <v>46093</v>
      </c>
      <c r="B854">
        <v>4038</v>
      </c>
      <c r="D854">
        <v>937</v>
      </c>
    </row>
    <row r="855" spans="1:4" x14ac:dyDescent="0.2">
      <c r="A855" s="1">
        <v>46093</v>
      </c>
      <c r="B855">
        <v>13015</v>
      </c>
      <c r="D855">
        <v>639</v>
      </c>
    </row>
    <row r="856" spans="1:4" x14ac:dyDescent="0.2">
      <c r="A856" s="1">
        <v>46093</v>
      </c>
      <c r="B856">
        <v>15023</v>
      </c>
      <c r="D856">
        <v>332</v>
      </c>
    </row>
    <row r="857" spans="1:4" x14ac:dyDescent="0.2">
      <c r="A857" s="1">
        <v>46093</v>
      </c>
      <c r="B857">
        <v>16018</v>
      </c>
      <c r="D857">
        <v>932</v>
      </c>
    </row>
    <row r="858" spans="1:4" x14ac:dyDescent="0.2">
      <c r="A858" s="1">
        <v>46093</v>
      </c>
      <c r="B858">
        <v>16052</v>
      </c>
      <c r="D858">
        <v>1096</v>
      </c>
    </row>
    <row r="859" spans="1:4" x14ac:dyDescent="0.2">
      <c r="A859" s="1">
        <v>46093</v>
      </c>
      <c r="B859">
        <v>18001</v>
      </c>
      <c r="D859">
        <v>598</v>
      </c>
    </row>
    <row r="860" spans="1:4" x14ac:dyDescent="0.2">
      <c r="A860" s="1">
        <v>46093</v>
      </c>
      <c r="B860">
        <v>18003</v>
      </c>
      <c r="D860">
        <v>308</v>
      </c>
    </row>
    <row r="861" spans="1:4" x14ac:dyDescent="0.2">
      <c r="A861" s="1">
        <v>46093</v>
      </c>
      <c r="B861">
        <v>20089</v>
      </c>
      <c r="D861">
        <v>1071</v>
      </c>
    </row>
    <row r="862" spans="1:4" x14ac:dyDescent="0.2">
      <c r="A862" s="1">
        <v>46093</v>
      </c>
      <c r="B862">
        <v>20098</v>
      </c>
      <c r="D862">
        <v>842</v>
      </c>
    </row>
    <row r="863" spans="1:4" x14ac:dyDescent="0.2">
      <c r="A863" s="1">
        <v>46094</v>
      </c>
      <c r="B863">
        <v>2038</v>
      </c>
      <c r="D863">
        <v>337</v>
      </c>
    </row>
    <row r="864" spans="1:4" x14ac:dyDescent="0.2">
      <c r="A864" s="1">
        <v>46094</v>
      </c>
      <c r="B864">
        <v>2073</v>
      </c>
      <c r="D864">
        <v>307</v>
      </c>
    </row>
    <row r="865" spans="1:4" x14ac:dyDescent="0.2">
      <c r="A865" s="1">
        <v>46094</v>
      </c>
      <c r="B865">
        <v>4014</v>
      </c>
      <c r="D865">
        <v>264</v>
      </c>
    </row>
    <row r="866" spans="1:4" x14ac:dyDescent="0.2">
      <c r="A866" s="1">
        <v>46094</v>
      </c>
      <c r="B866">
        <v>6077</v>
      </c>
      <c r="D866">
        <v>1431</v>
      </c>
    </row>
    <row r="867" spans="1:4" x14ac:dyDescent="0.2">
      <c r="A867" s="1">
        <v>46094</v>
      </c>
      <c r="B867">
        <v>6101</v>
      </c>
      <c r="D867">
        <v>534</v>
      </c>
    </row>
    <row r="868" spans="1:4" x14ac:dyDescent="0.2">
      <c r="A868" s="1">
        <v>46094</v>
      </c>
      <c r="B868">
        <v>8031</v>
      </c>
      <c r="D868">
        <v>814</v>
      </c>
    </row>
    <row r="869" spans="1:4" x14ac:dyDescent="0.2">
      <c r="A869" s="1">
        <v>46094</v>
      </c>
      <c r="B869">
        <v>8034</v>
      </c>
      <c r="D869">
        <v>618</v>
      </c>
    </row>
    <row r="870" spans="1:4" x14ac:dyDescent="0.2">
      <c r="A870" s="1">
        <v>46094</v>
      </c>
      <c r="B870">
        <v>14008</v>
      </c>
      <c r="D870">
        <v>1603</v>
      </c>
    </row>
    <row r="871" spans="1:4" x14ac:dyDescent="0.2">
      <c r="A871" s="1">
        <v>46094</v>
      </c>
      <c r="B871">
        <v>15001</v>
      </c>
      <c r="D871">
        <v>900</v>
      </c>
    </row>
    <row r="872" spans="1:4" x14ac:dyDescent="0.2">
      <c r="A872" s="1">
        <v>46094</v>
      </c>
      <c r="B872">
        <v>15007</v>
      </c>
      <c r="D872">
        <v>953</v>
      </c>
    </row>
    <row r="873" spans="1:4" x14ac:dyDescent="0.2">
      <c r="A873" s="1">
        <v>46094</v>
      </c>
      <c r="B873">
        <v>15035</v>
      </c>
      <c r="D873">
        <v>1311</v>
      </c>
    </row>
    <row r="874" spans="1:4" x14ac:dyDescent="0.2">
      <c r="A874" s="1">
        <v>46094</v>
      </c>
      <c r="B874">
        <v>16004</v>
      </c>
      <c r="D874">
        <v>604</v>
      </c>
    </row>
    <row r="875" spans="1:4" x14ac:dyDescent="0.2">
      <c r="A875" s="1">
        <v>46094</v>
      </c>
      <c r="B875">
        <v>16006</v>
      </c>
      <c r="D875">
        <v>526</v>
      </c>
    </row>
    <row r="876" spans="1:4" x14ac:dyDescent="0.2">
      <c r="A876" s="1">
        <v>46094</v>
      </c>
      <c r="B876">
        <v>16010</v>
      </c>
      <c r="D876">
        <v>1292</v>
      </c>
    </row>
    <row r="877" spans="1:4" x14ac:dyDescent="0.2">
      <c r="A877" s="1">
        <v>46094</v>
      </c>
      <c r="B877">
        <v>19033</v>
      </c>
      <c r="D877">
        <v>188</v>
      </c>
    </row>
    <row r="878" spans="1:4" x14ac:dyDescent="0.2">
      <c r="A878" s="1">
        <v>46095</v>
      </c>
      <c r="B878">
        <v>1057</v>
      </c>
      <c r="D878">
        <v>687</v>
      </c>
    </row>
    <row r="879" spans="1:4" x14ac:dyDescent="0.2">
      <c r="A879" s="1">
        <v>46095</v>
      </c>
      <c r="B879">
        <v>2023</v>
      </c>
      <c r="D879">
        <v>390</v>
      </c>
    </row>
    <row r="880" spans="1:4" x14ac:dyDescent="0.2">
      <c r="A880" s="1">
        <v>46095</v>
      </c>
      <c r="B880">
        <v>2045</v>
      </c>
      <c r="D880">
        <v>267</v>
      </c>
    </row>
    <row r="881" spans="1:4" x14ac:dyDescent="0.2">
      <c r="A881" s="1">
        <v>46095</v>
      </c>
      <c r="B881">
        <v>5004</v>
      </c>
      <c r="D881">
        <v>473</v>
      </c>
    </row>
    <row r="882" spans="1:4" x14ac:dyDescent="0.2">
      <c r="A882" s="1">
        <v>46095</v>
      </c>
      <c r="B882">
        <v>15009</v>
      </c>
      <c r="D882">
        <v>495</v>
      </c>
    </row>
    <row r="883" spans="1:4" x14ac:dyDescent="0.2">
      <c r="A883" s="1">
        <v>46095</v>
      </c>
      <c r="B883">
        <v>15021</v>
      </c>
      <c r="D883">
        <v>419</v>
      </c>
    </row>
    <row r="884" spans="1:4" x14ac:dyDescent="0.2">
      <c r="A884" s="1">
        <v>46095</v>
      </c>
      <c r="B884">
        <v>15028</v>
      </c>
      <c r="D884">
        <v>584</v>
      </c>
    </row>
    <row r="885" spans="1:4" x14ac:dyDescent="0.2">
      <c r="A885" s="1">
        <v>46095</v>
      </c>
      <c r="B885">
        <v>15033</v>
      </c>
      <c r="D885">
        <v>355</v>
      </c>
    </row>
    <row r="886" spans="1:4" x14ac:dyDescent="0.2">
      <c r="A886" s="1">
        <v>46095</v>
      </c>
      <c r="B886">
        <v>16008</v>
      </c>
      <c r="D886">
        <v>583</v>
      </c>
    </row>
    <row r="887" spans="1:4" x14ac:dyDescent="0.2">
      <c r="A887" s="1">
        <v>46095</v>
      </c>
      <c r="B887">
        <v>16027</v>
      </c>
      <c r="D887">
        <v>551</v>
      </c>
    </row>
    <row r="888" spans="1:4" x14ac:dyDescent="0.2">
      <c r="A888" s="1">
        <v>46095</v>
      </c>
      <c r="B888">
        <v>16051</v>
      </c>
      <c r="D888">
        <v>1943</v>
      </c>
    </row>
    <row r="889" spans="1:4" x14ac:dyDescent="0.2">
      <c r="A889" s="1">
        <v>46095</v>
      </c>
      <c r="B889">
        <v>18004</v>
      </c>
      <c r="D889">
        <v>681</v>
      </c>
    </row>
    <row r="890" spans="1:4" x14ac:dyDescent="0.2">
      <c r="A890" s="1">
        <v>46095</v>
      </c>
      <c r="B890">
        <v>20019</v>
      </c>
      <c r="D890">
        <v>819</v>
      </c>
    </row>
    <row r="891" spans="1:4" x14ac:dyDescent="0.2">
      <c r="A891" s="1">
        <v>46095</v>
      </c>
      <c r="B891">
        <v>20092</v>
      </c>
      <c r="D891">
        <v>731</v>
      </c>
    </row>
    <row r="892" spans="1:4" x14ac:dyDescent="0.2">
      <c r="A892" s="1">
        <v>46096</v>
      </c>
      <c r="B892">
        <v>2016</v>
      </c>
      <c r="D892">
        <v>507</v>
      </c>
    </row>
    <row r="893" spans="1:4" x14ac:dyDescent="0.2">
      <c r="A893" s="1">
        <v>46096</v>
      </c>
      <c r="B893">
        <v>19031</v>
      </c>
      <c r="D893">
        <v>946</v>
      </c>
    </row>
    <row r="894" spans="1:4" x14ac:dyDescent="0.2">
      <c r="A894" s="1">
        <v>46096</v>
      </c>
      <c r="B894">
        <v>20077</v>
      </c>
      <c r="D894">
        <v>625</v>
      </c>
    </row>
    <row r="895" spans="1:4" x14ac:dyDescent="0.2">
      <c r="A895" s="1">
        <v>46096</v>
      </c>
      <c r="B895">
        <v>20091</v>
      </c>
      <c r="D895">
        <v>914</v>
      </c>
    </row>
    <row r="896" spans="1:4" x14ac:dyDescent="0.2">
      <c r="A896" s="1">
        <v>46096</v>
      </c>
      <c r="B896">
        <v>22006</v>
      </c>
      <c r="D896">
        <v>738</v>
      </c>
    </row>
    <row r="897" spans="1:4" x14ac:dyDescent="0.2">
      <c r="A897" s="1">
        <v>46097</v>
      </c>
      <c r="B897">
        <v>15005</v>
      </c>
      <c r="D897">
        <v>648</v>
      </c>
    </row>
    <row r="898" spans="1:4" x14ac:dyDescent="0.2">
      <c r="A898" s="1">
        <v>46097</v>
      </c>
      <c r="B898">
        <v>15016</v>
      </c>
      <c r="D898">
        <v>355</v>
      </c>
    </row>
    <row r="899" spans="1:4" x14ac:dyDescent="0.2">
      <c r="A899" s="1">
        <v>46097</v>
      </c>
      <c r="B899">
        <v>20081</v>
      </c>
      <c r="D899">
        <v>1019</v>
      </c>
    </row>
    <row r="900" spans="1:4" x14ac:dyDescent="0.2">
      <c r="A900" s="1">
        <v>46097</v>
      </c>
      <c r="B900">
        <v>20088</v>
      </c>
      <c r="D900">
        <v>1061</v>
      </c>
    </row>
    <row r="901" spans="1:4" x14ac:dyDescent="0.2">
      <c r="A901" s="1">
        <v>46097</v>
      </c>
      <c r="B901">
        <v>20097</v>
      </c>
      <c r="D901">
        <v>1038</v>
      </c>
    </row>
    <row r="902" spans="1:4" x14ac:dyDescent="0.2">
      <c r="A902" s="1">
        <v>46098</v>
      </c>
      <c r="B902">
        <v>1011</v>
      </c>
      <c r="D902">
        <v>1005</v>
      </c>
    </row>
    <row r="903" spans="1:4" x14ac:dyDescent="0.2">
      <c r="A903" s="1">
        <v>46098</v>
      </c>
      <c r="B903">
        <v>1013</v>
      </c>
      <c r="D903">
        <v>964</v>
      </c>
    </row>
    <row r="904" spans="1:4" x14ac:dyDescent="0.2">
      <c r="A904" s="1">
        <v>46098</v>
      </c>
      <c r="B904">
        <v>1054</v>
      </c>
      <c r="D904">
        <v>542</v>
      </c>
    </row>
    <row r="905" spans="1:4" x14ac:dyDescent="0.2">
      <c r="A905" s="1">
        <v>46098</v>
      </c>
      <c r="B905">
        <v>1063</v>
      </c>
      <c r="D905">
        <v>782</v>
      </c>
    </row>
    <row r="906" spans="1:4" x14ac:dyDescent="0.2">
      <c r="A906" s="1">
        <v>46098</v>
      </c>
      <c r="B906">
        <v>1081</v>
      </c>
      <c r="D906">
        <v>218</v>
      </c>
    </row>
    <row r="907" spans="1:4" x14ac:dyDescent="0.2">
      <c r="A907" s="1">
        <v>46098</v>
      </c>
      <c r="B907">
        <v>2017</v>
      </c>
      <c r="D907">
        <v>440</v>
      </c>
    </row>
    <row r="908" spans="1:4" x14ac:dyDescent="0.2">
      <c r="A908" s="1">
        <v>46098</v>
      </c>
      <c r="B908">
        <v>2053</v>
      </c>
      <c r="D908">
        <v>1052</v>
      </c>
    </row>
    <row r="909" spans="1:4" x14ac:dyDescent="0.2">
      <c r="A909" s="1">
        <v>46098</v>
      </c>
      <c r="B909">
        <v>2067</v>
      </c>
      <c r="D909">
        <v>889</v>
      </c>
    </row>
    <row r="910" spans="1:4" x14ac:dyDescent="0.2">
      <c r="A910" s="1">
        <v>46098</v>
      </c>
      <c r="B910">
        <v>10011</v>
      </c>
      <c r="D910">
        <v>351</v>
      </c>
    </row>
    <row r="911" spans="1:4" x14ac:dyDescent="0.2">
      <c r="A911" s="1">
        <v>46098</v>
      </c>
      <c r="B911">
        <v>13013</v>
      </c>
      <c r="D911">
        <v>959</v>
      </c>
    </row>
    <row r="912" spans="1:4" x14ac:dyDescent="0.2">
      <c r="A912" s="1">
        <v>46098</v>
      </c>
      <c r="B912">
        <v>13057</v>
      </c>
      <c r="D912">
        <v>583</v>
      </c>
    </row>
    <row r="913" spans="1:4" x14ac:dyDescent="0.2">
      <c r="A913" s="1">
        <v>46098</v>
      </c>
      <c r="B913">
        <v>15025</v>
      </c>
      <c r="D913">
        <v>453</v>
      </c>
    </row>
    <row r="914" spans="1:4" x14ac:dyDescent="0.2">
      <c r="A914" s="1">
        <v>46098</v>
      </c>
      <c r="B914">
        <v>16005</v>
      </c>
      <c r="D914">
        <v>699</v>
      </c>
    </row>
    <row r="915" spans="1:4" x14ac:dyDescent="0.2">
      <c r="A915" s="1">
        <v>46098</v>
      </c>
      <c r="B915">
        <v>16007</v>
      </c>
      <c r="D915">
        <v>699</v>
      </c>
    </row>
    <row r="916" spans="1:4" x14ac:dyDescent="0.2">
      <c r="A916" s="1">
        <v>46098</v>
      </c>
      <c r="B916">
        <v>16009</v>
      </c>
      <c r="D916">
        <v>1871</v>
      </c>
    </row>
    <row r="917" spans="1:4" x14ac:dyDescent="0.2">
      <c r="A917" s="1">
        <v>46098</v>
      </c>
      <c r="B917">
        <v>16014</v>
      </c>
      <c r="D917">
        <v>1290</v>
      </c>
    </row>
    <row r="918" spans="1:4" x14ac:dyDescent="0.2">
      <c r="A918" s="1">
        <v>46098</v>
      </c>
      <c r="B918">
        <v>19077</v>
      </c>
      <c r="D918">
        <v>1055</v>
      </c>
    </row>
    <row r="919" spans="1:4" x14ac:dyDescent="0.2">
      <c r="A919" s="1">
        <v>46098</v>
      </c>
      <c r="B919">
        <v>19119</v>
      </c>
      <c r="D919">
        <v>427</v>
      </c>
    </row>
    <row r="920" spans="1:4" x14ac:dyDescent="0.2">
      <c r="A920" s="1">
        <v>46098</v>
      </c>
      <c r="B920">
        <v>20014</v>
      </c>
      <c r="D920">
        <v>963</v>
      </c>
    </row>
    <row r="921" spans="1:4" x14ac:dyDescent="0.2">
      <c r="A921" s="1">
        <v>46098</v>
      </c>
      <c r="B921">
        <v>20094</v>
      </c>
      <c r="D921">
        <v>679</v>
      </c>
    </row>
    <row r="922" spans="1:4" x14ac:dyDescent="0.2">
      <c r="A922" s="1">
        <v>46099</v>
      </c>
      <c r="B922">
        <v>1073</v>
      </c>
      <c r="D922">
        <v>1474</v>
      </c>
    </row>
    <row r="923" spans="1:4" x14ac:dyDescent="0.2">
      <c r="A923" s="1">
        <v>46099</v>
      </c>
      <c r="B923">
        <v>2016</v>
      </c>
      <c r="D923">
        <v>570</v>
      </c>
    </row>
    <row r="924" spans="1:4" x14ac:dyDescent="0.2">
      <c r="A924" s="1">
        <v>46099</v>
      </c>
      <c r="B924">
        <v>4029</v>
      </c>
      <c r="D924">
        <v>1852</v>
      </c>
    </row>
    <row r="925" spans="1:4" x14ac:dyDescent="0.2">
      <c r="A925" s="1">
        <v>46099</v>
      </c>
      <c r="B925">
        <v>8031</v>
      </c>
      <c r="D925">
        <v>873</v>
      </c>
    </row>
    <row r="926" spans="1:4" x14ac:dyDescent="0.2">
      <c r="A926" s="1">
        <v>46099</v>
      </c>
      <c r="B926">
        <v>8034</v>
      </c>
      <c r="D926">
        <v>369</v>
      </c>
    </row>
    <row r="927" spans="1:4" x14ac:dyDescent="0.2">
      <c r="A927" s="1">
        <v>46099</v>
      </c>
      <c r="B927">
        <v>11013</v>
      </c>
      <c r="D927">
        <v>832</v>
      </c>
    </row>
    <row r="928" spans="1:4" x14ac:dyDescent="0.2">
      <c r="A928" s="1">
        <v>46099</v>
      </c>
      <c r="B928">
        <v>13061</v>
      </c>
      <c r="D928">
        <v>429</v>
      </c>
    </row>
    <row r="929" spans="1:4" x14ac:dyDescent="0.2">
      <c r="A929" s="1">
        <v>46099</v>
      </c>
      <c r="B929">
        <v>19035</v>
      </c>
      <c r="D929">
        <v>292</v>
      </c>
    </row>
    <row r="930" spans="1:4" x14ac:dyDescent="0.2">
      <c r="A930" s="1">
        <v>46099</v>
      </c>
      <c r="B930">
        <v>19081</v>
      </c>
      <c r="D930">
        <v>601</v>
      </c>
    </row>
    <row r="931" spans="1:4" x14ac:dyDescent="0.2">
      <c r="A931" s="1">
        <v>46099</v>
      </c>
      <c r="B931">
        <v>19082</v>
      </c>
      <c r="D931">
        <v>411</v>
      </c>
    </row>
    <row r="932" spans="1:4" x14ac:dyDescent="0.2">
      <c r="A932" s="1">
        <v>46099</v>
      </c>
      <c r="B932">
        <v>19089</v>
      </c>
      <c r="D932">
        <v>351</v>
      </c>
    </row>
    <row r="933" spans="1:4" x14ac:dyDescent="0.2">
      <c r="A933" s="1">
        <v>46099</v>
      </c>
      <c r="B933">
        <v>19110</v>
      </c>
      <c r="D933">
        <v>984</v>
      </c>
    </row>
    <row r="934" spans="1:4" x14ac:dyDescent="0.2">
      <c r="A934" s="1">
        <v>46100</v>
      </c>
      <c r="B934">
        <v>1083</v>
      </c>
      <c r="D934">
        <v>252</v>
      </c>
    </row>
    <row r="935" spans="1:4" x14ac:dyDescent="0.2">
      <c r="A935" s="1">
        <v>46100</v>
      </c>
      <c r="B935">
        <v>2078</v>
      </c>
      <c r="D935">
        <v>202</v>
      </c>
    </row>
    <row r="936" spans="1:4" x14ac:dyDescent="0.2">
      <c r="A936" s="1">
        <v>46100</v>
      </c>
      <c r="B936">
        <v>3064</v>
      </c>
      <c r="D936">
        <v>625</v>
      </c>
    </row>
    <row r="937" spans="1:4" x14ac:dyDescent="0.2">
      <c r="A937" s="1">
        <v>46100</v>
      </c>
      <c r="B937" t="s">
        <v>13</v>
      </c>
      <c r="D937">
        <v>501</v>
      </c>
    </row>
    <row r="938" spans="1:4" x14ac:dyDescent="0.2">
      <c r="A938" s="1">
        <v>46100</v>
      </c>
      <c r="B938">
        <v>13015</v>
      </c>
      <c r="D938">
        <v>664</v>
      </c>
    </row>
    <row r="939" spans="1:4" x14ac:dyDescent="0.2">
      <c r="A939" s="1">
        <v>46100</v>
      </c>
      <c r="B939">
        <v>15015</v>
      </c>
      <c r="D939">
        <v>321</v>
      </c>
    </row>
    <row r="940" spans="1:4" x14ac:dyDescent="0.2">
      <c r="A940" s="1">
        <v>46100</v>
      </c>
      <c r="B940">
        <v>15051</v>
      </c>
      <c r="D940">
        <v>346</v>
      </c>
    </row>
    <row r="941" spans="1:4" x14ac:dyDescent="0.2">
      <c r="A941" s="1">
        <v>46100</v>
      </c>
      <c r="B941">
        <v>18001</v>
      </c>
      <c r="D941">
        <v>561</v>
      </c>
    </row>
    <row r="942" spans="1:4" x14ac:dyDescent="0.2">
      <c r="A942" s="1">
        <v>46100</v>
      </c>
      <c r="B942">
        <v>18003</v>
      </c>
      <c r="D942">
        <v>327</v>
      </c>
    </row>
    <row r="943" spans="1:4" x14ac:dyDescent="0.2">
      <c r="A943" s="1">
        <v>46100</v>
      </c>
      <c r="B943">
        <v>19110</v>
      </c>
      <c r="D943">
        <v>421</v>
      </c>
    </row>
    <row r="944" spans="1:4" x14ac:dyDescent="0.2">
      <c r="A944" s="1">
        <v>46100</v>
      </c>
      <c r="B944">
        <v>19123</v>
      </c>
      <c r="D944">
        <v>421</v>
      </c>
    </row>
    <row r="945" spans="1:4" x14ac:dyDescent="0.2">
      <c r="A945" s="1">
        <v>46100</v>
      </c>
      <c r="B945">
        <v>20051</v>
      </c>
      <c r="D945">
        <v>227</v>
      </c>
    </row>
    <row r="946" spans="1:4" x14ac:dyDescent="0.2">
      <c r="A946" s="1">
        <v>46100</v>
      </c>
      <c r="B946">
        <v>21001</v>
      </c>
      <c r="D946">
        <v>1196</v>
      </c>
    </row>
    <row r="947" spans="1:4" x14ac:dyDescent="0.2">
      <c r="A947" s="1">
        <v>46101</v>
      </c>
      <c r="B947">
        <v>1000</v>
      </c>
      <c r="D947">
        <v>712</v>
      </c>
    </row>
    <row r="948" spans="1:4" x14ac:dyDescent="0.2">
      <c r="A948" s="1">
        <v>46101</v>
      </c>
      <c r="B948">
        <v>1018</v>
      </c>
      <c r="D948">
        <v>787</v>
      </c>
    </row>
    <row r="949" spans="1:4" x14ac:dyDescent="0.2">
      <c r="A949" s="1">
        <v>46101</v>
      </c>
      <c r="B949">
        <v>2073</v>
      </c>
      <c r="D949">
        <v>278</v>
      </c>
    </row>
    <row r="950" spans="1:4" x14ac:dyDescent="0.2">
      <c r="A950" s="1">
        <v>46101</v>
      </c>
      <c r="B950">
        <v>3069</v>
      </c>
      <c r="D950">
        <v>1010</v>
      </c>
    </row>
    <row r="951" spans="1:4" x14ac:dyDescent="0.2">
      <c r="A951" s="1">
        <v>46101</v>
      </c>
      <c r="B951">
        <v>5006</v>
      </c>
      <c r="D951">
        <v>470</v>
      </c>
    </row>
    <row r="952" spans="1:4" x14ac:dyDescent="0.2">
      <c r="A952" s="1">
        <v>46101</v>
      </c>
      <c r="B952">
        <v>6101</v>
      </c>
      <c r="D952">
        <v>537</v>
      </c>
    </row>
    <row r="953" spans="1:4" x14ac:dyDescent="0.2">
      <c r="A953" s="1">
        <v>46101</v>
      </c>
      <c r="B953">
        <v>6109</v>
      </c>
      <c r="D953">
        <v>623</v>
      </c>
    </row>
    <row r="954" spans="1:4" x14ac:dyDescent="0.2">
      <c r="A954" s="1">
        <v>46101</v>
      </c>
      <c r="B954">
        <v>7002</v>
      </c>
      <c r="D954">
        <v>411</v>
      </c>
    </row>
    <row r="955" spans="1:4" x14ac:dyDescent="0.2">
      <c r="A955" s="1">
        <v>46101</v>
      </c>
      <c r="B955">
        <v>7052</v>
      </c>
      <c r="D955">
        <v>220</v>
      </c>
    </row>
    <row r="956" spans="1:4" x14ac:dyDescent="0.2">
      <c r="A956" s="1">
        <v>46101</v>
      </c>
      <c r="B956">
        <v>7053</v>
      </c>
      <c r="D956">
        <v>361</v>
      </c>
    </row>
    <row r="957" spans="1:4" x14ac:dyDescent="0.2">
      <c r="A957" s="1">
        <v>46101</v>
      </c>
      <c r="B957">
        <v>10001</v>
      </c>
      <c r="D957">
        <v>690</v>
      </c>
    </row>
    <row r="958" spans="1:4" x14ac:dyDescent="0.2">
      <c r="A958" s="1">
        <v>46101</v>
      </c>
      <c r="B958">
        <v>12025</v>
      </c>
      <c r="D958">
        <v>461</v>
      </c>
    </row>
    <row r="959" spans="1:4" x14ac:dyDescent="0.2">
      <c r="A959" s="1">
        <v>46101</v>
      </c>
      <c r="B959">
        <v>13009</v>
      </c>
      <c r="D959">
        <v>1021</v>
      </c>
    </row>
    <row r="960" spans="1:4" x14ac:dyDescent="0.2">
      <c r="A960" s="1">
        <v>46101</v>
      </c>
      <c r="B960">
        <v>13012</v>
      </c>
      <c r="D960">
        <v>937</v>
      </c>
    </row>
    <row r="961" spans="1:4" x14ac:dyDescent="0.2">
      <c r="A961" s="1">
        <v>46101</v>
      </c>
      <c r="B961">
        <v>15000</v>
      </c>
      <c r="D961">
        <v>925</v>
      </c>
    </row>
    <row r="962" spans="1:4" x14ac:dyDescent="0.2">
      <c r="A962" s="1">
        <v>46101</v>
      </c>
      <c r="B962">
        <v>15002</v>
      </c>
      <c r="D962">
        <v>375</v>
      </c>
    </row>
    <row r="963" spans="1:4" x14ac:dyDescent="0.2">
      <c r="A963" s="1">
        <v>46101</v>
      </c>
      <c r="B963">
        <v>15027</v>
      </c>
      <c r="D963">
        <v>532</v>
      </c>
    </row>
    <row r="964" spans="1:4" x14ac:dyDescent="0.2">
      <c r="A964" s="1">
        <v>46101</v>
      </c>
      <c r="B964">
        <v>16006</v>
      </c>
      <c r="D964">
        <v>527</v>
      </c>
    </row>
    <row r="965" spans="1:4" x14ac:dyDescent="0.2">
      <c r="A965" s="1">
        <v>46101</v>
      </c>
      <c r="B965">
        <v>16015</v>
      </c>
      <c r="D965">
        <v>1656</v>
      </c>
    </row>
    <row r="966" spans="1:4" x14ac:dyDescent="0.2">
      <c r="A966" s="1">
        <v>46102</v>
      </c>
      <c r="B966">
        <v>2023</v>
      </c>
      <c r="D966">
        <v>542</v>
      </c>
    </row>
    <row r="967" spans="1:4" x14ac:dyDescent="0.2">
      <c r="A967" s="1">
        <v>46102</v>
      </c>
      <c r="B967">
        <v>11005</v>
      </c>
      <c r="D967">
        <v>681</v>
      </c>
    </row>
    <row r="968" spans="1:4" x14ac:dyDescent="0.2">
      <c r="A968" s="1">
        <v>46102</v>
      </c>
      <c r="B968">
        <v>12021</v>
      </c>
      <c r="D968">
        <v>361</v>
      </c>
    </row>
    <row r="969" spans="1:4" x14ac:dyDescent="0.2">
      <c r="A969" s="1">
        <v>46102</v>
      </c>
      <c r="B969">
        <v>12051</v>
      </c>
      <c r="D969">
        <v>976</v>
      </c>
    </row>
    <row r="970" spans="1:4" x14ac:dyDescent="0.2">
      <c r="A970" s="1">
        <v>46102</v>
      </c>
      <c r="B970">
        <v>15018</v>
      </c>
      <c r="D970">
        <v>472</v>
      </c>
    </row>
    <row r="971" spans="1:4" x14ac:dyDescent="0.2">
      <c r="A971" s="1">
        <v>46102</v>
      </c>
      <c r="B971">
        <v>15020</v>
      </c>
      <c r="D971">
        <v>432</v>
      </c>
    </row>
    <row r="972" spans="1:4" x14ac:dyDescent="0.2">
      <c r="A972" s="1">
        <v>46102</v>
      </c>
      <c r="B972">
        <v>15035</v>
      </c>
      <c r="D972">
        <v>1407</v>
      </c>
    </row>
    <row r="973" spans="1:4" x14ac:dyDescent="0.2">
      <c r="A973" s="1">
        <v>46102</v>
      </c>
      <c r="B973">
        <v>16003</v>
      </c>
      <c r="D973">
        <v>771</v>
      </c>
    </row>
    <row r="974" spans="1:4" x14ac:dyDescent="0.2">
      <c r="A974" s="1">
        <v>46102</v>
      </c>
      <c r="B974">
        <v>16008</v>
      </c>
      <c r="D974">
        <v>666</v>
      </c>
    </row>
    <row r="975" spans="1:4" x14ac:dyDescent="0.2">
      <c r="A975" s="1">
        <v>46102</v>
      </c>
      <c r="B975">
        <v>16010</v>
      </c>
      <c r="D975">
        <v>1370</v>
      </c>
    </row>
    <row r="976" spans="1:4" x14ac:dyDescent="0.2">
      <c r="A976" s="1">
        <v>46102</v>
      </c>
      <c r="B976">
        <v>18054</v>
      </c>
      <c r="D976">
        <v>1044</v>
      </c>
    </row>
    <row r="977" spans="1:4" x14ac:dyDescent="0.2">
      <c r="A977" s="1">
        <v>46102</v>
      </c>
      <c r="B977">
        <v>19110</v>
      </c>
      <c r="D977">
        <v>191</v>
      </c>
    </row>
    <row r="978" spans="1:4" x14ac:dyDescent="0.2">
      <c r="A978" s="1">
        <v>46102</v>
      </c>
      <c r="B978">
        <v>19123</v>
      </c>
      <c r="D978">
        <v>191</v>
      </c>
    </row>
    <row r="979" spans="1:4" x14ac:dyDescent="0.2">
      <c r="A979" s="1">
        <v>46103</v>
      </c>
      <c r="B979">
        <v>1014</v>
      </c>
      <c r="D979">
        <v>858</v>
      </c>
    </row>
    <row r="980" spans="1:4" x14ac:dyDescent="0.2">
      <c r="A980" s="1">
        <v>46103</v>
      </c>
      <c r="B980">
        <v>2021</v>
      </c>
      <c r="D980">
        <v>585</v>
      </c>
    </row>
    <row r="981" spans="1:4" x14ac:dyDescent="0.2">
      <c r="A981" s="1">
        <v>46103</v>
      </c>
      <c r="B981">
        <v>8031</v>
      </c>
      <c r="D981">
        <v>972</v>
      </c>
    </row>
    <row r="982" spans="1:4" x14ac:dyDescent="0.2">
      <c r="A982" s="1">
        <v>46103</v>
      </c>
      <c r="B982">
        <v>12047</v>
      </c>
      <c r="D982">
        <v>560</v>
      </c>
    </row>
    <row r="983" spans="1:4" x14ac:dyDescent="0.2">
      <c r="A983" s="1">
        <v>46103</v>
      </c>
      <c r="B983">
        <v>12055</v>
      </c>
      <c r="D983">
        <v>896</v>
      </c>
    </row>
    <row r="984" spans="1:4" x14ac:dyDescent="0.2">
      <c r="A984" s="1">
        <v>46103</v>
      </c>
      <c r="B984">
        <v>15001</v>
      </c>
      <c r="D984">
        <v>780</v>
      </c>
    </row>
    <row r="985" spans="1:4" x14ac:dyDescent="0.2">
      <c r="A985" s="1">
        <v>46103</v>
      </c>
      <c r="B985">
        <v>20013</v>
      </c>
      <c r="D985">
        <v>990</v>
      </c>
    </row>
    <row r="986" spans="1:4" x14ac:dyDescent="0.2">
      <c r="A986" s="1">
        <v>46103</v>
      </c>
      <c r="B986">
        <v>20021</v>
      </c>
      <c r="D986">
        <v>1013</v>
      </c>
    </row>
    <row r="987" spans="1:4" x14ac:dyDescent="0.2">
      <c r="A987" s="1">
        <v>46103</v>
      </c>
      <c r="B987">
        <v>20088</v>
      </c>
      <c r="D987">
        <v>1020</v>
      </c>
    </row>
    <row r="988" spans="1:4" x14ac:dyDescent="0.2">
      <c r="A988" s="1">
        <v>46104</v>
      </c>
      <c r="B988">
        <v>13011</v>
      </c>
      <c r="D988">
        <v>809</v>
      </c>
    </row>
    <row r="989" spans="1:4" x14ac:dyDescent="0.2">
      <c r="A989" s="1">
        <v>46104</v>
      </c>
      <c r="B989">
        <v>20033</v>
      </c>
      <c r="D989">
        <v>381</v>
      </c>
    </row>
    <row r="990" spans="1:4" x14ac:dyDescent="0.2">
      <c r="A990" s="1">
        <v>46105</v>
      </c>
      <c r="B990">
        <v>1001</v>
      </c>
      <c r="D990">
        <v>849</v>
      </c>
    </row>
    <row r="991" spans="1:4" x14ac:dyDescent="0.2">
      <c r="A991" s="1">
        <v>46105</v>
      </c>
      <c r="B991">
        <v>1081</v>
      </c>
      <c r="D991">
        <v>168</v>
      </c>
    </row>
    <row r="992" spans="1:4" x14ac:dyDescent="0.2">
      <c r="A992" s="1">
        <v>46105</v>
      </c>
      <c r="B992">
        <v>2067</v>
      </c>
      <c r="D992">
        <v>904</v>
      </c>
    </row>
    <row r="993" spans="1:4" x14ac:dyDescent="0.2">
      <c r="A993" s="1">
        <v>46105</v>
      </c>
      <c r="B993">
        <v>3021</v>
      </c>
      <c r="D993">
        <v>502</v>
      </c>
    </row>
    <row r="994" spans="1:4" x14ac:dyDescent="0.2">
      <c r="A994" s="1">
        <v>46105</v>
      </c>
      <c r="B994">
        <v>3056</v>
      </c>
      <c r="D994">
        <v>259</v>
      </c>
    </row>
    <row r="995" spans="1:4" x14ac:dyDescent="0.2">
      <c r="A995" s="1">
        <v>46105</v>
      </c>
      <c r="B995">
        <v>4009</v>
      </c>
      <c r="D995">
        <v>939</v>
      </c>
    </row>
    <row r="996" spans="1:4" x14ac:dyDescent="0.2">
      <c r="A996" s="1">
        <v>46105</v>
      </c>
      <c r="B996">
        <v>13013</v>
      </c>
      <c r="D996">
        <v>917</v>
      </c>
    </row>
    <row r="997" spans="1:4" x14ac:dyDescent="0.2">
      <c r="A997" s="1">
        <v>46105</v>
      </c>
      <c r="B997">
        <v>13014</v>
      </c>
      <c r="D997">
        <v>880</v>
      </c>
    </row>
    <row r="998" spans="1:4" x14ac:dyDescent="0.2">
      <c r="A998" s="1">
        <v>46105</v>
      </c>
      <c r="B998">
        <v>14009</v>
      </c>
      <c r="D998">
        <v>939</v>
      </c>
    </row>
    <row r="999" spans="1:4" x14ac:dyDescent="0.2">
      <c r="A999" s="1">
        <v>46105</v>
      </c>
      <c r="B999">
        <v>15007</v>
      </c>
      <c r="D999">
        <v>1032</v>
      </c>
    </row>
    <row r="1000" spans="1:4" x14ac:dyDescent="0.2">
      <c r="A1000" s="1">
        <v>46105</v>
      </c>
      <c r="B1000">
        <v>15009</v>
      </c>
      <c r="D1000">
        <v>417</v>
      </c>
    </row>
    <row r="1001" spans="1:4" x14ac:dyDescent="0.2">
      <c r="A1001" s="1">
        <v>46105</v>
      </c>
      <c r="B1001">
        <v>15016</v>
      </c>
      <c r="D1001">
        <v>380</v>
      </c>
    </row>
    <row r="1002" spans="1:4" x14ac:dyDescent="0.2">
      <c r="A1002" s="1">
        <v>46105</v>
      </c>
      <c r="B1002">
        <v>15023</v>
      </c>
      <c r="D1002">
        <v>332</v>
      </c>
    </row>
    <row r="1003" spans="1:4" x14ac:dyDescent="0.2">
      <c r="A1003" s="1">
        <v>46105</v>
      </c>
      <c r="B1003">
        <v>15026</v>
      </c>
      <c r="D1003">
        <v>380</v>
      </c>
    </row>
    <row r="1004" spans="1:4" x14ac:dyDescent="0.2">
      <c r="A1004" s="1">
        <v>46105</v>
      </c>
      <c r="B1004">
        <v>15041</v>
      </c>
      <c r="D1004">
        <v>397</v>
      </c>
    </row>
    <row r="1005" spans="1:4" x14ac:dyDescent="0.2">
      <c r="A1005" s="1">
        <v>46105</v>
      </c>
      <c r="B1005">
        <v>16004</v>
      </c>
      <c r="D1005">
        <v>772</v>
      </c>
    </row>
    <row r="1006" spans="1:4" x14ac:dyDescent="0.2">
      <c r="A1006" s="1">
        <v>46105</v>
      </c>
      <c r="B1006">
        <v>16005</v>
      </c>
      <c r="D1006">
        <v>682</v>
      </c>
    </row>
    <row r="1007" spans="1:4" x14ac:dyDescent="0.2">
      <c r="A1007" s="1">
        <v>46105</v>
      </c>
      <c r="B1007">
        <v>18004</v>
      </c>
      <c r="D1007">
        <v>610</v>
      </c>
    </row>
    <row r="1008" spans="1:4" x14ac:dyDescent="0.2">
      <c r="A1008" s="1">
        <v>46105</v>
      </c>
      <c r="B1008">
        <v>19039</v>
      </c>
      <c r="D1008">
        <v>781</v>
      </c>
    </row>
    <row r="1009" spans="1:4" x14ac:dyDescent="0.2">
      <c r="A1009" s="1">
        <v>46105</v>
      </c>
      <c r="B1009">
        <v>19080</v>
      </c>
      <c r="D1009">
        <v>699</v>
      </c>
    </row>
    <row r="1010" spans="1:4" x14ac:dyDescent="0.2">
      <c r="A1010" s="1">
        <v>46105</v>
      </c>
      <c r="B1010">
        <v>20090</v>
      </c>
      <c r="D1010">
        <v>900</v>
      </c>
    </row>
    <row r="1011" spans="1:4" x14ac:dyDescent="0.2">
      <c r="A1011" s="1">
        <v>46105</v>
      </c>
      <c r="B1011">
        <v>21002</v>
      </c>
      <c r="D1011">
        <v>833</v>
      </c>
    </row>
    <row r="1012" spans="1:4" x14ac:dyDescent="0.2">
      <c r="A1012" s="1">
        <v>46106</v>
      </c>
      <c r="B1012">
        <v>2016</v>
      </c>
      <c r="D1012">
        <v>570</v>
      </c>
    </row>
    <row r="1013" spans="1:4" x14ac:dyDescent="0.2">
      <c r="A1013" s="1">
        <v>46106</v>
      </c>
      <c r="B1013">
        <v>2017</v>
      </c>
      <c r="D1013">
        <v>603</v>
      </c>
    </row>
    <row r="1014" spans="1:4" x14ac:dyDescent="0.2">
      <c r="A1014" s="1">
        <v>46106</v>
      </c>
      <c r="B1014">
        <v>2038</v>
      </c>
      <c r="D1014">
        <v>595</v>
      </c>
    </row>
    <row r="1015" spans="1:4" x14ac:dyDescent="0.2">
      <c r="A1015" s="1">
        <v>46106</v>
      </c>
      <c r="B1015">
        <v>2045</v>
      </c>
      <c r="D1015">
        <v>74</v>
      </c>
    </row>
    <row r="1016" spans="1:4" x14ac:dyDescent="0.2">
      <c r="A1016" s="1">
        <v>46106</v>
      </c>
      <c r="B1016">
        <v>3065</v>
      </c>
      <c r="D1016">
        <v>288</v>
      </c>
    </row>
    <row r="1017" spans="1:4" x14ac:dyDescent="0.2">
      <c r="A1017" s="1">
        <v>46106</v>
      </c>
      <c r="B1017">
        <v>6109</v>
      </c>
      <c r="D1017">
        <v>503</v>
      </c>
    </row>
    <row r="1018" spans="1:4" x14ac:dyDescent="0.2">
      <c r="A1018" s="1">
        <v>46106</v>
      </c>
      <c r="B1018">
        <v>8005</v>
      </c>
      <c r="D1018">
        <v>834</v>
      </c>
    </row>
    <row r="1019" spans="1:4" x14ac:dyDescent="0.2">
      <c r="A1019" s="1">
        <v>46106</v>
      </c>
      <c r="B1019">
        <v>12050</v>
      </c>
      <c r="D1019">
        <v>779</v>
      </c>
    </row>
    <row r="1020" spans="1:4" x14ac:dyDescent="0.2">
      <c r="A1020" s="1">
        <v>46106</v>
      </c>
      <c r="B1020">
        <v>13015</v>
      </c>
      <c r="D1020">
        <v>527</v>
      </c>
    </row>
    <row r="1021" spans="1:4" x14ac:dyDescent="0.2">
      <c r="A1021" s="1">
        <v>46106</v>
      </c>
      <c r="B1021">
        <v>15024</v>
      </c>
      <c r="D1021">
        <v>521</v>
      </c>
    </row>
    <row r="1022" spans="1:4" x14ac:dyDescent="0.2">
      <c r="A1022" s="1">
        <v>46106</v>
      </c>
      <c r="B1022">
        <v>16019</v>
      </c>
      <c r="D1022">
        <v>678</v>
      </c>
    </row>
    <row r="1023" spans="1:4" x14ac:dyDescent="0.2">
      <c r="A1023" s="1">
        <v>46106</v>
      </c>
      <c r="B1023">
        <v>19033</v>
      </c>
      <c r="D1023">
        <v>180</v>
      </c>
    </row>
    <row r="1024" spans="1:4" x14ac:dyDescent="0.2">
      <c r="A1024" s="1">
        <v>46106</v>
      </c>
      <c r="B1024">
        <v>20093</v>
      </c>
      <c r="D1024">
        <v>976</v>
      </c>
    </row>
    <row r="1025" spans="1:4" x14ac:dyDescent="0.2">
      <c r="A1025" s="1">
        <v>46107</v>
      </c>
      <c r="B1025">
        <v>1054</v>
      </c>
      <c r="D1025">
        <v>352</v>
      </c>
    </row>
    <row r="1026" spans="1:4" x14ac:dyDescent="0.2">
      <c r="A1026" s="1">
        <v>46107</v>
      </c>
      <c r="B1026">
        <v>1083</v>
      </c>
      <c r="D1026">
        <v>296</v>
      </c>
    </row>
    <row r="1027" spans="1:4" x14ac:dyDescent="0.2">
      <c r="A1027" s="1">
        <v>46107</v>
      </c>
      <c r="B1027">
        <v>4025</v>
      </c>
      <c r="D1027">
        <v>761</v>
      </c>
    </row>
    <row r="1028" spans="1:4" x14ac:dyDescent="0.2">
      <c r="A1028" s="1">
        <v>46107</v>
      </c>
      <c r="B1028">
        <v>4026</v>
      </c>
      <c r="D1028">
        <v>242</v>
      </c>
    </row>
    <row r="1029" spans="1:4" x14ac:dyDescent="0.2">
      <c r="A1029" s="1">
        <v>46107</v>
      </c>
      <c r="B1029">
        <v>4027</v>
      </c>
      <c r="D1029">
        <v>790</v>
      </c>
    </row>
    <row r="1030" spans="1:4" x14ac:dyDescent="0.2">
      <c r="A1030" s="1">
        <v>46107</v>
      </c>
      <c r="B1030">
        <v>6101</v>
      </c>
      <c r="D1030">
        <v>590</v>
      </c>
    </row>
    <row r="1031" spans="1:4" x14ac:dyDescent="0.2">
      <c r="A1031" s="1">
        <v>46107</v>
      </c>
      <c r="B1031">
        <v>11013</v>
      </c>
      <c r="D1031">
        <v>740</v>
      </c>
    </row>
    <row r="1032" spans="1:4" x14ac:dyDescent="0.2">
      <c r="A1032" s="1">
        <v>46107</v>
      </c>
      <c r="B1032">
        <v>11014</v>
      </c>
      <c r="D1032">
        <v>300</v>
      </c>
    </row>
    <row r="1033" spans="1:4" x14ac:dyDescent="0.2">
      <c r="A1033" s="1">
        <v>46107</v>
      </c>
      <c r="B1033">
        <v>12048</v>
      </c>
      <c r="D1033">
        <v>1025</v>
      </c>
    </row>
    <row r="1034" spans="1:4" x14ac:dyDescent="0.2">
      <c r="A1034" s="1">
        <v>46107</v>
      </c>
      <c r="B1034">
        <v>16007</v>
      </c>
      <c r="D1034">
        <v>378</v>
      </c>
    </row>
    <row r="1035" spans="1:4" x14ac:dyDescent="0.2">
      <c r="A1035" s="1">
        <v>46107</v>
      </c>
      <c r="B1035">
        <v>18001</v>
      </c>
      <c r="D1035">
        <v>602</v>
      </c>
    </row>
    <row r="1036" spans="1:4" x14ac:dyDescent="0.2">
      <c r="A1036" s="1">
        <v>46107</v>
      </c>
      <c r="B1036">
        <v>18003</v>
      </c>
      <c r="D1036">
        <v>299</v>
      </c>
    </row>
    <row r="1037" spans="1:4" x14ac:dyDescent="0.2">
      <c r="A1037" s="1">
        <v>46107</v>
      </c>
      <c r="B1037">
        <v>19022</v>
      </c>
      <c r="D1037">
        <v>877</v>
      </c>
    </row>
    <row r="1038" spans="1:4" x14ac:dyDescent="0.2">
      <c r="A1038" s="1">
        <v>46107</v>
      </c>
      <c r="B1038">
        <v>19077</v>
      </c>
      <c r="D1038">
        <v>726</v>
      </c>
    </row>
    <row r="1039" spans="1:4" x14ac:dyDescent="0.2">
      <c r="A1039" s="1">
        <v>46107</v>
      </c>
      <c r="B1039">
        <v>20092</v>
      </c>
      <c r="D1039">
        <v>915</v>
      </c>
    </row>
    <row r="1040" spans="1:4" x14ac:dyDescent="0.2">
      <c r="A1040" s="1">
        <v>46107</v>
      </c>
      <c r="B1040">
        <v>21001</v>
      </c>
      <c r="D1040">
        <v>422</v>
      </c>
    </row>
    <row r="1041" spans="1:4" x14ac:dyDescent="0.2">
      <c r="A1041" s="1">
        <v>46108</v>
      </c>
      <c r="B1041">
        <v>1013</v>
      </c>
      <c r="D1041">
        <v>994</v>
      </c>
    </row>
    <row r="1042" spans="1:4" x14ac:dyDescent="0.2">
      <c r="A1042" s="1">
        <v>46108</v>
      </c>
      <c r="B1042">
        <v>2073</v>
      </c>
      <c r="D1042">
        <v>294</v>
      </c>
    </row>
    <row r="1043" spans="1:4" x14ac:dyDescent="0.2">
      <c r="A1043" s="1">
        <v>46108</v>
      </c>
      <c r="B1043">
        <v>4010</v>
      </c>
      <c r="D1043">
        <v>494</v>
      </c>
    </row>
    <row r="1044" spans="1:4" x14ac:dyDescent="0.2">
      <c r="A1044" s="1">
        <v>46108</v>
      </c>
      <c r="B1044">
        <v>4014</v>
      </c>
      <c r="D1044">
        <v>539</v>
      </c>
    </row>
    <row r="1045" spans="1:4" x14ac:dyDescent="0.2">
      <c r="A1045" s="1">
        <v>46108</v>
      </c>
      <c r="B1045">
        <v>4029</v>
      </c>
      <c r="D1045">
        <v>2077</v>
      </c>
    </row>
    <row r="1046" spans="1:4" x14ac:dyDescent="0.2">
      <c r="A1046" s="1">
        <v>46108</v>
      </c>
      <c r="B1046">
        <v>6077</v>
      </c>
      <c r="D1046">
        <v>1888</v>
      </c>
    </row>
    <row r="1047" spans="1:4" x14ac:dyDescent="0.2">
      <c r="A1047" s="1">
        <v>46108</v>
      </c>
      <c r="B1047">
        <v>7053</v>
      </c>
      <c r="D1047">
        <v>317</v>
      </c>
    </row>
    <row r="1048" spans="1:4" x14ac:dyDescent="0.2">
      <c r="A1048" s="1">
        <v>46108</v>
      </c>
      <c r="B1048">
        <v>14009</v>
      </c>
      <c r="D1048">
        <v>780</v>
      </c>
    </row>
    <row r="1049" spans="1:4" x14ac:dyDescent="0.2">
      <c r="A1049" s="1">
        <v>46108</v>
      </c>
      <c r="B1049">
        <v>15005</v>
      </c>
      <c r="D1049">
        <v>637</v>
      </c>
    </row>
    <row r="1050" spans="1:4" x14ac:dyDescent="0.2">
      <c r="A1050" s="1">
        <v>46108</v>
      </c>
      <c r="B1050">
        <v>15025</v>
      </c>
      <c r="D1050">
        <v>279</v>
      </c>
    </row>
    <row r="1051" spans="1:4" x14ac:dyDescent="0.2">
      <c r="A1051" s="1">
        <v>46108</v>
      </c>
      <c r="B1051">
        <v>15035</v>
      </c>
      <c r="D1051">
        <v>1017</v>
      </c>
    </row>
    <row r="1052" spans="1:4" x14ac:dyDescent="0.2">
      <c r="A1052" s="1">
        <v>46108</v>
      </c>
      <c r="B1052">
        <v>16008</v>
      </c>
      <c r="D1052">
        <v>815</v>
      </c>
    </row>
    <row r="1053" spans="1:4" x14ac:dyDescent="0.2">
      <c r="A1053" s="1">
        <v>46108</v>
      </c>
      <c r="B1053">
        <v>16051</v>
      </c>
      <c r="D1053">
        <v>1509</v>
      </c>
    </row>
    <row r="1054" spans="1:4" x14ac:dyDescent="0.2">
      <c r="A1054" s="1">
        <v>46108</v>
      </c>
      <c r="B1054">
        <v>18031</v>
      </c>
      <c r="D1054">
        <v>492</v>
      </c>
    </row>
    <row r="1055" spans="1:4" x14ac:dyDescent="0.2">
      <c r="A1055" s="1">
        <v>46108</v>
      </c>
      <c r="B1055">
        <v>19031</v>
      </c>
      <c r="D1055">
        <v>935</v>
      </c>
    </row>
    <row r="1056" spans="1:4" x14ac:dyDescent="0.2">
      <c r="A1056" s="1">
        <v>46108</v>
      </c>
      <c r="B1056">
        <v>19119</v>
      </c>
      <c r="D1056">
        <v>935</v>
      </c>
    </row>
    <row r="1057" spans="1:4" x14ac:dyDescent="0.2">
      <c r="A1057" s="1">
        <v>46108</v>
      </c>
      <c r="B1057">
        <v>20081</v>
      </c>
      <c r="D1057">
        <v>911</v>
      </c>
    </row>
    <row r="1058" spans="1:4" x14ac:dyDescent="0.2">
      <c r="A1058" s="1">
        <v>46108</v>
      </c>
      <c r="B1058">
        <v>20091</v>
      </c>
      <c r="D1058">
        <v>745</v>
      </c>
    </row>
    <row r="1059" spans="1:4" x14ac:dyDescent="0.2">
      <c r="A1059" s="1">
        <v>46108</v>
      </c>
      <c r="B1059">
        <v>20094</v>
      </c>
      <c r="D1059">
        <v>641</v>
      </c>
    </row>
    <row r="1060" spans="1:4" x14ac:dyDescent="0.2">
      <c r="A1060" s="1">
        <v>46108</v>
      </c>
      <c r="B1060">
        <v>20097</v>
      </c>
      <c r="D1060">
        <v>627</v>
      </c>
    </row>
    <row r="1061" spans="1:4" x14ac:dyDescent="0.2">
      <c r="A1061" s="1">
        <v>46109</v>
      </c>
      <c r="B1061">
        <v>1057</v>
      </c>
      <c r="D1061">
        <v>720</v>
      </c>
    </row>
    <row r="1062" spans="1:4" x14ac:dyDescent="0.2">
      <c r="A1062" s="1">
        <v>46109</v>
      </c>
      <c r="B1062">
        <v>2023</v>
      </c>
      <c r="D1062">
        <v>684</v>
      </c>
    </row>
    <row r="1063" spans="1:4" x14ac:dyDescent="0.2">
      <c r="A1063" s="1">
        <v>46109</v>
      </c>
      <c r="B1063">
        <v>2045</v>
      </c>
      <c r="D1063">
        <v>274</v>
      </c>
    </row>
    <row r="1064" spans="1:4" x14ac:dyDescent="0.2">
      <c r="A1064" s="1">
        <v>46109</v>
      </c>
      <c r="B1064">
        <v>7001</v>
      </c>
      <c r="D1064">
        <v>1568</v>
      </c>
    </row>
    <row r="1065" spans="1:4" x14ac:dyDescent="0.2">
      <c r="A1065" s="1">
        <v>46109</v>
      </c>
      <c r="B1065">
        <v>15033</v>
      </c>
      <c r="D1065">
        <v>389</v>
      </c>
    </row>
    <row r="1066" spans="1:4" x14ac:dyDescent="0.2">
      <c r="A1066" s="1">
        <v>46109</v>
      </c>
      <c r="B1066">
        <v>16014</v>
      </c>
      <c r="D1066">
        <v>1430</v>
      </c>
    </row>
    <row r="1067" spans="1:4" x14ac:dyDescent="0.2">
      <c r="A1067" s="1">
        <v>46109</v>
      </c>
      <c r="B1067">
        <v>16027</v>
      </c>
      <c r="D1067">
        <v>520</v>
      </c>
    </row>
    <row r="1068" spans="1:4" x14ac:dyDescent="0.2">
      <c r="A1068" s="1">
        <v>46110</v>
      </c>
      <c r="B1068">
        <v>8031</v>
      </c>
      <c r="D1068">
        <v>1065</v>
      </c>
    </row>
    <row r="1069" spans="1:4" x14ac:dyDescent="0.2">
      <c r="A1069" s="1">
        <v>46110</v>
      </c>
      <c r="B1069">
        <v>8034</v>
      </c>
      <c r="D1069">
        <v>663</v>
      </c>
    </row>
    <row r="1070" spans="1:4" x14ac:dyDescent="0.2">
      <c r="A1070" s="1">
        <v>46110</v>
      </c>
      <c r="B1070">
        <v>11016</v>
      </c>
      <c r="D1070">
        <v>364</v>
      </c>
    </row>
    <row r="1071" spans="1:4" x14ac:dyDescent="0.2">
      <c r="A1071" s="1">
        <v>46110</v>
      </c>
      <c r="B1071">
        <v>13009</v>
      </c>
      <c r="D1071">
        <v>932</v>
      </c>
    </row>
    <row r="1072" spans="1:4" x14ac:dyDescent="0.2">
      <c r="A1072" s="1">
        <v>46110</v>
      </c>
      <c r="B1072">
        <v>13013</v>
      </c>
      <c r="D1072">
        <v>820</v>
      </c>
    </row>
    <row r="1073" spans="1:4" x14ac:dyDescent="0.2">
      <c r="A1073" s="1">
        <v>46110</v>
      </c>
      <c r="B1073">
        <v>14008</v>
      </c>
      <c r="D1073">
        <v>1352</v>
      </c>
    </row>
    <row r="1074" spans="1:4" x14ac:dyDescent="0.2">
      <c r="A1074" s="1">
        <v>46110</v>
      </c>
      <c r="B1074">
        <v>15000</v>
      </c>
      <c r="D1074">
        <v>1066</v>
      </c>
    </row>
    <row r="1075" spans="1:4" x14ac:dyDescent="0.2">
      <c r="A1075" s="1">
        <v>46110</v>
      </c>
      <c r="B1075">
        <v>15002</v>
      </c>
      <c r="D1075">
        <v>214</v>
      </c>
    </row>
    <row r="1076" spans="1:4" x14ac:dyDescent="0.2">
      <c r="A1076" s="1">
        <v>46110</v>
      </c>
      <c r="B1076">
        <v>15051</v>
      </c>
      <c r="D1076">
        <v>172</v>
      </c>
    </row>
    <row r="1077" spans="1:4" x14ac:dyDescent="0.2">
      <c r="A1077" s="1">
        <v>46110</v>
      </c>
      <c r="B1077">
        <v>16015</v>
      </c>
      <c r="D1077">
        <v>1555</v>
      </c>
    </row>
    <row r="1078" spans="1:4" x14ac:dyDescent="0.2">
      <c r="A1078" s="1">
        <v>46110</v>
      </c>
      <c r="B1078">
        <v>20019</v>
      </c>
      <c r="D1078">
        <v>819</v>
      </c>
    </row>
    <row r="1079" spans="1:4" x14ac:dyDescent="0.2">
      <c r="A1079" s="1">
        <v>46110</v>
      </c>
      <c r="B1079">
        <v>20051</v>
      </c>
      <c r="D1079">
        <v>371</v>
      </c>
    </row>
    <row r="1080" spans="1:4" x14ac:dyDescent="0.2">
      <c r="A1080" s="1">
        <v>46110</v>
      </c>
      <c r="B1080">
        <v>20077</v>
      </c>
      <c r="D1080">
        <v>548</v>
      </c>
    </row>
    <row r="1081" spans="1:4" x14ac:dyDescent="0.2">
      <c r="A1081" s="1">
        <v>46110</v>
      </c>
      <c r="B1081">
        <v>20098</v>
      </c>
      <c r="D1081">
        <v>915</v>
      </c>
    </row>
    <row r="1082" spans="1:4" x14ac:dyDescent="0.2">
      <c r="A1082" s="1">
        <v>46112</v>
      </c>
      <c r="B1082">
        <v>1011</v>
      </c>
      <c r="D1082">
        <v>948</v>
      </c>
    </row>
    <row r="1083" spans="1:4" x14ac:dyDescent="0.2">
      <c r="A1083" s="1">
        <v>46112</v>
      </c>
      <c r="B1083">
        <v>1063</v>
      </c>
      <c r="D1083">
        <v>684</v>
      </c>
    </row>
    <row r="1084" spans="1:4" x14ac:dyDescent="0.2">
      <c r="A1084" s="1">
        <v>46112</v>
      </c>
      <c r="B1084">
        <v>2053</v>
      </c>
      <c r="D1084">
        <v>760</v>
      </c>
    </row>
    <row r="1085" spans="1:4" x14ac:dyDescent="0.2">
      <c r="A1085" s="1">
        <v>46112</v>
      </c>
      <c r="B1085">
        <v>5006</v>
      </c>
      <c r="D1085">
        <v>449</v>
      </c>
    </row>
    <row r="1086" spans="1:4" x14ac:dyDescent="0.2">
      <c r="A1086" s="1">
        <v>46112</v>
      </c>
      <c r="B1086">
        <v>6109</v>
      </c>
      <c r="D1086">
        <v>474</v>
      </c>
    </row>
    <row r="1087" spans="1:4" x14ac:dyDescent="0.2">
      <c r="A1087" s="1">
        <v>46112</v>
      </c>
      <c r="B1087">
        <v>7002</v>
      </c>
      <c r="D1087">
        <v>408</v>
      </c>
    </row>
    <row r="1088" spans="1:4" x14ac:dyDescent="0.2">
      <c r="A1088" s="1">
        <v>46112</v>
      </c>
      <c r="B1088">
        <v>10001</v>
      </c>
      <c r="D1088">
        <v>950</v>
      </c>
    </row>
    <row r="1089" spans="1:4" x14ac:dyDescent="0.2">
      <c r="A1089" s="1">
        <v>46112</v>
      </c>
      <c r="B1089">
        <v>13057</v>
      </c>
      <c r="D1089">
        <v>692</v>
      </c>
    </row>
    <row r="1090" spans="1:4" x14ac:dyDescent="0.2">
      <c r="A1090" s="1">
        <v>46112</v>
      </c>
      <c r="B1090">
        <v>13086</v>
      </c>
      <c r="D1090">
        <v>346</v>
      </c>
    </row>
    <row r="1091" spans="1:4" x14ac:dyDescent="0.2">
      <c r="A1091" s="1">
        <v>46112</v>
      </c>
      <c r="B1091">
        <v>15001</v>
      </c>
      <c r="D1091">
        <v>944</v>
      </c>
    </row>
    <row r="1092" spans="1:4" x14ac:dyDescent="0.2">
      <c r="A1092" s="1">
        <v>46112</v>
      </c>
      <c r="B1092">
        <v>16003</v>
      </c>
      <c r="D1092">
        <v>635</v>
      </c>
    </row>
    <row r="1093" spans="1:4" x14ac:dyDescent="0.2">
      <c r="A1093" s="1">
        <v>46112</v>
      </c>
      <c r="B1093">
        <v>16005</v>
      </c>
      <c r="D1093">
        <v>912</v>
      </c>
    </row>
    <row r="1094" spans="1:4" x14ac:dyDescent="0.2">
      <c r="A1094" s="1">
        <v>46112</v>
      </c>
      <c r="B1094">
        <v>16006</v>
      </c>
      <c r="D1094">
        <v>721</v>
      </c>
    </row>
    <row r="1095" spans="1:4" x14ac:dyDescent="0.2">
      <c r="A1095" s="1">
        <v>46112</v>
      </c>
      <c r="B1095">
        <v>16009</v>
      </c>
      <c r="D1095">
        <v>1881</v>
      </c>
    </row>
    <row r="1096" spans="1:4" x14ac:dyDescent="0.2">
      <c r="A1096" s="1">
        <v>46112</v>
      </c>
      <c r="B1096">
        <v>19035</v>
      </c>
      <c r="D1096">
        <v>374</v>
      </c>
    </row>
    <row r="1097" spans="1:4" x14ac:dyDescent="0.2">
      <c r="A1097" s="1">
        <v>46112</v>
      </c>
      <c r="B1097">
        <v>19110</v>
      </c>
      <c r="D1097">
        <v>444</v>
      </c>
    </row>
    <row r="1098" spans="1:4" x14ac:dyDescent="0.2">
      <c r="A1098" s="1">
        <v>46112</v>
      </c>
      <c r="B1098">
        <v>19123</v>
      </c>
      <c r="D1098">
        <v>444</v>
      </c>
    </row>
    <row r="1099" spans="1:4" x14ac:dyDescent="0.2">
      <c r="A1099" s="1">
        <v>46112</v>
      </c>
      <c r="B1099">
        <v>20088</v>
      </c>
      <c r="D1099">
        <v>1025</v>
      </c>
    </row>
    <row r="1100" spans="1:4" x14ac:dyDescent="0.2">
      <c r="A1100" s="1">
        <v>46113</v>
      </c>
      <c r="B1100">
        <v>1000</v>
      </c>
      <c r="D1100">
        <v>916</v>
      </c>
    </row>
    <row r="1101" spans="1:4" x14ac:dyDescent="0.2">
      <c r="A1101" s="1">
        <v>46113</v>
      </c>
      <c r="B1101">
        <v>1018</v>
      </c>
      <c r="D1101">
        <v>975</v>
      </c>
    </row>
    <row r="1102" spans="1:4" x14ac:dyDescent="0.2">
      <c r="A1102" s="1">
        <v>46113</v>
      </c>
      <c r="B1102">
        <v>1081</v>
      </c>
      <c r="D1102">
        <v>340</v>
      </c>
    </row>
    <row r="1103" spans="1:4" x14ac:dyDescent="0.2">
      <c r="A1103" s="1">
        <v>46113</v>
      </c>
      <c r="B1103">
        <v>2017</v>
      </c>
      <c r="D1103">
        <v>470</v>
      </c>
    </row>
    <row r="1104" spans="1:4" x14ac:dyDescent="0.2">
      <c r="A1104" s="1">
        <v>46113</v>
      </c>
      <c r="B1104">
        <v>2021</v>
      </c>
      <c r="D1104">
        <v>346</v>
      </c>
    </row>
    <row r="1105" spans="1:4" x14ac:dyDescent="0.2">
      <c r="A1105" s="1">
        <v>46113</v>
      </c>
      <c r="B1105">
        <v>2067</v>
      </c>
      <c r="D1105">
        <v>644</v>
      </c>
    </row>
    <row r="1106" spans="1:4" x14ac:dyDescent="0.2">
      <c r="A1106" s="1">
        <v>46113</v>
      </c>
      <c r="B1106">
        <v>3046</v>
      </c>
      <c r="D1106">
        <v>851</v>
      </c>
    </row>
    <row r="1107" spans="1:4" x14ac:dyDescent="0.2">
      <c r="A1107" s="1">
        <v>46113</v>
      </c>
      <c r="B1107" t="s">
        <v>13</v>
      </c>
      <c r="D1107">
        <v>399</v>
      </c>
    </row>
    <row r="1108" spans="1:4" x14ac:dyDescent="0.2">
      <c r="A1108" s="1">
        <v>46113</v>
      </c>
      <c r="B1108">
        <v>5018</v>
      </c>
      <c r="D1108">
        <v>262</v>
      </c>
    </row>
    <row r="1109" spans="1:4" x14ac:dyDescent="0.2">
      <c r="A1109" s="1">
        <v>46113</v>
      </c>
      <c r="B1109">
        <v>13012</v>
      </c>
      <c r="D1109">
        <v>972</v>
      </c>
    </row>
    <row r="1110" spans="1:4" x14ac:dyDescent="0.2">
      <c r="A1110" s="1">
        <v>46113</v>
      </c>
      <c r="B1110">
        <v>13069</v>
      </c>
      <c r="D1110">
        <v>905</v>
      </c>
    </row>
    <row r="1111" spans="1:4" x14ac:dyDescent="0.2">
      <c r="A1111" s="1">
        <v>46113</v>
      </c>
      <c r="B1111">
        <v>15007</v>
      </c>
      <c r="D1111">
        <v>632</v>
      </c>
    </row>
    <row r="1112" spans="1:4" x14ac:dyDescent="0.2">
      <c r="A1112" s="1">
        <v>46113</v>
      </c>
      <c r="B1112">
        <v>16004</v>
      </c>
      <c r="D1112">
        <v>636</v>
      </c>
    </row>
    <row r="1113" spans="1:4" x14ac:dyDescent="0.2">
      <c r="A1113" s="1">
        <v>46113</v>
      </c>
      <c r="B1113">
        <v>16009</v>
      </c>
      <c r="D1113">
        <v>778</v>
      </c>
    </row>
    <row r="1114" spans="1:4" x14ac:dyDescent="0.2">
      <c r="A1114" s="1">
        <v>46113</v>
      </c>
      <c r="B1114">
        <v>16010</v>
      </c>
      <c r="D1114">
        <v>1482</v>
      </c>
    </row>
    <row r="1115" spans="1:4" x14ac:dyDescent="0.2">
      <c r="A1115" s="1">
        <v>46113</v>
      </c>
      <c r="B1115">
        <v>16018</v>
      </c>
      <c r="D1115">
        <v>778</v>
      </c>
    </row>
    <row r="1116" spans="1:4" x14ac:dyDescent="0.2">
      <c r="A1116" s="1">
        <v>46113</v>
      </c>
      <c r="B1116">
        <v>18004</v>
      </c>
      <c r="D1116">
        <v>479</v>
      </c>
    </row>
    <row r="1117" spans="1:4" x14ac:dyDescent="0.2">
      <c r="A1117" s="1">
        <v>46113</v>
      </c>
      <c r="B1117">
        <v>19031</v>
      </c>
      <c r="D1117">
        <v>658</v>
      </c>
    </row>
    <row r="1118" spans="1:4" x14ac:dyDescent="0.2">
      <c r="A1118" s="1">
        <v>46113</v>
      </c>
      <c r="B1118">
        <v>19081</v>
      </c>
      <c r="D1118">
        <v>244</v>
      </c>
    </row>
    <row r="1119" spans="1:4" x14ac:dyDescent="0.2">
      <c r="A1119" s="1">
        <v>46114</v>
      </c>
      <c r="B1119">
        <v>1083</v>
      </c>
      <c r="D1119">
        <v>271</v>
      </c>
    </row>
    <row r="1120" spans="1:4" x14ac:dyDescent="0.2">
      <c r="A1120" s="1">
        <v>46114</v>
      </c>
      <c r="B1120">
        <v>2016</v>
      </c>
      <c r="D1120">
        <v>313</v>
      </c>
    </row>
    <row r="1121" spans="1:4" x14ac:dyDescent="0.2">
      <c r="A1121" s="1">
        <v>46114</v>
      </c>
      <c r="B1121">
        <v>2073</v>
      </c>
      <c r="D1121">
        <v>104</v>
      </c>
    </row>
    <row r="1122" spans="1:4" x14ac:dyDescent="0.2">
      <c r="A1122" s="1">
        <v>46114</v>
      </c>
      <c r="B1122">
        <v>2078</v>
      </c>
      <c r="D1122">
        <v>326</v>
      </c>
    </row>
    <row r="1123" spans="1:4" x14ac:dyDescent="0.2">
      <c r="A1123" s="1">
        <v>46114</v>
      </c>
      <c r="B1123">
        <v>3021</v>
      </c>
      <c r="D1123">
        <v>262</v>
      </c>
    </row>
    <row r="1124" spans="1:4" x14ac:dyDescent="0.2">
      <c r="A1124" s="1">
        <v>46114</v>
      </c>
      <c r="B1124">
        <v>3083</v>
      </c>
      <c r="D1124">
        <v>359</v>
      </c>
    </row>
    <row r="1125" spans="1:4" x14ac:dyDescent="0.2">
      <c r="A1125" s="1">
        <v>46114</v>
      </c>
      <c r="B1125">
        <v>5004</v>
      </c>
      <c r="D1125">
        <v>394</v>
      </c>
    </row>
    <row r="1126" spans="1:4" x14ac:dyDescent="0.2">
      <c r="A1126" s="1">
        <v>46114</v>
      </c>
      <c r="B1126">
        <v>7052</v>
      </c>
      <c r="D1126">
        <v>291</v>
      </c>
    </row>
    <row r="1127" spans="1:4" x14ac:dyDescent="0.2">
      <c r="A1127" s="1">
        <v>46114</v>
      </c>
      <c r="B1127">
        <v>12055</v>
      </c>
      <c r="D1127">
        <v>761</v>
      </c>
    </row>
    <row r="1128" spans="1:4" x14ac:dyDescent="0.2">
      <c r="A1128" s="1">
        <v>46114</v>
      </c>
      <c r="B1128">
        <v>12062</v>
      </c>
      <c r="D1128">
        <v>368</v>
      </c>
    </row>
    <row r="1129" spans="1:4" x14ac:dyDescent="0.2">
      <c r="A1129" s="1">
        <v>46114</v>
      </c>
      <c r="B1129">
        <v>13013</v>
      </c>
      <c r="D1129">
        <v>464</v>
      </c>
    </row>
    <row r="1130" spans="1:4" x14ac:dyDescent="0.2">
      <c r="A1130" s="1">
        <v>46114</v>
      </c>
      <c r="B1130">
        <v>15009</v>
      </c>
      <c r="D1130">
        <v>231</v>
      </c>
    </row>
    <row r="1131" spans="1:4" x14ac:dyDescent="0.2">
      <c r="A1131" s="1">
        <v>46114</v>
      </c>
      <c r="B1131">
        <v>16008</v>
      </c>
      <c r="D1131">
        <v>490</v>
      </c>
    </row>
    <row r="1132" spans="1:4" x14ac:dyDescent="0.2">
      <c r="A1132" s="1">
        <v>46114</v>
      </c>
      <c r="B1132">
        <v>18001</v>
      </c>
      <c r="D1132">
        <v>585</v>
      </c>
    </row>
    <row r="1133" spans="1:4" x14ac:dyDescent="0.2">
      <c r="A1133" s="1">
        <v>46115</v>
      </c>
      <c r="B1133">
        <v>4014</v>
      </c>
      <c r="D1133">
        <v>369</v>
      </c>
    </row>
    <row r="1134" spans="1:4" x14ac:dyDescent="0.2">
      <c r="A1134" s="1">
        <v>46115</v>
      </c>
      <c r="B1134">
        <v>4029</v>
      </c>
      <c r="D1134">
        <v>2087</v>
      </c>
    </row>
    <row r="1135" spans="1:4" x14ac:dyDescent="0.2">
      <c r="A1135" s="1">
        <v>46115</v>
      </c>
      <c r="B1135">
        <v>7053</v>
      </c>
      <c r="D1135">
        <v>254</v>
      </c>
    </row>
    <row r="1136" spans="1:4" x14ac:dyDescent="0.2">
      <c r="A1136" s="1">
        <v>46115</v>
      </c>
      <c r="B1136">
        <v>8031</v>
      </c>
      <c r="D1136">
        <v>822</v>
      </c>
    </row>
    <row r="1137" spans="1:4" x14ac:dyDescent="0.2">
      <c r="A1137" s="1">
        <v>46115</v>
      </c>
      <c r="B1137">
        <v>12009</v>
      </c>
      <c r="D1137">
        <v>365</v>
      </c>
    </row>
    <row r="1138" spans="1:4" x14ac:dyDescent="0.2">
      <c r="A1138" s="1">
        <v>46115</v>
      </c>
      <c r="B1138">
        <v>12025</v>
      </c>
      <c r="D1138">
        <v>554</v>
      </c>
    </row>
    <row r="1139" spans="1:4" x14ac:dyDescent="0.2">
      <c r="A1139" s="1">
        <v>46115</v>
      </c>
      <c r="B1139">
        <v>13009</v>
      </c>
      <c r="D1139">
        <v>396</v>
      </c>
    </row>
    <row r="1140" spans="1:4" x14ac:dyDescent="0.2">
      <c r="A1140" s="1">
        <v>46115</v>
      </c>
      <c r="B1140">
        <v>13015</v>
      </c>
      <c r="D1140">
        <v>822</v>
      </c>
    </row>
    <row r="1141" spans="1:4" x14ac:dyDescent="0.2">
      <c r="A1141" s="1">
        <v>46115</v>
      </c>
      <c r="B1141">
        <v>15018</v>
      </c>
      <c r="D1141">
        <v>475</v>
      </c>
    </row>
    <row r="1142" spans="1:4" x14ac:dyDescent="0.2">
      <c r="A1142" s="1">
        <v>46115</v>
      </c>
      <c r="B1142">
        <v>16058</v>
      </c>
      <c r="D1142">
        <v>1080</v>
      </c>
    </row>
    <row r="1143" spans="1:4" x14ac:dyDescent="0.2">
      <c r="A1143" s="1">
        <v>46115</v>
      </c>
      <c r="B1143">
        <v>18051</v>
      </c>
      <c r="D1143">
        <v>891</v>
      </c>
    </row>
    <row r="1144" spans="1:4" x14ac:dyDescent="0.2">
      <c r="A1144" s="1">
        <v>46115</v>
      </c>
      <c r="B1144">
        <v>19033</v>
      </c>
      <c r="D1144">
        <v>330</v>
      </c>
    </row>
    <row r="1145" spans="1:4" x14ac:dyDescent="0.2">
      <c r="A1145" s="1">
        <v>46115</v>
      </c>
      <c r="B1145">
        <v>19077</v>
      </c>
      <c r="D1145">
        <v>856</v>
      </c>
    </row>
    <row r="1146" spans="1:4" x14ac:dyDescent="0.2">
      <c r="A1146" s="1">
        <v>46115</v>
      </c>
      <c r="B1146">
        <v>20019</v>
      </c>
      <c r="D1146">
        <v>709</v>
      </c>
    </row>
    <row r="1147" spans="1:4" x14ac:dyDescent="0.2">
      <c r="A1147" s="1">
        <v>46115</v>
      </c>
      <c r="B1147">
        <v>20090</v>
      </c>
      <c r="D1147">
        <v>781</v>
      </c>
    </row>
    <row r="1148" spans="1:4" x14ac:dyDescent="0.2">
      <c r="A1148" s="1">
        <v>46115</v>
      </c>
      <c r="B1148">
        <v>20095</v>
      </c>
      <c r="D1148">
        <v>864</v>
      </c>
    </row>
    <row r="1149" spans="1:4" x14ac:dyDescent="0.2">
      <c r="A1149" s="1">
        <v>46115</v>
      </c>
      <c r="B1149">
        <v>20097</v>
      </c>
      <c r="D1149">
        <v>627</v>
      </c>
    </row>
    <row r="1150" spans="1:4" x14ac:dyDescent="0.2">
      <c r="A1150" s="1">
        <v>46116</v>
      </c>
      <c r="B1150">
        <v>2023</v>
      </c>
      <c r="D1150">
        <v>527</v>
      </c>
    </row>
    <row r="1151" spans="1:4" x14ac:dyDescent="0.2">
      <c r="A1151" s="1">
        <v>46116</v>
      </c>
      <c r="B1151">
        <v>2038</v>
      </c>
      <c r="D1151">
        <v>455</v>
      </c>
    </row>
    <row r="1152" spans="1:4" x14ac:dyDescent="0.2">
      <c r="A1152" s="1">
        <v>46116</v>
      </c>
      <c r="B1152">
        <v>4026</v>
      </c>
      <c r="D1152">
        <v>223</v>
      </c>
    </row>
    <row r="1153" spans="1:4" x14ac:dyDescent="0.2">
      <c r="A1153" s="1">
        <v>46116</v>
      </c>
      <c r="B1153">
        <v>6101</v>
      </c>
      <c r="D1153">
        <v>618</v>
      </c>
    </row>
    <row r="1154" spans="1:4" x14ac:dyDescent="0.2">
      <c r="A1154" s="1">
        <v>46116</v>
      </c>
      <c r="B1154">
        <v>11005</v>
      </c>
      <c r="D1154">
        <v>725</v>
      </c>
    </row>
    <row r="1155" spans="1:4" x14ac:dyDescent="0.2">
      <c r="A1155" s="1">
        <v>46116</v>
      </c>
      <c r="B1155">
        <v>12047</v>
      </c>
      <c r="D1155">
        <v>578</v>
      </c>
    </row>
    <row r="1156" spans="1:4" x14ac:dyDescent="0.2">
      <c r="A1156" s="1">
        <v>46116</v>
      </c>
      <c r="B1156">
        <v>12048</v>
      </c>
      <c r="D1156">
        <v>743</v>
      </c>
    </row>
    <row r="1157" spans="1:4" x14ac:dyDescent="0.2">
      <c r="A1157" s="1">
        <v>46116</v>
      </c>
      <c r="B1157">
        <v>13011</v>
      </c>
      <c r="D1157">
        <v>636</v>
      </c>
    </row>
    <row r="1158" spans="1:4" x14ac:dyDescent="0.2">
      <c r="A1158" s="1">
        <v>46116</v>
      </c>
      <c r="B1158">
        <v>15004</v>
      </c>
      <c r="D1158">
        <v>439</v>
      </c>
    </row>
    <row r="1159" spans="1:4" x14ac:dyDescent="0.2">
      <c r="A1159" s="1">
        <v>46116</v>
      </c>
      <c r="B1159">
        <v>15015</v>
      </c>
      <c r="D1159">
        <v>334</v>
      </c>
    </row>
    <row r="1160" spans="1:4" x14ac:dyDescent="0.2">
      <c r="A1160" s="1">
        <v>46116</v>
      </c>
      <c r="B1160">
        <v>15020</v>
      </c>
      <c r="D1160">
        <v>415</v>
      </c>
    </row>
    <row r="1161" spans="1:4" x14ac:dyDescent="0.2">
      <c r="A1161" s="1">
        <v>46116</v>
      </c>
      <c r="B1161">
        <v>15032</v>
      </c>
      <c r="D1161">
        <v>539</v>
      </c>
    </row>
    <row r="1162" spans="1:4" x14ac:dyDescent="0.2">
      <c r="A1162" s="1">
        <v>46116</v>
      </c>
      <c r="B1162">
        <v>15035</v>
      </c>
      <c r="D1162">
        <v>1485</v>
      </c>
    </row>
    <row r="1163" spans="1:4" x14ac:dyDescent="0.2">
      <c r="A1163" s="1">
        <v>46116</v>
      </c>
      <c r="B1163">
        <v>16007</v>
      </c>
      <c r="D1163">
        <v>673</v>
      </c>
    </row>
    <row r="1164" spans="1:4" x14ac:dyDescent="0.2">
      <c r="A1164" s="1">
        <v>46116</v>
      </c>
      <c r="B1164">
        <v>18003</v>
      </c>
      <c r="D1164">
        <v>216</v>
      </c>
    </row>
    <row r="1165" spans="1:4" x14ac:dyDescent="0.2">
      <c r="A1165" s="1">
        <v>46116</v>
      </c>
      <c r="B1165">
        <v>18036</v>
      </c>
      <c r="D1165">
        <v>795</v>
      </c>
    </row>
    <row r="1166" spans="1:4" x14ac:dyDescent="0.2">
      <c r="A1166" s="1">
        <v>46116</v>
      </c>
      <c r="B1166">
        <v>18054</v>
      </c>
      <c r="D1166">
        <v>795</v>
      </c>
    </row>
    <row r="1167" spans="1:4" x14ac:dyDescent="0.2">
      <c r="A1167" s="1">
        <v>46116</v>
      </c>
      <c r="B1167">
        <v>20021</v>
      </c>
      <c r="D1167">
        <v>766</v>
      </c>
    </row>
    <row r="1168" spans="1:4" x14ac:dyDescent="0.2">
      <c r="A1168" s="1">
        <v>46118</v>
      </c>
      <c r="B1168">
        <v>12021</v>
      </c>
      <c r="D1168">
        <v>347</v>
      </c>
    </row>
    <row r="1169" spans="1:4" x14ac:dyDescent="0.2">
      <c r="A1169" s="1">
        <v>46119</v>
      </c>
      <c r="B1169">
        <v>1001</v>
      </c>
      <c r="D1169">
        <v>836</v>
      </c>
    </row>
    <row r="1170" spans="1:4" x14ac:dyDescent="0.2">
      <c r="A1170" s="1">
        <v>46119</v>
      </c>
      <c r="B1170">
        <v>1013</v>
      </c>
      <c r="D1170">
        <v>943</v>
      </c>
    </row>
    <row r="1171" spans="1:4" x14ac:dyDescent="0.2">
      <c r="A1171" s="1">
        <v>46119</v>
      </c>
      <c r="B1171">
        <v>1014</v>
      </c>
      <c r="D1171">
        <v>1035</v>
      </c>
    </row>
    <row r="1172" spans="1:4" x14ac:dyDescent="0.2">
      <c r="A1172" s="1">
        <v>46119</v>
      </c>
      <c r="B1172">
        <v>1018</v>
      </c>
      <c r="D1172">
        <v>321</v>
      </c>
    </row>
    <row r="1173" spans="1:4" x14ac:dyDescent="0.2">
      <c r="A1173" s="1">
        <v>46119</v>
      </c>
      <c r="B1173">
        <v>1083</v>
      </c>
      <c r="D1173">
        <v>209</v>
      </c>
    </row>
    <row r="1174" spans="1:4" x14ac:dyDescent="0.2">
      <c r="A1174" s="1">
        <v>46119</v>
      </c>
      <c r="B1174">
        <v>2045</v>
      </c>
      <c r="D1174">
        <v>261</v>
      </c>
    </row>
    <row r="1175" spans="1:4" x14ac:dyDescent="0.2">
      <c r="A1175" s="1">
        <v>46119</v>
      </c>
      <c r="B1175">
        <v>3064</v>
      </c>
      <c r="D1175">
        <v>574</v>
      </c>
    </row>
    <row r="1176" spans="1:4" x14ac:dyDescent="0.2">
      <c r="A1176" s="1">
        <v>46119</v>
      </c>
      <c r="B1176">
        <v>5006</v>
      </c>
      <c r="D1176">
        <v>265</v>
      </c>
    </row>
    <row r="1177" spans="1:4" x14ac:dyDescent="0.2">
      <c r="A1177" s="1">
        <v>46119</v>
      </c>
      <c r="B1177">
        <v>6109</v>
      </c>
      <c r="D1177">
        <v>590</v>
      </c>
    </row>
    <row r="1178" spans="1:4" x14ac:dyDescent="0.2">
      <c r="A1178" s="1">
        <v>46119</v>
      </c>
      <c r="B1178">
        <v>8031</v>
      </c>
      <c r="D1178">
        <v>878</v>
      </c>
    </row>
    <row r="1179" spans="1:4" x14ac:dyDescent="0.2">
      <c r="A1179" s="1">
        <v>46119</v>
      </c>
      <c r="B1179">
        <v>10001</v>
      </c>
      <c r="D1179">
        <v>542</v>
      </c>
    </row>
    <row r="1180" spans="1:4" x14ac:dyDescent="0.2">
      <c r="A1180" s="1">
        <v>46119</v>
      </c>
      <c r="B1180">
        <v>13061</v>
      </c>
      <c r="D1180">
        <v>409</v>
      </c>
    </row>
    <row r="1181" spans="1:4" x14ac:dyDescent="0.2">
      <c r="A1181" s="1">
        <v>46119</v>
      </c>
      <c r="B1181">
        <v>15015</v>
      </c>
      <c r="D1181">
        <v>153</v>
      </c>
    </row>
    <row r="1182" spans="1:4" x14ac:dyDescent="0.2">
      <c r="A1182" s="1">
        <v>46119</v>
      </c>
      <c r="B1182">
        <v>15024</v>
      </c>
      <c r="D1182">
        <v>300</v>
      </c>
    </row>
    <row r="1183" spans="1:4" x14ac:dyDescent="0.2">
      <c r="A1183" s="1">
        <v>46119</v>
      </c>
      <c r="B1183">
        <v>16005</v>
      </c>
      <c r="D1183">
        <v>513</v>
      </c>
    </row>
    <row r="1184" spans="1:4" x14ac:dyDescent="0.2">
      <c r="A1184" s="1">
        <v>46119</v>
      </c>
      <c r="B1184">
        <v>16019</v>
      </c>
      <c r="D1184">
        <v>672</v>
      </c>
    </row>
    <row r="1185" spans="1:4" x14ac:dyDescent="0.2">
      <c r="A1185" s="1">
        <v>46119</v>
      </c>
      <c r="B1185">
        <v>19082</v>
      </c>
      <c r="D1185">
        <v>513</v>
      </c>
    </row>
    <row r="1186" spans="1:4" x14ac:dyDescent="0.2">
      <c r="A1186" s="1">
        <v>46119</v>
      </c>
      <c r="B1186">
        <v>19110</v>
      </c>
      <c r="D1186">
        <v>204</v>
      </c>
    </row>
    <row r="1187" spans="1:4" x14ac:dyDescent="0.2">
      <c r="A1187" s="1">
        <v>46119</v>
      </c>
      <c r="B1187">
        <v>19117</v>
      </c>
      <c r="D1187">
        <v>457</v>
      </c>
    </row>
    <row r="1188" spans="1:4" x14ac:dyDescent="0.2">
      <c r="A1188" s="1">
        <v>46119</v>
      </c>
      <c r="B1188">
        <v>19119</v>
      </c>
      <c r="D1188">
        <v>297</v>
      </c>
    </row>
    <row r="1189" spans="1:4" x14ac:dyDescent="0.2">
      <c r="A1189" s="1">
        <v>46119</v>
      </c>
      <c r="B1189">
        <v>19123</v>
      </c>
      <c r="D1189">
        <v>204</v>
      </c>
    </row>
    <row r="1190" spans="1:4" x14ac:dyDescent="0.2">
      <c r="A1190" s="1">
        <v>46120</v>
      </c>
      <c r="B1190">
        <v>1000</v>
      </c>
      <c r="D1190">
        <v>434</v>
      </c>
    </row>
    <row r="1191" spans="1:4" x14ac:dyDescent="0.2">
      <c r="A1191" s="1">
        <v>46120</v>
      </c>
      <c r="B1191">
        <v>1054</v>
      </c>
      <c r="D1191">
        <v>505</v>
      </c>
    </row>
    <row r="1192" spans="1:4" x14ac:dyDescent="0.2">
      <c r="A1192" s="1">
        <v>46120</v>
      </c>
      <c r="B1192">
        <v>1081</v>
      </c>
      <c r="D1192">
        <v>270</v>
      </c>
    </row>
    <row r="1193" spans="1:4" x14ac:dyDescent="0.2">
      <c r="A1193" s="1">
        <v>46120</v>
      </c>
      <c r="B1193">
        <v>4009</v>
      </c>
      <c r="D1193">
        <v>913</v>
      </c>
    </row>
    <row r="1194" spans="1:4" x14ac:dyDescent="0.2">
      <c r="A1194" s="1">
        <v>46120</v>
      </c>
      <c r="B1194">
        <v>4010</v>
      </c>
      <c r="D1194">
        <v>429</v>
      </c>
    </row>
    <row r="1195" spans="1:4" x14ac:dyDescent="0.2">
      <c r="A1195" s="1">
        <v>46120</v>
      </c>
      <c r="B1195">
        <v>4037</v>
      </c>
      <c r="D1195">
        <v>247</v>
      </c>
    </row>
    <row r="1196" spans="1:4" x14ac:dyDescent="0.2">
      <c r="A1196" s="1">
        <v>46120</v>
      </c>
      <c r="B1196">
        <v>8034</v>
      </c>
      <c r="D1196">
        <v>906</v>
      </c>
    </row>
    <row r="1197" spans="1:4" x14ac:dyDescent="0.2">
      <c r="A1197" s="1">
        <v>46120</v>
      </c>
      <c r="B1197">
        <v>11013</v>
      </c>
      <c r="D1197">
        <v>786</v>
      </c>
    </row>
    <row r="1198" spans="1:4" x14ac:dyDescent="0.2">
      <c r="A1198" s="1">
        <v>46120</v>
      </c>
      <c r="B1198">
        <v>13014</v>
      </c>
      <c r="D1198">
        <v>810</v>
      </c>
    </row>
    <row r="1199" spans="1:4" x14ac:dyDescent="0.2">
      <c r="A1199" s="1">
        <v>46120</v>
      </c>
      <c r="B1199">
        <v>15000</v>
      </c>
      <c r="D1199">
        <v>910</v>
      </c>
    </row>
    <row r="1200" spans="1:4" x14ac:dyDescent="0.2">
      <c r="A1200" s="1">
        <v>46120</v>
      </c>
      <c r="B1200">
        <v>15001</v>
      </c>
      <c r="D1200">
        <v>802</v>
      </c>
    </row>
    <row r="1201" spans="1:4" x14ac:dyDescent="0.2">
      <c r="A1201" s="1">
        <v>46120</v>
      </c>
      <c r="B1201">
        <v>15016</v>
      </c>
      <c r="D1201">
        <v>329</v>
      </c>
    </row>
    <row r="1202" spans="1:4" x14ac:dyDescent="0.2">
      <c r="A1202" s="1">
        <v>46120</v>
      </c>
      <c r="B1202">
        <v>16015</v>
      </c>
      <c r="D1202">
        <v>1305</v>
      </c>
    </row>
    <row r="1203" spans="1:4" x14ac:dyDescent="0.2">
      <c r="A1203" s="1">
        <v>46120</v>
      </c>
      <c r="B1203">
        <v>20051</v>
      </c>
      <c r="D1203">
        <v>148</v>
      </c>
    </row>
    <row r="1204" spans="1:4" x14ac:dyDescent="0.2">
      <c r="A1204" s="1">
        <v>46120</v>
      </c>
      <c r="B1204">
        <v>20081</v>
      </c>
      <c r="D1204">
        <v>806</v>
      </c>
    </row>
    <row r="1205" spans="1:4" x14ac:dyDescent="0.2">
      <c r="A1205" s="1">
        <v>46120</v>
      </c>
      <c r="B1205">
        <v>20091</v>
      </c>
      <c r="D1205">
        <v>987</v>
      </c>
    </row>
    <row r="1206" spans="1:4" x14ac:dyDescent="0.2">
      <c r="A1206" s="1">
        <v>46120</v>
      </c>
      <c r="B1206">
        <v>22006</v>
      </c>
      <c r="D1206">
        <v>795</v>
      </c>
    </row>
    <row r="1207" spans="1:4" x14ac:dyDescent="0.2">
      <c r="A1207" s="1">
        <v>46121</v>
      </c>
      <c r="B1207">
        <v>2017</v>
      </c>
      <c r="D1207">
        <v>450</v>
      </c>
    </row>
    <row r="1208" spans="1:4" x14ac:dyDescent="0.2">
      <c r="A1208" s="1">
        <v>46121</v>
      </c>
      <c r="B1208">
        <v>3056</v>
      </c>
      <c r="D1208">
        <v>337</v>
      </c>
    </row>
    <row r="1209" spans="1:4" x14ac:dyDescent="0.2">
      <c r="A1209" s="1">
        <v>46121</v>
      </c>
      <c r="B1209">
        <v>13013</v>
      </c>
      <c r="D1209">
        <v>666</v>
      </c>
    </row>
    <row r="1210" spans="1:4" x14ac:dyDescent="0.2">
      <c r="A1210" s="1">
        <v>46121</v>
      </c>
      <c r="B1210">
        <v>15005</v>
      </c>
      <c r="D1210">
        <v>477</v>
      </c>
    </row>
    <row r="1211" spans="1:4" x14ac:dyDescent="0.2">
      <c r="A1211" s="1">
        <v>46121</v>
      </c>
      <c r="B1211">
        <v>15007</v>
      </c>
      <c r="D1211">
        <v>808</v>
      </c>
    </row>
    <row r="1212" spans="1:4" x14ac:dyDescent="0.2">
      <c r="A1212" s="1">
        <v>46121</v>
      </c>
      <c r="B1212">
        <v>16008</v>
      </c>
      <c r="D1212">
        <v>794</v>
      </c>
    </row>
    <row r="1213" spans="1:4" x14ac:dyDescent="0.2">
      <c r="A1213" s="1">
        <v>46121</v>
      </c>
      <c r="B1213">
        <v>16052</v>
      </c>
      <c r="D1213">
        <v>983</v>
      </c>
    </row>
    <row r="1214" spans="1:4" x14ac:dyDescent="0.2">
      <c r="A1214" s="1">
        <v>46121</v>
      </c>
      <c r="B1214">
        <v>18004</v>
      </c>
      <c r="D1214">
        <v>266</v>
      </c>
    </row>
    <row r="1215" spans="1:4" x14ac:dyDescent="0.2">
      <c r="A1215" s="1">
        <v>46121</v>
      </c>
      <c r="B1215">
        <v>18036</v>
      </c>
      <c r="D1215">
        <v>1444</v>
      </c>
    </row>
    <row r="1216" spans="1:4" x14ac:dyDescent="0.2">
      <c r="A1216" s="1">
        <v>46121</v>
      </c>
      <c r="B1216">
        <v>20088</v>
      </c>
      <c r="D1216">
        <v>993</v>
      </c>
    </row>
    <row r="1217" spans="1:4" x14ac:dyDescent="0.2">
      <c r="A1217" s="1">
        <v>46121</v>
      </c>
      <c r="B1217">
        <v>20089</v>
      </c>
      <c r="D1217">
        <v>940</v>
      </c>
    </row>
    <row r="1218" spans="1:4" x14ac:dyDescent="0.2">
      <c r="A1218" s="1">
        <v>46121</v>
      </c>
      <c r="B1218">
        <v>20094</v>
      </c>
      <c r="D1218">
        <v>862</v>
      </c>
    </row>
    <row r="1219" spans="1:4" x14ac:dyDescent="0.2">
      <c r="A1219" s="1">
        <v>46121</v>
      </c>
      <c r="B1219">
        <v>20097</v>
      </c>
      <c r="D1219">
        <v>767</v>
      </c>
    </row>
    <row r="1220" spans="1:4" x14ac:dyDescent="0.2">
      <c r="A1220" s="1">
        <v>46121</v>
      </c>
      <c r="B1220">
        <v>21001</v>
      </c>
      <c r="D1220">
        <v>739</v>
      </c>
    </row>
    <row r="1221" spans="1:4" x14ac:dyDescent="0.2">
      <c r="A1221" s="1">
        <v>46122</v>
      </c>
      <c r="B1221">
        <v>1011</v>
      </c>
      <c r="D1221">
        <v>742</v>
      </c>
    </row>
    <row r="1222" spans="1:4" x14ac:dyDescent="0.2">
      <c r="A1222" s="1">
        <v>46122</v>
      </c>
      <c r="B1222">
        <v>2021</v>
      </c>
      <c r="D1222">
        <v>570</v>
      </c>
    </row>
    <row r="1223" spans="1:4" x14ac:dyDescent="0.2">
      <c r="A1223" s="1">
        <v>46122</v>
      </c>
      <c r="B1223">
        <v>2038</v>
      </c>
      <c r="D1223">
        <v>184</v>
      </c>
    </row>
    <row r="1224" spans="1:4" x14ac:dyDescent="0.2">
      <c r="A1224" s="1">
        <v>46122</v>
      </c>
      <c r="B1224">
        <v>6101</v>
      </c>
      <c r="D1224">
        <v>577</v>
      </c>
    </row>
    <row r="1225" spans="1:4" x14ac:dyDescent="0.2">
      <c r="A1225" s="1">
        <v>46122</v>
      </c>
      <c r="B1225">
        <v>10012</v>
      </c>
      <c r="D1225">
        <v>1556</v>
      </c>
    </row>
    <row r="1226" spans="1:4" x14ac:dyDescent="0.2">
      <c r="A1226" s="1">
        <v>46122</v>
      </c>
      <c r="B1226">
        <v>13009</v>
      </c>
      <c r="D1226">
        <v>726</v>
      </c>
    </row>
    <row r="1227" spans="1:4" x14ac:dyDescent="0.2">
      <c r="A1227" s="1">
        <v>46122</v>
      </c>
      <c r="B1227">
        <v>16003</v>
      </c>
      <c r="D1227">
        <v>720</v>
      </c>
    </row>
    <row r="1228" spans="1:4" x14ac:dyDescent="0.2">
      <c r="A1228" s="1">
        <v>46122</v>
      </c>
      <c r="B1228">
        <v>16004</v>
      </c>
      <c r="D1228">
        <v>682</v>
      </c>
    </row>
    <row r="1229" spans="1:4" x14ac:dyDescent="0.2">
      <c r="A1229" s="1">
        <v>46122</v>
      </c>
      <c r="B1229">
        <v>16009</v>
      </c>
      <c r="D1229">
        <v>1766</v>
      </c>
    </row>
    <row r="1230" spans="1:4" x14ac:dyDescent="0.2">
      <c r="A1230" s="1">
        <v>46122</v>
      </c>
      <c r="B1230">
        <v>16010</v>
      </c>
      <c r="D1230">
        <v>1596</v>
      </c>
    </row>
    <row r="1231" spans="1:4" x14ac:dyDescent="0.2">
      <c r="A1231" s="1">
        <v>46122</v>
      </c>
      <c r="B1231">
        <v>18003</v>
      </c>
      <c r="D1231">
        <v>241</v>
      </c>
    </row>
    <row r="1232" spans="1:4" x14ac:dyDescent="0.2">
      <c r="A1232" s="1">
        <v>46122</v>
      </c>
      <c r="B1232">
        <v>19039</v>
      </c>
      <c r="D1232">
        <v>667</v>
      </c>
    </row>
    <row r="1233" spans="1:4" x14ac:dyDescent="0.2">
      <c r="A1233" s="1">
        <v>46122</v>
      </c>
      <c r="B1233">
        <v>19077</v>
      </c>
      <c r="D1233">
        <v>797</v>
      </c>
    </row>
    <row r="1234" spans="1:4" x14ac:dyDescent="0.2">
      <c r="A1234" s="1">
        <v>46122</v>
      </c>
      <c r="B1234">
        <v>19089</v>
      </c>
      <c r="D1234">
        <v>252</v>
      </c>
    </row>
    <row r="1235" spans="1:4" x14ac:dyDescent="0.2">
      <c r="A1235" s="1">
        <v>46122</v>
      </c>
      <c r="B1235">
        <v>19110</v>
      </c>
      <c r="D1235">
        <v>1113</v>
      </c>
    </row>
    <row r="1236" spans="1:4" x14ac:dyDescent="0.2">
      <c r="A1236" s="1">
        <v>46122</v>
      </c>
      <c r="B1236">
        <v>20033</v>
      </c>
      <c r="D1236">
        <v>969</v>
      </c>
    </row>
    <row r="1237" spans="1:4" x14ac:dyDescent="0.2">
      <c r="A1237" s="1">
        <v>46122</v>
      </c>
      <c r="B1237">
        <v>20077</v>
      </c>
      <c r="D1237">
        <v>140</v>
      </c>
    </row>
    <row r="1238" spans="1:4" x14ac:dyDescent="0.2">
      <c r="A1238" s="1">
        <v>46123</v>
      </c>
      <c r="B1238">
        <v>2023</v>
      </c>
      <c r="D1238">
        <v>509</v>
      </c>
    </row>
    <row r="1239" spans="1:4" x14ac:dyDescent="0.2">
      <c r="A1239" s="1">
        <v>46123</v>
      </c>
      <c r="B1239">
        <v>2073</v>
      </c>
      <c r="D1239">
        <v>320</v>
      </c>
    </row>
    <row r="1240" spans="1:4" x14ac:dyDescent="0.2">
      <c r="A1240" s="1">
        <v>46123</v>
      </c>
      <c r="B1240">
        <v>8031</v>
      </c>
      <c r="D1240">
        <v>918</v>
      </c>
    </row>
    <row r="1241" spans="1:4" x14ac:dyDescent="0.2">
      <c r="A1241" s="1">
        <v>46123</v>
      </c>
      <c r="B1241">
        <v>12050</v>
      </c>
      <c r="D1241">
        <v>909</v>
      </c>
    </row>
    <row r="1242" spans="1:4" x14ac:dyDescent="0.2">
      <c r="A1242" s="1">
        <v>46123</v>
      </c>
      <c r="B1242">
        <v>13012</v>
      </c>
      <c r="D1242">
        <v>617</v>
      </c>
    </row>
    <row r="1243" spans="1:4" x14ac:dyDescent="0.2">
      <c r="A1243" s="1">
        <v>46123</v>
      </c>
      <c r="B1243">
        <v>15021</v>
      </c>
      <c r="D1243">
        <v>358</v>
      </c>
    </row>
    <row r="1244" spans="1:4" x14ac:dyDescent="0.2">
      <c r="A1244" s="1">
        <v>46123</v>
      </c>
      <c r="B1244">
        <v>15028</v>
      </c>
      <c r="D1244">
        <v>614</v>
      </c>
    </row>
    <row r="1245" spans="1:4" x14ac:dyDescent="0.2">
      <c r="A1245" s="1">
        <v>46123</v>
      </c>
      <c r="B1245">
        <v>15033</v>
      </c>
      <c r="D1245">
        <v>505</v>
      </c>
    </row>
    <row r="1246" spans="1:4" x14ac:dyDescent="0.2">
      <c r="A1246" s="1">
        <v>46123</v>
      </c>
      <c r="B1246">
        <v>16027</v>
      </c>
      <c r="D1246">
        <v>582</v>
      </c>
    </row>
    <row r="1247" spans="1:4" x14ac:dyDescent="0.2">
      <c r="A1247" s="1">
        <v>46123</v>
      </c>
      <c r="B1247">
        <v>16051</v>
      </c>
      <c r="D1247">
        <v>1583</v>
      </c>
    </row>
    <row r="1248" spans="1:4" x14ac:dyDescent="0.2">
      <c r="A1248" s="1">
        <v>46123</v>
      </c>
      <c r="B1248">
        <v>19022</v>
      </c>
      <c r="D1248">
        <v>1020</v>
      </c>
    </row>
    <row r="1249" spans="1:4" x14ac:dyDescent="0.2">
      <c r="A1249" s="1">
        <v>46123</v>
      </c>
      <c r="B1249">
        <v>20092</v>
      </c>
      <c r="D1249">
        <v>931</v>
      </c>
    </row>
    <row r="1250" spans="1:4" x14ac:dyDescent="0.2">
      <c r="A1250" s="1">
        <v>46123</v>
      </c>
      <c r="B1250">
        <v>20093</v>
      </c>
      <c r="D1250">
        <v>797</v>
      </c>
    </row>
    <row r="1251" spans="1:4" x14ac:dyDescent="0.2">
      <c r="A1251" s="1">
        <v>46125</v>
      </c>
      <c r="B1251">
        <v>20013</v>
      </c>
      <c r="D1251">
        <v>878</v>
      </c>
    </row>
    <row r="1252" spans="1:4" x14ac:dyDescent="0.2">
      <c r="A1252" s="1">
        <v>46126</v>
      </c>
      <c r="B1252">
        <v>1083</v>
      </c>
      <c r="D1252">
        <v>270</v>
      </c>
    </row>
    <row r="1253" spans="1:4" x14ac:dyDescent="0.2">
      <c r="A1253" s="1">
        <v>46126</v>
      </c>
      <c r="B1253">
        <v>2016</v>
      </c>
      <c r="D1253">
        <v>570</v>
      </c>
    </row>
    <row r="1254" spans="1:4" x14ac:dyDescent="0.2">
      <c r="A1254" s="1">
        <v>46126</v>
      </c>
      <c r="B1254">
        <v>2045</v>
      </c>
      <c r="D1254">
        <v>270</v>
      </c>
    </row>
    <row r="1255" spans="1:4" x14ac:dyDescent="0.2">
      <c r="A1255" s="1">
        <v>46126</v>
      </c>
      <c r="B1255">
        <v>4014</v>
      </c>
      <c r="D1255">
        <v>483</v>
      </c>
    </row>
    <row r="1256" spans="1:4" x14ac:dyDescent="0.2">
      <c r="A1256" s="1">
        <v>46126</v>
      </c>
      <c r="B1256" t="s">
        <v>13</v>
      </c>
      <c r="D1256">
        <v>498</v>
      </c>
    </row>
    <row r="1257" spans="1:4" x14ac:dyDescent="0.2">
      <c r="A1257" s="1">
        <v>46126</v>
      </c>
      <c r="B1257">
        <v>6109</v>
      </c>
      <c r="D1257">
        <v>513</v>
      </c>
    </row>
    <row r="1258" spans="1:4" x14ac:dyDescent="0.2">
      <c r="A1258" s="1">
        <v>46126</v>
      </c>
      <c r="B1258">
        <v>7002</v>
      </c>
      <c r="D1258">
        <v>486</v>
      </c>
    </row>
    <row r="1259" spans="1:4" x14ac:dyDescent="0.2">
      <c r="A1259" s="1">
        <v>46126</v>
      </c>
      <c r="B1259">
        <v>7052</v>
      </c>
      <c r="D1259">
        <v>303</v>
      </c>
    </row>
    <row r="1260" spans="1:4" x14ac:dyDescent="0.2">
      <c r="A1260" s="1">
        <v>46126</v>
      </c>
      <c r="B1260">
        <v>7053</v>
      </c>
      <c r="D1260">
        <v>364</v>
      </c>
    </row>
    <row r="1261" spans="1:4" x14ac:dyDescent="0.2">
      <c r="A1261" s="1">
        <v>46126</v>
      </c>
      <c r="B1261">
        <v>12047</v>
      </c>
      <c r="D1261">
        <v>522</v>
      </c>
    </row>
    <row r="1262" spans="1:4" x14ac:dyDescent="0.2">
      <c r="A1262" s="1">
        <v>46126</v>
      </c>
      <c r="B1262">
        <v>13012</v>
      </c>
      <c r="D1262">
        <v>267</v>
      </c>
    </row>
    <row r="1263" spans="1:4" x14ac:dyDescent="0.2">
      <c r="A1263" s="1">
        <v>46126</v>
      </c>
      <c r="B1263">
        <v>13015</v>
      </c>
      <c r="D1263">
        <v>816</v>
      </c>
    </row>
    <row r="1264" spans="1:4" x14ac:dyDescent="0.2">
      <c r="A1264" s="1">
        <v>46126</v>
      </c>
      <c r="B1264">
        <v>15009</v>
      </c>
      <c r="D1264">
        <v>482</v>
      </c>
    </row>
    <row r="1265" spans="1:4" x14ac:dyDescent="0.2">
      <c r="A1265" s="1">
        <v>46126</v>
      </c>
      <c r="B1265">
        <v>15023</v>
      </c>
      <c r="D1265">
        <v>476</v>
      </c>
    </row>
    <row r="1266" spans="1:4" x14ac:dyDescent="0.2">
      <c r="A1266" s="1">
        <v>46126</v>
      </c>
      <c r="B1266">
        <v>15027</v>
      </c>
      <c r="D1266">
        <v>480</v>
      </c>
    </row>
    <row r="1267" spans="1:4" x14ac:dyDescent="0.2">
      <c r="A1267" s="1">
        <v>46126</v>
      </c>
      <c r="B1267">
        <v>15051</v>
      </c>
      <c r="D1267">
        <v>343</v>
      </c>
    </row>
    <row r="1268" spans="1:4" x14ac:dyDescent="0.2">
      <c r="A1268" s="1">
        <v>46126</v>
      </c>
      <c r="B1268">
        <v>18001</v>
      </c>
      <c r="D1268">
        <v>932</v>
      </c>
    </row>
    <row r="1269" spans="1:4" x14ac:dyDescent="0.2">
      <c r="A1269" s="1">
        <v>46126</v>
      </c>
      <c r="B1269">
        <v>19031</v>
      </c>
      <c r="D1269">
        <v>306</v>
      </c>
    </row>
    <row r="1270" spans="1:4" x14ac:dyDescent="0.2">
      <c r="A1270" s="1">
        <v>46126</v>
      </c>
      <c r="B1270">
        <v>19080</v>
      </c>
      <c r="D1270">
        <v>479</v>
      </c>
    </row>
    <row r="1271" spans="1:4" x14ac:dyDescent="0.2">
      <c r="A1271" s="1">
        <v>46127</v>
      </c>
      <c r="B1271">
        <v>3021</v>
      </c>
      <c r="D1271">
        <v>502</v>
      </c>
    </row>
    <row r="1272" spans="1:4" x14ac:dyDescent="0.2">
      <c r="A1272" s="1">
        <v>46127</v>
      </c>
      <c r="B1272">
        <v>8005</v>
      </c>
      <c r="D1272">
        <v>816</v>
      </c>
    </row>
    <row r="1273" spans="1:4" x14ac:dyDescent="0.2">
      <c r="A1273" s="1">
        <v>46127</v>
      </c>
      <c r="B1273">
        <v>8031</v>
      </c>
      <c r="D1273">
        <v>725</v>
      </c>
    </row>
    <row r="1274" spans="1:4" x14ac:dyDescent="0.2">
      <c r="A1274" s="1">
        <v>46127</v>
      </c>
      <c r="B1274">
        <v>8034</v>
      </c>
      <c r="D1274">
        <v>541</v>
      </c>
    </row>
    <row r="1275" spans="1:4" x14ac:dyDescent="0.2">
      <c r="A1275" s="1">
        <v>46127</v>
      </c>
      <c r="B1275">
        <v>15002</v>
      </c>
      <c r="D1275">
        <v>496</v>
      </c>
    </row>
    <row r="1276" spans="1:4" x14ac:dyDescent="0.2">
      <c r="A1276" s="1">
        <v>46127</v>
      </c>
      <c r="B1276">
        <v>15025</v>
      </c>
      <c r="D1276">
        <v>551</v>
      </c>
    </row>
    <row r="1277" spans="1:4" x14ac:dyDescent="0.2">
      <c r="A1277" s="1">
        <v>46127</v>
      </c>
      <c r="B1277">
        <v>15035</v>
      </c>
      <c r="D1277">
        <v>1502</v>
      </c>
    </row>
    <row r="1278" spans="1:4" x14ac:dyDescent="0.2">
      <c r="A1278" s="1">
        <v>46127</v>
      </c>
      <c r="B1278">
        <v>16005</v>
      </c>
      <c r="D1278">
        <v>696</v>
      </c>
    </row>
    <row r="1279" spans="1:4" x14ac:dyDescent="0.2">
      <c r="A1279" s="1">
        <v>46127</v>
      </c>
      <c r="B1279">
        <v>16008</v>
      </c>
      <c r="D1279">
        <v>751</v>
      </c>
    </row>
    <row r="1280" spans="1:4" x14ac:dyDescent="0.2">
      <c r="A1280" s="1">
        <v>46127</v>
      </c>
      <c r="B1280">
        <v>16014</v>
      </c>
      <c r="D1280">
        <v>1794</v>
      </c>
    </row>
    <row r="1281" spans="1:4" x14ac:dyDescent="0.2">
      <c r="A1281" s="1">
        <v>46127</v>
      </c>
      <c r="B1281">
        <v>18004</v>
      </c>
      <c r="D1281">
        <v>518</v>
      </c>
    </row>
    <row r="1282" spans="1:4" x14ac:dyDescent="0.2">
      <c r="A1282" s="1">
        <v>46127</v>
      </c>
      <c r="B1282">
        <v>20077</v>
      </c>
      <c r="D1282">
        <v>579</v>
      </c>
    </row>
    <row r="1283" spans="1:4" x14ac:dyDescent="0.2">
      <c r="A1283" s="1">
        <v>46128</v>
      </c>
      <c r="B1283">
        <v>1013</v>
      </c>
      <c r="D1283">
        <v>785</v>
      </c>
    </row>
    <row r="1284" spans="1:4" x14ac:dyDescent="0.2">
      <c r="A1284" s="1">
        <v>46128</v>
      </c>
      <c r="B1284">
        <v>1063</v>
      </c>
      <c r="D1284">
        <v>639</v>
      </c>
    </row>
    <row r="1285" spans="1:4" x14ac:dyDescent="0.2">
      <c r="A1285" s="1">
        <v>46128</v>
      </c>
      <c r="B1285">
        <v>1081</v>
      </c>
      <c r="D1285">
        <v>317</v>
      </c>
    </row>
    <row r="1286" spans="1:4" x14ac:dyDescent="0.2">
      <c r="A1286" s="1">
        <v>46128</v>
      </c>
      <c r="B1286">
        <v>2017</v>
      </c>
      <c r="D1286">
        <v>652</v>
      </c>
    </row>
    <row r="1287" spans="1:4" x14ac:dyDescent="0.2">
      <c r="A1287" s="1">
        <v>46128</v>
      </c>
      <c r="B1287">
        <v>2078</v>
      </c>
      <c r="D1287">
        <v>255</v>
      </c>
    </row>
    <row r="1288" spans="1:4" x14ac:dyDescent="0.2">
      <c r="A1288" s="1">
        <v>46128</v>
      </c>
      <c r="B1288">
        <v>6077</v>
      </c>
      <c r="D1288">
        <v>2086</v>
      </c>
    </row>
    <row r="1289" spans="1:4" x14ac:dyDescent="0.2">
      <c r="A1289" s="1">
        <v>46128</v>
      </c>
      <c r="B1289">
        <v>10001</v>
      </c>
      <c r="D1289">
        <v>718</v>
      </c>
    </row>
    <row r="1290" spans="1:4" x14ac:dyDescent="0.2">
      <c r="A1290" s="1">
        <v>46128</v>
      </c>
      <c r="B1290">
        <v>12048</v>
      </c>
      <c r="D1290">
        <v>710</v>
      </c>
    </row>
    <row r="1291" spans="1:4" x14ac:dyDescent="0.2">
      <c r="A1291" s="1">
        <v>46128</v>
      </c>
      <c r="B1291">
        <v>13013</v>
      </c>
      <c r="D1291">
        <v>909</v>
      </c>
    </row>
    <row r="1292" spans="1:4" x14ac:dyDescent="0.2">
      <c r="A1292" s="1">
        <v>46128</v>
      </c>
      <c r="B1292">
        <v>16008</v>
      </c>
      <c r="D1292">
        <v>198</v>
      </c>
    </row>
    <row r="1293" spans="1:4" x14ac:dyDescent="0.2">
      <c r="A1293" s="1">
        <v>46128</v>
      </c>
      <c r="B1293">
        <v>19033</v>
      </c>
      <c r="D1293">
        <v>238</v>
      </c>
    </row>
    <row r="1294" spans="1:4" x14ac:dyDescent="0.2">
      <c r="A1294" s="1">
        <v>46128</v>
      </c>
      <c r="B1294">
        <v>19081</v>
      </c>
      <c r="D1294">
        <v>478</v>
      </c>
    </row>
    <row r="1295" spans="1:4" x14ac:dyDescent="0.2">
      <c r="A1295" s="1">
        <v>46129</v>
      </c>
      <c r="B1295">
        <v>1014</v>
      </c>
      <c r="D1295">
        <v>534</v>
      </c>
    </row>
    <row r="1296" spans="1:4" x14ac:dyDescent="0.2">
      <c r="A1296" s="1">
        <v>46129</v>
      </c>
      <c r="B1296">
        <v>2053</v>
      </c>
      <c r="D1296">
        <v>975</v>
      </c>
    </row>
    <row r="1297" spans="1:4" x14ac:dyDescent="0.2">
      <c r="A1297" s="1">
        <v>46129</v>
      </c>
      <c r="B1297">
        <v>3063</v>
      </c>
      <c r="D1297">
        <v>1655</v>
      </c>
    </row>
    <row r="1298" spans="1:4" x14ac:dyDescent="0.2">
      <c r="A1298" s="1">
        <v>46129</v>
      </c>
      <c r="B1298">
        <v>4029</v>
      </c>
      <c r="D1298">
        <v>1401</v>
      </c>
    </row>
    <row r="1299" spans="1:4" x14ac:dyDescent="0.2">
      <c r="A1299" s="1">
        <v>46129</v>
      </c>
      <c r="B1299">
        <v>4038</v>
      </c>
      <c r="D1299">
        <v>886</v>
      </c>
    </row>
    <row r="1300" spans="1:4" x14ac:dyDescent="0.2">
      <c r="A1300" s="1">
        <v>46129</v>
      </c>
      <c r="B1300">
        <v>6101</v>
      </c>
      <c r="D1300">
        <v>588</v>
      </c>
    </row>
    <row r="1301" spans="1:4" x14ac:dyDescent="0.2">
      <c r="A1301" s="1">
        <v>46129</v>
      </c>
      <c r="B1301">
        <v>7001</v>
      </c>
      <c r="D1301">
        <v>1422</v>
      </c>
    </row>
    <row r="1302" spans="1:4" x14ac:dyDescent="0.2">
      <c r="A1302" s="1">
        <v>46129</v>
      </c>
      <c r="B1302">
        <v>12025</v>
      </c>
      <c r="D1302">
        <v>562</v>
      </c>
    </row>
    <row r="1303" spans="1:4" x14ac:dyDescent="0.2">
      <c r="A1303" s="1">
        <v>46129</v>
      </c>
      <c r="B1303">
        <v>13057</v>
      </c>
      <c r="D1303">
        <v>668</v>
      </c>
    </row>
    <row r="1304" spans="1:4" x14ac:dyDescent="0.2">
      <c r="A1304" s="1">
        <v>46129</v>
      </c>
      <c r="B1304">
        <v>15000</v>
      </c>
      <c r="D1304">
        <v>800</v>
      </c>
    </row>
    <row r="1305" spans="1:4" x14ac:dyDescent="0.2">
      <c r="A1305" s="1">
        <v>46129</v>
      </c>
      <c r="B1305">
        <v>15020</v>
      </c>
      <c r="D1305">
        <v>480</v>
      </c>
    </row>
    <row r="1306" spans="1:4" x14ac:dyDescent="0.2">
      <c r="A1306" s="1">
        <v>46129</v>
      </c>
      <c r="B1306">
        <v>15041</v>
      </c>
      <c r="D1306">
        <v>539</v>
      </c>
    </row>
    <row r="1307" spans="1:4" x14ac:dyDescent="0.2">
      <c r="A1307" s="1">
        <v>46129</v>
      </c>
      <c r="B1307">
        <v>16007</v>
      </c>
      <c r="D1307">
        <v>548</v>
      </c>
    </row>
    <row r="1308" spans="1:4" x14ac:dyDescent="0.2">
      <c r="A1308" s="1">
        <v>46129</v>
      </c>
      <c r="B1308">
        <v>16009</v>
      </c>
      <c r="D1308">
        <v>948</v>
      </c>
    </row>
    <row r="1309" spans="1:4" x14ac:dyDescent="0.2">
      <c r="A1309" s="1">
        <v>46129</v>
      </c>
      <c r="B1309">
        <v>16015</v>
      </c>
      <c r="D1309">
        <v>1396</v>
      </c>
    </row>
    <row r="1310" spans="1:4" x14ac:dyDescent="0.2">
      <c r="A1310" s="1">
        <v>46129</v>
      </c>
      <c r="B1310">
        <v>16058</v>
      </c>
      <c r="D1310">
        <v>939</v>
      </c>
    </row>
    <row r="1311" spans="1:4" x14ac:dyDescent="0.2">
      <c r="A1311" s="1">
        <v>46129</v>
      </c>
      <c r="B1311">
        <v>18003</v>
      </c>
      <c r="D1311">
        <v>270</v>
      </c>
    </row>
    <row r="1312" spans="1:4" x14ac:dyDescent="0.2">
      <c r="A1312" s="1">
        <v>46129</v>
      </c>
      <c r="B1312">
        <v>20081</v>
      </c>
      <c r="D1312">
        <v>656</v>
      </c>
    </row>
    <row r="1313" spans="1:4" x14ac:dyDescent="0.2">
      <c r="A1313" s="1">
        <v>46129</v>
      </c>
      <c r="B1313">
        <v>20091</v>
      </c>
      <c r="D1313">
        <v>634</v>
      </c>
    </row>
    <row r="1314" spans="1:4" x14ac:dyDescent="0.2">
      <c r="A1314" s="1">
        <v>46130</v>
      </c>
      <c r="B1314">
        <v>1001</v>
      </c>
      <c r="D1314">
        <v>688</v>
      </c>
    </row>
    <row r="1315" spans="1:4" x14ac:dyDescent="0.2">
      <c r="A1315" s="1">
        <v>46130</v>
      </c>
      <c r="B1315">
        <v>2067</v>
      </c>
      <c r="D1315">
        <v>711</v>
      </c>
    </row>
    <row r="1316" spans="1:4" x14ac:dyDescent="0.2">
      <c r="A1316" s="1">
        <v>46130</v>
      </c>
      <c r="B1316">
        <v>4027</v>
      </c>
      <c r="D1316">
        <v>673</v>
      </c>
    </row>
    <row r="1317" spans="1:4" x14ac:dyDescent="0.2">
      <c r="A1317" s="1">
        <v>46130</v>
      </c>
      <c r="B1317">
        <v>8031</v>
      </c>
      <c r="D1317">
        <v>536</v>
      </c>
    </row>
    <row r="1318" spans="1:4" x14ac:dyDescent="0.2">
      <c r="A1318" s="1">
        <v>46130</v>
      </c>
      <c r="B1318">
        <v>11005</v>
      </c>
      <c r="D1318">
        <v>806</v>
      </c>
    </row>
    <row r="1319" spans="1:4" x14ac:dyDescent="0.2">
      <c r="A1319" s="1">
        <v>46130</v>
      </c>
      <c r="B1319">
        <v>12021</v>
      </c>
      <c r="D1319">
        <v>393</v>
      </c>
    </row>
    <row r="1320" spans="1:4" x14ac:dyDescent="0.2">
      <c r="A1320" s="1">
        <v>46130</v>
      </c>
      <c r="B1320">
        <v>12055</v>
      </c>
      <c r="D1320">
        <v>953</v>
      </c>
    </row>
    <row r="1321" spans="1:4" x14ac:dyDescent="0.2">
      <c r="A1321" s="1">
        <v>46130</v>
      </c>
      <c r="B1321">
        <v>13009</v>
      </c>
      <c r="D1321">
        <v>748</v>
      </c>
    </row>
    <row r="1322" spans="1:4" x14ac:dyDescent="0.2">
      <c r="A1322" s="1">
        <v>46130</v>
      </c>
      <c r="B1322">
        <v>14008</v>
      </c>
      <c r="D1322">
        <v>1332</v>
      </c>
    </row>
    <row r="1323" spans="1:4" x14ac:dyDescent="0.2">
      <c r="A1323" s="1">
        <v>46130</v>
      </c>
      <c r="B1323">
        <v>15001</v>
      </c>
      <c r="D1323">
        <v>844</v>
      </c>
    </row>
    <row r="1324" spans="1:4" x14ac:dyDescent="0.2">
      <c r="A1324" s="1">
        <v>46130</v>
      </c>
      <c r="B1324">
        <v>15004</v>
      </c>
      <c r="D1324">
        <v>318</v>
      </c>
    </row>
    <row r="1325" spans="1:4" x14ac:dyDescent="0.2">
      <c r="A1325" s="1">
        <v>46130</v>
      </c>
      <c r="B1325">
        <v>15007</v>
      </c>
      <c r="D1325">
        <v>822</v>
      </c>
    </row>
    <row r="1326" spans="1:4" x14ac:dyDescent="0.2">
      <c r="A1326" s="1">
        <v>46130</v>
      </c>
      <c r="B1326">
        <v>15032</v>
      </c>
      <c r="D1326">
        <v>185</v>
      </c>
    </row>
    <row r="1327" spans="1:4" x14ac:dyDescent="0.2">
      <c r="A1327" s="1">
        <v>46130</v>
      </c>
      <c r="B1327">
        <v>18054</v>
      </c>
      <c r="D1327">
        <v>902</v>
      </c>
    </row>
    <row r="1328" spans="1:4" x14ac:dyDescent="0.2">
      <c r="A1328" s="1">
        <v>46130</v>
      </c>
      <c r="B1328">
        <v>20088</v>
      </c>
      <c r="D1328">
        <v>833</v>
      </c>
    </row>
    <row r="1329" spans="1:4" x14ac:dyDescent="0.2">
      <c r="A1329" s="1">
        <v>46130</v>
      </c>
      <c r="B1329">
        <v>20090</v>
      </c>
      <c r="D1329">
        <v>927</v>
      </c>
    </row>
    <row r="1330" spans="1:4" x14ac:dyDescent="0.2">
      <c r="A1330" s="1">
        <v>46130</v>
      </c>
      <c r="B1330">
        <v>20098</v>
      </c>
      <c r="D1330">
        <v>1032</v>
      </c>
    </row>
    <row r="1331" spans="1:4" x14ac:dyDescent="0.2">
      <c r="A1331" s="1">
        <v>46133</v>
      </c>
      <c r="B1331">
        <v>1000</v>
      </c>
      <c r="D1331">
        <v>965</v>
      </c>
    </row>
    <row r="1332" spans="1:4" x14ac:dyDescent="0.2">
      <c r="A1332" s="1">
        <v>46133</v>
      </c>
      <c r="B1332">
        <v>1013</v>
      </c>
      <c r="D1332">
        <v>343</v>
      </c>
    </row>
    <row r="1333" spans="1:4" x14ac:dyDescent="0.2">
      <c r="A1333" s="1">
        <v>46133</v>
      </c>
      <c r="B1333">
        <v>1018</v>
      </c>
      <c r="D1333">
        <v>648</v>
      </c>
    </row>
    <row r="1334" spans="1:4" x14ac:dyDescent="0.2">
      <c r="A1334" s="1">
        <v>46133</v>
      </c>
      <c r="B1334">
        <v>1054</v>
      </c>
      <c r="D1334">
        <v>569</v>
      </c>
    </row>
    <row r="1335" spans="1:4" x14ac:dyDescent="0.2">
      <c r="A1335" s="1">
        <v>46133</v>
      </c>
      <c r="B1335">
        <v>1083</v>
      </c>
      <c r="D1335">
        <v>252</v>
      </c>
    </row>
    <row r="1336" spans="1:4" x14ac:dyDescent="0.2">
      <c r="A1336" s="1">
        <v>46133</v>
      </c>
      <c r="B1336">
        <v>2023</v>
      </c>
      <c r="D1336">
        <v>603</v>
      </c>
    </row>
    <row r="1337" spans="1:4" x14ac:dyDescent="0.2">
      <c r="A1337" s="1">
        <v>46133</v>
      </c>
      <c r="B1337">
        <v>2038</v>
      </c>
      <c r="D1337">
        <v>525</v>
      </c>
    </row>
    <row r="1338" spans="1:4" x14ac:dyDescent="0.2">
      <c r="A1338" s="1">
        <v>46133</v>
      </c>
      <c r="B1338">
        <v>2045</v>
      </c>
      <c r="D1338">
        <v>148</v>
      </c>
    </row>
    <row r="1339" spans="1:4" x14ac:dyDescent="0.2">
      <c r="A1339" s="1">
        <v>46133</v>
      </c>
      <c r="B1339">
        <v>2073</v>
      </c>
      <c r="D1339">
        <v>319</v>
      </c>
    </row>
    <row r="1340" spans="1:4" x14ac:dyDescent="0.2">
      <c r="A1340" s="1">
        <v>46133</v>
      </c>
      <c r="B1340">
        <v>3046</v>
      </c>
      <c r="D1340">
        <v>793</v>
      </c>
    </row>
    <row r="1341" spans="1:4" x14ac:dyDescent="0.2">
      <c r="A1341" s="1">
        <v>46133</v>
      </c>
      <c r="B1341">
        <v>5006</v>
      </c>
      <c r="D1341">
        <v>476</v>
      </c>
    </row>
    <row r="1342" spans="1:4" x14ac:dyDescent="0.2">
      <c r="A1342" s="1">
        <v>46133</v>
      </c>
      <c r="B1342">
        <v>6109</v>
      </c>
      <c r="D1342">
        <v>541</v>
      </c>
    </row>
    <row r="1343" spans="1:4" x14ac:dyDescent="0.2">
      <c r="A1343" s="1">
        <v>46133</v>
      </c>
      <c r="B1343">
        <v>15005</v>
      </c>
      <c r="D1343">
        <v>653</v>
      </c>
    </row>
    <row r="1344" spans="1:4" x14ac:dyDescent="0.2">
      <c r="A1344" s="1">
        <v>46133</v>
      </c>
      <c r="B1344">
        <v>15018</v>
      </c>
      <c r="D1344">
        <v>461</v>
      </c>
    </row>
    <row r="1345" spans="1:4" x14ac:dyDescent="0.2">
      <c r="A1345" s="1">
        <v>46133</v>
      </c>
      <c r="B1345">
        <v>15026</v>
      </c>
      <c r="D1345">
        <v>644</v>
      </c>
    </row>
    <row r="1346" spans="1:4" x14ac:dyDescent="0.2">
      <c r="A1346" s="1">
        <v>46133</v>
      </c>
      <c r="B1346">
        <v>16003</v>
      </c>
      <c r="D1346">
        <v>660</v>
      </c>
    </row>
    <row r="1347" spans="1:4" x14ac:dyDescent="0.2">
      <c r="A1347" s="1">
        <v>46133</v>
      </c>
      <c r="B1347">
        <v>16004</v>
      </c>
      <c r="D1347">
        <v>630</v>
      </c>
    </row>
    <row r="1348" spans="1:4" x14ac:dyDescent="0.2">
      <c r="A1348" s="1">
        <v>46133</v>
      </c>
      <c r="B1348">
        <v>16006</v>
      </c>
      <c r="D1348">
        <v>694</v>
      </c>
    </row>
    <row r="1349" spans="1:4" x14ac:dyDescent="0.2">
      <c r="A1349" s="1">
        <v>46133</v>
      </c>
      <c r="B1349">
        <v>16010</v>
      </c>
      <c r="D1349">
        <v>1304</v>
      </c>
    </row>
    <row r="1350" spans="1:4" x14ac:dyDescent="0.2">
      <c r="A1350" s="1">
        <v>46133</v>
      </c>
      <c r="B1350">
        <v>16018</v>
      </c>
      <c r="D1350">
        <v>566</v>
      </c>
    </row>
    <row r="1351" spans="1:4" x14ac:dyDescent="0.2">
      <c r="A1351" s="1">
        <v>46133</v>
      </c>
      <c r="B1351">
        <v>19077</v>
      </c>
      <c r="D1351">
        <v>1100</v>
      </c>
    </row>
    <row r="1352" spans="1:4" x14ac:dyDescent="0.2">
      <c r="A1352" s="1">
        <v>46133</v>
      </c>
      <c r="B1352">
        <v>19082</v>
      </c>
      <c r="D1352">
        <v>619</v>
      </c>
    </row>
    <row r="1353" spans="1:4" x14ac:dyDescent="0.2">
      <c r="A1353" s="1">
        <v>46133</v>
      </c>
      <c r="B1353">
        <v>20021</v>
      </c>
      <c r="D1353">
        <v>852</v>
      </c>
    </row>
    <row r="1354" spans="1:4" x14ac:dyDescent="0.2">
      <c r="A1354" s="1">
        <v>46133</v>
      </c>
      <c r="B1354">
        <v>20097</v>
      </c>
      <c r="D1354">
        <v>933</v>
      </c>
    </row>
    <row r="1355" spans="1:4" x14ac:dyDescent="0.2">
      <c r="A1355" s="1">
        <v>46134</v>
      </c>
      <c r="B1355">
        <v>1011</v>
      </c>
      <c r="D1355">
        <v>818</v>
      </c>
    </row>
    <row r="1356" spans="1:4" x14ac:dyDescent="0.2">
      <c r="A1356" s="1">
        <v>46134</v>
      </c>
      <c r="B1356">
        <v>1081</v>
      </c>
      <c r="D1356">
        <v>291</v>
      </c>
    </row>
    <row r="1357" spans="1:4" x14ac:dyDescent="0.2">
      <c r="A1357" s="1">
        <v>46134</v>
      </c>
      <c r="B1357">
        <v>3069</v>
      </c>
      <c r="D1357">
        <v>903</v>
      </c>
    </row>
    <row r="1358" spans="1:4" x14ac:dyDescent="0.2">
      <c r="A1358" s="1">
        <v>46134</v>
      </c>
      <c r="B1358">
        <v>4010</v>
      </c>
      <c r="D1358">
        <v>418</v>
      </c>
    </row>
    <row r="1359" spans="1:4" x14ac:dyDescent="0.2">
      <c r="A1359" s="1">
        <v>46134</v>
      </c>
      <c r="B1359">
        <v>4026</v>
      </c>
      <c r="D1359">
        <v>225</v>
      </c>
    </row>
    <row r="1360" spans="1:4" x14ac:dyDescent="0.2">
      <c r="A1360" s="1">
        <v>46134</v>
      </c>
      <c r="B1360">
        <v>7053</v>
      </c>
      <c r="D1360">
        <v>271</v>
      </c>
    </row>
    <row r="1361" spans="1:4" x14ac:dyDescent="0.2">
      <c r="A1361" s="1">
        <v>46134</v>
      </c>
      <c r="B1361">
        <v>11014</v>
      </c>
      <c r="D1361">
        <v>450</v>
      </c>
    </row>
    <row r="1362" spans="1:4" x14ac:dyDescent="0.2">
      <c r="A1362" s="1">
        <v>46134</v>
      </c>
      <c r="B1362">
        <v>13013</v>
      </c>
      <c r="D1362">
        <v>822</v>
      </c>
    </row>
    <row r="1363" spans="1:4" x14ac:dyDescent="0.2">
      <c r="A1363" s="1">
        <v>46134</v>
      </c>
      <c r="B1363">
        <v>18031</v>
      </c>
      <c r="D1363">
        <v>663</v>
      </c>
    </row>
    <row r="1364" spans="1:4" x14ac:dyDescent="0.2">
      <c r="A1364" s="1">
        <v>46134</v>
      </c>
      <c r="B1364">
        <v>19035</v>
      </c>
      <c r="D1364">
        <v>200</v>
      </c>
    </row>
    <row r="1365" spans="1:4" x14ac:dyDescent="0.2">
      <c r="A1365" s="1">
        <v>46134</v>
      </c>
      <c r="B1365">
        <v>20051</v>
      </c>
      <c r="D1365">
        <v>220</v>
      </c>
    </row>
    <row r="1366" spans="1:4" x14ac:dyDescent="0.2">
      <c r="A1366" s="1">
        <v>46134</v>
      </c>
      <c r="B1366">
        <v>21002</v>
      </c>
      <c r="D1366">
        <v>1158</v>
      </c>
    </row>
    <row r="1367" spans="1:4" x14ac:dyDescent="0.2">
      <c r="A1367" s="1">
        <v>46135</v>
      </c>
      <c r="B1367">
        <v>3056</v>
      </c>
      <c r="D1367">
        <v>244</v>
      </c>
    </row>
    <row r="1368" spans="1:4" x14ac:dyDescent="0.2">
      <c r="A1368" s="1">
        <v>46135</v>
      </c>
      <c r="B1368">
        <v>3065</v>
      </c>
      <c r="D1368">
        <v>375</v>
      </c>
    </row>
    <row r="1369" spans="1:4" x14ac:dyDescent="0.2">
      <c r="A1369" s="1">
        <v>46135</v>
      </c>
      <c r="B1369">
        <v>4014</v>
      </c>
      <c r="D1369">
        <v>292</v>
      </c>
    </row>
    <row r="1370" spans="1:4" x14ac:dyDescent="0.2">
      <c r="A1370" s="1">
        <v>46135</v>
      </c>
      <c r="B1370" t="s">
        <v>13</v>
      </c>
      <c r="D1370">
        <v>312</v>
      </c>
    </row>
    <row r="1371" spans="1:4" x14ac:dyDescent="0.2">
      <c r="A1371" s="1">
        <v>46135</v>
      </c>
      <c r="B1371">
        <v>6101</v>
      </c>
      <c r="D1371">
        <v>571</v>
      </c>
    </row>
    <row r="1372" spans="1:4" x14ac:dyDescent="0.2">
      <c r="A1372" s="1">
        <v>46135</v>
      </c>
      <c r="B1372">
        <v>7002</v>
      </c>
      <c r="D1372">
        <v>398</v>
      </c>
    </row>
    <row r="1373" spans="1:4" x14ac:dyDescent="0.2">
      <c r="A1373" s="1">
        <v>46135</v>
      </c>
      <c r="B1373">
        <v>7052</v>
      </c>
      <c r="D1373">
        <v>100</v>
      </c>
    </row>
    <row r="1374" spans="1:4" x14ac:dyDescent="0.2">
      <c r="A1374" s="1">
        <v>46135</v>
      </c>
      <c r="B1374">
        <v>8031</v>
      </c>
      <c r="D1374">
        <v>809</v>
      </c>
    </row>
    <row r="1375" spans="1:4" x14ac:dyDescent="0.2">
      <c r="A1375" s="1">
        <v>46135</v>
      </c>
      <c r="B1375">
        <v>8034</v>
      </c>
      <c r="D1375">
        <v>533</v>
      </c>
    </row>
    <row r="1376" spans="1:4" x14ac:dyDescent="0.2">
      <c r="A1376" s="1">
        <v>46135</v>
      </c>
      <c r="B1376">
        <v>10001</v>
      </c>
      <c r="D1376">
        <v>573</v>
      </c>
    </row>
    <row r="1377" spans="1:4" x14ac:dyDescent="0.2">
      <c r="A1377" s="1">
        <v>46135</v>
      </c>
      <c r="B1377">
        <v>11013</v>
      </c>
      <c r="D1377">
        <v>925</v>
      </c>
    </row>
    <row r="1378" spans="1:4" x14ac:dyDescent="0.2">
      <c r="A1378" s="1">
        <v>46135</v>
      </c>
      <c r="B1378">
        <v>15003</v>
      </c>
      <c r="D1378">
        <v>990</v>
      </c>
    </row>
    <row r="1379" spans="1:4" x14ac:dyDescent="0.2">
      <c r="A1379" s="1">
        <v>46135</v>
      </c>
      <c r="B1379">
        <v>15009</v>
      </c>
      <c r="D1379">
        <v>409</v>
      </c>
    </row>
    <row r="1380" spans="1:4" x14ac:dyDescent="0.2">
      <c r="A1380" s="1">
        <v>46135</v>
      </c>
      <c r="B1380">
        <v>15015</v>
      </c>
      <c r="D1380">
        <v>447</v>
      </c>
    </row>
    <row r="1381" spans="1:4" x14ac:dyDescent="0.2">
      <c r="A1381" s="1">
        <v>46135</v>
      </c>
      <c r="B1381">
        <v>15024</v>
      </c>
      <c r="D1381">
        <v>270</v>
      </c>
    </row>
    <row r="1382" spans="1:4" x14ac:dyDescent="0.2">
      <c r="A1382" s="1">
        <v>46135</v>
      </c>
      <c r="B1382">
        <v>15035</v>
      </c>
      <c r="D1382">
        <v>1516</v>
      </c>
    </row>
    <row r="1383" spans="1:4" x14ac:dyDescent="0.2">
      <c r="A1383" s="1">
        <v>46135</v>
      </c>
      <c r="B1383">
        <v>15051</v>
      </c>
      <c r="D1383">
        <v>355</v>
      </c>
    </row>
    <row r="1384" spans="1:4" x14ac:dyDescent="0.2">
      <c r="A1384" s="1">
        <v>46135</v>
      </c>
      <c r="B1384">
        <v>16008</v>
      </c>
      <c r="D1384">
        <v>896</v>
      </c>
    </row>
    <row r="1385" spans="1:4" x14ac:dyDescent="0.2">
      <c r="A1385" s="1">
        <v>46135</v>
      </c>
      <c r="B1385">
        <v>18001</v>
      </c>
      <c r="D1385">
        <v>582</v>
      </c>
    </row>
    <row r="1386" spans="1:4" x14ac:dyDescent="0.2">
      <c r="A1386" s="1">
        <v>46135</v>
      </c>
      <c r="B1386">
        <v>18003</v>
      </c>
      <c r="D1386">
        <v>230</v>
      </c>
    </row>
    <row r="1387" spans="1:4" x14ac:dyDescent="0.2">
      <c r="A1387" s="1">
        <v>46135</v>
      </c>
      <c r="B1387">
        <v>21001</v>
      </c>
      <c r="D1387">
        <v>738</v>
      </c>
    </row>
    <row r="1388" spans="1:4" x14ac:dyDescent="0.2">
      <c r="A1388" s="1">
        <v>46136</v>
      </c>
      <c r="B1388">
        <v>2017</v>
      </c>
      <c r="D1388">
        <v>457</v>
      </c>
    </row>
    <row r="1389" spans="1:4" x14ac:dyDescent="0.2">
      <c r="A1389" s="1">
        <v>46136</v>
      </c>
      <c r="B1389">
        <v>3028</v>
      </c>
      <c r="D1389">
        <v>620</v>
      </c>
    </row>
    <row r="1390" spans="1:4" x14ac:dyDescent="0.2">
      <c r="A1390" s="1">
        <v>46136</v>
      </c>
      <c r="B1390">
        <v>4009</v>
      </c>
      <c r="D1390">
        <v>719</v>
      </c>
    </row>
    <row r="1391" spans="1:4" x14ac:dyDescent="0.2">
      <c r="A1391" s="1">
        <v>46136</v>
      </c>
      <c r="B1391">
        <v>4025</v>
      </c>
      <c r="D1391">
        <v>811</v>
      </c>
    </row>
    <row r="1392" spans="1:4" x14ac:dyDescent="0.2">
      <c r="A1392" s="1">
        <v>46136</v>
      </c>
      <c r="B1392">
        <v>5004</v>
      </c>
      <c r="D1392">
        <v>451</v>
      </c>
    </row>
    <row r="1393" spans="1:4" x14ac:dyDescent="0.2">
      <c r="A1393" s="1">
        <v>46136</v>
      </c>
      <c r="B1393">
        <v>6101</v>
      </c>
      <c r="D1393">
        <v>571</v>
      </c>
    </row>
    <row r="1394" spans="1:4" x14ac:dyDescent="0.2">
      <c r="A1394" s="1">
        <v>46136</v>
      </c>
      <c r="B1394">
        <v>10011</v>
      </c>
      <c r="D1394">
        <v>541</v>
      </c>
    </row>
    <row r="1395" spans="1:4" x14ac:dyDescent="0.2">
      <c r="A1395" s="1">
        <v>46136</v>
      </c>
      <c r="B1395">
        <v>12051</v>
      </c>
      <c r="D1395">
        <v>856</v>
      </c>
    </row>
    <row r="1396" spans="1:4" x14ac:dyDescent="0.2">
      <c r="A1396" s="1">
        <v>46136</v>
      </c>
      <c r="B1396">
        <v>13011</v>
      </c>
      <c r="D1396">
        <v>945</v>
      </c>
    </row>
    <row r="1397" spans="1:4" x14ac:dyDescent="0.2">
      <c r="A1397" s="1">
        <v>46136</v>
      </c>
      <c r="B1397">
        <v>13012</v>
      </c>
      <c r="D1397">
        <v>763</v>
      </c>
    </row>
    <row r="1398" spans="1:4" x14ac:dyDescent="0.2">
      <c r="A1398" s="1">
        <v>46136</v>
      </c>
      <c r="B1398">
        <v>13015</v>
      </c>
      <c r="D1398">
        <v>902</v>
      </c>
    </row>
    <row r="1399" spans="1:4" x14ac:dyDescent="0.2">
      <c r="A1399" s="1">
        <v>46136</v>
      </c>
      <c r="B1399">
        <v>15016</v>
      </c>
      <c r="D1399">
        <v>357</v>
      </c>
    </row>
    <row r="1400" spans="1:4" x14ac:dyDescent="0.2">
      <c r="A1400" s="1">
        <v>46136</v>
      </c>
      <c r="B1400">
        <v>16005</v>
      </c>
      <c r="D1400">
        <v>860</v>
      </c>
    </row>
    <row r="1401" spans="1:4" x14ac:dyDescent="0.2">
      <c r="A1401" s="1">
        <v>46136</v>
      </c>
      <c r="B1401">
        <v>16015</v>
      </c>
      <c r="D1401">
        <v>1165</v>
      </c>
    </row>
    <row r="1402" spans="1:4" x14ac:dyDescent="0.2">
      <c r="A1402" s="1">
        <v>46136</v>
      </c>
      <c r="B1402">
        <v>16051</v>
      </c>
      <c r="D1402">
        <v>1640</v>
      </c>
    </row>
    <row r="1403" spans="1:4" x14ac:dyDescent="0.2">
      <c r="A1403" s="1">
        <v>46136</v>
      </c>
      <c r="B1403">
        <v>18042</v>
      </c>
      <c r="D1403">
        <v>1584</v>
      </c>
    </row>
    <row r="1404" spans="1:4" x14ac:dyDescent="0.2">
      <c r="A1404" s="1">
        <v>46136</v>
      </c>
      <c r="B1404">
        <v>19022</v>
      </c>
      <c r="D1404">
        <v>715</v>
      </c>
    </row>
    <row r="1405" spans="1:4" x14ac:dyDescent="0.2">
      <c r="A1405" s="1">
        <v>46136</v>
      </c>
      <c r="B1405">
        <v>19110</v>
      </c>
      <c r="D1405">
        <v>464</v>
      </c>
    </row>
    <row r="1406" spans="1:4" x14ac:dyDescent="0.2">
      <c r="A1406" s="1">
        <v>46136</v>
      </c>
      <c r="B1406">
        <v>19123</v>
      </c>
      <c r="D1406">
        <v>464</v>
      </c>
    </row>
    <row r="1407" spans="1:4" x14ac:dyDescent="0.2">
      <c r="A1407" s="1">
        <v>46136</v>
      </c>
      <c r="B1407">
        <v>20014</v>
      </c>
      <c r="D1407">
        <v>972</v>
      </c>
    </row>
    <row r="1408" spans="1:4" x14ac:dyDescent="0.2">
      <c r="A1408" s="1">
        <v>46136</v>
      </c>
      <c r="B1408">
        <v>20094</v>
      </c>
      <c r="D1408">
        <v>885</v>
      </c>
    </row>
    <row r="1409" spans="1:4" x14ac:dyDescent="0.2">
      <c r="A1409" s="1">
        <v>46137</v>
      </c>
      <c r="B1409">
        <v>1057</v>
      </c>
      <c r="D1409">
        <v>690</v>
      </c>
    </row>
    <row r="1410" spans="1:4" x14ac:dyDescent="0.2">
      <c r="A1410" s="1">
        <v>46137</v>
      </c>
      <c r="B1410">
        <v>2067</v>
      </c>
      <c r="D1410">
        <v>773</v>
      </c>
    </row>
    <row r="1411" spans="1:4" x14ac:dyDescent="0.2">
      <c r="A1411" s="1">
        <v>46137</v>
      </c>
      <c r="B1411">
        <v>4037</v>
      </c>
      <c r="D1411">
        <v>216</v>
      </c>
    </row>
    <row r="1412" spans="1:4" x14ac:dyDescent="0.2">
      <c r="A1412" s="1">
        <v>46137</v>
      </c>
      <c r="B1412">
        <v>13014</v>
      </c>
      <c r="D1412">
        <v>821</v>
      </c>
    </row>
    <row r="1413" spans="1:4" x14ac:dyDescent="0.2">
      <c r="A1413" s="1">
        <v>46137</v>
      </c>
      <c r="B1413">
        <v>15000</v>
      </c>
      <c r="D1413">
        <v>828</v>
      </c>
    </row>
    <row r="1414" spans="1:4" x14ac:dyDescent="0.2">
      <c r="A1414" s="1">
        <v>46137</v>
      </c>
      <c r="B1414">
        <v>15021</v>
      </c>
      <c r="D1414">
        <v>347</v>
      </c>
    </row>
    <row r="1415" spans="1:4" x14ac:dyDescent="0.2">
      <c r="A1415" s="1">
        <v>46137</v>
      </c>
      <c r="B1415">
        <v>15028</v>
      </c>
      <c r="D1415">
        <v>563</v>
      </c>
    </row>
    <row r="1416" spans="1:4" x14ac:dyDescent="0.2">
      <c r="A1416" s="1">
        <v>46137</v>
      </c>
      <c r="B1416">
        <v>15033</v>
      </c>
      <c r="D1416">
        <v>505</v>
      </c>
    </row>
    <row r="1417" spans="1:4" x14ac:dyDescent="0.2">
      <c r="A1417" s="1">
        <v>46137</v>
      </c>
      <c r="B1417">
        <v>16019</v>
      </c>
      <c r="D1417">
        <v>877</v>
      </c>
    </row>
    <row r="1418" spans="1:4" x14ac:dyDescent="0.2">
      <c r="A1418" s="1">
        <v>46137</v>
      </c>
      <c r="B1418">
        <v>16027</v>
      </c>
      <c r="D1418">
        <v>1087</v>
      </c>
    </row>
    <row r="1419" spans="1:4" x14ac:dyDescent="0.2">
      <c r="A1419" s="1">
        <v>46137</v>
      </c>
      <c r="B1419">
        <v>19039</v>
      </c>
      <c r="D1419">
        <v>740</v>
      </c>
    </row>
    <row r="1420" spans="1:4" x14ac:dyDescent="0.2">
      <c r="A1420" s="1">
        <v>46140</v>
      </c>
      <c r="B1420">
        <v>1001</v>
      </c>
      <c r="D1420">
        <v>720</v>
      </c>
    </row>
    <row r="1421" spans="1:4" x14ac:dyDescent="0.2">
      <c r="A1421" s="1">
        <v>46140</v>
      </c>
      <c r="B1421">
        <v>1083</v>
      </c>
      <c r="D1421">
        <v>237</v>
      </c>
    </row>
    <row r="1422" spans="1:4" x14ac:dyDescent="0.2">
      <c r="A1422" s="1">
        <v>46140</v>
      </c>
      <c r="B1422">
        <v>2016</v>
      </c>
      <c r="D1422">
        <v>554</v>
      </c>
    </row>
    <row r="1423" spans="1:4" x14ac:dyDescent="0.2">
      <c r="A1423" s="1">
        <v>46140</v>
      </c>
      <c r="B1423">
        <v>2021</v>
      </c>
      <c r="D1423">
        <v>403</v>
      </c>
    </row>
    <row r="1424" spans="1:4" x14ac:dyDescent="0.2">
      <c r="A1424" s="1">
        <v>46140</v>
      </c>
      <c r="B1424">
        <v>3021</v>
      </c>
      <c r="D1424">
        <v>413</v>
      </c>
    </row>
    <row r="1425" spans="1:4" x14ac:dyDescent="0.2">
      <c r="A1425" s="1">
        <v>46140</v>
      </c>
      <c r="B1425">
        <v>6109</v>
      </c>
      <c r="D1425">
        <v>591</v>
      </c>
    </row>
    <row r="1426" spans="1:4" x14ac:dyDescent="0.2">
      <c r="A1426" s="1">
        <v>46140</v>
      </c>
      <c r="B1426">
        <v>8031</v>
      </c>
      <c r="D1426">
        <v>841</v>
      </c>
    </row>
    <row r="1427" spans="1:4" x14ac:dyDescent="0.2">
      <c r="A1427" s="1">
        <v>46140</v>
      </c>
      <c r="B1427">
        <v>12047</v>
      </c>
      <c r="D1427">
        <v>652</v>
      </c>
    </row>
    <row r="1428" spans="1:4" x14ac:dyDescent="0.2">
      <c r="A1428" s="1">
        <v>46140</v>
      </c>
      <c r="B1428">
        <v>13069</v>
      </c>
      <c r="D1428">
        <v>1002</v>
      </c>
    </row>
    <row r="1429" spans="1:4" x14ac:dyDescent="0.2">
      <c r="A1429" s="1">
        <v>46140</v>
      </c>
      <c r="B1429">
        <v>18004</v>
      </c>
      <c r="D1429">
        <v>764</v>
      </c>
    </row>
    <row r="1430" spans="1:4" x14ac:dyDescent="0.2">
      <c r="A1430" s="1">
        <v>46140</v>
      </c>
      <c r="B1430">
        <v>19035</v>
      </c>
      <c r="D1430">
        <v>300</v>
      </c>
    </row>
    <row r="1431" spans="1:4" x14ac:dyDescent="0.2">
      <c r="A1431" s="1">
        <v>46140</v>
      </c>
      <c r="B1431">
        <v>20077</v>
      </c>
      <c r="D1431">
        <v>631</v>
      </c>
    </row>
    <row r="1432" spans="1:4" x14ac:dyDescent="0.2">
      <c r="A1432" s="1">
        <v>46140</v>
      </c>
      <c r="B1432">
        <v>20088</v>
      </c>
      <c r="D1432">
        <v>1039</v>
      </c>
    </row>
    <row r="1433" spans="1:4" x14ac:dyDescent="0.2">
      <c r="A1433" s="1">
        <v>46141</v>
      </c>
      <c r="B1433">
        <v>1013</v>
      </c>
      <c r="D1433">
        <v>640</v>
      </c>
    </row>
    <row r="1434" spans="1:4" x14ac:dyDescent="0.2">
      <c r="A1434" s="1">
        <v>46141</v>
      </c>
      <c r="B1434">
        <v>1018</v>
      </c>
      <c r="D1434">
        <v>1004</v>
      </c>
    </row>
    <row r="1435" spans="1:4" x14ac:dyDescent="0.2">
      <c r="A1435" s="1">
        <v>46141</v>
      </c>
      <c r="B1435">
        <v>1054</v>
      </c>
      <c r="D1435">
        <v>466</v>
      </c>
    </row>
    <row r="1436" spans="1:4" x14ac:dyDescent="0.2">
      <c r="A1436" s="1">
        <v>46141</v>
      </c>
      <c r="B1436">
        <v>1081</v>
      </c>
      <c r="D1436">
        <v>181</v>
      </c>
    </row>
    <row r="1437" spans="1:4" x14ac:dyDescent="0.2">
      <c r="A1437" s="1">
        <v>46141</v>
      </c>
      <c r="B1437">
        <v>2023</v>
      </c>
      <c r="D1437">
        <v>545</v>
      </c>
    </row>
    <row r="1438" spans="1:4" x14ac:dyDescent="0.2">
      <c r="A1438" s="1">
        <v>46141</v>
      </c>
      <c r="B1438">
        <v>2073</v>
      </c>
      <c r="D1438">
        <v>286</v>
      </c>
    </row>
    <row r="1439" spans="1:4" x14ac:dyDescent="0.2">
      <c r="A1439" s="1">
        <v>46141</v>
      </c>
      <c r="B1439">
        <v>7053</v>
      </c>
      <c r="D1439">
        <v>254</v>
      </c>
    </row>
    <row r="1440" spans="1:4" x14ac:dyDescent="0.2">
      <c r="A1440" s="1">
        <v>46141</v>
      </c>
      <c r="B1440">
        <v>12050</v>
      </c>
      <c r="D1440">
        <v>995</v>
      </c>
    </row>
    <row r="1441" spans="1:4" x14ac:dyDescent="0.2">
      <c r="A1441" s="1">
        <v>46141</v>
      </c>
      <c r="B1441">
        <v>13009</v>
      </c>
      <c r="D1441">
        <v>1005</v>
      </c>
    </row>
    <row r="1442" spans="1:4" x14ac:dyDescent="0.2">
      <c r="A1442" s="1">
        <v>46141</v>
      </c>
      <c r="B1442">
        <v>13013</v>
      </c>
      <c r="D1442">
        <v>981</v>
      </c>
    </row>
    <row r="1443" spans="1:4" x14ac:dyDescent="0.2">
      <c r="A1443" s="1">
        <v>46141</v>
      </c>
      <c r="B1443">
        <v>13086</v>
      </c>
      <c r="D1443">
        <v>351</v>
      </c>
    </row>
    <row r="1444" spans="1:4" x14ac:dyDescent="0.2">
      <c r="A1444" s="1">
        <v>46141</v>
      </c>
      <c r="B1444">
        <v>15001</v>
      </c>
      <c r="D1444">
        <v>1061</v>
      </c>
    </row>
    <row r="1445" spans="1:4" x14ac:dyDescent="0.2">
      <c r="A1445" s="1">
        <v>46141</v>
      </c>
      <c r="B1445">
        <v>15035</v>
      </c>
      <c r="D1445">
        <v>1285</v>
      </c>
    </row>
    <row r="1446" spans="1:4" x14ac:dyDescent="0.2">
      <c r="A1446" s="1">
        <v>46141</v>
      </c>
      <c r="B1446">
        <v>16004</v>
      </c>
      <c r="D1446">
        <v>550</v>
      </c>
    </row>
    <row r="1447" spans="1:4" x14ac:dyDescent="0.2">
      <c r="A1447" s="1">
        <v>46141</v>
      </c>
      <c r="B1447">
        <v>16008</v>
      </c>
      <c r="D1447">
        <v>588</v>
      </c>
    </row>
    <row r="1448" spans="1:4" x14ac:dyDescent="0.2">
      <c r="A1448" s="1">
        <v>46141</v>
      </c>
      <c r="B1448">
        <v>16009</v>
      </c>
      <c r="D1448">
        <v>1376</v>
      </c>
    </row>
    <row r="1449" spans="1:4" x14ac:dyDescent="0.2">
      <c r="A1449" s="1">
        <v>46141</v>
      </c>
      <c r="B1449">
        <v>19033</v>
      </c>
      <c r="D1449">
        <v>301</v>
      </c>
    </row>
    <row r="1450" spans="1:4" x14ac:dyDescent="0.2">
      <c r="A1450" s="1">
        <v>46141</v>
      </c>
      <c r="B1450">
        <v>19077</v>
      </c>
      <c r="D1450">
        <v>913</v>
      </c>
    </row>
    <row r="1451" spans="1:4" x14ac:dyDescent="0.2">
      <c r="A1451" s="1">
        <v>46141</v>
      </c>
      <c r="B1451">
        <v>19089</v>
      </c>
      <c r="D1451">
        <v>304</v>
      </c>
    </row>
    <row r="1452" spans="1:4" x14ac:dyDescent="0.2">
      <c r="A1452" s="1">
        <v>46141</v>
      </c>
      <c r="B1452">
        <v>20081</v>
      </c>
      <c r="D1452">
        <v>919</v>
      </c>
    </row>
    <row r="1453" spans="1:4" x14ac:dyDescent="0.2">
      <c r="A1453" s="1">
        <v>46141</v>
      </c>
      <c r="B1453">
        <v>20092</v>
      </c>
      <c r="D1453">
        <v>909</v>
      </c>
    </row>
    <row r="1454" spans="1:4" x14ac:dyDescent="0.2">
      <c r="A1454" s="1">
        <v>46141</v>
      </c>
      <c r="B1454">
        <v>20095</v>
      </c>
      <c r="D1454">
        <v>937</v>
      </c>
    </row>
    <row r="1455" spans="1:4" x14ac:dyDescent="0.2">
      <c r="A1455" s="1">
        <v>46142</v>
      </c>
      <c r="B1455">
        <v>1014</v>
      </c>
      <c r="D1455">
        <v>663</v>
      </c>
    </row>
    <row r="1456" spans="1:4" x14ac:dyDescent="0.2">
      <c r="A1456" s="1">
        <v>46142</v>
      </c>
      <c r="B1456">
        <v>2045</v>
      </c>
      <c r="D1456">
        <v>440</v>
      </c>
    </row>
    <row r="1457" spans="1:4" x14ac:dyDescent="0.2">
      <c r="A1457" s="1">
        <v>46142</v>
      </c>
      <c r="B1457">
        <v>3064</v>
      </c>
      <c r="D1457">
        <v>200</v>
      </c>
    </row>
    <row r="1458" spans="1:4" x14ac:dyDescent="0.2">
      <c r="A1458" s="1">
        <v>46142</v>
      </c>
      <c r="B1458">
        <v>12009</v>
      </c>
      <c r="D1458">
        <v>512</v>
      </c>
    </row>
    <row r="1459" spans="1:4" x14ac:dyDescent="0.2">
      <c r="A1459" s="1">
        <v>46142</v>
      </c>
      <c r="B1459">
        <v>13057</v>
      </c>
      <c r="D1459">
        <v>597</v>
      </c>
    </row>
    <row r="1460" spans="1:4" x14ac:dyDescent="0.2">
      <c r="A1460" s="1">
        <v>46142</v>
      </c>
      <c r="B1460">
        <v>15007</v>
      </c>
      <c r="D1460">
        <v>844</v>
      </c>
    </row>
    <row r="1461" spans="1:4" x14ac:dyDescent="0.2">
      <c r="A1461" s="1">
        <v>46142</v>
      </c>
      <c r="B1461">
        <v>16014</v>
      </c>
      <c r="D1461">
        <v>1472</v>
      </c>
    </row>
    <row r="1462" spans="1:4" x14ac:dyDescent="0.2">
      <c r="A1462" s="1">
        <v>46142</v>
      </c>
      <c r="B1462">
        <v>16058</v>
      </c>
      <c r="D1462">
        <v>1061</v>
      </c>
    </row>
    <row r="1463" spans="1:4" x14ac:dyDescent="0.2">
      <c r="A1463" s="1">
        <v>46142</v>
      </c>
      <c r="B1463">
        <v>19082</v>
      </c>
      <c r="D1463">
        <v>612</v>
      </c>
    </row>
    <row r="1464" spans="1:4" x14ac:dyDescent="0.2">
      <c r="A1464" s="1">
        <v>46142</v>
      </c>
      <c r="B1464">
        <v>20033</v>
      </c>
      <c r="D1464">
        <v>1077</v>
      </c>
    </row>
    <row r="1465" spans="1:4" x14ac:dyDescent="0.2">
      <c r="A1465" s="1">
        <v>46143</v>
      </c>
      <c r="B1465">
        <v>10001</v>
      </c>
      <c r="D1465">
        <v>590</v>
      </c>
    </row>
    <row r="1466" spans="1:4" x14ac:dyDescent="0.2">
      <c r="A1466" s="1">
        <v>46143</v>
      </c>
      <c r="B1466">
        <v>1063</v>
      </c>
      <c r="D1466">
        <v>568</v>
      </c>
    </row>
    <row r="1467" spans="1:4" x14ac:dyDescent="0.2">
      <c r="A1467" s="1">
        <v>46143</v>
      </c>
      <c r="B1467">
        <v>12025</v>
      </c>
      <c r="D1467">
        <v>564</v>
      </c>
    </row>
    <row r="1468" spans="1:4" x14ac:dyDescent="0.2">
      <c r="A1468" s="1">
        <v>46143</v>
      </c>
      <c r="B1468">
        <v>12048</v>
      </c>
      <c r="D1468">
        <v>773</v>
      </c>
    </row>
    <row r="1469" spans="1:4" x14ac:dyDescent="0.2">
      <c r="A1469" s="1">
        <v>46143</v>
      </c>
      <c r="B1469">
        <v>12055</v>
      </c>
      <c r="D1469">
        <v>935</v>
      </c>
    </row>
    <row r="1470" spans="1:4" x14ac:dyDescent="0.2">
      <c r="A1470" s="1">
        <v>46143</v>
      </c>
      <c r="B1470">
        <v>16015</v>
      </c>
      <c r="D1470">
        <v>1230</v>
      </c>
    </row>
    <row r="1471" spans="1:4" x14ac:dyDescent="0.2">
      <c r="A1471" s="1">
        <v>46143</v>
      </c>
      <c r="B1471">
        <v>18001</v>
      </c>
      <c r="D1471">
        <v>831</v>
      </c>
    </row>
    <row r="1472" spans="1:4" x14ac:dyDescent="0.2">
      <c r="A1472" s="1">
        <v>46143</v>
      </c>
      <c r="B1472">
        <v>18003</v>
      </c>
      <c r="D1472">
        <v>434</v>
      </c>
    </row>
    <row r="1473" spans="1:4" x14ac:dyDescent="0.2">
      <c r="A1473" s="1">
        <v>46143</v>
      </c>
      <c r="B1473">
        <v>2038</v>
      </c>
      <c r="D1473">
        <v>478</v>
      </c>
    </row>
    <row r="1474" spans="1:4" x14ac:dyDescent="0.2">
      <c r="A1474" s="1">
        <v>46143</v>
      </c>
      <c r="B1474">
        <v>6101</v>
      </c>
      <c r="D1474">
        <v>602</v>
      </c>
    </row>
    <row r="1475" spans="1:4" x14ac:dyDescent="0.2">
      <c r="A1475" s="1">
        <v>46143</v>
      </c>
      <c r="B1475">
        <v>15005</v>
      </c>
      <c r="D1475">
        <v>200</v>
      </c>
    </row>
    <row r="1476" spans="1:4" x14ac:dyDescent="0.2">
      <c r="A1476" s="1">
        <v>46143</v>
      </c>
      <c r="B1476">
        <v>14009</v>
      </c>
      <c r="D1476">
        <v>200</v>
      </c>
    </row>
    <row r="1477" spans="1:4" x14ac:dyDescent="0.2">
      <c r="A1477" s="1">
        <v>46143</v>
      </c>
      <c r="B1477">
        <v>16003</v>
      </c>
      <c r="D1477">
        <v>200</v>
      </c>
    </row>
    <row r="1478" spans="1:4" x14ac:dyDescent="0.2">
      <c r="A1478" s="1">
        <v>46143</v>
      </c>
      <c r="B1478">
        <v>16005</v>
      </c>
      <c r="D1478">
        <v>200</v>
      </c>
    </row>
    <row r="1479" spans="1:4" x14ac:dyDescent="0.2">
      <c r="A1479" s="1">
        <v>46143</v>
      </c>
      <c r="B1479">
        <v>2017</v>
      </c>
      <c r="D1479">
        <v>200</v>
      </c>
    </row>
    <row r="1480" spans="1:4" x14ac:dyDescent="0.2">
      <c r="A1480" s="1">
        <v>46143</v>
      </c>
      <c r="B1480">
        <v>20091</v>
      </c>
      <c r="D1480">
        <v>200</v>
      </c>
    </row>
    <row r="1481" spans="1:4" x14ac:dyDescent="0.2">
      <c r="A1481" s="1">
        <v>46143</v>
      </c>
      <c r="B1481">
        <v>19031</v>
      </c>
      <c r="D1481">
        <v>200</v>
      </c>
    </row>
    <row r="1482" spans="1:4" x14ac:dyDescent="0.2">
      <c r="A1482" s="1">
        <v>46143</v>
      </c>
      <c r="B1482">
        <v>19080</v>
      </c>
      <c r="D1482">
        <v>200</v>
      </c>
    </row>
    <row r="1483" spans="1:4" x14ac:dyDescent="0.2">
      <c r="A1483" s="1">
        <v>46143</v>
      </c>
      <c r="B1483">
        <v>1000</v>
      </c>
      <c r="D1483">
        <v>200</v>
      </c>
    </row>
    <row r="1484" spans="1:4" x14ac:dyDescent="0.2">
      <c r="A1484" s="1">
        <v>46143</v>
      </c>
      <c r="B1484">
        <v>20051</v>
      </c>
      <c r="D1484">
        <v>200</v>
      </c>
    </row>
    <row r="1485" spans="1:4" x14ac:dyDescent="0.2">
      <c r="A1485" s="1">
        <v>46143</v>
      </c>
      <c r="B1485">
        <v>2078</v>
      </c>
      <c r="D1485">
        <v>200</v>
      </c>
    </row>
    <row r="1486" spans="1:4" x14ac:dyDescent="0.2">
      <c r="A1486" s="1">
        <v>46144</v>
      </c>
      <c r="B1486">
        <v>6113</v>
      </c>
      <c r="D1486">
        <v>200</v>
      </c>
    </row>
    <row r="1487" spans="1:4" x14ac:dyDescent="0.2">
      <c r="A1487" s="1">
        <v>46144</v>
      </c>
      <c r="B1487">
        <v>15004</v>
      </c>
      <c r="D1487">
        <v>200</v>
      </c>
    </row>
    <row r="1488" spans="1:4" x14ac:dyDescent="0.2">
      <c r="A1488" s="1">
        <v>46144</v>
      </c>
      <c r="B1488">
        <v>2056</v>
      </c>
      <c r="D1488">
        <v>200</v>
      </c>
    </row>
    <row r="1489" spans="1:4" x14ac:dyDescent="0.2">
      <c r="A1489" s="1">
        <v>46144</v>
      </c>
      <c r="B1489">
        <v>11005</v>
      </c>
      <c r="D1489">
        <v>200</v>
      </c>
    </row>
    <row r="1490" spans="1:4" x14ac:dyDescent="0.2">
      <c r="A1490" s="1">
        <v>46144</v>
      </c>
      <c r="B1490">
        <v>19024</v>
      </c>
      <c r="D1490">
        <v>200</v>
      </c>
    </row>
    <row r="1491" spans="1:4" x14ac:dyDescent="0.2">
      <c r="A1491" s="1">
        <v>46144</v>
      </c>
      <c r="B1491">
        <v>12021</v>
      </c>
      <c r="D1491">
        <v>200</v>
      </c>
    </row>
    <row r="1492" spans="1:4" x14ac:dyDescent="0.2">
      <c r="A1492" s="1">
        <v>46144</v>
      </c>
      <c r="B1492">
        <v>16039</v>
      </c>
      <c r="D1492">
        <v>200</v>
      </c>
    </row>
    <row r="1493" spans="1:4" x14ac:dyDescent="0.2">
      <c r="A1493" s="1">
        <v>46144</v>
      </c>
      <c r="B1493">
        <v>15032</v>
      </c>
      <c r="D1493">
        <v>200</v>
      </c>
    </row>
    <row r="1494" spans="1:4" x14ac:dyDescent="0.2">
      <c r="A1494" s="1">
        <v>46144</v>
      </c>
      <c r="B1494">
        <v>20010</v>
      </c>
      <c r="D1494">
        <v>200</v>
      </c>
    </row>
    <row r="1495" spans="1:4" x14ac:dyDescent="0.2">
      <c r="A1495" s="1">
        <v>46144</v>
      </c>
      <c r="B1495">
        <v>18021</v>
      </c>
      <c r="D1495">
        <v>200</v>
      </c>
    </row>
    <row r="1496" spans="1:4" x14ac:dyDescent="0.2">
      <c r="A1496" s="1">
        <v>46144</v>
      </c>
      <c r="B1496">
        <v>15000</v>
      </c>
      <c r="D1496">
        <v>200</v>
      </c>
    </row>
    <row r="1497" spans="1:4" x14ac:dyDescent="0.2">
      <c r="A1497" s="1">
        <v>46144</v>
      </c>
      <c r="B1497">
        <v>6077</v>
      </c>
      <c r="D1497">
        <v>200</v>
      </c>
    </row>
    <row r="1498" spans="1:4" x14ac:dyDescent="0.2">
      <c r="A1498" s="1">
        <v>46144</v>
      </c>
      <c r="B1498">
        <v>16007</v>
      </c>
      <c r="D1498">
        <v>200</v>
      </c>
    </row>
    <row r="1499" spans="1:4" x14ac:dyDescent="0.2">
      <c r="A1499" s="1">
        <v>46144</v>
      </c>
      <c r="B1499">
        <v>13094</v>
      </c>
      <c r="D1499">
        <v>200</v>
      </c>
    </row>
    <row r="1500" spans="1:4" x14ac:dyDescent="0.2">
      <c r="A1500" s="1">
        <v>46144</v>
      </c>
      <c r="B1500">
        <v>13012</v>
      </c>
      <c r="D1500">
        <v>200</v>
      </c>
    </row>
    <row r="1501" spans="1:4" x14ac:dyDescent="0.2">
      <c r="A1501" s="1">
        <v>46144</v>
      </c>
      <c r="B1501">
        <v>13015</v>
      </c>
      <c r="D1501">
        <v>200</v>
      </c>
    </row>
    <row r="1502" spans="1:4" x14ac:dyDescent="0.2">
      <c r="A1502" s="1">
        <v>46144</v>
      </c>
      <c r="B1502">
        <v>16010</v>
      </c>
      <c r="D1502">
        <v>200</v>
      </c>
    </row>
    <row r="1503" spans="1:4" x14ac:dyDescent="0.2">
      <c r="A1503" s="1">
        <v>46144</v>
      </c>
      <c r="B1503">
        <v>7052</v>
      </c>
      <c r="D1503">
        <v>200</v>
      </c>
    </row>
    <row r="1504" spans="1:4" x14ac:dyDescent="0.2">
      <c r="A1504" s="1">
        <v>46144</v>
      </c>
      <c r="B1504">
        <v>15051</v>
      </c>
      <c r="D1504">
        <v>200</v>
      </c>
    </row>
    <row r="1505" spans="1:4" x14ac:dyDescent="0.2">
      <c r="A1505" s="1">
        <v>46144</v>
      </c>
      <c r="B1505">
        <v>15009</v>
      </c>
      <c r="D1505">
        <v>200</v>
      </c>
    </row>
    <row r="1506" spans="1:4" x14ac:dyDescent="0.2">
      <c r="A1506" s="1">
        <v>46144</v>
      </c>
      <c r="B1506">
        <v>7002</v>
      </c>
      <c r="D1506">
        <v>200</v>
      </c>
    </row>
    <row r="1507" spans="1:4" x14ac:dyDescent="0.2">
      <c r="A1507" s="1">
        <v>46144</v>
      </c>
      <c r="B1507">
        <v>15027</v>
      </c>
      <c r="D1507">
        <v>200</v>
      </c>
    </row>
    <row r="1508" spans="1:4" x14ac:dyDescent="0.2">
      <c r="A1508" s="1">
        <v>46144</v>
      </c>
      <c r="B1508">
        <v>1011</v>
      </c>
      <c r="D1508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5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14</v>
      </c>
    </row>
    <row r="2" spans="1:24" x14ac:dyDescent="0.2">
      <c r="A2" t="s">
        <v>15</v>
      </c>
    </row>
    <row r="3" spans="1:24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</row>
    <row r="4" spans="1:24" x14ac:dyDescent="0.2">
      <c r="A4">
        <v>1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>
        <v>33.517199400000003</v>
      </c>
      <c r="I4">
        <v>-112.16811149999999</v>
      </c>
      <c r="J4">
        <v>350</v>
      </c>
      <c r="K4" t="s">
        <v>43</v>
      </c>
      <c r="N4" t="s">
        <v>44</v>
      </c>
      <c r="R4" t="str">
        <f>IFERROR(_xlfn.XLOOKUP($A4,Anova_Live!$B$2:$B$60,Anova_Live!$A$2:$A$60,""),"")</f>
        <v/>
      </c>
      <c r="S4" t="str">
        <f>IFERROR(_xlfn.XLOOKUP($A4,Anova_Live!$B$2:$B$60,Anova_Live!$E$2:$E$60,""),"")</f>
        <v/>
      </c>
      <c r="T4" t="str">
        <f>IFERROR(_xlfn.XLOOKUP($A4,Anova_Live!$B$2:$B$60,Anova_Live!$K$2:$K$60,""),"")</f>
        <v/>
      </c>
      <c r="U4" t="str">
        <f>IFERROR(_xlfn.XLOOKUP($A4,Anova_Live!$B$2:$B$60,Anova_Live!$H$2:$H$60,""),"")</f>
        <v/>
      </c>
      <c r="V4" t="str">
        <f>IFERROR(_xlfn.XLOOKUP($A4,Anova_Live!$B$2:$B$60,Anova_Live!$L$2:$L$60,""),"")</f>
        <v/>
      </c>
      <c r="W4" t="str">
        <f>IFERROR(_xlfn.XLOOKUP($A4,Anova_Live!$B$2:$B$60,Anova_Live!$M$2:$M$60,""),"")</f>
        <v/>
      </c>
      <c r="X4" t="str">
        <f>IFERROR(_xlfn.XLOOKUP($A4,Anova_Live!$B$2:$B$60,Anova_Live!$N$2:$N$60,""),"")</f>
        <v/>
      </c>
    </row>
    <row r="5" spans="1:24" x14ac:dyDescent="0.2">
      <c r="A5">
        <v>1018</v>
      </c>
      <c r="B5" t="s">
        <v>45</v>
      </c>
      <c r="C5" t="s">
        <v>38</v>
      </c>
      <c r="D5" t="s">
        <v>46</v>
      </c>
      <c r="E5" t="s">
        <v>47</v>
      </c>
      <c r="F5" t="s">
        <v>41</v>
      </c>
      <c r="G5" t="s">
        <v>42</v>
      </c>
      <c r="H5">
        <v>33.639017299999999</v>
      </c>
      <c r="I5">
        <v>-112.2197838</v>
      </c>
      <c r="J5">
        <v>950</v>
      </c>
      <c r="K5" t="s">
        <v>48</v>
      </c>
      <c r="N5" t="s">
        <v>49</v>
      </c>
      <c r="R5" t="str">
        <f>IFERROR(_xlfn.XLOOKUP($A5,Anova_Live!$B$2:$B$60,Anova_Live!$A$2:$A$60,""),"")</f>
        <v/>
      </c>
      <c r="S5" t="str">
        <f>IFERROR(_xlfn.XLOOKUP($A5,Anova_Live!$B$2:$B$60,Anova_Live!$E$2:$E$60,""),"")</f>
        <v/>
      </c>
      <c r="T5" t="str">
        <f>IFERROR(_xlfn.XLOOKUP($A5,Anova_Live!$B$2:$B$60,Anova_Live!$K$2:$K$60,""),"")</f>
        <v/>
      </c>
      <c r="U5" t="str">
        <f>IFERROR(_xlfn.XLOOKUP($A5,Anova_Live!$B$2:$B$60,Anova_Live!$H$2:$H$60,""),"")</f>
        <v/>
      </c>
      <c r="V5" t="str">
        <f>IFERROR(_xlfn.XLOOKUP($A5,Anova_Live!$B$2:$B$60,Anova_Live!$L$2:$L$60,""),"")</f>
        <v/>
      </c>
      <c r="W5" t="str">
        <f>IFERROR(_xlfn.XLOOKUP($A5,Anova_Live!$B$2:$B$60,Anova_Live!$M$2:$M$60,""),"")</f>
        <v/>
      </c>
      <c r="X5" t="str">
        <f>IFERROR(_xlfn.XLOOKUP($A5,Anova_Live!$B$2:$B$60,Anova_Live!$N$2:$N$60,""),"")</f>
        <v/>
      </c>
    </row>
    <row r="6" spans="1:24" x14ac:dyDescent="0.2">
      <c r="A6">
        <v>1063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42</v>
      </c>
      <c r="H6">
        <v>33.674518999999997</v>
      </c>
      <c r="I6">
        <v>-111.8880329</v>
      </c>
      <c r="J6">
        <v>900</v>
      </c>
      <c r="K6" t="s">
        <v>48</v>
      </c>
      <c r="N6" t="s">
        <v>55</v>
      </c>
      <c r="R6" t="str">
        <f>IFERROR(_xlfn.XLOOKUP($A6,Anova_Live!$B$2:$B$60,Anova_Live!$A$2:$A$60,""),"")</f>
        <v/>
      </c>
      <c r="S6" t="str">
        <f>IFERROR(_xlfn.XLOOKUP($A6,Anova_Live!$B$2:$B$60,Anova_Live!$E$2:$E$60,""),"")</f>
        <v/>
      </c>
      <c r="T6" t="str">
        <f>IFERROR(_xlfn.XLOOKUP($A6,Anova_Live!$B$2:$B$60,Anova_Live!$K$2:$K$60,""),"")</f>
        <v/>
      </c>
      <c r="U6" t="str">
        <f>IFERROR(_xlfn.XLOOKUP($A6,Anova_Live!$B$2:$B$60,Anova_Live!$H$2:$H$60,""),"")</f>
        <v/>
      </c>
      <c r="V6" t="str">
        <f>IFERROR(_xlfn.XLOOKUP($A6,Anova_Live!$B$2:$B$60,Anova_Live!$L$2:$L$60,""),"")</f>
        <v/>
      </c>
      <c r="W6" t="str">
        <f>IFERROR(_xlfn.XLOOKUP($A6,Anova_Live!$B$2:$B$60,Anova_Live!$M$2:$M$60,""),"")</f>
        <v/>
      </c>
      <c r="X6" t="str">
        <f>IFERROR(_xlfn.XLOOKUP($A6,Anova_Live!$B$2:$B$60,Anova_Live!$N$2:$N$60,""),"")</f>
        <v/>
      </c>
    </row>
    <row r="7" spans="1:24" x14ac:dyDescent="0.2">
      <c r="A7">
        <v>1073</v>
      </c>
      <c r="B7" t="s">
        <v>56</v>
      </c>
      <c r="C7" t="s">
        <v>51</v>
      </c>
      <c r="D7" t="s">
        <v>52</v>
      </c>
      <c r="E7" t="s">
        <v>57</v>
      </c>
      <c r="F7" t="s">
        <v>58</v>
      </c>
      <c r="G7" t="s">
        <v>42</v>
      </c>
      <c r="H7">
        <v>33.478276700000002</v>
      </c>
      <c r="I7">
        <v>-112.14051499999999</v>
      </c>
      <c r="J7">
        <v>2000</v>
      </c>
      <c r="K7" t="s">
        <v>48</v>
      </c>
      <c r="N7" t="s">
        <v>59</v>
      </c>
      <c r="P7" t="s">
        <v>60</v>
      </c>
      <c r="Q7" t="s">
        <v>61</v>
      </c>
      <c r="R7" t="str">
        <f>IFERROR(_xlfn.XLOOKUP($A7,Anova_Live!$B$2:$B$60,Anova_Live!$A$2:$A$60,""),"")</f>
        <v/>
      </c>
      <c r="S7" t="str">
        <f>IFERROR(_xlfn.XLOOKUP($A7,Anova_Live!$B$2:$B$60,Anova_Live!$E$2:$E$60,""),"")</f>
        <v/>
      </c>
      <c r="T7" t="str">
        <f>IFERROR(_xlfn.XLOOKUP($A7,Anova_Live!$B$2:$B$60,Anova_Live!$K$2:$K$60,""),"")</f>
        <v/>
      </c>
      <c r="U7" t="str">
        <f>IFERROR(_xlfn.XLOOKUP($A7,Anova_Live!$B$2:$B$60,Anova_Live!$H$2:$H$60,""),"")</f>
        <v/>
      </c>
      <c r="V7" t="str">
        <f>IFERROR(_xlfn.XLOOKUP($A7,Anova_Live!$B$2:$B$60,Anova_Live!$L$2:$L$60,""),"")</f>
        <v/>
      </c>
      <c r="W7" t="str">
        <f>IFERROR(_xlfn.XLOOKUP($A7,Anova_Live!$B$2:$B$60,Anova_Live!$M$2:$M$60,""),"")</f>
        <v/>
      </c>
      <c r="X7" t="str">
        <f>IFERROR(_xlfn.XLOOKUP($A7,Anova_Live!$B$2:$B$60,Anova_Live!$N$2:$N$60,""),"")</f>
        <v/>
      </c>
    </row>
    <row r="8" spans="1:24" x14ac:dyDescent="0.2">
      <c r="A8">
        <v>1054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42</v>
      </c>
      <c r="H8">
        <v>33.639939300000002</v>
      </c>
      <c r="I8">
        <v>-112.3041939</v>
      </c>
      <c r="J8">
        <v>620</v>
      </c>
      <c r="K8" t="s">
        <v>43</v>
      </c>
      <c r="N8" t="s">
        <v>67</v>
      </c>
      <c r="R8">
        <f>IFERROR(_xlfn.XLOOKUP($A8,Anova_Live!$B$2:$B$60,Anova_Live!$A$2:$A$60,""),"")</f>
        <v>124697513</v>
      </c>
      <c r="S8">
        <f>IFERROR(_xlfn.XLOOKUP($A8,Anova_Live!$B$2:$B$60,Anova_Live!$E$2:$E$60,""),"")</f>
        <v>325.4862296463582</v>
      </c>
      <c r="T8">
        <f>IFERROR(_xlfn.XLOOKUP($A8,Anova_Live!$B$2:$B$60,Anova_Live!$K$2:$K$60,""),"")</f>
        <v>52.5</v>
      </c>
      <c r="U8" t="str">
        <f>IFERROR(_xlfn.XLOOKUP($A8,Anova_Live!$B$2:$B$60,Anova_Live!$H$2:$H$60,""),"")</f>
        <v>2026-05-06T11:00:25Z</v>
      </c>
      <c r="V8">
        <f>IFERROR(_xlfn.XLOOKUP($A8,Anova_Live!$B$2:$B$60,Anova_Live!$L$2:$L$60,""),"")</f>
        <v>295</v>
      </c>
      <c r="W8" t="str">
        <f ca="1">IFERROR(_xlfn.XLOOKUP($A8,Anova_Live!$B$2:$B$60,Anova_Live!$M$2:$M$60,""),"")</f>
        <v/>
      </c>
      <c r="X8" t="str">
        <f>IFERROR(_xlfn.XLOOKUP($A8,Anova_Live!$B$2:$B$60,Anova_Live!$N$2:$N$60,""),"")</f>
        <v>push</v>
      </c>
    </row>
    <row r="9" spans="1:24" x14ac:dyDescent="0.2">
      <c r="A9">
        <v>1000</v>
      </c>
      <c r="B9" t="s">
        <v>68</v>
      </c>
      <c r="C9" t="s">
        <v>38</v>
      </c>
      <c r="D9" t="s">
        <v>46</v>
      </c>
      <c r="E9" t="s">
        <v>69</v>
      </c>
      <c r="F9" t="s">
        <v>41</v>
      </c>
      <c r="G9" t="s">
        <v>42</v>
      </c>
      <c r="H9">
        <v>33.640213699999997</v>
      </c>
      <c r="I9">
        <v>-112.2294109</v>
      </c>
      <c r="J9">
        <v>950</v>
      </c>
      <c r="K9" t="s">
        <v>48</v>
      </c>
      <c r="N9" t="s">
        <v>70</v>
      </c>
      <c r="R9" t="str">
        <f>IFERROR(_xlfn.XLOOKUP($A9,Anova_Live!$B$2:$B$60,Anova_Live!$A$2:$A$60,""),"")</f>
        <v/>
      </c>
      <c r="S9" t="str">
        <f>IFERROR(_xlfn.XLOOKUP($A9,Anova_Live!$B$2:$B$60,Anova_Live!$E$2:$E$60,""),"")</f>
        <v/>
      </c>
      <c r="T9" t="str">
        <f>IFERROR(_xlfn.XLOOKUP($A9,Anova_Live!$B$2:$B$60,Anova_Live!$K$2:$K$60,""),"")</f>
        <v/>
      </c>
      <c r="U9" t="str">
        <f>IFERROR(_xlfn.XLOOKUP($A9,Anova_Live!$B$2:$B$60,Anova_Live!$H$2:$H$60,""),"")</f>
        <v/>
      </c>
      <c r="V9" t="str">
        <f>IFERROR(_xlfn.XLOOKUP($A9,Anova_Live!$B$2:$B$60,Anova_Live!$L$2:$L$60,""),"")</f>
        <v/>
      </c>
      <c r="W9" t="str">
        <f>IFERROR(_xlfn.XLOOKUP($A9,Anova_Live!$B$2:$B$60,Anova_Live!$M$2:$M$60,""),"")</f>
        <v/>
      </c>
      <c r="X9" t="str">
        <f>IFERROR(_xlfn.XLOOKUP($A9,Anova_Live!$B$2:$B$60,Anova_Live!$N$2:$N$60,""),"")</f>
        <v/>
      </c>
    </row>
    <row r="10" spans="1:24" x14ac:dyDescent="0.2">
      <c r="A10">
        <v>1001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42</v>
      </c>
      <c r="H10">
        <v>33.50958</v>
      </c>
      <c r="I10">
        <v>-112.042591</v>
      </c>
      <c r="J10">
        <v>700</v>
      </c>
      <c r="K10" t="s">
        <v>48</v>
      </c>
      <c r="N10" t="s">
        <v>76</v>
      </c>
      <c r="R10" t="str">
        <f>IFERROR(_xlfn.XLOOKUP($A10,Anova_Live!$B$2:$B$60,Anova_Live!$A$2:$A$60,""),"")</f>
        <v/>
      </c>
      <c r="S10" t="str">
        <f>IFERROR(_xlfn.XLOOKUP($A10,Anova_Live!$B$2:$B$60,Anova_Live!$E$2:$E$60,""),"")</f>
        <v/>
      </c>
      <c r="T10" t="str">
        <f>IFERROR(_xlfn.XLOOKUP($A10,Anova_Live!$B$2:$B$60,Anova_Live!$K$2:$K$60,""),"")</f>
        <v/>
      </c>
      <c r="U10" t="str">
        <f>IFERROR(_xlfn.XLOOKUP($A10,Anova_Live!$B$2:$B$60,Anova_Live!$H$2:$H$60,""),"")</f>
        <v/>
      </c>
      <c r="V10" t="str">
        <f>IFERROR(_xlfn.XLOOKUP($A10,Anova_Live!$B$2:$B$60,Anova_Live!$L$2:$L$60,""),"")</f>
        <v/>
      </c>
      <c r="W10" t="str">
        <f>IFERROR(_xlfn.XLOOKUP($A10,Anova_Live!$B$2:$B$60,Anova_Live!$M$2:$M$60,""),"")</f>
        <v/>
      </c>
      <c r="X10" t="str">
        <f>IFERROR(_xlfn.XLOOKUP($A10,Anova_Live!$B$2:$B$60,Anova_Live!$N$2:$N$60,""),"")</f>
        <v/>
      </c>
    </row>
    <row r="11" spans="1:24" x14ac:dyDescent="0.2">
      <c r="A11">
        <v>1011</v>
      </c>
      <c r="B11" t="s">
        <v>77</v>
      </c>
      <c r="C11" t="s">
        <v>51</v>
      </c>
      <c r="D11" t="s">
        <v>78</v>
      </c>
      <c r="E11" t="s">
        <v>79</v>
      </c>
      <c r="F11" t="s">
        <v>75</v>
      </c>
      <c r="G11" t="s">
        <v>42</v>
      </c>
      <c r="H11">
        <v>33.304826400000003</v>
      </c>
      <c r="I11">
        <v>-111.9816146</v>
      </c>
      <c r="J11">
        <v>1000</v>
      </c>
      <c r="K11" t="s">
        <v>48</v>
      </c>
      <c r="N11" t="s">
        <v>70</v>
      </c>
      <c r="R11" t="str">
        <f>IFERROR(_xlfn.XLOOKUP($A11,Anova_Live!$B$2:$B$60,Anova_Live!$A$2:$A$60,""),"")</f>
        <v/>
      </c>
      <c r="S11" t="str">
        <f>IFERROR(_xlfn.XLOOKUP($A11,Anova_Live!$B$2:$B$60,Anova_Live!$E$2:$E$60,""),"")</f>
        <v/>
      </c>
      <c r="T11" t="str">
        <f>IFERROR(_xlfn.XLOOKUP($A11,Anova_Live!$B$2:$B$60,Anova_Live!$K$2:$K$60,""),"")</f>
        <v/>
      </c>
      <c r="U11" t="str">
        <f>IFERROR(_xlfn.XLOOKUP($A11,Anova_Live!$B$2:$B$60,Anova_Live!$H$2:$H$60,""),"")</f>
        <v/>
      </c>
      <c r="V11" t="str">
        <f>IFERROR(_xlfn.XLOOKUP($A11,Anova_Live!$B$2:$B$60,Anova_Live!$L$2:$L$60,""),"")</f>
        <v/>
      </c>
      <c r="W11" t="str">
        <f>IFERROR(_xlfn.XLOOKUP($A11,Anova_Live!$B$2:$B$60,Anova_Live!$M$2:$M$60,""),"")</f>
        <v/>
      </c>
      <c r="X11" t="str">
        <f>IFERROR(_xlfn.XLOOKUP($A11,Anova_Live!$B$2:$B$60,Anova_Live!$N$2:$N$60,""),"")</f>
        <v/>
      </c>
    </row>
    <row r="12" spans="1:24" x14ac:dyDescent="0.2">
      <c r="A12">
        <v>1014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42</v>
      </c>
      <c r="H12">
        <v>33.298090000000002</v>
      </c>
      <c r="I12">
        <v>-111.74427300000001</v>
      </c>
      <c r="J12">
        <v>900</v>
      </c>
      <c r="K12" t="s">
        <v>48</v>
      </c>
      <c r="N12" t="s">
        <v>85</v>
      </c>
      <c r="R12" t="str">
        <f>IFERROR(_xlfn.XLOOKUP($A12,Anova_Live!$B$2:$B$60,Anova_Live!$A$2:$A$60,""),"")</f>
        <v/>
      </c>
      <c r="S12" t="str">
        <f>IFERROR(_xlfn.XLOOKUP($A12,Anova_Live!$B$2:$B$60,Anova_Live!$E$2:$E$60,""),"")</f>
        <v/>
      </c>
      <c r="T12" t="str">
        <f>IFERROR(_xlfn.XLOOKUP($A12,Anova_Live!$B$2:$B$60,Anova_Live!$K$2:$K$60,""),"")</f>
        <v/>
      </c>
      <c r="U12" t="str">
        <f>IFERROR(_xlfn.XLOOKUP($A12,Anova_Live!$B$2:$B$60,Anova_Live!$H$2:$H$60,""),"")</f>
        <v/>
      </c>
      <c r="V12" t="str">
        <f>IFERROR(_xlfn.XLOOKUP($A12,Anova_Live!$B$2:$B$60,Anova_Live!$L$2:$L$60,""),"")</f>
        <v/>
      </c>
      <c r="W12" t="str">
        <f>IFERROR(_xlfn.XLOOKUP($A12,Anova_Live!$B$2:$B$60,Anova_Live!$M$2:$M$60,""),"")</f>
        <v/>
      </c>
      <c r="X12" t="str">
        <f>IFERROR(_xlfn.XLOOKUP($A12,Anova_Live!$B$2:$B$60,Anova_Live!$N$2:$N$60,""),"")</f>
        <v/>
      </c>
    </row>
    <row r="13" spans="1:24" x14ac:dyDescent="0.2">
      <c r="A13">
        <v>1013</v>
      </c>
      <c r="B13" t="s">
        <v>86</v>
      </c>
      <c r="C13" t="s">
        <v>63</v>
      </c>
      <c r="D13" t="s">
        <v>87</v>
      </c>
      <c r="E13" t="s">
        <v>88</v>
      </c>
      <c r="F13" t="s">
        <v>89</v>
      </c>
      <c r="G13" t="s">
        <v>42</v>
      </c>
      <c r="H13">
        <v>33.46499</v>
      </c>
      <c r="I13">
        <v>-112.38990200000001</v>
      </c>
      <c r="J13">
        <v>900</v>
      </c>
      <c r="K13" t="s">
        <v>48</v>
      </c>
      <c r="N13" t="s">
        <v>90</v>
      </c>
      <c r="P13" t="s">
        <v>91</v>
      </c>
      <c r="R13" t="str">
        <f>IFERROR(_xlfn.XLOOKUP($A13,Anova_Live!$B$2:$B$60,Anova_Live!$A$2:$A$60,""),"")</f>
        <v/>
      </c>
      <c r="S13" t="str">
        <f>IFERROR(_xlfn.XLOOKUP($A13,Anova_Live!$B$2:$B$60,Anova_Live!$E$2:$E$60,""),"")</f>
        <v/>
      </c>
      <c r="T13" t="str">
        <f>IFERROR(_xlfn.XLOOKUP($A13,Anova_Live!$B$2:$B$60,Anova_Live!$K$2:$K$60,""),"")</f>
        <v/>
      </c>
      <c r="U13" t="str">
        <f>IFERROR(_xlfn.XLOOKUP($A13,Anova_Live!$B$2:$B$60,Anova_Live!$H$2:$H$60,""),"")</f>
        <v/>
      </c>
      <c r="V13" t="str">
        <f>IFERROR(_xlfn.XLOOKUP($A13,Anova_Live!$B$2:$B$60,Anova_Live!$L$2:$L$60,""),"")</f>
        <v/>
      </c>
      <c r="W13" t="str">
        <f>IFERROR(_xlfn.XLOOKUP($A13,Anova_Live!$B$2:$B$60,Anova_Live!$M$2:$M$60,""),"")</f>
        <v/>
      </c>
      <c r="X13" t="str">
        <f>IFERROR(_xlfn.XLOOKUP($A13,Anova_Live!$B$2:$B$60,Anova_Live!$N$2:$N$60,""),"")</f>
        <v/>
      </c>
    </row>
    <row r="14" spans="1:24" x14ac:dyDescent="0.2">
      <c r="A14">
        <v>1081</v>
      </c>
      <c r="B14" t="s">
        <v>92</v>
      </c>
      <c r="C14" t="s">
        <v>72</v>
      </c>
      <c r="D14" t="s">
        <v>73</v>
      </c>
      <c r="E14" t="s">
        <v>93</v>
      </c>
      <c r="F14" t="s">
        <v>58</v>
      </c>
      <c r="G14" t="s">
        <v>42</v>
      </c>
      <c r="H14">
        <v>33.458940599999998</v>
      </c>
      <c r="I14">
        <v>-112.0685493</v>
      </c>
      <c r="J14">
        <v>350</v>
      </c>
      <c r="K14" t="s">
        <v>48</v>
      </c>
      <c r="N14" t="s">
        <v>94</v>
      </c>
      <c r="P14" t="s">
        <v>95</v>
      </c>
      <c r="R14" t="str">
        <f>IFERROR(_xlfn.XLOOKUP($A14,Anova_Live!$B$2:$B$60,Anova_Live!$A$2:$A$60,""),"")</f>
        <v/>
      </c>
      <c r="S14" t="str">
        <f>IFERROR(_xlfn.XLOOKUP($A14,Anova_Live!$B$2:$B$60,Anova_Live!$E$2:$E$60,""),"")</f>
        <v/>
      </c>
      <c r="T14" t="str">
        <f>IFERROR(_xlfn.XLOOKUP($A14,Anova_Live!$B$2:$B$60,Anova_Live!$K$2:$K$60,""),"")</f>
        <v/>
      </c>
      <c r="U14" t="str">
        <f>IFERROR(_xlfn.XLOOKUP($A14,Anova_Live!$B$2:$B$60,Anova_Live!$H$2:$H$60,""),"")</f>
        <v/>
      </c>
      <c r="V14" t="str">
        <f>IFERROR(_xlfn.XLOOKUP($A14,Anova_Live!$B$2:$B$60,Anova_Live!$L$2:$L$60,""),"")</f>
        <v/>
      </c>
      <c r="W14" t="str">
        <f>IFERROR(_xlfn.XLOOKUP($A14,Anova_Live!$B$2:$B$60,Anova_Live!$M$2:$M$60,""),"")</f>
        <v/>
      </c>
      <c r="X14" t="str">
        <f>IFERROR(_xlfn.XLOOKUP($A14,Anova_Live!$B$2:$B$60,Anova_Live!$N$2:$N$60,""),"")</f>
        <v/>
      </c>
    </row>
    <row r="15" spans="1:24" x14ac:dyDescent="0.2">
      <c r="A15">
        <v>1083</v>
      </c>
      <c r="B15" t="s">
        <v>96</v>
      </c>
      <c r="C15" t="s">
        <v>81</v>
      </c>
      <c r="D15" t="s">
        <v>97</v>
      </c>
      <c r="E15" t="s">
        <v>98</v>
      </c>
      <c r="F15" t="s">
        <v>99</v>
      </c>
      <c r="G15" t="s">
        <v>42</v>
      </c>
      <c r="H15">
        <v>33.4151472</v>
      </c>
      <c r="I15">
        <v>-111.6831813</v>
      </c>
      <c r="J15">
        <v>425</v>
      </c>
      <c r="K15" t="s">
        <v>48</v>
      </c>
      <c r="N15" t="s">
        <v>100</v>
      </c>
      <c r="P15" t="s">
        <v>101</v>
      </c>
      <c r="R15" t="str">
        <f>IFERROR(_xlfn.XLOOKUP($A15,Anova_Live!$B$2:$B$60,Anova_Live!$A$2:$A$60,""),"")</f>
        <v/>
      </c>
      <c r="S15" t="str">
        <f>IFERROR(_xlfn.XLOOKUP($A15,Anova_Live!$B$2:$B$60,Anova_Live!$E$2:$E$60,""),"")</f>
        <v/>
      </c>
      <c r="T15" t="str">
        <f>IFERROR(_xlfn.XLOOKUP($A15,Anova_Live!$B$2:$B$60,Anova_Live!$K$2:$K$60,""),"")</f>
        <v/>
      </c>
      <c r="U15" t="str">
        <f>IFERROR(_xlfn.XLOOKUP($A15,Anova_Live!$B$2:$B$60,Anova_Live!$H$2:$H$60,""),"")</f>
        <v/>
      </c>
      <c r="V15" t="str">
        <f>IFERROR(_xlfn.XLOOKUP($A15,Anova_Live!$B$2:$B$60,Anova_Live!$L$2:$L$60,""),"")</f>
        <v/>
      </c>
      <c r="W15" t="str">
        <f>IFERROR(_xlfn.XLOOKUP($A15,Anova_Live!$B$2:$B$60,Anova_Live!$M$2:$M$60,""),"")</f>
        <v/>
      </c>
      <c r="X15" t="str">
        <f>IFERROR(_xlfn.XLOOKUP($A15,Anova_Live!$B$2:$B$60,Anova_Live!$N$2:$N$60,""),"")</f>
        <v/>
      </c>
    </row>
    <row r="16" spans="1:24" x14ac:dyDescent="0.2">
      <c r="A16">
        <v>19039</v>
      </c>
      <c r="B16" t="s">
        <v>102</v>
      </c>
      <c r="C16" t="s">
        <v>81</v>
      </c>
      <c r="D16" t="s">
        <v>82</v>
      </c>
      <c r="E16" t="s">
        <v>103</v>
      </c>
      <c r="F16" t="s">
        <v>84</v>
      </c>
      <c r="G16" t="s">
        <v>42</v>
      </c>
      <c r="H16">
        <v>33.306216200000001</v>
      </c>
      <c r="I16">
        <v>-111.7475515</v>
      </c>
      <c r="J16">
        <v>1050</v>
      </c>
      <c r="K16" t="s">
        <v>43</v>
      </c>
      <c r="N16" t="s">
        <v>104</v>
      </c>
      <c r="O16" t="s">
        <v>61</v>
      </c>
      <c r="R16" t="str">
        <f>IFERROR(_xlfn.XLOOKUP($A16,Anova_Live!$B$2:$B$60,Anova_Live!$A$2:$A$60,""),"")</f>
        <v/>
      </c>
      <c r="S16" t="str">
        <f>IFERROR(_xlfn.XLOOKUP($A16,Anova_Live!$B$2:$B$60,Anova_Live!$E$2:$E$60,""),"")</f>
        <v/>
      </c>
      <c r="T16" t="str">
        <f>IFERROR(_xlfn.XLOOKUP($A16,Anova_Live!$B$2:$B$60,Anova_Live!$K$2:$K$60,""),"")</f>
        <v/>
      </c>
      <c r="U16" t="str">
        <f>IFERROR(_xlfn.XLOOKUP($A16,Anova_Live!$B$2:$B$60,Anova_Live!$H$2:$H$60,""),"")</f>
        <v/>
      </c>
      <c r="V16" t="str">
        <f>IFERROR(_xlfn.XLOOKUP($A16,Anova_Live!$B$2:$B$60,Anova_Live!$L$2:$L$60,""),"")</f>
        <v/>
      </c>
      <c r="W16" t="str">
        <f>IFERROR(_xlfn.XLOOKUP($A16,Anova_Live!$B$2:$B$60,Anova_Live!$M$2:$M$60,""),"")</f>
        <v/>
      </c>
      <c r="X16" t="str">
        <f>IFERROR(_xlfn.XLOOKUP($A16,Anova_Live!$B$2:$B$60,Anova_Live!$N$2:$N$60,""),"")</f>
        <v/>
      </c>
    </row>
    <row r="17" spans="1:24" x14ac:dyDescent="0.2">
      <c r="A17">
        <v>2067</v>
      </c>
      <c r="B17" t="s">
        <v>105</v>
      </c>
      <c r="C17" t="s">
        <v>81</v>
      </c>
      <c r="D17" t="s">
        <v>82</v>
      </c>
      <c r="E17" t="s">
        <v>106</v>
      </c>
      <c r="F17" t="s">
        <v>75</v>
      </c>
      <c r="G17" t="s">
        <v>42</v>
      </c>
      <c r="H17">
        <v>33.676642800000003</v>
      </c>
      <c r="I17">
        <v>-111.9746059</v>
      </c>
      <c r="J17">
        <v>950</v>
      </c>
      <c r="K17" t="s">
        <v>48</v>
      </c>
      <c r="N17" t="s">
        <v>107</v>
      </c>
      <c r="O17" t="s">
        <v>61</v>
      </c>
      <c r="R17" t="str">
        <f>IFERROR(_xlfn.XLOOKUP($A17,Anova_Live!$B$2:$B$60,Anova_Live!$A$2:$A$60,""),"")</f>
        <v/>
      </c>
      <c r="S17" t="str">
        <f>IFERROR(_xlfn.XLOOKUP($A17,Anova_Live!$B$2:$B$60,Anova_Live!$E$2:$E$60,""),"")</f>
        <v/>
      </c>
      <c r="T17" t="str">
        <f>IFERROR(_xlfn.XLOOKUP($A17,Anova_Live!$B$2:$B$60,Anova_Live!$K$2:$K$60,""),"")</f>
        <v/>
      </c>
      <c r="U17" t="str">
        <f>IFERROR(_xlfn.XLOOKUP($A17,Anova_Live!$B$2:$B$60,Anova_Live!$H$2:$H$60,""),"")</f>
        <v/>
      </c>
      <c r="V17" t="str">
        <f>IFERROR(_xlfn.XLOOKUP($A17,Anova_Live!$B$2:$B$60,Anova_Live!$L$2:$L$60,""),"")</f>
        <v/>
      </c>
      <c r="W17" t="str">
        <f>IFERROR(_xlfn.XLOOKUP($A17,Anova_Live!$B$2:$B$60,Anova_Live!$M$2:$M$60,""),"")</f>
        <v/>
      </c>
      <c r="X17" t="str">
        <f>IFERROR(_xlfn.XLOOKUP($A17,Anova_Live!$B$2:$B$60,Anova_Live!$N$2:$N$60,""),"")</f>
        <v/>
      </c>
    </row>
    <row r="18" spans="1:24" x14ac:dyDescent="0.2">
      <c r="A18">
        <v>2053</v>
      </c>
      <c r="B18" t="s">
        <v>108</v>
      </c>
      <c r="C18" t="s">
        <v>81</v>
      </c>
      <c r="D18" t="s">
        <v>97</v>
      </c>
      <c r="E18" t="s">
        <v>109</v>
      </c>
      <c r="F18" t="s">
        <v>84</v>
      </c>
      <c r="G18" t="s">
        <v>42</v>
      </c>
      <c r="H18">
        <v>33.450725300000002</v>
      </c>
      <c r="I18">
        <v>-111.78643219999999</v>
      </c>
      <c r="J18">
        <v>1050</v>
      </c>
      <c r="K18" t="s">
        <v>48</v>
      </c>
      <c r="N18" t="s">
        <v>110</v>
      </c>
      <c r="O18" t="s">
        <v>61</v>
      </c>
      <c r="R18" t="str">
        <f>IFERROR(_xlfn.XLOOKUP($A18,Anova_Live!$B$2:$B$60,Anova_Live!$A$2:$A$60,""),"")</f>
        <v/>
      </c>
      <c r="S18" t="str">
        <f>IFERROR(_xlfn.XLOOKUP($A18,Anova_Live!$B$2:$B$60,Anova_Live!$E$2:$E$60,""),"")</f>
        <v/>
      </c>
      <c r="T18" t="str">
        <f>IFERROR(_xlfn.XLOOKUP($A18,Anova_Live!$B$2:$B$60,Anova_Live!$K$2:$K$60,""),"")</f>
        <v/>
      </c>
      <c r="U18" t="str">
        <f>IFERROR(_xlfn.XLOOKUP($A18,Anova_Live!$B$2:$B$60,Anova_Live!$H$2:$H$60,""),"")</f>
        <v/>
      </c>
      <c r="V18" t="str">
        <f>IFERROR(_xlfn.XLOOKUP($A18,Anova_Live!$B$2:$B$60,Anova_Live!$L$2:$L$60,""),"")</f>
        <v/>
      </c>
      <c r="W18" t="str">
        <f>IFERROR(_xlfn.XLOOKUP($A18,Anova_Live!$B$2:$B$60,Anova_Live!$M$2:$M$60,""),"")</f>
        <v/>
      </c>
      <c r="X18" t="str">
        <f>IFERROR(_xlfn.XLOOKUP($A18,Anova_Live!$B$2:$B$60,Anova_Live!$N$2:$N$60,""),"")</f>
        <v/>
      </c>
    </row>
    <row r="19" spans="1:24" x14ac:dyDescent="0.2">
      <c r="A19">
        <v>2045</v>
      </c>
      <c r="B19" t="s">
        <v>111</v>
      </c>
      <c r="C19" t="s">
        <v>81</v>
      </c>
      <c r="D19" t="s">
        <v>82</v>
      </c>
      <c r="E19" t="s">
        <v>112</v>
      </c>
      <c r="F19" t="s">
        <v>99</v>
      </c>
      <c r="G19" t="s">
        <v>42</v>
      </c>
      <c r="H19">
        <v>33.310742699999999</v>
      </c>
      <c r="I19">
        <v>-111.66987330000001</v>
      </c>
      <c r="J19">
        <v>350</v>
      </c>
      <c r="K19" t="s">
        <v>48</v>
      </c>
      <c r="N19" t="s">
        <v>113</v>
      </c>
      <c r="R19" t="str">
        <f>IFERROR(_xlfn.XLOOKUP($A19,Anova_Live!$B$2:$B$60,Anova_Live!$A$2:$A$60,""),"")</f>
        <v/>
      </c>
      <c r="S19" t="str">
        <f>IFERROR(_xlfn.XLOOKUP($A19,Anova_Live!$B$2:$B$60,Anova_Live!$E$2:$E$60,""),"")</f>
        <v/>
      </c>
      <c r="T19" t="str">
        <f>IFERROR(_xlfn.XLOOKUP($A19,Anova_Live!$B$2:$B$60,Anova_Live!$K$2:$K$60,""),"")</f>
        <v/>
      </c>
      <c r="U19" t="str">
        <f>IFERROR(_xlfn.XLOOKUP($A19,Anova_Live!$B$2:$B$60,Anova_Live!$H$2:$H$60,""),"")</f>
        <v/>
      </c>
      <c r="V19" t="str">
        <f>IFERROR(_xlfn.XLOOKUP($A19,Anova_Live!$B$2:$B$60,Anova_Live!$L$2:$L$60,""),"")</f>
        <v/>
      </c>
      <c r="W19" t="str">
        <f>IFERROR(_xlfn.XLOOKUP($A19,Anova_Live!$B$2:$B$60,Anova_Live!$M$2:$M$60,""),"")</f>
        <v/>
      </c>
      <c r="X19" t="str">
        <f>IFERROR(_xlfn.XLOOKUP($A19,Anova_Live!$B$2:$B$60,Anova_Live!$N$2:$N$60,""),"")</f>
        <v/>
      </c>
    </row>
    <row r="20" spans="1:24" x14ac:dyDescent="0.2">
      <c r="A20">
        <v>2038</v>
      </c>
      <c r="B20" t="s">
        <v>114</v>
      </c>
      <c r="C20" t="s">
        <v>51</v>
      </c>
      <c r="D20" t="s">
        <v>115</v>
      </c>
      <c r="E20" t="s">
        <v>116</v>
      </c>
      <c r="F20" t="s">
        <v>54</v>
      </c>
      <c r="G20" t="s">
        <v>117</v>
      </c>
      <c r="H20">
        <v>33.4933908</v>
      </c>
      <c r="I20">
        <v>-111.92563199999999</v>
      </c>
      <c r="J20">
        <v>620</v>
      </c>
      <c r="K20" t="s">
        <v>48</v>
      </c>
      <c r="N20" t="s">
        <v>118</v>
      </c>
      <c r="R20" t="str">
        <f>IFERROR(_xlfn.XLOOKUP($A20,Anova_Live!$B$2:$B$60,Anova_Live!$A$2:$A$60,""),"")</f>
        <v/>
      </c>
      <c r="S20" t="str">
        <f>IFERROR(_xlfn.XLOOKUP($A20,Anova_Live!$B$2:$B$60,Anova_Live!$E$2:$E$60,""),"")</f>
        <v/>
      </c>
      <c r="T20" t="str">
        <f>IFERROR(_xlfn.XLOOKUP($A20,Anova_Live!$B$2:$B$60,Anova_Live!$K$2:$K$60,""),"")</f>
        <v/>
      </c>
      <c r="U20" t="str">
        <f>IFERROR(_xlfn.XLOOKUP($A20,Anova_Live!$B$2:$B$60,Anova_Live!$H$2:$H$60,""),"")</f>
        <v/>
      </c>
      <c r="V20" t="str">
        <f>IFERROR(_xlfn.XLOOKUP($A20,Anova_Live!$B$2:$B$60,Anova_Live!$L$2:$L$60,""),"")</f>
        <v/>
      </c>
      <c r="W20" t="str">
        <f>IFERROR(_xlfn.XLOOKUP($A20,Anova_Live!$B$2:$B$60,Anova_Live!$M$2:$M$60,""),"")</f>
        <v/>
      </c>
      <c r="X20" t="str">
        <f>IFERROR(_xlfn.XLOOKUP($A20,Anova_Live!$B$2:$B$60,Anova_Live!$N$2:$N$60,""),"")</f>
        <v/>
      </c>
    </row>
    <row r="21" spans="1:24" x14ac:dyDescent="0.2">
      <c r="A21">
        <v>2023</v>
      </c>
      <c r="B21" t="s">
        <v>119</v>
      </c>
      <c r="C21" t="s">
        <v>63</v>
      </c>
      <c r="D21" t="s">
        <v>87</v>
      </c>
      <c r="E21" t="s">
        <v>120</v>
      </c>
      <c r="F21" t="s">
        <v>121</v>
      </c>
      <c r="G21" t="s">
        <v>42</v>
      </c>
      <c r="H21">
        <v>33.463417</v>
      </c>
      <c r="I21">
        <v>-112.3468017</v>
      </c>
      <c r="J21">
        <v>620</v>
      </c>
      <c r="K21" t="s">
        <v>48</v>
      </c>
      <c r="N21" t="s">
        <v>122</v>
      </c>
      <c r="P21" t="s">
        <v>95</v>
      </c>
      <c r="R21" t="str">
        <f>IFERROR(_xlfn.XLOOKUP($A21,Anova_Live!$B$2:$B$60,Anova_Live!$A$2:$A$60,""),"")</f>
        <v/>
      </c>
      <c r="S21" t="str">
        <f>IFERROR(_xlfn.XLOOKUP($A21,Anova_Live!$B$2:$B$60,Anova_Live!$E$2:$E$60,""),"")</f>
        <v/>
      </c>
      <c r="T21" t="str">
        <f>IFERROR(_xlfn.XLOOKUP($A21,Anova_Live!$B$2:$B$60,Anova_Live!$K$2:$K$60,""),"")</f>
        <v/>
      </c>
      <c r="U21" t="str">
        <f>IFERROR(_xlfn.XLOOKUP($A21,Anova_Live!$B$2:$B$60,Anova_Live!$H$2:$H$60,""),"")</f>
        <v/>
      </c>
      <c r="V21" t="str">
        <f>IFERROR(_xlfn.XLOOKUP($A21,Anova_Live!$B$2:$B$60,Anova_Live!$L$2:$L$60,""),"")</f>
        <v/>
      </c>
      <c r="W21" t="str">
        <f>IFERROR(_xlfn.XLOOKUP($A21,Anova_Live!$B$2:$B$60,Anova_Live!$M$2:$M$60,""),"")</f>
        <v/>
      </c>
      <c r="X21" t="str">
        <f>IFERROR(_xlfn.XLOOKUP($A21,Anova_Live!$B$2:$B$60,Anova_Live!$N$2:$N$60,""),"")</f>
        <v/>
      </c>
    </row>
    <row r="22" spans="1:24" x14ac:dyDescent="0.2">
      <c r="A22">
        <v>2017</v>
      </c>
      <c r="B22" t="s">
        <v>123</v>
      </c>
      <c r="C22" t="s">
        <v>63</v>
      </c>
      <c r="D22" t="s">
        <v>87</v>
      </c>
      <c r="E22" t="s">
        <v>124</v>
      </c>
      <c r="F22" t="s">
        <v>125</v>
      </c>
      <c r="G22" t="s">
        <v>42</v>
      </c>
      <c r="H22">
        <v>33.434780600000003</v>
      </c>
      <c r="I22">
        <v>-112.55859599999999</v>
      </c>
      <c r="J22">
        <v>620</v>
      </c>
      <c r="K22" t="s">
        <v>48</v>
      </c>
      <c r="N22" t="s">
        <v>126</v>
      </c>
      <c r="O22" t="s">
        <v>61</v>
      </c>
      <c r="R22" t="str">
        <f>IFERROR(_xlfn.XLOOKUP($A22,Anova_Live!$B$2:$B$60,Anova_Live!$A$2:$A$60,""),"")</f>
        <v/>
      </c>
      <c r="S22" t="str">
        <f>IFERROR(_xlfn.XLOOKUP($A22,Anova_Live!$B$2:$B$60,Anova_Live!$E$2:$E$60,""),"")</f>
        <v/>
      </c>
      <c r="T22" t="str">
        <f>IFERROR(_xlfn.XLOOKUP($A22,Anova_Live!$B$2:$B$60,Anova_Live!$K$2:$K$60,""),"")</f>
        <v/>
      </c>
      <c r="U22" t="str">
        <f>IFERROR(_xlfn.XLOOKUP($A22,Anova_Live!$B$2:$B$60,Anova_Live!$H$2:$H$60,""),"")</f>
        <v/>
      </c>
      <c r="V22" t="str">
        <f>IFERROR(_xlfn.XLOOKUP($A22,Anova_Live!$B$2:$B$60,Anova_Live!$L$2:$L$60,""),"")</f>
        <v/>
      </c>
      <c r="W22" t="str">
        <f>IFERROR(_xlfn.XLOOKUP($A22,Anova_Live!$B$2:$B$60,Anova_Live!$M$2:$M$60,""),"")</f>
        <v/>
      </c>
      <c r="X22" t="str">
        <f>IFERROR(_xlfn.XLOOKUP($A22,Anova_Live!$B$2:$B$60,Anova_Live!$N$2:$N$60,""),"")</f>
        <v/>
      </c>
    </row>
    <row r="23" spans="1:24" x14ac:dyDescent="0.2">
      <c r="A23">
        <v>2013</v>
      </c>
      <c r="B23" t="s">
        <v>127</v>
      </c>
      <c r="C23" t="s">
        <v>51</v>
      </c>
      <c r="D23" t="s">
        <v>115</v>
      </c>
      <c r="E23" t="s">
        <v>128</v>
      </c>
      <c r="F23" t="s">
        <v>54</v>
      </c>
      <c r="G23" t="s">
        <v>42</v>
      </c>
      <c r="H23">
        <v>33.501653099999999</v>
      </c>
      <c r="I23">
        <v>-111.9227254</v>
      </c>
      <c r="J23">
        <v>500</v>
      </c>
      <c r="K23" t="s">
        <v>48</v>
      </c>
      <c r="N23" t="s">
        <v>129</v>
      </c>
      <c r="R23" t="str">
        <f>IFERROR(_xlfn.XLOOKUP($A23,Anova_Live!$B$2:$B$60,Anova_Live!$A$2:$A$60,""),"")</f>
        <v/>
      </c>
      <c r="S23" t="str">
        <f>IFERROR(_xlfn.XLOOKUP($A23,Anova_Live!$B$2:$B$60,Anova_Live!$E$2:$E$60,""),"")</f>
        <v/>
      </c>
      <c r="T23" t="str">
        <f>IFERROR(_xlfn.XLOOKUP($A23,Anova_Live!$B$2:$B$60,Anova_Live!$K$2:$K$60,""),"")</f>
        <v/>
      </c>
      <c r="U23" t="str">
        <f>IFERROR(_xlfn.XLOOKUP($A23,Anova_Live!$B$2:$B$60,Anova_Live!$H$2:$H$60,""),"")</f>
        <v/>
      </c>
      <c r="V23" t="str">
        <f>IFERROR(_xlfn.XLOOKUP($A23,Anova_Live!$B$2:$B$60,Anova_Live!$L$2:$L$60,""),"")</f>
        <v/>
      </c>
      <c r="W23" t="str">
        <f>IFERROR(_xlfn.XLOOKUP($A23,Anova_Live!$B$2:$B$60,Anova_Live!$M$2:$M$60,""),"")</f>
        <v/>
      </c>
      <c r="X23" t="str">
        <f>IFERROR(_xlfn.XLOOKUP($A23,Anova_Live!$B$2:$B$60,Anova_Live!$N$2:$N$60,""),"")</f>
        <v/>
      </c>
    </row>
    <row r="24" spans="1:24" x14ac:dyDescent="0.2">
      <c r="A24">
        <v>2078</v>
      </c>
      <c r="B24" t="s">
        <v>130</v>
      </c>
      <c r="C24" t="s">
        <v>72</v>
      </c>
      <c r="D24" t="s">
        <v>131</v>
      </c>
      <c r="E24" t="s">
        <v>132</v>
      </c>
      <c r="F24" t="s">
        <v>75</v>
      </c>
      <c r="G24" t="s">
        <v>42</v>
      </c>
      <c r="H24">
        <v>33.4953182</v>
      </c>
      <c r="I24">
        <v>-112.29070040000001</v>
      </c>
      <c r="J24">
        <v>350</v>
      </c>
      <c r="K24" t="s">
        <v>48</v>
      </c>
      <c r="N24" t="s">
        <v>133</v>
      </c>
      <c r="P24" t="s">
        <v>134</v>
      </c>
      <c r="R24" t="str">
        <f>IFERROR(_xlfn.XLOOKUP($A24,Anova_Live!$B$2:$B$60,Anova_Live!$A$2:$A$60,""),"")</f>
        <v/>
      </c>
      <c r="S24" t="str">
        <f>IFERROR(_xlfn.XLOOKUP($A24,Anova_Live!$B$2:$B$60,Anova_Live!$E$2:$E$60,""),"")</f>
        <v/>
      </c>
      <c r="T24" t="str">
        <f>IFERROR(_xlfn.XLOOKUP($A24,Anova_Live!$B$2:$B$60,Anova_Live!$K$2:$K$60,""),"")</f>
        <v/>
      </c>
      <c r="U24" t="str">
        <f>IFERROR(_xlfn.XLOOKUP($A24,Anova_Live!$B$2:$B$60,Anova_Live!$H$2:$H$60,""),"")</f>
        <v/>
      </c>
      <c r="V24" t="str">
        <f>IFERROR(_xlfn.XLOOKUP($A24,Anova_Live!$B$2:$B$60,Anova_Live!$L$2:$L$60,""),"")</f>
        <v/>
      </c>
      <c r="W24" t="str">
        <f>IFERROR(_xlfn.XLOOKUP($A24,Anova_Live!$B$2:$B$60,Anova_Live!$M$2:$M$60,""),"")</f>
        <v/>
      </c>
      <c r="X24" t="str">
        <f>IFERROR(_xlfn.XLOOKUP($A24,Anova_Live!$B$2:$B$60,Anova_Live!$N$2:$N$60,""),"")</f>
        <v/>
      </c>
    </row>
    <row r="25" spans="1:24" x14ac:dyDescent="0.2">
      <c r="A25">
        <v>2073</v>
      </c>
      <c r="B25" t="s">
        <v>135</v>
      </c>
      <c r="C25" t="s">
        <v>51</v>
      </c>
      <c r="D25" t="s">
        <v>115</v>
      </c>
      <c r="E25" t="s">
        <v>136</v>
      </c>
      <c r="F25" t="s">
        <v>137</v>
      </c>
      <c r="G25" t="s">
        <v>42</v>
      </c>
      <c r="H25">
        <v>33.276944800000003</v>
      </c>
      <c r="I25">
        <v>-111.8747704</v>
      </c>
      <c r="J25">
        <v>350</v>
      </c>
      <c r="K25" t="s">
        <v>43</v>
      </c>
      <c r="N25" t="s">
        <v>138</v>
      </c>
      <c r="P25" t="s">
        <v>101</v>
      </c>
      <c r="R25" t="str">
        <f>IFERROR(_xlfn.XLOOKUP($A25,Anova_Live!$B$2:$B$60,Anova_Live!$A$2:$A$60,""),"")</f>
        <v/>
      </c>
      <c r="S25" t="str">
        <f>IFERROR(_xlfn.XLOOKUP($A25,Anova_Live!$B$2:$B$60,Anova_Live!$E$2:$E$60,""),"")</f>
        <v/>
      </c>
      <c r="T25" t="str">
        <f>IFERROR(_xlfn.XLOOKUP($A25,Anova_Live!$B$2:$B$60,Anova_Live!$K$2:$K$60,""),"")</f>
        <v/>
      </c>
      <c r="U25" t="str">
        <f>IFERROR(_xlfn.XLOOKUP($A25,Anova_Live!$B$2:$B$60,Anova_Live!$H$2:$H$60,""),"")</f>
        <v/>
      </c>
      <c r="V25" t="str">
        <f>IFERROR(_xlfn.XLOOKUP($A25,Anova_Live!$B$2:$B$60,Anova_Live!$L$2:$L$60,""),"")</f>
        <v/>
      </c>
      <c r="W25" t="str">
        <f>IFERROR(_xlfn.XLOOKUP($A25,Anova_Live!$B$2:$B$60,Anova_Live!$M$2:$M$60,""),"")</f>
        <v/>
      </c>
      <c r="X25" t="str">
        <f>IFERROR(_xlfn.XLOOKUP($A25,Anova_Live!$B$2:$B$60,Anova_Live!$N$2:$N$60,""),"")</f>
        <v/>
      </c>
    </row>
    <row r="26" spans="1:24" x14ac:dyDescent="0.2">
      <c r="A26">
        <v>4038</v>
      </c>
      <c r="B26" t="s">
        <v>139</v>
      </c>
      <c r="C26" t="s">
        <v>38</v>
      </c>
      <c r="D26" t="s">
        <v>46</v>
      </c>
      <c r="E26" t="s">
        <v>140</v>
      </c>
      <c r="F26" t="s">
        <v>141</v>
      </c>
      <c r="G26" t="s">
        <v>42</v>
      </c>
      <c r="H26">
        <v>33.597455600000004</v>
      </c>
      <c r="I26">
        <v>-112.20201830000001</v>
      </c>
      <c r="J26">
        <v>1050</v>
      </c>
      <c r="K26" t="s">
        <v>48</v>
      </c>
      <c r="N26" t="s">
        <v>142</v>
      </c>
      <c r="O26" t="s">
        <v>61</v>
      </c>
      <c r="R26" t="str">
        <f>IFERROR(_xlfn.XLOOKUP($A26,Anova_Live!$B$2:$B$60,Anova_Live!$A$2:$A$60,""),"")</f>
        <v/>
      </c>
      <c r="S26" t="str">
        <f>IFERROR(_xlfn.XLOOKUP($A26,Anova_Live!$B$2:$B$60,Anova_Live!$E$2:$E$60,""),"")</f>
        <v/>
      </c>
      <c r="T26" t="str">
        <f>IFERROR(_xlfn.XLOOKUP($A26,Anova_Live!$B$2:$B$60,Anova_Live!$K$2:$K$60,""),"")</f>
        <v/>
      </c>
      <c r="U26" t="str">
        <f>IFERROR(_xlfn.XLOOKUP($A26,Anova_Live!$B$2:$B$60,Anova_Live!$H$2:$H$60,""),"")</f>
        <v/>
      </c>
      <c r="V26" t="str">
        <f>IFERROR(_xlfn.XLOOKUP($A26,Anova_Live!$B$2:$B$60,Anova_Live!$L$2:$L$60,""),"")</f>
        <v/>
      </c>
      <c r="W26" t="str">
        <f>IFERROR(_xlfn.XLOOKUP($A26,Anova_Live!$B$2:$B$60,Anova_Live!$M$2:$M$60,""),"")</f>
        <v/>
      </c>
      <c r="X26" t="str">
        <f>IFERROR(_xlfn.XLOOKUP($A26,Anova_Live!$B$2:$B$60,Anova_Live!$N$2:$N$60,""),"")</f>
        <v/>
      </c>
    </row>
    <row r="27" spans="1:24" x14ac:dyDescent="0.2">
      <c r="A27">
        <v>3063</v>
      </c>
      <c r="B27" t="s">
        <v>143</v>
      </c>
      <c r="C27" t="s">
        <v>38</v>
      </c>
      <c r="D27" t="s">
        <v>39</v>
      </c>
      <c r="E27" t="s">
        <v>144</v>
      </c>
      <c r="F27" t="s">
        <v>141</v>
      </c>
      <c r="G27" t="s">
        <v>145</v>
      </c>
      <c r="H27">
        <v>33.5262332</v>
      </c>
      <c r="I27">
        <v>-112.2661138</v>
      </c>
      <c r="J27">
        <v>2500</v>
      </c>
      <c r="K27" t="s">
        <v>48</v>
      </c>
      <c r="O27" t="s">
        <v>61</v>
      </c>
      <c r="R27" t="str">
        <f>IFERROR(_xlfn.XLOOKUP($A27,Anova_Live!$B$2:$B$60,Anova_Live!$A$2:$A$60,""),"")</f>
        <v/>
      </c>
      <c r="S27" t="str">
        <f>IFERROR(_xlfn.XLOOKUP($A27,Anova_Live!$B$2:$B$60,Anova_Live!$E$2:$E$60,""),"")</f>
        <v/>
      </c>
      <c r="T27" t="str">
        <f>IFERROR(_xlfn.XLOOKUP($A27,Anova_Live!$B$2:$B$60,Anova_Live!$K$2:$K$60,""),"")</f>
        <v/>
      </c>
      <c r="U27" t="str">
        <f>IFERROR(_xlfn.XLOOKUP($A27,Anova_Live!$B$2:$B$60,Anova_Live!$H$2:$H$60,""),"")</f>
        <v/>
      </c>
      <c r="V27" t="str">
        <f>IFERROR(_xlfn.XLOOKUP($A27,Anova_Live!$B$2:$B$60,Anova_Live!$L$2:$L$60,""),"")</f>
        <v/>
      </c>
      <c r="W27" t="str">
        <f>IFERROR(_xlfn.XLOOKUP($A27,Anova_Live!$B$2:$B$60,Anova_Live!$M$2:$M$60,""),"")</f>
        <v/>
      </c>
      <c r="X27" t="str">
        <f>IFERROR(_xlfn.XLOOKUP($A27,Anova_Live!$B$2:$B$60,Anova_Live!$N$2:$N$60,""),"")</f>
        <v/>
      </c>
    </row>
    <row r="28" spans="1:24" x14ac:dyDescent="0.2">
      <c r="A28">
        <v>3069</v>
      </c>
      <c r="B28" t="s">
        <v>146</v>
      </c>
      <c r="C28" t="s">
        <v>38</v>
      </c>
      <c r="D28" t="s">
        <v>46</v>
      </c>
      <c r="E28" t="s">
        <v>147</v>
      </c>
      <c r="F28" t="s">
        <v>41</v>
      </c>
      <c r="G28" t="s">
        <v>42</v>
      </c>
      <c r="H28">
        <v>33.6116326</v>
      </c>
      <c r="I28">
        <v>-112.1654111</v>
      </c>
      <c r="J28">
        <v>1000</v>
      </c>
      <c r="K28" t="s">
        <v>48</v>
      </c>
      <c r="N28" t="s">
        <v>148</v>
      </c>
      <c r="O28" t="s">
        <v>61</v>
      </c>
      <c r="R28" t="str">
        <f>IFERROR(_xlfn.XLOOKUP($A28,Anova_Live!$B$2:$B$60,Anova_Live!$A$2:$A$60,""),"")</f>
        <v/>
      </c>
      <c r="S28" t="str">
        <f>IFERROR(_xlfn.XLOOKUP($A28,Anova_Live!$B$2:$B$60,Anova_Live!$E$2:$E$60,""),"")</f>
        <v/>
      </c>
      <c r="T28" t="str">
        <f>IFERROR(_xlfn.XLOOKUP($A28,Anova_Live!$B$2:$B$60,Anova_Live!$K$2:$K$60,""),"")</f>
        <v/>
      </c>
      <c r="U28" t="str">
        <f>IFERROR(_xlfn.XLOOKUP($A28,Anova_Live!$B$2:$B$60,Anova_Live!$H$2:$H$60,""),"")</f>
        <v/>
      </c>
      <c r="V28" t="str">
        <f>IFERROR(_xlfn.XLOOKUP($A28,Anova_Live!$B$2:$B$60,Anova_Live!$L$2:$L$60,""),"")</f>
        <v/>
      </c>
      <c r="W28" t="str">
        <f>IFERROR(_xlfn.XLOOKUP($A28,Anova_Live!$B$2:$B$60,Anova_Live!$M$2:$M$60,""),"")</f>
        <v/>
      </c>
      <c r="X28" t="str">
        <f>IFERROR(_xlfn.XLOOKUP($A28,Anova_Live!$B$2:$B$60,Anova_Live!$N$2:$N$60,""),"")</f>
        <v/>
      </c>
    </row>
    <row r="29" spans="1:24" x14ac:dyDescent="0.2">
      <c r="A29">
        <v>3021</v>
      </c>
      <c r="B29" t="s">
        <v>149</v>
      </c>
      <c r="C29" t="s">
        <v>38</v>
      </c>
      <c r="D29" t="s">
        <v>46</v>
      </c>
      <c r="E29" t="s">
        <v>150</v>
      </c>
      <c r="F29" t="s">
        <v>41</v>
      </c>
      <c r="G29" t="s">
        <v>42</v>
      </c>
      <c r="H29">
        <v>33.639786800000003</v>
      </c>
      <c r="I29">
        <v>-112.1738598</v>
      </c>
      <c r="J29">
        <v>450</v>
      </c>
      <c r="K29" t="s">
        <v>48</v>
      </c>
      <c r="N29" t="s">
        <v>151</v>
      </c>
      <c r="R29" t="str">
        <f>IFERROR(_xlfn.XLOOKUP($A29,Anova_Live!$B$2:$B$60,Anova_Live!$A$2:$A$60,""),"")</f>
        <v/>
      </c>
      <c r="S29" t="str">
        <f>IFERROR(_xlfn.XLOOKUP($A29,Anova_Live!$B$2:$B$60,Anova_Live!$E$2:$E$60,""),"")</f>
        <v/>
      </c>
      <c r="T29" t="str">
        <f>IFERROR(_xlfn.XLOOKUP($A29,Anova_Live!$B$2:$B$60,Anova_Live!$K$2:$K$60,""),"")</f>
        <v/>
      </c>
      <c r="U29" t="str">
        <f>IFERROR(_xlfn.XLOOKUP($A29,Anova_Live!$B$2:$B$60,Anova_Live!$H$2:$H$60,""),"")</f>
        <v/>
      </c>
      <c r="V29" t="str">
        <f>IFERROR(_xlfn.XLOOKUP($A29,Anova_Live!$B$2:$B$60,Anova_Live!$L$2:$L$60,""),"")</f>
        <v/>
      </c>
      <c r="W29" t="str">
        <f>IFERROR(_xlfn.XLOOKUP($A29,Anova_Live!$B$2:$B$60,Anova_Live!$M$2:$M$60,""),"")</f>
        <v/>
      </c>
      <c r="X29" t="str">
        <f>IFERROR(_xlfn.XLOOKUP($A29,Anova_Live!$B$2:$B$60,Anova_Live!$N$2:$N$60,""),"")</f>
        <v/>
      </c>
    </row>
    <row r="30" spans="1:24" x14ac:dyDescent="0.2">
      <c r="A30">
        <v>3046</v>
      </c>
      <c r="B30" t="s">
        <v>152</v>
      </c>
      <c r="C30" t="s">
        <v>38</v>
      </c>
      <c r="D30" t="s">
        <v>46</v>
      </c>
      <c r="E30" t="s">
        <v>153</v>
      </c>
      <c r="F30" t="s">
        <v>89</v>
      </c>
      <c r="G30" t="s">
        <v>42</v>
      </c>
      <c r="H30">
        <v>33.483995700000001</v>
      </c>
      <c r="I30">
        <v>-112.3651191</v>
      </c>
      <c r="J30">
        <v>1000</v>
      </c>
      <c r="K30" t="s">
        <v>48</v>
      </c>
      <c r="N30" t="s">
        <v>154</v>
      </c>
      <c r="R30" t="str">
        <f>IFERROR(_xlfn.XLOOKUP($A30,Anova_Live!$B$2:$B$60,Anova_Live!$A$2:$A$60,""),"")</f>
        <v/>
      </c>
      <c r="S30" t="str">
        <f>IFERROR(_xlfn.XLOOKUP($A30,Anova_Live!$B$2:$B$60,Anova_Live!$E$2:$E$60,""),"")</f>
        <v/>
      </c>
      <c r="T30" t="str">
        <f>IFERROR(_xlfn.XLOOKUP($A30,Anova_Live!$B$2:$B$60,Anova_Live!$K$2:$K$60,""),"")</f>
        <v/>
      </c>
      <c r="U30" t="str">
        <f>IFERROR(_xlfn.XLOOKUP($A30,Anova_Live!$B$2:$B$60,Anova_Live!$H$2:$H$60,""),"")</f>
        <v/>
      </c>
      <c r="V30" t="str">
        <f>IFERROR(_xlfn.XLOOKUP($A30,Anova_Live!$B$2:$B$60,Anova_Live!$L$2:$L$60,""),"")</f>
        <v/>
      </c>
      <c r="W30" t="str">
        <f>IFERROR(_xlfn.XLOOKUP($A30,Anova_Live!$B$2:$B$60,Anova_Live!$M$2:$M$60,""),"")</f>
        <v/>
      </c>
      <c r="X30" t="str">
        <f>IFERROR(_xlfn.XLOOKUP($A30,Anova_Live!$B$2:$B$60,Anova_Live!$N$2:$N$60,""),"")</f>
        <v/>
      </c>
    </row>
    <row r="31" spans="1:24" x14ac:dyDescent="0.2">
      <c r="A31">
        <v>3065</v>
      </c>
      <c r="B31" t="s">
        <v>155</v>
      </c>
      <c r="C31" t="s">
        <v>51</v>
      </c>
      <c r="D31" t="s">
        <v>115</v>
      </c>
      <c r="E31" t="s">
        <v>156</v>
      </c>
      <c r="F31" t="s">
        <v>54</v>
      </c>
      <c r="G31" t="s">
        <v>42</v>
      </c>
      <c r="H31">
        <v>33.483075800000002</v>
      </c>
      <c r="I31">
        <v>-111.93581039999999</v>
      </c>
      <c r="J31">
        <v>350</v>
      </c>
      <c r="K31" t="s">
        <v>48</v>
      </c>
      <c r="N31" t="s">
        <v>157</v>
      </c>
      <c r="R31" t="str">
        <f>IFERROR(_xlfn.XLOOKUP($A31,Anova_Live!$B$2:$B$60,Anova_Live!$A$2:$A$60,""),"")</f>
        <v/>
      </c>
      <c r="S31" t="str">
        <f>IFERROR(_xlfn.XLOOKUP($A31,Anova_Live!$B$2:$B$60,Anova_Live!$E$2:$E$60,""),"")</f>
        <v/>
      </c>
      <c r="T31" t="str">
        <f>IFERROR(_xlfn.XLOOKUP($A31,Anova_Live!$B$2:$B$60,Anova_Live!$K$2:$K$60,""),"")</f>
        <v/>
      </c>
      <c r="U31" t="str">
        <f>IFERROR(_xlfn.XLOOKUP($A31,Anova_Live!$B$2:$B$60,Anova_Live!$H$2:$H$60,""),"")</f>
        <v/>
      </c>
      <c r="V31" t="str">
        <f>IFERROR(_xlfn.XLOOKUP($A31,Anova_Live!$B$2:$B$60,Anova_Live!$L$2:$L$60,""),"")</f>
        <v/>
      </c>
      <c r="W31" t="str">
        <f>IFERROR(_xlfn.XLOOKUP($A31,Anova_Live!$B$2:$B$60,Anova_Live!$M$2:$M$60,""),"")</f>
        <v/>
      </c>
      <c r="X31" t="str">
        <f>IFERROR(_xlfn.XLOOKUP($A31,Anova_Live!$B$2:$B$60,Anova_Live!$N$2:$N$60,""),"")</f>
        <v/>
      </c>
    </row>
    <row r="32" spans="1:24" x14ac:dyDescent="0.2">
      <c r="A32">
        <v>3064</v>
      </c>
      <c r="B32" t="s">
        <v>158</v>
      </c>
      <c r="C32" t="s">
        <v>51</v>
      </c>
      <c r="D32" t="s">
        <v>78</v>
      </c>
      <c r="E32" t="s">
        <v>159</v>
      </c>
      <c r="F32" t="s">
        <v>160</v>
      </c>
      <c r="G32" t="s">
        <v>161</v>
      </c>
      <c r="H32">
        <v>33.3206372</v>
      </c>
      <c r="I32">
        <v>-111.84377189999999</v>
      </c>
      <c r="J32">
        <v>700</v>
      </c>
      <c r="K32" t="s">
        <v>48</v>
      </c>
      <c r="N32" t="s">
        <v>162</v>
      </c>
      <c r="O32" t="s">
        <v>61</v>
      </c>
      <c r="P32" t="s">
        <v>163</v>
      </c>
      <c r="R32" t="str">
        <f>IFERROR(_xlfn.XLOOKUP($A32,Anova_Live!$B$2:$B$60,Anova_Live!$A$2:$A$60,""),"")</f>
        <v/>
      </c>
      <c r="S32" t="str">
        <f>IFERROR(_xlfn.XLOOKUP($A32,Anova_Live!$B$2:$B$60,Anova_Live!$E$2:$E$60,""),"")</f>
        <v/>
      </c>
      <c r="T32" t="str">
        <f>IFERROR(_xlfn.XLOOKUP($A32,Anova_Live!$B$2:$B$60,Anova_Live!$K$2:$K$60,""),"")</f>
        <v/>
      </c>
      <c r="U32" t="str">
        <f>IFERROR(_xlfn.XLOOKUP($A32,Anova_Live!$B$2:$B$60,Anova_Live!$H$2:$H$60,""),"")</f>
        <v/>
      </c>
      <c r="V32" t="str">
        <f>IFERROR(_xlfn.XLOOKUP($A32,Anova_Live!$B$2:$B$60,Anova_Live!$L$2:$L$60,""),"")</f>
        <v/>
      </c>
      <c r="W32" t="str">
        <f>IFERROR(_xlfn.XLOOKUP($A32,Anova_Live!$B$2:$B$60,Anova_Live!$M$2:$M$60,""),"")</f>
        <v/>
      </c>
      <c r="X32" t="str">
        <f>IFERROR(_xlfn.XLOOKUP($A32,Anova_Live!$B$2:$B$60,Anova_Live!$N$2:$N$60,""),"")</f>
        <v/>
      </c>
    </row>
    <row r="33" spans="1:24" x14ac:dyDescent="0.2">
      <c r="A33" t="s">
        <v>13</v>
      </c>
      <c r="B33" t="s">
        <v>163</v>
      </c>
      <c r="C33" t="s">
        <v>72</v>
      </c>
      <c r="D33" t="s">
        <v>164</v>
      </c>
      <c r="E33" t="s">
        <v>165</v>
      </c>
      <c r="F33" t="s">
        <v>58</v>
      </c>
      <c r="G33" t="s">
        <v>42</v>
      </c>
      <c r="H33">
        <v>33.641001299999999</v>
      </c>
      <c r="I33">
        <v>-112.0051915</v>
      </c>
      <c r="J33">
        <v>500</v>
      </c>
      <c r="K33" t="s">
        <v>48</v>
      </c>
      <c r="N33" t="s">
        <v>166</v>
      </c>
      <c r="R33" t="str">
        <f>IFERROR(_xlfn.XLOOKUP($A33,Anova_Live!$B$2:$B$60,Anova_Live!$A$2:$A$60,""),"")</f>
        <v/>
      </c>
      <c r="S33" t="str">
        <f>IFERROR(_xlfn.XLOOKUP($A33,Anova_Live!$B$2:$B$60,Anova_Live!$E$2:$E$60,""),"")</f>
        <v/>
      </c>
      <c r="T33" t="str">
        <f>IFERROR(_xlfn.XLOOKUP($A33,Anova_Live!$B$2:$B$60,Anova_Live!$K$2:$K$60,""),"")</f>
        <v/>
      </c>
      <c r="U33" t="str">
        <f>IFERROR(_xlfn.XLOOKUP($A33,Anova_Live!$B$2:$B$60,Anova_Live!$H$2:$H$60,""),"")</f>
        <v/>
      </c>
      <c r="V33" t="str">
        <f>IFERROR(_xlfn.XLOOKUP($A33,Anova_Live!$B$2:$B$60,Anova_Live!$L$2:$L$60,""),"")</f>
        <v/>
      </c>
      <c r="W33" t="str">
        <f>IFERROR(_xlfn.XLOOKUP($A33,Anova_Live!$B$2:$B$60,Anova_Live!$M$2:$M$60,""),"")</f>
        <v/>
      </c>
      <c r="X33" t="str">
        <f>IFERROR(_xlfn.XLOOKUP($A33,Anova_Live!$B$2:$B$60,Anova_Live!$N$2:$N$60,""),"")</f>
        <v/>
      </c>
    </row>
    <row r="34" spans="1:24" x14ac:dyDescent="0.2">
      <c r="A34">
        <v>4026</v>
      </c>
      <c r="B34" t="s">
        <v>167</v>
      </c>
      <c r="C34" t="s">
        <v>51</v>
      </c>
      <c r="D34" t="s">
        <v>168</v>
      </c>
      <c r="E34" t="s">
        <v>169</v>
      </c>
      <c r="F34" t="s">
        <v>170</v>
      </c>
      <c r="G34" t="s">
        <v>42</v>
      </c>
      <c r="H34">
        <v>33.394759700000002</v>
      </c>
      <c r="I34">
        <v>-111.87535920000001</v>
      </c>
      <c r="J34">
        <v>350</v>
      </c>
      <c r="K34" t="s">
        <v>48</v>
      </c>
      <c r="N34" t="s">
        <v>171</v>
      </c>
      <c r="P34" t="s">
        <v>172</v>
      </c>
      <c r="R34" t="str">
        <f>IFERROR(_xlfn.XLOOKUP($A34,Anova_Live!$B$2:$B$60,Anova_Live!$A$2:$A$60,""),"")</f>
        <v/>
      </c>
      <c r="S34" t="str">
        <f>IFERROR(_xlfn.XLOOKUP($A34,Anova_Live!$B$2:$B$60,Anova_Live!$E$2:$E$60,""),"")</f>
        <v/>
      </c>
      <c r="T34" t="str">
        <f>IFERROR(_xlfn.XLOOKUP($A34,Anova_Live!$B$2:$B$60,Anova_Live!$K$2:$K$60,""),"")</f>
        <v/>
      </c>
      <c r="U34" t="str">
        <f>IFERROR(_xlfn.XLOOKUP($A34,Anova_Live!$B$2:$B$60,Anova_Live!$H$2:$H$60,""),"")</f>
        <v/>
      </c>
      <c r="V34" t="str">
        <f>IFERROR(_xlfn.XLOOKUP($A34,Anova_Live!$B$2:$B$60,Anova_Live!$L$2:$L$60,""),"")</f>
        <v/>
      </c>
      <c r="W34" t="str">
        <f>IFERROR(_xlfn.XLOOKUP($A34,Anova_Live!$B$2:$B$60,Anova_Live!$M$2:$M$60,""),"")</f>
        <v/>
      </c>
      <c r="X34" t="str">
        <f>IFERROR(_xlfn.XLOOKUP($A34,Anova_Live!$B$2:$B$60,Anova_Live!$N$2:$N$60,""),"")</f>
        <v/>
      </c>
    </row>
    <row r="35" spans="1:24" x14ac:dyDescent="0.2">
      <c r="A35">
        <v>4037</v>
      </c>
      <c r="B35" t="s">
        <v>173</v>
      </c>
      <c r="C35" t="s">
        <v>51</v>
      </c>
      <c r="D35" t="s">
        <v>168</v>
      </c>
      <c r="E35" t="s">
        <v>174</v>
      </c>
      <c r="F35" t="s">
        <v>170</v>
      </c>
      <c r="G35" t="s">
        <v>42</v>
      </c>
      <c r="H35">
        <v>33.423457200000001</v>
      </c>
      <c r="I35">
        <v>-111.7735998</v>
      </c>
      <c r="J35">
        <v>350</v>
      </c>
      <c r="K35" t="s">
        <v>48</v>
      </c>
      <c r="N35" t="s">
        <v>175</v>
      </c>
      <c r="R35" t="str">
        <f>IFERROR(_xlfn.XLOOKUP($A35,Anova_Live!$B$2:$B$60,Anova_Live!$A$2:$A$60,""),"")</f>
        <v/>
      </c>
      <c r="S35" t="str">
        <f>IFERROR(_xlfn.XLOOKUP($A35,Anova_Live!$B$2:$B$60,Anova_Live!$E$2:$E$60,""),"")</f>
        <v/>
      </c>
      <c r="T35" t="str">
        <f>IFERROR(_xlfn.XLOOKUP($A35,Anova_Live!$B$2:$B$60,Anova_Live!$K$2:$K$60,""),"")</f>
        <v/>
      </c>
      <c r="U35" t="str">
        <f>IFERROR(_xlfn.XLOOKUP($A35,Anova_Live!$B$2:$B$60,Anova_Live!$H$2:$H$60,""),"")</f>
        <v/>
      </c>
      <c r="V35" t="str">
        <f>IFERROR(_xlfn.XLOOKUP($A35,Anova_Live!$B$2:$B$60,Anova_Live!$L$2:$L$60,""),"")</f>
        <v/>
      </c>
      <c r="W35" t="str">
        <f>IFERROR(_xlfn.XLOOKUP($A35,Anova_Live!$B$2:$B$60,Anova_Live!$M$2:$M$60,""),"")</f>
        <v/>
      </c>
      <c r="X35" t="str">
        <f>IFERROR(_xlfn.XLOOKUP($A35,Anova_Live!$B$2:$B$60,Anova_Live!$N$2:$N$60,""),"")</f>
        <v/>
      </c>
    </row>
    <row r="36" spans="1:24" x14ac:dyDescent="0.2">
      <c r="A36">
        <v>4009</v>
      </c>
      <c r="B36" t="s">
        <v>176</v>
      </c>
      <c r="C36" t="s">
        <v>63</v>
      </c>
      <c r="D36" t="s">
        <v>87</v>
      </c>
      <c r="E36" t="s">
        <v>177</v>
      </c>
      <c r="F36" t="s">
        <v>178</v>
      </c>
      <c r="G36" t="s">
        <v>42</v>
      </c>
      <c r="H36">
        <v>33.549985399999997</v>
      </c>
      <c r="I36">
        <v>-112.41070689999999</v>
      </c>
      <c r="J36">
        <v>1050</v>
      </c>
      <c r="K36" t="s">
        <v>43</v>
      </c>
      <c r="N36" t="s">
        <v>179</v>
      </c>
      <c r="R36" t="str">
        <f>IFERROR(_xlfn.XLOOKUP($A36,Anova_Live!$B$2:$B$60,Anova_Live!$A$2:$A$60,""),"")</f>
        <v/>
      </c>
      <c r="S36" t="str">
        <f>IFERROR(_xlfn.XLOOKUP($A36,Anova_Live!$B$2:$B$60,Anova_Live!$E$2:$E$60,""),"")</f>
        <v/>
      </c>
      <c r="T36" t="str">
        <f>IFERROR(_xlfn.XLOOKUP($A36,Anova_Live!$B$2:$B$60,Anova_Live!$K$2:$K$60,""),"")</f>
        <v/>
      </c>
      <c r="U36" t="str">
        <f>IFERROR(_xlfn.XLOOKUP($A36,Anova_Live!$B$2:$B$60,Anova_Live!$H$2:$H$60,""),"")</f>
        <v/>
      </c>
      <c r="V36" t="str">
        <f>IFERROR(_xlfn.XLOOKUP($A36,Anova_Live!$B$2:$B$60,Anova_Live!$L$2:$L$60,""),"")</f>
        <v/>
      </c>
      <c r="W36" t="str">
        <f>IFERROR(_xlfn.XLOOKUP($A36,Anova_Live!$B$2:$B$60,Anova_Live!$M$2:$M$60,""),"")</f>
        <v/>
      </c>
      <c r="X36" t="str">
        <f>IFERROR(_xlfn.XLOOKUP($A36,Anova_Live!$B$2:$B$60,Anova_Live!$N$2:$N$60,""),"")</f>
        <v/>
      </c>
    </row>
    <row r="37" spans="1:24" x14ac:dyDescent="0.2">
      <c r="A37" t="s">
        <v>180</v>
      </c>
      <c r="B37" t="s">
        <v>181</v>
      </c>
      <c r="C37" t="s">
        <v>51</v>
      </c>
      <c r="D37" t="s">
        <v>115</v>
      </c>
      <c r="E37" t="s">
        <v>182</v>
      </c>
      <c r="F37" t="s">
        <v>54</v>
      </c>
      <c r="G37" t="s">
        <v>42</v>
      </c>
      <c r="H37">
        <v>33.4925</v>
      </c>
      <c r="I37">
        <v>-111.923012</v>
      </c>
      <c r="J37">
        <v>950</v>
      </c>
      <c r="K37" t="s">
        <v>183</v>
      </c>
      <c r="R37" t="str">
        <f>IFERROR(_xlfn.XLOOKUP($A37,Anova_Live!$B$2:$B$60,Anova_Live!$A$2:$A$60,""),"")</f>
        <v/>
      </c>
      <c r="S37" t="str">
        <f>IFERROR(_xlfn.XLOOKUP($A37,Anova_Live!$B$2:$B$60,Anova_Live!$E$2:$E$60,""),"")</f>
        <v/>
      </c>
      <c r="T37" t="str">
        <f>IFERROR(_xlfn.XLOOKUP($A37,Anova_Live!$B$2:$B$60,Anova_Live!$K$2:$K$60,""),"")</f>
        <v/>
      </c>
      <c r="U37" t="str">
        <f>IFERROR(_xlfn.XLOOKUP($A37,Anova_Live!$B$2:$B$60,Anova_Live!$H$2:$H$60,""),"")</f>
        <v/>
      </c>
      <c r="V37" t="str">
        <f>IFERROR(_xlfn.XLOOKUP($A37,Anova_Live!$B$2:$B$60,Anova_Live!$L$2:$L$60,""),"")</f>
        <v/>
      </c>
      <c r="W37" t="str">
        <f>IFERROR(_xlfn.XLOOKUP($A37,Anova_Live!$B$2:$B$60,Anova_Live!$M$2:$M$60,""),"")</f>
        <v/>
      </c>
      <c r="X37" t="str">
        <f>IFERROR(_xlfn.XLOOKUP($A37,Anova_Live!$B$2:$B$60,Anova_Live!$N$2:$N$60,""),"")</f>
        <v/>
      </c>
    </row>
    <row r="38" spans="1:24" x14ac:dyDescent="0.2">
      <c r="A38">
        <v>4014</v>
      </c>
      <c r="B38" t="s">
        <v>184</v>
      </c>
      <c r="C38" t="s">
        <v>38</v>
      </c>
      <c r="D38" t="s">
        <v>185</v>
      </c>
      <c r="E38" t="s">
        <v>186</v>
      </c>
      <c r="F38" t="s">
        <v>187</v>
      </c>
      <c r="G38" t="s">
        <v>42</v>
      </c>
      <c r="H38">
        <v>33.852792999999998</v>
      </c>
      <c r="I38">
        <v>-112.246978</v>
      </c>
      <c r="J38">
        <v>450</v>
      </c>
      <c r="K38" t="s">
        <v>43</v>
      </c>
      <c r="N38" t="s">
        <v>188</v>
      </c>
      <c r="R38" t="str">
        <f>IFERROR(_xlfn.XLOOKUP($A38,Anova_Live!$B$2:$B$60,Anova_Live!$A$2:$A$60,""),"")</f>
        <v/>
      </c>
      <c r="S38" t="str">
        <f>IFERROR(_xlfn.XLOOKUP($A38,Anova_Live!$B$2:$B$60,Anova_Live!$E$2:$E$60,""),"")</f>
        <v/>
      </c>
      <c r="T38" t="str">
        <f>IFERROR(_xlfn.XLOOKUP($A38,Anova_Live!$B$2:$B$60,Anova_Live!$K$2:$K$60,""),"")</f>
        <v/>
      </c>
      <c r="U38" t="str">
        <f>IFERROR(_xlfn.XLOOKUP($A38,Anova_Live!$B$2:$B$60,Anova_Live!$H$2:$H$60,""),"")</f>
        <v/>
      </c>
      <c r="V38" t="str">
        <f>IFERROR(_xlfn.XLOOKUP($A38,Anova_Live!$B$2:$B$60,Anova_Live!$L$2:$L$60,""),"")</f>
        <v/>
      </c>
      <c r="W38" t="str">
        <f>IFERROR(_xlfn.XLOOKUP($A38,Anova_Live!$B$2:$B$60,Anova_Live!$M$2:$M$60,""),"")</f>
        <v/>
      </c>
      <c r="X38" t="str">
        <f>IFERROR(_xlfn.XLOOKUP($A38,Anova_Live!$B$2:$B$60,Anova_Live!$N$2:$N$60,""),"")</f>
        <v/>
      </c>
    </row>
    <row r="39" spans="1:24" x14ac:dyDescent="0.2">
      <c r="A39">
        <v>4010</v>
      </c>
      <c r="B39" t="s">
        <v>189</v>
      </c>
      <c r="C39" t="s">
        <v>38</v>
      </c>
      <c r="D39" t="s">
        <v>185</v>
      </c>
      <c r="E39" t="s">
        <v>190</v>
      </c>
      <c r="F39" t="s">
        <v>41</v>
      </c>
      <c r="G39" t="s">
        <v>42</v>
      </c>
      <c r="H39">
        <v>33.672179999999997</v>
      </c>
      <c r="I39">
        <v>-112.18631120000001</v>
      </c>
      <c r="J39">
        <v>500</v>
      </c>
      <c r="K39" t="s">
        <v>43</v>
      </c>
      <c r="N39" t="s">
        <v>191</v>
      </c>
      <c r="R39" t="str">
        <f>IFERROR(_xlfn.XLOOKUP($A39,Anova_Live!$B$2:$B$60,Anova_Live!$A$2:$A$60,""),"")</f>
        <v/>
      </c>
      <c r="S39" t="str">
        <f>IFERROR(_xlfn.XLOOKUP($A39,Anova_Live!$B$2:$B$60,Anova_Live!$E$2:$E$60,""),"")</f>
        <v/>
      </c>
      <c r="T39" t="str">
        <f>IFERROR(_xlfn.XLOOKUP($A39,Anova_Live!$B$2:$B$60,Anova_Live!$K$2:$K$60,""),"")</f>
        <v/>
      </c>
      <c r="U39" t="str">
        <f>IFERROR(_xlfn.XLOOKUP($A39,Anova_Live!$B$2:$B$60,Anova_Live!$H$2:$H$60,""),"")</f>
        <v/>
      </c>
      <c r="V39" t="str">
        <f>IFERROR(_xlfn.XLOOKUP($A39,Anova_Live!$B$2:$B$60,Anova_Live!$L$2:$L$60,""),"")</f>
        <v/>
      </c>
      <c r="W39" t="str">
        <f>IFERROR(_xlfn.XLOOKUP($A39,Anova_Live!$B$2:$B$60,Anova_Live!$M$2:$M$60,""),"")</f>
        <v/>
      </c>
      <c r="X39" t="str">
        <f>IFERROR(_xlfn.XLOOKUP($A39,Anova_Live!$B$2:$B$60,Anova_Live!$N$2:$N$60,""),"")</f>
        <v/>
      </c>
    </row>
    <row r="40" spans="1:24" x14ac:dyDescent="0.2">
      <c r="A40">
        <v>4027</v>
      </c>
      <c r="B40" t="s">
        <v>192</v>
      </c>
      <c r="C40" t="s">
        <v>81</v>
      </c>
      <c r="D40" t="s">
        <v>193</v>
      </c>
      <c r="E40" t="s">
        <v>194</v>
      </c>
      <c r="F40" t="s">
        <v>195</v>
      </c>
      <c r="G40" t="s">
        <v>42</v>
      </c>
      <c r="H40">
        <v>33.415492100000002</v>
      </c>
      <c r="I40">
        <v>-111.5523658</v>
      </c>
      <c r="J40">
        <v>900</v>
      </c>
      <c r="K40" t="s">
        <v>43</v>
      </c>
      <c r="N40" t="s">
        <v>196</v>
      </c>
      <c r="R40" t="str">
        <f>IFERROR(_xlfn.XLOOKUP($A40,Anova_Live!$B$2:$B$60,Anova_Live!$A$2:$A$60,""),"")</f>
        <v/>
      </c>
      <c r="S40" t="str">
        <f>IFERROR(_xlfn.XLOOKUP($A40,Anova_Live!$B$2:$B$60,Anova_Live!$E$2:$E$60,""),"")</f>
        <v/>
      </c>
      <c r="T40" t="str">
        <f>IFERROR(_xlfn.XLOOKUP($A40,Anova_Live!$B$2:$B$60,Anova_Live!$K$2:$K$60,""),"")</f>
        <v/>
      </c>
      <c r="U40" t="str">
        <f>IFERROR(_xlfn.XLOOKUP($A40,Anova_Live!$B$2:$B$60,Anova_Live!$H$2:$H$60,""),"")</f>
        <v/>
      </c>
      <c r="V40" t="str">
        <f>IFERROR(_xlfn.XLOOKUP($A40,Anova_Live!$B$2:$B$60,Anova_Live!$L$2:$L$60,""),"")</f>
        <v/>
      </c>
      <c r="W40" t="str">
        <f>IFERROR(_xlfn.XLOOKUP($A40,Anova_Live!$B$2:$B$60,Anova_Live!$M$2:$M$60,""),"")</f>
        <v/>
      </c>
      <c r="X40" t="str">
        <f>IFERROR(_xlfn.XLOOKUP($A40,Anova_Live!$B$2:$B$60,Anova_Live!$N$2:$N$60,""),"")</f>
        <v/>
      </c>
    </row>
    <row r="41" spans="1:24" x14ac:dyDescent="0.2">
      <c r="A41">
        <v>4029</v>
      </c>
      <c r="B41" t="s">
        <v>197</v>
      </c>
      <c r="C41" t="s">
        <v>51</v>
      </c>
      <c r="D41" t="s">
        <v>168</v>
      </c>
      <c r="E41" t="s">
        <v>198</v>
      </c>
      <c r="F41" t="s">
        <v>75</v>
      </c>
      <c r="G41" t="s">
        <v>42</v>
      </c>
      <c r="H41">
        <v>33.406636599999999</v>
      </c>
      <c r="I41">
        <v>-112.0110289</v>
      </c>
      <c r="J41">
        <v>2500</v>
      </c>
      <c r="K41" t="s">
        <v>48</v>
      </c>
      <c r="P41" t="s">
        <v>199</v>
      </c>
      <c r="R41" t="str">
        <f>IFERROR(_xlfn.XLOOKUP($A41,Anova_Live!$B$2:$B$60,Anova_Live!$A$2:$A$60,""),"")</f>
        <v/>
      </c>
      <c r="S41" t="str">
        <f>IFERROR(_xlfn.XLOOKUP($A41,Anova_Live!$B$2:$B$60,Anova_Live!$E$2:$E$60,""),"")</f>
        <v/>
      </c>
      <c r="T41" t="str">
        <f>IFERROR(_xlfn.XLOOKUP($A41,Anova_Live!$B$2:$B$60,Anova_Live!$K$2:$K$60,""),"")</f>
        <v/>
      </c>
      <c r="U41" t="str">
        <f>IFERROR(_xlfn.XLOOKUP($A41,Anova_Live!$B$2:$B$60,Anova_Live!$H$2:$H$60,""),"")</f>
        <v/>
      </c>
      <c r="V41" t="str">
        <f>IFERROR(_xlfn.XLOOKUP($A41,Anova_Live!$B$2:$B$60,Anova_Live!$L$2:$L$60,""),"")</f>
        <v/>
      </c>
      <c r="W41" t="str">
        <f>IFERROR(_xlfn.XLOOKUP($A41,Anova_Live!$B$2:$B$60,Anova_Live!$M$2:$M$60,""),"")</f>
        <v/>
      </c>
      <c r="X41" t="str">
        <f>IFERROR(_xlfn.XLOOKUP($A41,Anova_Live!$B$2:$B$60,Anova_Live!$N$2:$N$60,""),"")</f>
        <v/>
      </c>
    </row>
    <row r="42" spans="1:24" x14ac:dyDescent="0.2">
      <c r="A42">
        <v>5006</v>
      </c>
      <c r="B42" t="s">
        <v>200</v>
      </c>
      <c r="C42" t="s">
        <v>81</v>
      </c>
      <c r="D42" t="s">
        <v>97</v>
      </c>
      <c r="E42" t="s">
        <v>201</v>
      </c>
      <c r="F42" t="s">
        <v>99</v>
      </c>
      <c r="G42" t="s">
        <v>42</v>
      </c>
      <c r="H42">
        <v>33.468257999999999</v>
      </c>
      <c r="I42">
        <v>-111.6829244</v>
      </c>
      <c r="J42">
        <v>450</v>
      </c>
      <c r="K42" t="s">
        <v>43</v>
      </c>
      <c r="N42" t="s">
        <v>202</v>
      </c>
      <c r="P42" t="s">
        <v>203</v>
      </c>
      <c r="Q42" t="s">
        <v>61</v>
      </c>
      <c r="R42" t="str">
        <f>IFERROR(_xlfn.XLOOKUP($A42,Anova_Live!$B$2:$B$60,Anova_Live!$A$2:$A$60,""),"")</f>
        <v/>
      </c>
      <c r="S42" t="str">
        <f>IFERROR(_xlfn.XLOOKUP($A42,Anova_Live!$B$2:$B$60,Anova_Live!$E$2:$E$60,""),"")</f>
        <v/>
      </c>
      <c r="T42" t="str">
        <f>IFERROR(_xlfn.XLOOKUP($A42,Anova_Live!$B$2:$B$60,Anova_Live!$K$2:$K$60,""),"")</f>
        <v/>
      </c>
      <c r="U42" t="str">
        <f>IFERROR(_xlfn.XLOOKUP($A42,Anova_Live!$B$2:$B$60,Anova_Live!$H$2:$H$60,""),"")</f>
        <v/>
      </c>
      <c r="V42" t="str">
        <f>IFERROR(_xlfn.XLOOKUP($A42,Anova_Live!$B$2:$B$60,Anova_Live!$L$2:$L$60,""),"")</f>
        <v/>
      </c>
      <c r="W42" t="str">
        <f>IFERROR(_xlfn.XLOOKUP($A42,Anova_Live!$B$2:$B$60,Anova_Live!$M$2:$M$60,""),"")</f>
        <v/>
      </c>
      <c r="X42" t="str">
        <f>IFERROR(_xlfn.XLOOKUP($A42,Anova_Live!$B$2:$B$60,Anova_Live!$N$2:$N$60,""),"")</f>
        <v/>
      </c>
    </row>
    <row r="43" spans="1:24" x14ac:dyDescent="0.2">
      <c r="A43">
        <v>5004</v>
      </c>
      <c r="B43" t="s">
        <v>204</v>
      </c>
      <c r="C43" t="s">
        <v>72</v>
      </c>
      <c r="D43" t="s">
        <v>73</v>
      </c>
      <c r="E43" t="s">
        <v>205</v>
      </c>
      <c r="F43" t="s">
        <v>75</v>
      </c>
      <c r="G43" t="s">
        <v>42</v>
      </c>
      <c r="H43">
        <v>33.509714700000004</v>
      </c>
      <c r="I43">
        <v>-112.1338391</v>
      </c>
      <c r="J43">
        <v>500</v>
      </c>
      <c r="K43" t="s">
        <v>48</v>
      </c>
      <c r="N43" t="s">
        <v>206</v>
      </c>
      <c r="R43" t="str">
        <f>IFERROR(_xlfn.XLOOKUP($A43,Anova_Live!$B$2:$B$60,Anova_Live!$A$2:$A$60,""),"")</f>
        <v/>
      </c>
      <c r="S43" t="str">
        <f>IFERROR(_xlfn.XLOOKUP($A43,Anova_Live!$B$2:$B$60,Anova_Live!$E$2:$E$60,""),"")</f>
        <v/>
      </c>
      <c r="T43" t="str">
        <f>IFERROR(_xlfn.XLOOKUP($A43,Anova_Live!$B$2:$B$60,Anova_Live!$K$2:$K$60,""),"")</f>
        <v/>
      </c>
      <c r="U43" t="str">
        <f>IFERROR(_xlfn.XLOOKUP($A43,Anova_Live!$B$2:$B$60,Anova_Live!$H$2:$H$60,""),"")</f>
        <v/>
      </c>
      <c r="V43" t="str">
        <f>IFERROR(_xlfn.XLOOKUP($A43,Anova_Live!$B$2:$B$60,Anova_Live!$L$2:$L$60,""),"")</f>
        <v/>
      </c>
      <c r="W43" t="str">
        <f>IFERROR(_xlfn.XLOOKUP($A43,Anova_Live!$B$2:$B$60,Anova_Live!$M$2:$M$60,""),"")</f>
        <v/>
      </c>
      <c r="X43" t="str">
        <f>IFERROR(_xlfn.XLOOKUP($A43,Anova_Live!$B$2:$B$60,Anova_Live!$N$2:$N$60,""),"")</f>
        <v/>
      </c>
    </row>
    <row r="44" spans="1:24" x14ac:dyDescent="0.2">
      <c r="A44">
        <v>5018</v>
      </c>
      <c r="B44" t="s">
        <v>207</v>
      </c>
      <c r="C44" t="s">
        <v>63</v>
      </c>
      <c r="D44" t="s">
        <v>87</v>
      </c>
      <c r="E44" t="s">
        <v>208</v>
      </c>
      <c r="F44" t="s">
        <v>121</v>
      </c>
      <c r="G44" t="s">
        <v>42</v>
      </c>
      <c r="H44">
        <v>33.456415100000001</v>
      </c>
      <c r="I44">
        <v>-112.3944877</v>
      </c>
      <c r="J44">
        <v>350</v>
      </c>
      <c r="K44" t="s">
        <v>48</v>
      </c>
      <c r="N44" t="s">
        <v>209</v>
      </c>
      <c r="R44" t="str">
        <f>IFERROR(_xlfn.XLOOKUP($A44,Anova_Live!$B$2:$B$60,Anova_Live!$A$2:$A$60,""),"")</f>
        <v/>
      </c>
      <c r="S44" t="str">
        <f>IFERROR(_xlfn.XLOOKUP($A44,Anova_Live!$B$2:$B$60,Anova_Live!$E$2:$E$60,""),"")</f>
        <v/>
      </c>
      <c r="T44" t="str">
        <f>IFERROR(_xlfn.XLOOKUP($A44,Anova_Live!$B$2:$B$60,Anova_Live!$K$2:$K$60,""),"")</f>
        <v/>
      </c>
      <c r="U44" t="str">
        <f>IFERROR(_xlfn.XLOOKUP($A44,Anova_Live!$B$2:$B$60,Anova_Live!$H$2:$H$60,""),"")</f>
        <v/>
      </c>
      <c r="V44" t="str">
        <f>IFERROR(_xlfn.XLOOKUP($A44,Anova_Live!$B$2:$B$60,Anova_Live!$L$2:$L$60,""),"")</f>
        <v/>
      </c>
      <c r="W44" t="str">
        <f>IFERROR(_xlfn.XLOOKUP($A44,Anova_Live!$B$2:$B$60,Anova_Live!$M$2:$M$60,""),"")</f>
        <v/>
      </c>
      <c r="X44" t="str">
        <f>IFERROR(_xlfn.XLOOKUP($A44,Anova_Live!$B$2:$B$60,Anova_Live!$N$2:$N$60,""),"")</f>
        <v/>
      </c>
    </row>
    <row r="45" spans="1:24" x14ac:dyDescent="0.2">
      <c r="A45">
        <v>6101</v>
      </c>
      <c r="B45" t="s">
        <v>210</v>
      </c>
      <c r="C45" t="s">
        <v>51</v>
      </c>
      <c r="D45" t="s">
        <v>115</v>
      </c>
      <c r="E45" t="s">
        <v>211</v>
      </c>
      <c r="F45" t="s">
        <v>212</v>
      </c>
      <c r="G45" t="s">
        <v>42</v>
      </c>
      <c r="H45">
        <v>33.4627014</v>
      </c>
      <c r="I45">
        <v>-111.926838</v>
      </c>
      <c r="J45">
        <v>700</v>
      </c>
      <c r="K45" t="s">
        <v>48</v>
      </c>
      <c r="N45" t="s">
        <v>213</v>
      </c>
      <c r="O45" t="s">
        <v>61</v>
      </c>
      <c r="R45" t="str">
        <f>IFERROR(_xlfn.XLOOKUP($A45,Anova_Live!$B$2:$B$60,Anova_Live!$A$2:$A$60,""),"")</f>
        <v/>
      </c>
      <c r="S45" t="str">
        <f>IFERROR(_xlfn.XLOOKUP($A45,Anova_Live!$B$2:$B$60,Anova_Live!$E$2:$E$60,""),"")</f>
        <v/>
      </c>
      <c r="T45" t="str">
        <f>IFERROR(_xlfn.XLOOKUP($A45,Anova_Live!$B$2:$B$60,Anova_Live!$K$2:$K$60,""),"")</f>
        <v/>
      </c>
      <c r="U45" t="str">
        <f>IFERROR(_xlfn.XLOOKUP($A45,Anova_Live!$B$2:$B$60,Anova_Live!$H$2:$H$60,""),"")</f>
        <v/>
      </c>
      <c r="V45" t="str">
        <f>IFERROR(_xlfn.XLOOKUP($A45,Anova_Live!$B$2:$B$60,Anova_Live!$L$2:$L$60,""),"")</f>
        <v/>
      </c>
      <c r="W45" t="str">
        <f>IFERROR(_xlfn.XLOOKUP($A45,Anova_Live!$B$2:$B$60,Anova_Live!$M$2:$M$60,""),"")</f>
        <v/>
      </c>
      <c r="X45" t="str">
        <f>IFERROR(_xlfn.XLOOKUP($A45,Anova_Live!$B$2:$B$60,Anova_Live!$N$2:$N$60,""),"")</f>
        <v/>
      </c>
    </row>
    <row r="46" spans="1:24" x14ac:dyDescent="0.2">
      <c r="A46">
        <v>6109</v>
      </c>
      <c r="B46" t="s">
        <v>214</v>
      </c>
      <c r="C46" t="s">
        <v>51</v>
      </c>
      <c r="D46" t="s">
        <v>168</v>
      </c>
      <c r="E46" t="s">
        <v>215</v>
      </c>
      <c r="F46" t="s">
        <v>216</v>
      </c>
      <c r="G46" t="s">
        <v>42</v>
      </c>
      <c r="H46">
        <v>33.392382300000001</v>
      </c>
      <c r="I46">
        <v>-111.9364861</v>
      </c>
      <c r="J46">
        <v>700</v>
      </c>
      <c r="K46" t="s">
        <v>48</v>
      </c>
      <c r="O46" t="s">
        <v>61</v>
      </c>
      <c r="R46" t="str">
        <f>IFERROR(_xlfn.XLOOKUP($A46,Anova_Live!$B$2:$B$60,Anova_Live!$A$2:$A$60,""),"")</f>
        <v/>
      </c>
      <c r="S46" t="str">
        <f>IFERROR(_xlfn.XLOOKUP($A46,Anova_Live!$B$2:$B$60,Anova_Live!$E$2:$E$60,""),"")</f>
        <v/>
      </c>
      <c r="T46" t="str">
        <f>IFERROR(_xlfn.XLOOKUP($A46,Anova_Live!$B$2:$B$60,Anova_Live!$K$2:$K$60,""),"")</f>
        <v/>
      </c>
      <c r="U46" t="str">
        <f>IFERROR(_xlfn.XLOOKUP($A46,Anova_Live!$B$2:$B$60,Anova_Live!$H$2:$H$60,""),"")</f>
        <v/>
      </c>
      <c r="V46" t="str">
        <f>IFERROR(_xlfn.XLOOKUP($A46,Anova_Live!$B$2:$B$60,Anova_Live!$L$2:$L$60,""),"")</f>
        <v/>
      </c>
      <c r="W46" t="str">
        <f>IFERROR(_xlfn.XLOOKUP($A46,Anova_Live!$B$2:$B$60,Anova_Live!$M$2:$M$60,""),"")</f>
        <v/>
      </c>
      <c r="X46" t="str">
        <f>IFERROR(_xlfn.XLOOKUP($A46,Anova_Live!$B$2:$B$60,Anova_Live!$N$2:$N$60,""),"")</f>
        <v/>
      </c>
    </row>
    <row r="47" spans="1:24" x14ac:dyDescent="0.2">
      <c r="A47">
        <v>6077</v>
      </c>
      <c r="B47" t="s">
        <v>217</v>
      </c>
      <c r="C47" t="s">
        <v>51</v>
      </c>
      <c r="D47" t="s">
        <v>168</v>
      </c>
      <c r="E47" t="s">
        <v>218</v>
      </c>
      <c r="F47" t="s">
        <v>219</v>
      </c>
      <c r="G47" t="s">
        <v>42</v>
      </c>
      <c r="H47">
        <v>33.419679899999998</v>
      </c>
      <c r="I47">
        <v>-111.915919</v>
      </c>
      <c r="J47">
        <v>2500</v>
      </c>
      <c r="K47" t="s">
        <v>43</v>
      </c>
      <c r="N47" t="s">
        <v>220</v>
      </c>
      <c r="O47" t="s">
        <v>61</v>
      </c>
      <c r="R47" t="str">
        <f>IFERROR(_xlfn.XLOOKUP($A47,Anova_Live!$B$2:$B$60,Anova_Live!$A$2:$A$60,""),"")</f>
        <v/>
      </c>
      <c r="S47" t="str">
        <f>IFERROR(_xlfn.XLOOKUP($A47,Anova_Live!$B$2:$B$60,Anova_Live!$E$2:$E$60,""),"")</f>
        <v/>
      </c>
      <c r="T47" t="str">
        <f>IFERROR(_xlfn.XLOOKUP($A47,Anova_Live!$B$2:$B$60,Anova_Live!$K$2:$K$60,""),"")</f>
        <v/>
      </c>
      <c r="U47" t="str">
        <f>IFERROR(_xlfn.XLOOKUP($A47,Anova_Live!$B$2:$B$60,Anova_Live!$H$2:$H$60,""),"")</f>
        <v/>
      </c>
      <c r="V47" t="str">
        <f>IFERROR(_xlfn.XLOOKUP($A47,Anova_Live!$B$2:$B$60,Anova_Live!$L$2:$L$60,""),"")</f>
        <v/>
      </c>
      <c r="W47" t="str">
        <f>IFERROR(_xlfn.XLOOKUP($A47,Anova_Live!$B$2:$B$60,Anova_Live!$M$2:$M$60,""),"")</f>
        <v/>
      </c>
      <c r="X47" t="str">
        <f>IFERROR(_xlfn.XLOOKUP($A47,Anova_Live!$B$2:$B$60,Anova_Live!$N$2:$N$60,""),"")</f>
        <v/>
      </c>
    </row>
    <row r="48" spans="1:24" x14ac:dyDescent="0.2">
      <c r="A48">
        <v>12047</v>
      </c>
      <c r="B48" t="s">
        <v>221</v>
      </c>
      <c r="C48" t="s">
        <v>72</v>
      </c>
      <c r="D48" t="s">
        <v>164</v>
      </c>
      <c r="E48" t="s">
        <v>222</v>
      </c>
      <c r="F48" t="s">
        <v>75</v>
      </c>
      <c r="G48" t="s">
        <v>42</v>
      </c>
      <c r="H48">
        <v>33.494903000000001</v>
      </c>
      <c r="I48">
        <v>-111.9754061</v>
      </c>
      <c r="J48">
        <v>630</v>
      </c>
      <c r="K48" t="s">
        <v>48</v>
      </c>
      <c r="N48" t="s">
        <v>223</v>
      </c>
      <c r="O48" t="s">
        <v>61</v>
      </c>
      <c r="R48" t="str">
        <f>IFERROR(_xlfn.XLOOKUP($A48,Anova_Live!$B$2:$B$60,Anova_Live!$A$2:$A$60,""),"")</f>
        <v/>
      </c>
      <c r="S48" t="str">
        <f>IFERROR(_xlfn.XLOOKUP($A48,Anova_Live!$B$2:$B$60,Anova_Live!$E$2:$E$60,""),"")</f>
        <v/>
      </c>
      <c r="T48" t="str">
        <f>IFERROR(_xlfn.XLOOKUP($A48,Anova_Live!$B$2:$B$60,Anova_Live!$K$2:$K$60,""),"")</f>
        <v/>
      </c>
      <c r="U48" t="str">
        <f>IFERROR(_xlfn.XLOOKUP($A48,Anova_Live!$B$2:$B$60,Anova_Live!$H$2:$H$60,""),"")</f>
        <v/>
      </c>
      <c r="V48" t="str">
        <f>IFERROR(_xlfn.XLOOKUP($A48,Anova_Live!$B$2:$B$60,Anova_Live!$L$2:$L$60,""),"")</f>
        <v/>
      </c>
      <c r="W48" t="str">
        <f>IFERROR(_xlfn.XLOOKUP($A48,Anova_Live!$B$2:$B$60,Anova_Live!$M$2:$M$60,""),"")</f>
        <v/>
      </c>
      <c r="X48" t="str">
        <f>IFERROR(_xlfn.XLOOKUP($A48,Anova_Live!$B$2:$B$60,Anova_Live!$N$2:$N$60,""),"")</f>
        <v/>
      </c>
    </row>
    <row r="49" spans="1:24" x14ac:dyDescent="0.2">
      <c r="A49">
        <v>7001</v>
      </c>
      <c r="B49" t="s">
        <v>224</v>
      </c>
      <c r="C49" t="s">
        <v>72</v>
      </c>
      <c r="D49" t="s">
        <v>73</v>
      </c>
      <c r="E49" t="s">
        <v>225</v>
      </c>
      <c r="F49" t="s">
        <v>75</v>
      </c>
      <c r="G49" t="s">
        <v>42</v>
      </c>
      <c r="H49">
        <v>33.471653000000003</v>
      </c>
      <c r="I49">
        <v>-112.1348179</v>
      </c>
      <c r="J49">
        <v>1850</v>
      </c>
      <c r="K49" t="s">
        <v>48</v>
      </c>
      <c r="N49" t="s">
        <v>226</v>
      </c>
      <c r="R49" t="str">
        <f>IFERROR(_xlfn.XLOOKUP($A49,Anova_Live!$B$2:$B$60,Anova_Live!$A$2:$A$60,""),"")</f>
        <v/>
      </c>
      <c r="S49" t="str">
        <f>IFERROR(_xlfn.XLOOKUP($A49,Anova_Live!$B$2:$B$60,Anova_Live!$E$2:$E$60,""),"")</f>
        <v/>
      </c>
      <c r="T49" t="str">
        <f>IFERROR(_xlfn.XLOOKUP($A49,Anova_Live!$B$2:$B$60,Anova_Live!$K$2:$K$60,""),"")</f>
        <v/>
      </c>
      <c r="U49" t="str">
        <f>IFERROR(_xlfn.XLOOKUP($A49,Anova_Live!$B$2:$B$60,Anova_Live!$H$2:$H$60,""),"")</f>
        <v/>
      </c>
      <c r="V49" t="str">
        <f>IFERROR(_xlfn.XLOOKUP($A49,Anova_Live!$B$2:$B$60,Anova_Live!$L$2:$L$60,""),"")</f>
        <v/>
      </c>
      <c r="W49" t="str">
        <f>IFERROR(_xlfn.XLOOKUP($A49,Anova_Live!$B$2:$B$60,Anova_Live!$M$2:$M$60,""),"")</f>
        <v/>
      </c>
      <c r="X49" t="str">
        <f>IFERROR(_xlfn.XLOOKUP($A49,Anova_Live!$B$2:$B$60,Anova_Live!$N$2:$N$60,""),"")</f>
        <v/>
      </c>
    </row>
    <row r="50" spans="1:24" x14ac:dyDescent="0.2">
      <c r="A50">
        <v>7002</v>
      </c>
      <c r="B50" t="s">
        <v>227</v>
      </c>
      <c r="C50" t="s">
        <v>81</v>
      </c>
      <c r="D50" t="s">
        <v>82</v>
      </c>
      <c r="E50" t="s">
        <v>228</v>
      </c>
      <c r="F50" t="s">
        <v>84</v>
      </c>
      <c r="G50" t="s">
        <v>42</v>
      </c>
      <c r="H50">
        <v>33.328976699999998</v>
      </c>
      <c r="I50">
        <v>-111.7905114</v>
      </c>
      <c r="J50">
        <v>480</v>
      </c>
      <c r="K50" t="s">
        <v>43</v>
      </c>
      <c r="N50" t="s">
        <v>122</v>
      </c>
      <c r="R50" t="str">
        <f>IFERROR(_xlfn.XLOOKUP($A50,Anova_Live!$B$2:$B$60,Anova_Live!$A$2:$A$60,""),"")</f>
        <v/>
      </c>
      <c r="S50" t="str">
        <f>IFERROR(_xlfn.XLOOKUP($A50,Anova_Live!$B$2:$B$60,Anova_Live!$E$2:$E$60,""),"")</f>
        <v/>
      </c>
      <c r="T50" t="str">
        <f>IFERROR(_xlfn.XLOOKUP($A50,Anova_Live!$B$2:$B$60,Anova_Live!$K$2:$K$60,""),"")</f>
        <v/>
      </c>
      <c r="U50" t="str">
        <f>IFERROR(_xlfn.XLOOKUP($A50,Anova_Live!$B$2:$B$60,Anova_Live!$H$2:$H$60,""),"")</f>
        <v/>
      </c>
      <c r="V50" t="str">
        <f>IFERROR(_xlfn.XLOOKUP($A50,Anova_Live!$B$2:$B$60,Anova_Live!$L$2:$L$60,""),"")</f>
        <v/>
      </c>
      <c r="W50" t="str">
        <f>IFERROR(_xlfn.XLOOKUP($A50,Anova_Live!$B$2:$B$60,Anova_Live!$M$2:$M$60,""),"")</f>
        <v/>
      </c>
      <c r="X50" t="str">
        <f>IFERROR(_xlfn.XLOOKUP($A50,Anova_Live!$B$2:$B$60,Anova_Live!$N$2:$N$60,""),"")</f>
        <v/>
      </c>
    </row>
    <row r="51" spans="1:24" x14ac:dyDescent="0.2">
      <c r="A51">
        <v>7053</v>
      </c>
      <c r="B51" t="s">
        <v>229</v>
      </c>
      <c r="C51" t="s">
        <v>51</v>
      </c>
      <c r="D51" t="s">
        <v>168</v>
      </c>
      <c r="E51" t="s">
        <v>230</v>
      </c>
      <c r="F51" t="s">
        <v>219</v>
      </c>
      <c r="G51" t="s">
        <v>42</v>
      </c>
      <c r="H51">
        <v>33.444865900000003</v>
      </c>
      <c r="I51">
        <v>-111.94796030000001</v>
      </c>
      <c r="J51">
        <v>350</v>
      </c>
      <c r="K51" t="s">
        <v>48</v>
      </c>
      <c r="N51" t="s">
        <v>231</v>
      </c>
      <c r="R51" t="str">
        <f>IFERROR(_xlfn.XLOOKUP($A51,Anova_Live!$B$2:$B$60,Anova_Live!$A$2:$A$60,""),"")</f>
        <v/>
      </c>
      <c r="S51" t="str">
        <f>IFERROR(_xlfn.XLOOKUP($A51,Anova_Live!$B$2:$B$60,Anova_Live!$E$2:$E$60,""),"")</f>
        <v/>
      </c>
      <c r="T51" t="str">
        <f>IFERROR(_xlfn.XLOOKUP($A51,Anova_Live!$B$2:$B$60,Anova_Live!$K$2:$K$60,""),"")</f>
        <v/>
      </c>
      <c r="U51" t="str">
        <f>IFERROR(_xlfn.XLOOKUP($A51,Anova_Live!$B$2:$B$60,Anova_Live!$H$2:$H$60,""),"")</f>
        <v/>
      </c>
      <c r="V51" t="str">
        <f>IFERROR(_xlfn.XLOOKUP($A51,Anova_Live!$B$2:$B$60,Anova_Live!$L$2:$L$60,""),"")</f>
        <v/>
      </c>
      <c r="W51" t="str">
        <f>IFERROR(_xlfn.XLOOKUP($A51,Anova_Live!$B$2:$B$60,Anova_Live!$M$2:$M$60,""),"")</f>
        <v/>
      </c>
      <c r="X51" t="str">
        <f>IFERROR(_xlfn.XLOOKUP($A51,Anova_Live!$B$2:$B$60,Anova_Live!$N$2:$N$60,""),"")</f>
        <v/>
      </c>
    </row>
    <row r="52" spans="1:24" x14ac:dyDescent="0.2">
      <c r="A52">
        <v>7052</v>
      </c>
      <c r="B52" t="s">
        <v>232</v>
      </c>
      <c r="C52" t="s">
        <v>81</v>
      </c>
      <c r="D52" t="s">
        <v>193</v>
      </c>
      <c r="E52" t="s">
        <v>233</v>
      </c>
      <c r="F52" t="s">
        <v>234</v>
      </c>
      <c r="G52" t="s">
        <v>42</v>
      </c>
      <c r="H52">
        <v>33.361951900000001</v>
      </c>
      <c r="I52">
        <v>-111.44510219999999</v>
      </c>
      <c r="J52">
        <v>350</v>
      </c>
      <c r="K52" t="s">
        <v>48</v>
      </c>
      <c r="N52" t="s">
        <v>235</v>
      </c>
      <c r="R52" t="str">
        <f>IFERROR(_xlfn.XLOOKUP($A52,Anova_Live!$B$2:$B$60,Anova_Live!$A$2:$A$60,""),"")</f>
        <v/>
      </c>
      <c r="S52" t="str">
        <f>IFERROR(_xlfn.XLOOKUP($A52,Anova_Live!$B$2:$B$60,Anova_Live!$E$2:$E$60,""),"")</f>
        <v/>
      </c>
      <c r="T52" t="str">
        <f>IFERROR(_xlfn.XLOOKUP($A52,Anova_Live!$B$2:$B$60,Anova_Live!$K$2:$K$60,""),"")</f>
        <v/>
      </c>
      <c r="U52" t="str">
        <f>IFERROR(_xlfn.XLOOKUP($A52,Anova_Live!$B$2:$B$60,Anova_Live!$H$2:$H$60,""),"")</f>
        <v/>
      </c>
      <c r="V52" t="str">
        <f>IFERROR(_xlfn.XLOOKUP($A52,Anova_Live!$B$2:$B$60,Anova_Live!$L$2:$L$60,""),"")</f>
        <v/>
      </c>
      <c r="W52" t="str">
        <f>IFERROR(_xlfn.XLOOKUP($A52,Anova_Live!$B$2:$B$60,Anova_Live!$M$2:$M$60,""),"")</f>
        <v/>
      </c>
      <c r="X52" t="str">
        <f>IFERROR(_xlfn.XLOOKUP($A52,Anova_Live!$B$2:$B$60,Anova_Live!$N$2:$N$60,""),"")</f>
        <v/>
      </c>
    </row>
    <row r="53" spans="1:24" x14ac:dyDescent="0.2">
      <c r="A53">
        <v>8031</v>
      </c>
      <c r="B53" t="s">
        <v>236</v>
      </c>
      <c r="C53" t="s">
        <v>51</v>
      </c>
      <c r="D53" t="s">
        <v>237</v>
      </c>
      <c r="E53" t="s">
        <v>238</v>
      </c>
      <c r="F53" t="s">
        <v>239</v>
      </c>
      <c r="G53" t="s">
        <v>42</v>
      </c>
      <c r="H53">
        <v>33.830151299999997</v>
      </c>
      <c r="I53">
        <v>-111.93294160000001</v>
      </c>
      <c r="J53">
        <v>1050</v>
      </c>
      <c r="K53" t="s">
        <v>43</v>
      </c>
      <c r="O53" t="s">
        <v>61</v>
      </c>
      <c r="R53" t="str">
        <f>IFERROR(_xlfn.XLOOKUP($A53,Anova_Live!$B$2:$B$60,Anova_Live!$A$2:$A$60,""),"")</f>
        <v/>
      </c>
      <c r="S53" t="str">
        <f>IFERROR(_xlfn.XLOOKUP($A53,Anova_Live!$B$2:$B$60,Anova_Live!$E$2:$E$60,""),"")</f>
        <v/>
      </c>
      <c r="T53" t="str">
        <f>IFERROR(_xlfn.XLOOKUP($A53,Anova_Live!$B$2:$B$60,Anova_Live!$K$2:$K$60,""),"")</f>
        <v/>
      </c>
      <c r="U53" t="str">
        <f>IFERROR(_xlfn.XLOOKUP($A53,Anova_Live!$B$2:$B$60,Anova_Live!$H$2:$H$60,""),"")</f>
        <v/>
      </c>
      <c r="V53" t="str">
        <f>IFERROR(_xlfn.XLOOKUP($A53,Anova_Live!$B$2:$B$60,Anova_Live!$L$2:$L$60,""),"")</f>
        <v/>
      </c>
      <c r="W53" t="str">
        <f>IFERROR(_xlfn.XLOOKUP($A53,Anova_Live!$B$2:$B$60,Anova_Live!$M$2:$M$60,""),"")</f>
        <v/>
      </c>
      <c r="X53" t="str">
        <f>IFERROR(_xlfn.XLOOKUP($A53,Anova_Live!$B$2:$B$60,Anova_Live!$N$2:$N$60,""),"")</f>
        <v/>
      </c>
    </row>
    <row r="54" spans="1:24" x14ac:dyDescent="0.2">
      <c r="A54">
        <v>8034</v>
      </c>
      <c r="B54" t="s">
        <v>240</v>
      </c>
      <c r="C54" t="s">
        <v>51</v>
      </c>
      <c r="D54" t="s">
        <v>237</v>
      </c>
      <c r="E54" t="s">
        <v>241</v>
      </c>
      <c r="F54" t="s">
        <v>239</v>
      </c>
      <c r="G54" t="s">
        <v>42</v>
      </c>
      <c r="H54">
        <v>33.833296500000003</v>
      </c>
      <c r="I54">
        <v>-111.9352951</v>
      </c>
      <c r="J54">
        <v>900</v>
      </c>
      <c r="K54" t="s">
        <v>43</v>
      </c>
      <c r="N54" t="s">
        <v>242</v>
      </c>
      <c r="O54" t="s">
        <v>61</v>
      </c>
      <c r="R54" t="str">
        <f>IFERROR(_xlfn.XLOOKUP($A54,Anova_Live!$B$2:$B$60,Anova_Live!$A$2:$A$60,""),"")</f>
        <v/>
      </c>
      <c r="S54" t="str">
        <f>IFERROR(_xlfn.XLOOKUP($A54,Anova_Live!$B$2:$B$60,Anova_Live!$E$2:$E$60,""),"")</f>
        <v/>
      </c>
      <c r="T54" t="str">
        <f>IFERROR(_xlfn.XLOOKUP($A54,Anova_Live!$B$2:$B$60,Anova_Live!$K$2:$K$60,""),"")</f>
        <v/>
      </c>
      <c r="U54" t="str">
        <f>IFERROR(_xlfn.XLOOKUP($A54,Anova_Live!$B$2:$B$60,Anova_Live!$H$2:$H$60,""),"")</f>
        <v/>
      </c>
      <c r="V54" t="str">
        <f>IFERROR(_xlfn.XLOOKUP($A54,Anova_Live!$B$2:$B$60,Anova_Live!$L$2:$L$60,""),"")</f>
        <v/>
      </c>
      <c r="W54" t="str">
        <f>IFERROR(_xlfn.XLOOKUP($A54,Anova_Live!$B$2:$B$60,Anova_Live!$M$2:$M$60,""),"")</f>
        <v/>
      </c>
      <c r="X54" t="str">
        <f>IFERROR(_xlfn.XLOOKUP($A54,Anova_Live!$B$2:$B$60,Anova_Live!$N$2:$N$60,""),"")</f>
        <v/>
      </c>
    </row>
    <row r="55" spans="1:24" x14ac:dyDescent="0.2">
      <c r="A55">
        <v>8005</v>
      </c>
      <c r="B55" t="s">
        <v>243</v>
      </c>
      <c r="C55" t="s">
        <v>51</v>
      </c>
      <c r="D55" t="s">
        <v>78</v>
      </c>
      <c r="E55" t="s">
        <v>244</v>
      </c>
      <c r="F55" t="s">
        <v>160</v>
      </c>
      <c r="G55" t="s">
        <v>42</v>
      </c>
      <c r="H55">
        <v>33.306642099999998</v>
      </c>
      <c r="I55">
        <v>-111.87282020000001</v>
      </c>
      <c r="J55">
        <v>950</v>
      </c>
      <c r="K55" t="s">
        <v>48</v>
      </c>
      <c r="N55" t="s">
        <v>245</v>
      </c>
      <c r="R55" t="str">
        <f>IFERROR(_xlfn.XLOOKUP($A55,Anova_Live!$B$2:$B$60,Anova_Live!$A$2:$A$60,""),"")</f>
        <v/>
      </c>
      <c r="S55" t="str">
        <f>IFERROR(_xlfn.XLOOKUP($A55,Anova_Live!$B$2:$B$60,Anova_Live!$E$2:$E$60,""),"")</f>
        <v/>
      </c>
      <c r="T55" t="str">
        <f>IFERROR(_xlfn.XLOOKUP($A55,Anova_Live!$B$2:$B$60,Anova_Live!$K$2:$K$60,""),"")</f>
        <v/>
      </c>
      <c r="U55" t="str">
        <f>IFERROR(_xlfn.XLOOKUP($A55,Anova_Live!$B$2:$B$60,Anova_Live!$H$2:$H$60,""),"")</f>
        <v/>
      </c>
      <c r="V55" t="str">
        <f>IFERROR(_xlfn.XLOOKUP($A55,Anova_Live!$B$2:$B$60,Anova_Live!$L$2:$L$60,""),"")</f>
        <v/>
      </c>
      <c r="W55" t="str">
        <f>IFERROR(_xlfn.XLOOKUP($A55,Anova_Live!$B$2:$B$60,Anova_Live!$M$2:$M$60,""),"")</f>
        <v/>
      </c>
      <c r="X55" t="str">
        <f>IFERROR(_xlfn.XLOOKUP($A55,Anova_Live!$B$2:$B$60,Anova_Live!$N$2:$N$60,""),"")</f>
        <v/>
      </c>
    </row>
    <row r="56" spans="1:24" x14ac:dyDescent="0.2">
      <c r="A56">
        <v>10001</v>
      </c>
      <c r="B56" t="s">
        <v>246</v>
      </c>
      <c r="C56" t="s">
        <v>51</v>
      </c>
      <c r="D56" t="s">
        <v>247</v>
      </c>
      <c r="E56" t="s">
        <v>248</v>
      </c>
      <c r="F56" t="s">
        <v>54</v>
      </c>
      <c r="G56" t="s">
        <v>42</v>
      </c>
      <c r="H56">
        <v>33.700678400000001</v>
      </c>
      <c r="I56">
        <v>-111.9234223</v>
      </c>
      <c r="J56">
        <v>950</v>
      </c>
      <c r="K56" t="s">
        <v>43</v>
      </c>
      <c r="N56" t="s">
        <v>249</v>
      </c>
      <c r="R56" t="str">
        <f>IFERROR(_xlfn.XLOOKUP($A56,Anova_Live!$B$2:$B$60,Anova_Live!$A$2:$A$60,""),"")</f>
        <v/>
      </c>
      <c r="S56" t="str">
        <f>IFERROR(_xlfn.XLOOKUP($A56,Anova_Live!$B$2:$B$60,Anova_Live!$E$2:$E$60,""),"")</f>
        <v/>
      </c>
      <c r="T56" t="str">
        <f>IFERROR(_xlfn.XLOOKUP($A56,Anova_Live!$B$2:$B$60,Anova_Live!$K$2:$K$60,""),"")</f>
        <v/>
      </c>
      <c r="U56" t="str">
        <f>IFERROR(_xlfn.XLOOKUP($A56,Anova_Live!$B$2:$B$60,Anova_Live!$H$2:$H$60,""),"")</f>
        <v/>
      </c>
      <c r="V56" t="str">
        <f>IFERROR(_xlfn.XLOOKUP($A56,Anova_Live!$B$2:$B$60,Anova_Live!$L$2:$L$60,""),"")</f>
        <v/>
      </c>
      <c r="W56" t="str">
        <f>IFERROR(_xlfn.XLOOKUP($A56,Anova_Live!$B$2:$B$60,Anova_Live!$M$2:$M$60,""),"")</f>
        <v/>
      </c>
      <c r="X56" t="str">
        <f>IFERROR(_xlfn.XLOOKUP($A56,Anova_Live!$B$2:$B$60,Anova_Live!$N$2:$N$60,""),"")</f>
        <v/>
      </c>
    </row>
    <row r="57" spans="1:24" x14ac:dyDescent="0.2">
      <c r="A57">
        <v>10011</v>
      </c>
      <c r="B57" t="s">
        <v>250</v>
      </c>
      <c r="C57" t="s">
        <v>51</v>
      </c>
      <c r="D57" t="s">
        <v>247</v>
      </c>
      <c r="E57" t="s">
        <v>251</v>
      </c>
      <c r="F57" t="s">
        <v>58</v>
      </c>
      <c r="G57" t="s">
        <v>42</v>
      </c>
      <c r="H57">
        <v>33.507593800000002</v>
      </c>
      <c r="I57">
        <v>-112.2663063</v>
      </c>
      <c r="J57">
        <v>620</v>
      </c>
      <c r="K57" t="s">
        <v>43</v>
      </c>
      <c r="R57" t="str">
        <f>IFERROR(_xlfn.XLOOKUP($A57,Anova_Live!$B$2:$B$60,Anova_Live!$A$2:$A$60,""),"")</f>
        <v/>
      </c>
      <c r="S57" t="str">
        <f>IFERROR(_xlfn.XLOOKUP($A57,Anova_Live!$B$2:$B$60,Anova_Live!$E$2:$E$60,""),"")</f>
        <v/>
      </c>
      <c r="T57" t="str">
        <f>IFERROR(_xlfn.XLOOKUP($A57,Anova_Live!$B$2:$B$60,Anova_Live!$K$2:$K$60,""),"")</f>
        <v/>
      </c>
      <c r="U57" t="str">
        <f>IFERROR(_xlfn.XLOOKUP($A57,Anova_Live!$B$2:$B$60,Anova_Live!$H$2:$H$60,""),"")</f>
        <v/>
      </c>
      <c r="V57" t="str">
        <f>IFERROR(_xlfn.XLOOKUP($A57,Anova_Live!$B$2:$B$60,Anova_Live!$L$2:$L$60,""),"")</f>
        <v/>
      </c>
      <c r="W57" t="str">
        <f>IFERROR(_xlfn.XLOOKUP($A57,Anova_Live!$B$2:$B$60,Anova_Live!$M$2:$M$60,""),"")</f>
        <v/>
      </c>
      <c r="X57" t="str">
        <f>IFERROR(_xlfn.XLOOKUP($A57,Anova_Live!$B$2:$B$60,Anova_Live!$N$2:$N$60,""),"")</f>
        <v/>
      </c>
    </row>
    <row r="58" spans="1:24" x14ac:dyDescent="0.2">
      <c r="A58">
        <v>11005</v>
      </c>
      <c r="B58" t="s">
        <v>252</v>
      </c>
      <c r="C58" t="s">
        <v>51</v>
      </c>
      <c r="D58" t="s">
        <v>247</v>
      </c>
      <c r="E58" t="s">
        <v>253</v>
      </c>
      <c r="F58" t="s">
        <v>254</v>
      </c>
      <c r="G58" t="s">
        <v>42</v>
      </c>
      <c r="H58">
        <v>35.197680499999997</v>
      </c>
      <c r="I58">
        <v>-111.648815</v>
      </c>
      <c r="J58">
        <v>950</v>
      </c>
      <c r="K58" t="s">
        <v>48</v>
      </c>
      <c r="N58" t="s">
        <v>255</v>
      </c>
      <c r="R58" t="str">
        <f>IFERROR(_xlfn.XLOOKUP($A58,Anova_Live!$B$2:$B$60,Anova_Live!$A$2:$A$60,""),"")</f>
        <v/>
      </c>
      <c r="S58" t="str">
        <f>IFERROR(_xlfn.XLOOKUP($A58,Anova_Live!$B$2:$B$60,Anova_Live!$E$2:$E$60,""),"")</f>
        <v/>
      </c>
      <c r="T58" t="str">
        <f>IFERROR(_xlfn.XLOOKUP($A58,Anova_Live!$B$2:$B$60,Anova_Live!$K$2:$K$60,""),"")</f>
        <v/>
      </c>
      <c r="U58" t="str">
        <f>IFERROR(_xlfn.XLOOKUP($A58,Anova_Live!$B$2:$B$60,Anova_Live!$H$2:$H$60,""),"")</f>
        <v/>
      </c>
      <c r="V58" t="str">
        <f>IFERROR(_xlfn.XLOOKUP($A58,Anova_Live!$B$2:$B$60,Anova_Live!$L$2:$L$60,""),"")</f>
        <v/>
      </c>
      <c r="W58" t="str">
        <f>IFERROR(_xlfn.XLOOKUP($A58,Anova_Live!$B$2:$B$60,Anova_Live!$M$2:$M$60,""),"")</f>
        <v/>
      </c>
      <c r="X58" t="str">
        <f>IFERROR(_xlfn.XLOOKUP($A58,Anova_Live!$B$2:$B$60,Anova_Live!$N$2:$N$60,""),"")</f>
        <v/>
      </c>
    </row>
    <row r="59" spans="1:24" x14ac:dyDescent="0.2">
      <c r="A59">
        <v>11014</v>
      </c>
      <c r="B59" t="s">
        <v>256</v>
      </c>
      <c r="C59" t="s">
        <v>51</v>
      </c>
      <c r="D59" t="s">
        <v>247</v>
      </c>
      <c r="E59" t="s">
        <v>257</v>
      </c>
      <c r="F59" t="s">
        <v>41</v>
      </c>
      <c r="G59" t="s">
        <v>42</v>
      </c>
      <c r="H59">
        <v>33.537962899999997</v>
      </c>
      <c r="I59">
        <v>-112.165954</v>
      </c>
      <c r="J59">
        <v>350</v>
      </c>
      <c r="K59" t="s">
        <v>48</v>
      </c>
      <c r="R59" t="str">
        <f>IFERROR(_xlfn.XLOOKUP($A59,Anova_Live!$B$2:$B$60,Anova_Live!$A$2:$A$60,""),"")</f>
        <v/>
      </c>
      <c r="S59" t="str">
        <f>IFERROR(_xlfn.XLOOKUP($A59,Anova_Live!$B$2:$B$60,Anova_Live!$E$2:$E$60,""),"")</f>
        <v/>
      </c>
      <c r="T59" t="str">
        <f>IFERROR(_xlfn.XLOOKUP($A59,Anova_Live!$B$2:$B$60,Anova_Live!$K$2:$K$60,""),"")</f>
        <v/>
      </c>
      <c r="U59" t="str">
        <f>IFERROR(_xlfn.XLOOKUP($A59,Anova_Live!$B$2:$B$60,Anova_Live!$H$2:$H$60,""),"")</f>
        <v/>
      </c>
      <c r="V59" t="str">
        <f>IFERROR(_xlfn.XLOOKUP($A59,Anova_Live!$B$2:$B$60,Anova_Live!$L$2:$L$60,""),"")</f>
        <v/>
      </c>
      <c r="W59" t="str">
        <f>IFERROR(_xlfn.XLOOKUP($A59,Anova_Live!$B$2:$B$60,Anova_Live!$M$2:$M$60,""),"")</f>
        <v/>
      </c>
      <c r="X59" t="str">
        <f>IFERROR(_xlfn.XLOOKUP($A59,Anova_Live!$B$2:$B$60,Anova_Live!$N$2:$N$60,""),"")</f>
        <v/>
      </c>
    </row>
    <row r="60" spans="1:24" x14ac:dyDescent="0.2">
      <c r="A60">
        <v>11013</v>
      </c>
      <c r="B60" t="s">
        <v>258</v>
      </c>
      <c r="C60" t="s">
        <v>51</v>
      </c>
      <c r="D60" t="s">
        <v>247</v>
      </c>
      <c r="E60" t="s">
        <v>259</v>
      </c>
      <c r="F60" t="s">
        <v>54</v>
      </c>
      <c r="G60" t="s">
        <v>42</v>
      </c>
      <c r="H60">
        <v>33.620236800000001</v>
      </c>
      <c r="I60">
        <v>-111.89816260000001</v>
      </c>
      <c r="J60">
        <v>1050</v>
      </c>
      <c r="K60" t="s">
        <v>48</v>
      </c>
      <c r="N60" t="s">
        <v>260</v>
      </c>
      <c r="O60" t="s">
        <v>61</v>
      </c>
      <c r="R60" t="str">
        <f>IFERROR(_xlfn.XLOOKUP($A60,Anova_Live!$B$2:$B$60,Anova_Live!$A$2:$A$60,""),"")</f>
        <v/>
      </c>
      <c r="S60" t="str">
        <f>IFERROR(_xlfn.XLOOKUP($A60,Anova_Live!$B$2:$B$60,Anova_Live!$E$2:$E$60,""),"")</f>
        <v/>
      </c>
      <c r="T60" t="str">
        <f>IFERROR(_xlfn.XLOOKUP($A60,Anova_Live!$B$2:$B$60,Anova_Live!$K$2:$K$60,""),"")</f>
        <v/>
      </c>
      <c r="U60" t="str">
        <f>IFERROR(_xlfn.XLOOKUP($A60,Anova_Live!$B$2:$B$60,Anova_Live!$H$2:$H$60,""),"")</f>
        <v/>
      </c>
      <c r="V60" t="str">
        <f>IFERROR(_xlfn.XLOOKUP($A60,Anova_Live!$B$2:$B$60,Anova_Live!$L$2:$L$60,""),"")</f>
        <v/>
      </c>
      <c r="W60" t="str">
        <f>IFERROR(_xlfn.XLOOKUP($A60,Anova_Live!$B$2:$B$60,Anova_Live!$M$2:$M$60,""),"")</f>
        <v/>
      </c>
      <c r="X60" t="str">
        <f>IFERROR(_xlfn.XLOOKUP($A60,Anova_Live!$B$2:$B$60,Anova_Live!$N$2:$N$60,""),"")</f>
        <v/>
      </c>
    </row>
    <row r="61" spans="1:24" x14ac:dyDescent="0.2">
      <c r="A61">
        <v>11016</v>
      </c>
      <c r="B61" t="s">
        <v>261</v>
      </c>
      <c r="C61" t="s">
        <v>51</v>
      </c>
      <c r="D61" t="s">
        <v>52</v>
      </c>
      <c r="E61" t="s">
        <v>262</v>
      </c>
      <c r="F61" t="s">
        <v>58</v>
      </c>
      <c r="G61" t="s">
        <v>42</v>
      </c>
      <c r="H61">
        <v>33.581676299999998</v>
      </c>
      <c r="I61">
        <v>-112.1345451</v>
      </c>
      <c r="J61">
        <v>350</v>
      </c>
      <c r="K61" t="s">
        <v>48</v>
      </c>
      <c r="N61" t="s">
        <v>263</v>
      </c>
      <c r="R61" t="str">
        <f>IFERROR(_xlfn.XLOOKUP($A61,Anova_Live!$B$2:$B$60,Anova_Live!$A$2:$A$60,""),"")</f>
        <v/>
      </c>
      <c r="S61" t="str">
        <f>IFERROR(_xlfn.XLOOKUP($A61,Anova_Live!$B$2:$B$60,Anova_Live!$E$2:$E$60,""),"")</f>
        <v/>
      </c>
      <c r="T61" t="str">
        <f>IFERROR(_xlfn.XLOOKUP($A61,Anova_Live!$B$2:$B$60,Anova_Live!$K$2:$K$60,""),"")</f>
        <v/>
      </c>
      <c r="U61" t="str">
        <f>IFERROR(_xlfn.XLOOKUP($A61,Anova_Live!$B$2:$B$60,Anova_Live!$H$2:$H$60,""),"")</f>
        <v/>
      </c>
      <c r="V61" t="str">
        <f>IFERROR(_xlfn.XLOOKUP($A61,Anova_Live!$B$2:$B$60,Anova_Live!$L$2:$L$60,""),"")</f>
        <v/>
      </c>
      <c r="W61" t="str">
        <f>IFERROR(_xlfn.XLOOKUP($A61,Anova_Live!$B$2:$B$60,Anova_Live!$M$2:$M$60,""),"")</f>
        <v/>
      </c>
      <c r="X61" t="str">
        <f>IFERROR(_xlfn.XLOOKUP($A61,Anova_Live!$B$2:$B$60,Anova_Live!$N$2:$N$60,""),"")</f>
        <v/>
      </c>
    </row>
    <row r="62" spans="1:24" x14ac:dyDescent="0.2">
      <c r="A62">
        <v>12053</v>
      </c>
      <c r="B62" t="s">
        <v>264</v>
      </c>
      <c r="C62" t="s">
        <v>51</v>
      </c>
      <c r="D62" t="s">
        <v>52</v>
      </c>
      <c r="E62" t="s">
        <v>265</v>
      </c>
      <c r="F62" t="s">
        <v>125</v>
      </c>
      <c r="G62" t="s">
        <v>161</v>
      </c>
      <c r="H62">
        <v>33.376237400000001</v>
      </c>
      <c r="I62">
        <v>-112.57168420000001</v>
      </c>
      <c r="J62">
        <v>1050</v>
      </c>
      <c r="K62" t="s">
        <v>43</v>
      </c>
      <c r="N62" t="s">
        <v>266</v>
      </c>
      <c r="O62" t="s">
        <v>61</v>
      </c>
      <c r="R62" t="str">
        <f>IFERROR(_xlfn.XLOOKUP($A62,Anova_Live!$B$2:$B$60,Anova_Live!$A$2:$A$60,""),"")</f>
        <v/>
      </c>
      <c r="S62" t="str">
        <f>IFERROR(_xlfn.XLOOKUP($A62,Anova_Live!$B$2:$B$60,Anova_Live!$E$2:$E$60,""),"")</f>
        <v/>
      </c>
      <c r="T62" t="str">
        <f>IFERROR(_xlfn.XLOOKUP($A62,Anova_Live!$B$2:$B$60,Anova_Live!$K$2:$K$60,""),"")</f>
        <v/>
      </c>
      <c r="U62" t="str">
        <f>IFERROR(_xlfn.XLOOKUP($A62,Anova_Live!$B$2:$B$60,Anova_Live!$H$2:$H$60,""),"")</f>
        <v/>
      </c>
      <c r="V62" t="str">
        <f>IFERROR(_xlfn.XLOOKUP($A62,Anova_Live!$B$2:$B$60,Anova_Live!$L$2:$L$60,""),"")</f>
        <v/>
      </c>
      <c r="W62" t="str">
        <f>IFERROR(_xlfn.XLOOKUP($A62,Anova_Live!$B$2:$B$60,Anova_Live!$M$2:$M$60,""),"")</f>
        <v/>
      </c>
      <c r="X62" t="str">
        <f>IFERROR(_xlfn.XLOOKUP($A62,Anova_Live!$B$2:$B$60,Anova_Live!$N$2:$N$60,""),"")</f>
        <v/>
      </c>
    </row>
    <row r="63" spans="1:24" x14ac:dyDescent="0.2">
      <c r="A63">
        <v>2010</v>
      </c>
      <c r="B63" t="s">
        <v>267</v>
      </c>
      <c r="C63" t="s">
        <v>72</v>
      </c>
      <c r="D63" t="s">
        <v>131</v>
      </c>
      <c r="E63" t="s">
        <v>268</v>
      </c>
      <c r="F63" t="s">
        <v>75</v>
      </c>
      <c r="G63" t="s">
        <v>42</v>
      </c>
      <c r="H63">
        <v>33.583028300000002</v>
      </c>
      <c r="I63">
        <v>-112.0516727</v>
      </c>
      <c r="J63">
        <v>500</v>
      </c>
      <c r="K63" t="s">
        <v>48</v>
      </c>
      <c r="R63" t="str">
        <f>IFERROR(_xlfn.XLOOKUP($A63,Anova_Live!$B$2:$B$60,Anova_Live!$A$2:$A$60,""),"")</f>
        <v/>
      </c>
      <c r="S63" t="str">
        <f>IFERROR(_xlfn.XLOOKUP($A63,Anova_Live!$B$2:$B$60,Anova_Live!$E$2:$E$60,""),"")</f>
        <v/>
      </c>
      <c r="T63" t="str">
        <f>IFERROR(_xlfn.XLOOKUP($A63,Anova_Live!$B$2:$B$60,Anova_Live!$K$2:$K$60,""),"")</f>
        <v/>
      </c>
      <c r="U63" t="str">
        <f>IFERROR(_xlfn.XLOOKUP($A63,Anova_Live!$B$2:$B$60,Anova_Live!$H$2:$H$60,""),"")</f>
        <v/>
      </c>
      <c r="V63" t="str">
        <f>IFERROR(_xlfn.XLOOKUP($A63,Anova_Live!$B$2:$B$60,Anova_Live!$L$2:$L$60,""),"")</f>
        <v/>
      </c>
      <c r="W63" t="str">
        <f>IFERROR(_xlfn.XLOOKUP($A63,Anova_Live!$B$2:$B$60,Anova_Live!$M$2:$M$60,""),"")</f>
        <v/>
      </c>
      <c r="X63" t="str">
        <f>IFERROR(_xlfn.XLOOKUP($A63,Anova_Live!$B$2:$B$60,Anova_Live!$N$2:$N$60,""),"")</f>
        <v/>
      </c>
    </row>
    <row r="64" spans="1:24" x14ac:dyDescent="0.2">
      <c r="A64">
        <v>12055</v>
      </c>
      <c r="B64" t="s">
        <v>269</v>
      </c>
      <c r="C64" t="s">
        <v>72</v>
      </c>
      <c r="D64" t="s">
        <v>131</v>
      </c>
      <c r="E64" t="s">
        <v>270</v>
      </c>
      <c r="F64" t="s">
        <v>58</v>
      </c>
      <c r="G64" t="s">
        <v>145</v>
      </c>
      <c r="H64">
        <v>33.561260300000001</v>
      </c>
      <c r="I64">
        <v>-112.0736725</v>
      </c>
      <c r="J64">
        <v>1050</v>
      </c>
      <c r="K64" t="s">
        <v>48</v>
      </c>
      <c r="N64" t="s">
        <v>271</v>
      </c>
      <c r="O64" t="s">
        <v>61</v>
      </c>
      <c r="R64" t="str">
        <f>IFERROR(_xlfn.XLOOKUP($A64,Anova_Live!$B$2:$B$60,Anova_Live!$A$2:$A$60,""),"")</f>
        <v/>
      </c>
      <c r="S64" t="str">
        <f>IFERROR(_xlfn.XLOOKUP($A64,Anova_Live!$B$2:$B$60,Anova_Live!$E$2:$E$60,""),"")</f>
        <v/>
      </c>
      <c r="T64" t="str">
        <f>IFERROR(_xlfn.XLOOKUP($A64,Anova_Live!$B$2:$B$60,Anova_Live!$K$2:$K$60,""),"")</f>
        <v/>
      </c>
      <c r="U64" t="str">
        <f>IFERROR(_xlfn.XLOOKUP($A64,Anova_Live!$B$2:$B$60,Anova_Live!$H$2:$H$60,""),"")</f>
        <v/>
      </c>
      <c r="V64" t="str">
        <f>IFERROR(_xlfn.XLOOKUP($A64,Anova_Live!$B$2:$B$60,Anova_Live!$L$2:$L$60,""),"")</f>
        <v/>
      </c>
      <c r="W64" t="str">
        <f>IFERROR(_xlfn.XLOOKUP($A64,Anova_Live!$B$2:$B$60,Anova_Live!$M$2:$M$60,""),"")</f>
        <v/>
      </c>
      <c r="X64" t="str">
        <f>IFERROR(_xlfn.XLOOKUP($A64,Anova_Live!$B$2:$B$60,Anova_Live!$N$2:$N$60,""),"")</f>
        <v/>
      </c>
    </row>
    <row r="65" spans="1:24" x14ac:dyDescent="0.2">
      <c r="A65">
        <v>12048</v>
      </c>
      <c r="B65" t="s">
        <v>272</v>
      </c>
      <c r="C65" t="s">
        <v>51</v>
      </c>
      <c r="D65" t="s">
        <v>247</v>
      </c>
      <c r="E65" t="s">
        <v>273</v>
      </c>
      <c r="F65" t="s">
        <v>54</v>
      </c>
      <c r="G65" t="s">
        <v>42</v>
      </c>
      <c r="H65">
        <v>33.675519899999998</v>
      </c>
      <c r="I65">
        <v>-111.8883288</v>
      </c>
      <c r="J65">
        <v>1050</v>
      </c>
      <c r="K65" t="s">
        <v>48</v>
      </c>
      <c r="N65" t="s">
        <v>274</v>
      </c>
      <c r="O65" t="s">
        <v>61</v>
      </c>
      <c r="R65" t="str">
        <f>IFERROR(_xlfn.XLOOKUP($A65,Anova_Live!$B$2:$B$60,Anova_Live!$A$2:$A$60,""),"")</f>
        <v/>
      </c>
      <c r="S65" t="str">
        <f>IFERROR(_xlfn.XLOOKUP($A65,Anova_Live!$B$2:$B$60,Anova_Live!$E$2:$E$60,""),"")</f>
        <v/>
      </c>
      <c r="T65" t="str">
        <f>IFERROR(_xlfn.XLOOKUP($A65,Anova_Live!$B$2:$B$60,Anova_Live!$K$2:$K$60,""),"")</f>
        <v/>
      </c>
      <c r="U65" t="str">
        <f>IFERROR(_xlfn.XLOOKUP($A65,Anova_Live!$B$2:$B$60,Anova_Live!$H$2:$H$60,""),"")</f>
        <v/>
      </c>
      <c r="V65" t="str">
        <f>IFERROR(_xlfn.XLOOKUP($A65,Anova_Live!$B$2:$B$60,Anova_Live!$L$2:$L$60,""),"")</f>
        <v/>
      </c>
      <c r="W65" t="str">
        <f>IFERROR(_xlfn.XLOOKUP($A65,Anova_Live!$B$2:$B$60,Anova_Live!$M$2:$M$60,""),"")</f>
        <v/>
      </c>
      <c r="X65" t="str">
        <f>IFERROR(_xlfn.XLOOKUP($A65,Anova_Live!$B$2:$B$60,Anova_Live!$N$2:$N$60,""),"")</f>
        <v/>
      </c>
    </row>
    <row r="66" spans="1:24" x14ac:dyDescent="0.2">
      <c r="A66">
        <v>12025</v>
      </c>
      <c r="B66" t="s">
        <v>275</v>
      </c>
      <c r="C66" t="s">
        <v>51</v>
      </c>
      <c r="D66" t="s">
        <v>247</v>
      </c>
      <c r="E66" t="s">
        <v>276</v>
      </c>
      <c r="F66" t="s">
        <v>212</v>
      </c>
      <c r="G66" t="s">
        <v>42</v>
      </c>
      <c r="H66">
        <v>33.621627500000002</v>
      </c>
      <c r="I66">
        <v>-111.8977823</v>
      </c>
      <c r="J66">
        <v>620</v>
      </c>
      <c r="K66" t="s">
        <v>43</v>
      </c>
      <c r="N66" t="s">
        <v>277</v>
      </c>
      <c r="O66" t="s">
        <v>61</v>
      </c>
      <c r="R66" t="str">
        <f>IFERROR(_xlfn.XLOOKUP($A66,Anova_Live!$B$2:$B$60,Anova_Live!$A$2:$A$60,""),"")</f>
        <v/>
      </c>
      <c r="S66" t="str">
        <f>IFERROR(_xlfn.XLOOKUP($A66,Anova_Live!$B$2:$B$60,Anova_Live!$E$2:$E$60,""),"")</f>
        <v/>
      </c>
      <c r="T66" t="str">
        <f>IFERROR(_xlfn.XLOOKUP($A66,Anova_Live!$B$2:$B$60,Anova_Live!$K$2:$K$60,""),"")</f>
        <v/>
      </c>
      <c r="U66" t="str">
        <f>IFERROR(_xlfn.XLOOKUP($A66,Anova_Live!$B$2:$B$60,Anova_Live!$H$2:$H$60,""),"")</f>
        <v/>
      </c>
      <c r="V66" t="str">
        <f>IFERROR(_xlfn.XLOOKUP($A66,Anova_Live!$B$2:$B$60,Anova_Live!$L$2:$L$60,""),"")</f>
        <v/>
      </c>
      <c r="W66" t="str">
        <f>IFERROR(_xlfn.XLOOKUP($A66,Anova_Live!$B$2:$B$60,Anova_Live!$M$2:$M$60,""),"")</f>
        <v/>
      </c>
      <c r="X66" t="str">
        <f>IFERROR(_xlfn.XLOOKUP($A66,Anova_Live!$B$2:$B$60,Anova_Live!$N$2:$N$60,""),"")</f>
        <v/>
      </c>
    </row>
    <row r="67" spans="1:24" x14ac:dyDescent="0.2">
      <c r="A67">
        <v>12050</v>
      </c>
      <c r="B67" t="s">
        <v>278</v>
      </c>
      <c r="C67" t="s">
        <v>72</v>
      </c>
      <c r="D67" t="s">
        <v>131</v>
      </c>
      <c r="E67" t="s">
        <v>279</v>
      </c>
      <c r="F67" t="s">
        <v>58</v>
      </c>
      <c r="G67" t="s">
        <v>42</v>
      </c>
      <c r="H67">
        <v>33.389390300000002</v>
      </c>
      <c r="I67">
        <v>-112.1342691</v>
      </c>
      <c r="J67">
        <v>1050</v>
      </c>
      <c r="K67" t="s">
        <v>48</v>
      </c>
      <c r="N67" t="s">
        <v>280</v>
      </c>
      <c r="O67" t="s">
        <v>61</v>
      </c>
      <c r="R67" t="str">
        <f>IFERROR(_xlfn.XLOOKUP($A67,Anova_Live!$B$2:$B$60,Anova_Live!$A$2:$A$60,""),"")</f>
        <v/>
      </c>
      <c r="S67" t="str">
        <f>IFERROR(_xlfn.XLOOKUP($A67,Anova_Live!$B$2:$B$60,Anova_Live!$E$2:$E$60,""),"")</f>
        <v/>
      </c>
      <c r="T67" t="str">
        <f>IFERROR(_xlfn.XLOOKUP($A67,Anova_Live!$B$2:$B$60,Anova_Live!$K$2:$K$60,""),"")</f>
        <v/>
      </c>
      <c r="U67" t="str">
        <f>IFERROR(_xlfn.XLOOKUP($A67,Anova_Live!$B$2:$B$60,Anova_Live!$H$2:$H$60,""),"")</f>
        <v/>
      </c>
      <c r="V67" t="str">
        <f>IFERROR(_xlfn.XLOOKUP($A67,Anova_Live!$B$2:$B$60,Anova_Live!$L$2:$L$60,""),"")</f>
        <v/>
      </c>
      <c r="W67" t="str">
        <f>IFERROR(_xlfn.XLOOKUP($A67,Anova_Live!$B$2:$B$60,Anova_Live!$M$2:$M$60,""),"")</f>
        <v/>
      </c>
      <c r="X67" t="str">
        <f>IFERROR(_xlfn.XLOOKUP($A67,Anova_Live!$B$2:$B$60,Anova_Live!$N$2:$N$60,""),"")</f>
        <v/>
      </c>
    </row>
    <row r="68" spans="1:24" x14ac:dyDescent="0.2">
      <c r="A68">
        <v>12051</v>
      </c>
      <c r="B68" t="s">
        <v>281</v>
      </c>
      <c r="C68" t="s">
        <v>38</v>
      </c>
      <c r="D68" t="s">
        <v>282</v>
      </c>
      <c r="E68" t="s">
        <v>283</v>
      </c>
      <c r="F68" t="s">
        <v>58</v>
      </c>
      <c r="G68" t="s">
        <v>42</v>
      </c>
      <c r="H68">
        <v>33.420729399999999</v>
      </c>
      <c r="I68">
        <v>-112.22423209999999</v>
      </c>
      <c r="J68">
        <v>1050</v>
      </c>
      <c r="K68" t="s">
        <v>48</v>
      </c>
      <c r="N68" t="s">
        <v>284</v>
      </c>
      <c r="R68" t="str">
        <f>IFERROR(_xlfn.XLOOKUP($A68,Anova_Live!$B$2:$B$60,Anova_Live!$A$2:$A$60,""),"")</f>
        <v/>
      </c>
      <c r="S68" t="str">
        <f>IFERROR(_xlfn.XLOOKUP($A68,Anova_Live!$B$2:$B$60,Anova_Live!$E$2:$E$60,""),"")</f>
        <v/>
      </c>
      <c r="T68" t="str">
        <f>IFERROR(_xlfn.XLOOKUP($A68,Anova_Live!$B$2:$B$60,Anova_Live!$K$2:$K$60,""),"")</f>
        <v/>
      </c>
      <c r="U68" t="str">
        <f>IFERROR(_xlfn.XLOOKUP($A68,Anova_Live!$B$2:$B$60,Anova_Live!$H$2:$H$60,""),"")</f>
        <v/>
      </c>
      <c r="V68" t="str">
        <f>IFERROR(_xlfn.XLOOKUP($A68,Anova_Live!$B$2:$B$60,Anova_Live!$L$2:$L$60,""),"")</f>
        <v/>
      </c>
      <c r="W68" t="str">
        <f>IFERROR(_xlfn.XLOOKUP($A68,Anova_Live!$B$2:$B$60,Anova_Live!$M$2:$M$60,""),"")</f>
        <v/>
      </c>
      <c r="X68" t="str">
        <f>IFERROR(_xlfn.XLOOKUP($A68,Anova_Live!$B$2:$B$60,Anova_Live!$N$2:$N$60,""),"")</f>
        <v/>
      </c>
    </row>
    <row r="69" spans="1:24" x14ac:dyDescent="0.2">
      <c r="A69">
        <v>12009</v>
      </c>
      <c r="B69" t="s">
        <v>285</v>
      </c>
      <c r="C69" t="s">
        <v>38</v>
      </c>
      <c r="D69" t="s">
        <v>39</v>
      </c>
      <c r="E69" t="s">
        <v>286</v>
      </c>
      <c r="F69" t="s">
        <v>75</v>
      </c>
      <c r="G69" t="s">
        <v>42</v>
      </c>
      <c r="H69">
        <v>33.479680500000001</v>
      </c>
      <c r="I69">
        <v>-112.219328</v>
      </c>
      <c r="J69">
        <v>700</v>
      </c>
      <c r="K69" t="s">
        <v>48</v>
      </c>
      <c r="N69" t="s">
        <v>287</v>
      </c>
      <c r="O69" t="s">
        <v>61</v>
      </c>
      <c r="R69" t="str">
        <f>IFERROR(_xlfn.XLOOKUP($A69,Anova_Live!$B$2:$B$60,Anova_Live!$A$2:$A$60,""),"")</f>
        <v/>
      </c>
      <c r="S69" t="str">
        <f>IFERROR(_xlfn.XLOOKUP($A69,Anova_Live!$B$2:$B$60,Anova_Live!$E$2:$E$60,""),"")</f>
        <v/>
      </c>
      <c r="T69" t="str">
        <f>IFERROR(_xlfn.XLOOKUP($A69,Anova_Live!$B$2:$B$60,Anova_Live!$K$2:$K$60,""),"")</f>
        <v/>
      </c>
      <c r="U69" t="str">
        <f>IFERROR(_xlfn.XLOOKUP($A69,Anova_Live!$B$2:$B$60,Anova_Live!$H$2:$H$60,""),"")</f>
        <v/>
      </c>
      <c r="V69" t="str">
        <f>IFERROR(_xlfn.XLOOKUP($A69,Anova_Live!$B$2:$B$60,Anova_Live!$L$2:$L$60,""),"")</f>
        <v/>
      </c>
      <c r="W69" t="str">
        <f>IFERROR(_xlfn.XLOOKUP($A69,Anova_Live!$B$2:$B$60,Anova_Live!$M$2:$M$60,""),"")</f>
        <v/>
      </c>
      <c r="X69" t="str">
        <f>IFERROR(_xlfn.XLOOKUP($A69,Anova_Live!$B$2:$B$60,Anova_Live!$N$2:$N$60,""),"")</f>
        <v/>
      </c>
    </row>
    <row r="70" spans="1:24" x14ac:dyDescent="0.2">
      <c r="A70">
        <v>13057</v>
      </c>
      <c r="B70" t="s">
        <v>288</v>
      </c>
      <c r="C70" t="s">
        <v>51</v>
      </c>
      <c r="D70" t="s">
        <v>78</v>
      </c>
      <c r="E70" t="s">
        <v>289</v>
      </c>
      <c r="F70" t="s">
        <v>160</v>
      </c>
      <c r="G70" t="s">
        <v>42</v>
      </c>
      <c r="H70">
        <v>33.245573</v>
      </c>
      <c r="I70">
        <v>-111.842597</v>
      </c>
      <c r="J70">
        <v>950</v>
      </c>
      <c r="K70" t="s">
        <v>48</v>
      </c>
      <c r="O70" t="s">
        <v>61</v>
      </c>
      <c r="R70" t="str">
        <f>IFERROR(_xlfn.XLOOKUP($A70,Anova_Live!$B$2:$B$60,Anova_Live!$A$2:$A$60,""),"")</f>
        <v/>
      </c>
      <c r="S70" t="str">
        <f>IFERROR(_xlfn.XLOOKUP($A70,Anova_Live!$B$2:$B$60,Anova_Live!$E$2:$E$60,""),"")</f>
        <v/>
      </c>
      <c r="T70" t="str">
        <f>IFERROR(_xlfn.XLOOKUP($A70,Anova_Live!$B$2:$B$60,Anova_Live!$K$2:$K$60,""),"")</f>
        <v/>
      </c>
      <c r="U70" t="str">
        <f>IFERROR(_xlfn.XLOOKUP($A70,Anova_Live!$B$2:$B$60,Anova_Live!$H$2:$H$60,""),"")</f>
        <v/>
      </c>
      <c r="V70" t="str">
        <f>IFERROR(_xlfn.XLOOKUP($A70,Anova_Live!$B$2:$B$60,Anova_Live!$L$2:$L$60,""),"")</f>
        <v/>
      </c>
      <c r="W70" t="str">
        <f>IFERROR(_xlfn.XLOOKUP($A70,Anova_Live!$B$2:$B$60,Anova_Live!$M$2:$M$60,""),"")</f>
        <v/>
      </c>
      <c r="X70" t="str">
        <f>IFERROR(_xlfn.XLOOKUP($A70,Anova_Live!$B$2:$B$60,Anova_Live!$N$2:$N$60,""),"")</f>
        <v/>
      </c>
    </row>
    <row r="71" spans="1:24" x14ac:dyDescent="0.2">
      <c r="A71">
        <v>13069</v>
      </c>
      <c r="B71" t="s">
        <v>290</v>
      </c>
      <c r="C71" t="s">
        <v>72</v>
      </c>
      <c r="D71" t="s">
        <v>164</v>
      </c>
      <c r="E71" t="s">
        <v>291</v>
      </c>
      <c r="F71" t="s">
        <v>75</v>
      </c>
      <c r="G71" t="s">
        <v>42</v>
      </c>
      <c r="H71">
        <v>33.582157000000002</v>
      </c>
      <c r="I71">
        <v>-112.0140438</v>
      </c>
      <c r="J71">
        <v>900</v>
      </c>
      <c r="K71" t="s">
        <v>48</v>
      </c>
      <c r="O71" t="s">
        <v>61</v>
      </c>
      <c r="R71" t="str">
        <f>IFERROR(_xlfn.XLOOKUP($A71,Anova_Live!$B$2:$B$60,Anova_Live!$A$2:$A$60,""),"")</f>
        <v/>
      </c>
      <c r="S71" t="str">
        <f>IFERROR(_xlfn.XLOOKUP($A71,Anova_Live!$B$2:$B$60,Anova_Live!$E$2:$E$60,""),"")</f>
        <v/>
      </c>
      <c r="T71" t="str">
        <f>IFERROR(_xlfn.XLOOKUP($A71,Anova_Live!$B$2:$B$60,Anova_Live!$K$2:$K$60,""),"")</f>
        <v/>
      </c>
      <c r="U71" t="str">
        <f>IFERROR(_xlfn.XLOOKUP($A71,Anova_Live!$B$2:$B$60,Anova_Live!$H$2:$H$60,""),"")</f>
        <v/>
      </c>
      <c r="V71" t="str">
        <f>IFERROR(_xlfn.XLOOKUP($A71,Anova_Live!$B$2:$B$60,Anova_Live!$L$2:$L$60,""),"")</f>
        <v/>
      </c>
      <c r="W71" t="str">
        <f>IFERROR(_xlfn.XLOOKUP($A71,Anova_Live!$B$2:$B$60,Anova_Live!$M$2:$M$60,""),"")</f>
        <v/>
      </c>
      <c r="X71" t="str">
        <f>IFERROR(_xlfn.XLOOKUP($A71,Anova_Live!$B$2:$B$60,Anova_Live!$N$2:$N$60,""),"")</f>
        <v/>
      </c>
    </row>
    <row r="72" spans="1:24" x14ac:dyDescent="0.2">
      <c r="A72">
        <v>13012</v>
      </c>
      <c r="B72" t="s">
        <v>292</v>
      </c>
      <c r="C72" t="s">
        <v>63</v>
      </c>
      <c r="D72" t="s">
        <v>87</v>
      </c>
      <c r="E72" t="s">
        <v>293</v>
      </c>
      <c r="F72" t="s">
        <v>89</v>
      </c>
      <c r="G72" t="s">
        <v>42</v>
      </c>
      <c r="H72">
        <v>33.4630917</v>
      </c>
      <c r="I72">
        <v>-112.34565859999999</v>
      </c>
      <c r="J72">
        <v>950</v>
      </c>
      <c r="K72" t="s">
        <v>48</v>
      </c>
      <c r="N72" t="s">
        <v>294</v>
      </c>
      <c r="R72" t="str">
        <f>IFERROR(_xlfn.XLOOKUP($A72,Anova_Live!$B$2:$B$60,Anova_Live!$A$2:$A$60,""),"")</f>
        <v/>
      </c>
      <c r="S72" t="str">
        <f>IFERROR(_xlfn.XLOOKUP($A72,Anova_Live!$B$2:$B$60,Anova_Live!$E$2:$E$60,""),"")</f>
        <v/>
      </c>
      <c r="T72" t="str">
        <f>IFERROR(_xlfn.XLOOKUP($A72,Anova_Live!$B$2:$B$60,Anova_Live!$K$2:$K$60,""),"")</f>
        <v/>
      </c>
      <c r="U72" t="str">
        <f>IFERROR(_xlfn.XLOOKUP($A72,Anova_Live!$B$2:$B$60,Anova_Live!$H$2:$H$60,""),"")</f>
        <v/>
      </c>
      <c r="V72" t="str">
        <f>IFERROR(_xlfn.XLOOKUP($A72,Anova_Live!$B$2:$B$60,Anova_Live!$L$2:$L$60,""),"")</f>
        <v/>
      </c>
      <c r="W72" t="str">
        <f>IFERROR(_xlfn.XLOOKUP($A72,Anova_Live!$B$2:$B$60,Anova_Live!$M$2:$M$60,""),"")</f>
        <v/>
      </c>
      <c r="X72" t="str">
        <f>IFERROR(_xlfn.XLOOKUP($A72,Anova_Live!$B$2:$B$60,Anova_Live!$N$2:$N$60,""),"")</f>
        <v/>
      </c>
    </row>
    <row r="73" spans="1:24" x14ac:dyDescent="0.2">
      <c r="A73">
        <v>13011</v>
      </c>
      <c r="B73" t="s">
        <v>295</v>
      </c>
      <c r="C73" t="s">
        <v>72</v>
      </c>
      <c r="D73" t="s">
        <v>73</v>
      </c>
      <c r="E73" t="s">
        <v>296</v>
      </c>
      <c r="F73" t="s">
        <v>75</v>
      </c>
      <c r="G73" t="s">
        <v>42</v>
      </c>
      <c r="H73">
        <v>33.4953188</v>
      </c>
      <c r="I73">
        <v>-112.02076289999999</v>
      </c>
      <c r="J73">
        <v>1000</v>
      </c>
      <c r="K73" t="s">
        <v>48</v>
      </c>
      <c r="N73" t="s">
        <v>297</v>
      </c>
      <c r="R73" t="str">
        <f>IFERROR(_xlfn.XLOOKUP($A73,Anova_Live!$B$2:$B$60,Anova_Live!$A$2:$A$60,""),"")</f>
        <v/>
      </c>
      <c r="S73" t="str">
        <f>IFERROR(_xlfn.XLOOKUP($A73,Anova_Live!$B$2:$B$60,Anova_Live!$E$2:$E$60,""),"")</f>
        <v/>
      </c>
      <c r="T73" t="str">
        <f>IFERROR(_xlfn.XLOOKUP($A73,Anova_Live!$B$2:$B$60,Anova_Live!$K$2:$K$60,""),"")</f>
        <v/>
      </c>
      <c r="U73" t="str">
        <f>IFERROR(_xlfn.XLOOKUP($A73,Anova_Live!$B$2:$B$60,Anova_Live!$H$2:$H$60,""),"")</f>
        <v/>
      </c>
      <c r="V73" t="str">
        <f>IFERROR(_xlfn.XLOOKUP($A73,Anova_Live!$B$2:$B$60,Anova_Live!$L$2:$L$60,""),"")</f>
        <v/>
      </c>
      <c r="W73" t="str">
        <f>IFERROR(_xlfn.XLOOKUP($A73,Anova_Live!$B$2:$B$60,Anova_Live!$M$2:$M$60,""),"")</f>
        <v/>
      </c>
      <c r="X73" t="str">
        <f>IFERROR(_xlfn.XLOOKUP($A73,Anova_Live!$B$2:$B$60,Anova_Live!$N$2:$N$60,""),"")</f>
        <v/>
      </c>
    </row>
    <row r="74" spans="1:24" x14ac:dyDescent="0.2">
      <c r="A74">
        <v>13009</v>
      </c>
      <c r="B74" t="s">
        <v>298</v>
      </c>
      <c r="C74" t="s">
        <v>72</v>
      </c>
      <c r="D74" t="s">
        <v>164</v>
      </c>
      <c r="E74" t="s">
        <v>299</v>
      </c>
      <c r="F74" t="s">
        <v>58</v>
      </c>
      <c r="G74" t="s">
        <v>42</v>
      </c>
      <c r="H74">
        <v>33.639774199999998</v>
      </c>
      <c r="I74">
        <v>-112.0877381</v>
      </c>
      <c r="J74">
        <v>1050</v>
      </c>
      <c r="K74" t="s">
        <v>48</v>
      </c>
      <c r="N74" t="s">
        <v>300</v>
      </c>
      <c r="O74" t="s">
        <v>61</v>
      </c>
      <c r="R74" t="str">
        <f>IFERROR(_xlfn.XLOOKUP($A74,Anova_Live!$B$2:$B$60,Anova_Live!$A$2:$A$60,""),"")</f>
        <v/>
      </c>
      <c r="S74" t="str">
        <f>IFERROR(_xlfn.XLOOKUP($A74,Anova_Live!$B$2:$B$60,Anova_Live!$E$2:$E$60,""),"")</f>
        <v/>
      </c>
      <c r="T74" t="str">
        <f>IFERROR(_xlfn.XLOOKUP($A74,Anova_Live!$B$2:$B$60,Anova_Live!$K$2:$K$60,""),"")</f>
        <v/>
      </c>
      <c r="U74" t="str">
        <f>IFERROR(_xlfn.XLOOKUP($A74,Anova_Live!$B$2:$B$60,Anova_Live!$H$2:$H$60,""),"")</f>
        <v/>
      </c>
      <c r="V74" t="str">
        <f>IFERROR(_xlfn.XLOOKUP($A74,Anova_Live!$B$2:$B$60,Anova_Live!$L$2:$L$60,""),"")</f>
        <v/>
      </c>
      <c r="W74" t="str">
        <f>IFERROR(_xlfn.XLOOKUP($A74,Anova_Live!$B$2:$B$60,Anova_Live!$M$2:$M$60,""),"")</f>
        <v/>
      </c>
      <c r="X74" t="str">
        <f>IFERROR(_xlfn.XLOOKUP($A74,Anova_Live!$B$2:$B$60,Anova_Live!$N$2:$N$60,""),"")</f>
        <v/>
      </c>
    </row>
    <row r="75" spans="1:24" x14ac:dyDescent="0.2">
      <c r="A75">
        <v>13015</v>
      </c>
      <c r="B75" t="s">
        <v>301</v>
      </c>
      <c r="C75" t="s">
        <v>51</v>
      </c>
      <c r="D75" t="s">
        <v>168</v>
      </c>
      <c r="E75" t="s">
        <v>302</v>
      </c>
      <c r="F75" t="s">
        <v>219</v>
      </c>
      <c r="G75" t="s">
        <v>42</v>
      </c>
      <c r="H75">
        <v>33.393507999999997</v>
      </c>
      <c r="I75">
        <v>-111.88825679999999</v>
      </c>
      <c r="J75">
        <v>950</v>
      </c>
      <c r="K75" t="s">
        <v>48</v>
      </c>
      <c r="N75" t="s">
        <v>303</v>
      </c>
      <c r="R75" t="str">
        <f>IFERROR(_xlfn.XLOOKUP($A75,Anova_Live!$B$2:$B$60,Anova_Live!$A$2:$A$60,""),"")</f>
        <v/>
      </c>
      <c r="S75" t="str">
        <f>IFERROR(_xlfn.XLOOKUP($A75,Anova_Live!$B$2:$B$60,Anova_Live!$E$2:$E$60,""),"")</f>
        <v/>
      </c>
      <c r="T75" t="str">
        <f>IFERROR(_xlfn.XLOOKUP($A75,Anova_Live!$B$2:$B$60,Anova_Live!$K$2:$K$60,""),"")</f>
        <v/>
      </c>
      <c r="U75" t="str">
        <f>IFERROR(_xlfn.XLOOKUP($A75,Anova_Live!$B$2:$B$60,Anova_Live!$H$2:$H$60,""),"")</f>
        <v/>
      </c>
      <c r="V75" t="str">
        <f>IFERROR(_xlfn.XLOOKUP($A75,Anova_Live!$B$2:$B$60,Anova_Live!$L$2:$L$60,""),"")</f>
        <v/>
      </c>
      <c r="W75" t="str">
        <f>IFERROR(_xlfn.XLOOKUP($A75,Anova_Live!$B$2:$B$60,Anova_Live!$M$2:$M$60,""),"")</f>
        <v/>
      </c>
      <c r="X75" t="str">
        <f>IFERROR(_xlfn.XLOOKUP($A75,Anova_Live!$B$2:$B$60,Anova_Live!$N$2:$N$60,""),"")</f>
        <v/>
      </c>
    </row>
    <row r="76" spans="1:24" x14ac:dyDescent="0.2">
      <c r="A76">
        <v>13014</v>
      </c>
      <c r="B76" t="s">
        <v>304</v>
      </c>
      <c r="C76" t="s">
        <v>51</v>
      </c>
      <c r="D76" t="s">
        <v>52</v>
      </c>
      <c r="E76" t="s">
        <v>305</v>
      </c>
      <c r="F76" t="s">
        <v>54</v>
      </c>
      <c r="G76" t="s">
        <v>42</v>
      </c>
      <c r="H76">
        <v>33.575033699999999</v>
      </c>
      <c r="I76">
        <v>-111.8882476</v>
      </c>
      <c r="J76">
        <v>900</v>
      </c>
      <c r="K76" t="s">
        <v>48</v>
      </c>
      <c r="N76" t="s">
        <v>306</v>
      </c>
      <c r="R76" t="str">
        <f>IFERROR(_xlfn.XLOOKUP($A76,Anova_Live!$B$2:$B$60,Anova_Live!$A$2:$A$60,""),"")</f>
        <v/>
      </c>
      <c r="S76" t="str">
        <f>IFERROR(_xlfn.XLOOKUP($A76,Anova_Live!$B$2:$B$60,Anova_Live!$E$2:$E$60,""),"")</f>
        <v/>
      </c>
      <c r="T76" t="str">
        <f>IFERROR(_xlfn.XLOOKUP($A76,Anova_Live!$B$2:$B$60,Anova_Live!$K$2:$K$60,""),"")</f>
        <v/>
      </c>
      <c r="U76" t="str">
        <f>IFERROR(_xlfn.XLOOKUP($A76,Anova_Live!$B$2:$B$60,Anova_Live!$H$2:$H$60,""),"")</f>
        <v/>
      </c>
      <c r="V76" t="str">
        <f>IFERROR(_xlfn.XLOOKUP($A76,Anova_Live!$B$2:$B$60,Anova_Live!$L$2:$L$60,""),"")</f>
        <v/>
      </c>
      <c r="W76" t="str">
        <f>IFERROR(_xlfn.XLOOKUP($A76,Anova_Live!$B$2:$B$60,Anova_Live!$M$2:$M$60,""),"")</f>
        <v/>
      </c>
      <c r="X76" t="str">
        <f>IFERROR(_xlfn.XLOOKUP($A76,Anova_Live!$B$2:$B$60,Anova_Live!$N$2:$N$60,""),"")</f>
        <v/>
      </c>
    </row>
    <row r="77" spans="1:24" x14ac:dyDescent="0.2">
      <c r="A77">
        <v>13013</v>
      </c>
      <c r="B77" t="s">
        <v>307</v>
      </c>
      <c r="C77" t="s">
        <v>38</v>
      </c>
      <c r="D77" t="s">
        <v>46</v>
      </c>
      <c r="E77" t="s">
        <v>308</v>
      </c>
      <c r="F77" t="s">
        <v>141</v>
      </c>
      <c r="G77" t="s">
        <v>42</v>
      </c>
      <c r="H77">
        <v>33.582299599999999</v>
      </c>
      <c r="I77">
        <v>-112.1807082</v>
      </c>
      <c r="J77">
        <v>1050</v>
      </c>
      <c r="K77" t="s">
        <v>48</v>
      </c>
      <c r="N77" t="s">
        <v>309</v>
      </c>
      <c r="O77" t="s">
        <v>61</v>
      </c>
      <c r="P77" t="s">
        <v>95</v>
      </c>
      <c r="R77" t="str">
        <f>IFERROR(_xlfn.XLOOKUP($A77,Anova_Live!$B$2:$B$60,Anova_Live!$A$2:$A$60,""),"")</f>
        <v/>
      </c>
      <c r="S77" t="str">
        <f>IFERROR(_xlfn.XLOOKUP($A77,Anova_Live!$B$2:$B$60,Anova_Live!$E$2:$E$60,""),"")</f>
        <v/>
      </c>
      <c r="T77" t="str">
        <f>IFERROR(_xlfn.XLOOKUP($A77,Anova_Live!$B$2:$B$60,Anova_Live!$K$2:$K$60,""),"")</f>
        <v/>
      </c>
      <c r="U77" t="str">
        <f>IFERROR(_xlfn.XLOOKUP($A77,Anova_Live!$B$2:$B$60,Anova_Live!$H$2:$H$60,""),"")</f>
        <v/>
      </c>
      <c r="V77" t="str">
        <f>IFERROR(_xlfn.XLOOKUP($A77,Anova_Live!$B$2:$B$60,Anova_Live!$L$2:$L$60,""),"")</f>
        <v/>
      </c>
      <c r="W77" t="str">
        <f>IFERROR(_xlfn.XLOOKUP($A77,Anova_Live!$B$2:$B$60,Anova_Live!$M$2:$M$60,""),"")</f>
        <v/>
      </c>
      <c r="X77" t="str">
        <f>IFERROR(_xlfn.XLOOKUP($A77,Anova_Live!$B$2:$B$60,Anova_Live!$N$2:$N$60,""),"")</f>
        <v/>
      </c>
    </row>
    <row r="78" spans="1:24" x14ac:dyDescent="0.2">
      <c r="A78">
        <v>13086</v>
      </c>
      <c r="B78" t="s">
        <v>310</v>
      </c>
      <c r="C78" t="s">
        <v>51</v>
      </c>
      <c r="D78" t="s">
        <v>52</v>
      </c>
      <c r="E78" t="s">
        <v>311</v>
      </c>
      <c r="F78" t="s">
        <v>54</v>
      </c>
      <c r="G78" t="s">
        <v>42</v>
      </c>
      <c r="H78">
        <v>33.624665800000002</v>
      </c>
      <c r="I78">
        <v>-111.9241166</v>
      </c>
      <c r="J78">
        <v>350</v>
      </c>
      <c r="K78" t="s">
        <v>48</v>
      </c>
      <c r="N78" t="s">
        <v>312</v>
      </c>
      <c r="P78" t="s">
        <v>101</v>
      </c>
      <c r="R78" t="str">
        <f>IFERROR(_xlfn.XLOOKUP($A78,Anova_Live!$B$2:$B$60,Anova_Live!$A$2:$A$60,""),"")</f>
        <v/>
      </c>
      <c r="S78" t="str">
        <f>IFERROR(_xlfn.XLOOKUP($A78,Anova_Live!$B$2:$B$60,Anova_Live!$E$2:$E$60,""),"")</f>
        <v/>
      </c>
      <c r="T78" t="str">
        <f>IFERROR(_xlfn.XLOOKUP($A78,Anova_Live!$B$2:$B$60,Anova_Live!$K$2:$K$60,""),"")</f>
        <v/>
      </c>
      <c r="U78" t="str">
        <f>IFERROR(_xlfn.XLOOKUP($A78,Anova_Live!$B$2:$B$60,Anova_Live!$H$2:$H$60,""),"")</f>
        <v/>
      </c>
      <c r="V78" t="str">
        <f>IFERROR(_xlfn.XLOOKUP($A78,Anova_Live!$B$2:$B$60,Anova_Live!$L$2:$L$60,""),"")</f>
        <v/>
      </c>
      <c r="W78" t="str">
        <f>IFERROR(_xlfn.XLOOKUP($A78,Anova_Live!$B$2:$B$60,Anova_Live!$M$2:$M$60,""),"")</f>
        <v/>
      </c>
      <c r="X78" t="str">
        <f>IFERROR(_xlfn.XLOOKUP($A78,Anova_Live!$B$2:$B$60,Anova_Live!$N$2:$N$60,""),"")</f>
        <v/>
      </c>
    </row>
    <row r="79" spans="1:24" x14ac:dyDescent="0.2">
      <c r="A79">
        <v>13061</v>
      </c>
      <c r="B79" t="s">
        <v>313</v>
      </c>
      <c r="C79" t="s">
        <v>51</v>
      </c>
      <c r="D79" t="s">
        <v>237</v>
      </c>
      <c r="E79" t="s">
        <v>314</v>
      </c>
      <c r="F79" t="s">
        <v>239</v>
      </c>
      <c r="G79" t="s">
        <v>42</v>
      </c>
      <c r="H79">
        <v>33.829157000000002</v>
      </c>
      <c r="I79">
        <v>-111.9291688</v>
      </c>
      <c r="J79">
        <v>620</v>
      </c>
      <c r="K79" t="s">
        <v>43</v>
      </c>
      <c r="N79" t="s">
        <v>315</v>
      </c>
      <c r="R79" t="str">
        <f>IFERROR(_xlfn.XLOOKUP($A79,Anova_Live!$B$2:$B$60,Anova_Live!$A$2:$A$60,""),"")</f>
        <v/>
      </c>
      <c r="S79" t="str">
        <f>IFERROR(_xlfn.XLOOKUP($A79,Anova_Live!$B$2:$B$60,Anova_Live!$E$2:$E$60,""),"")</f>
        <v/>
      </c>
      <c r="T79" t="str">
        <f>IFERROR(_xlfn.XLOOKUP($A79,Anova_Live!$B$2:$B$60,Anova_Live!$K$2:$K$60,""),"")</f>
        <v/>
      </c>
      <c r="U79" t="str">
        <f>IFERROR(_xlfn.XLOOKUP($A79,Anova_Live!$B$2:$B$60,Anova_Live!$H$2:$H$60,""),"")</f>
        <v/>
      </c>
      <c r="V79" t="str">
        <f>IFERROR(_xlfn.XLOOKUP($A79,Anova_Live!$B$2:$B$60,Anova_Live!$L$2:$L$60,""),"")</f>
        <v/>
      </c>
      <c r="W79" t="str">
        <f>IFERROR(_xlfn.XLOOKUP($A79,Anova_Live!$B$2:$B$60,Anova_Live!$M$2:$M$60,""),"")</f>
        <v/>
      </c>
      <c r="X79" t="str">
        <f>IFERROR(_xlfn.XLOOKUP($A79,Anova_Live!$B$2:$B$60,Anova_Live!$N$2:$N$60,""),"")</f>
        <v/>
      </c>
    </row>
    <row r="80" spans="1:24" x14ac:dyDescent="0.2">
      <c r="A80">
        <v>2021</v>
      </c>
      <c r="B80" t="s">
        <v>316</v>
      </c>
      <c r="C80" t="s">
        <v>51</v>
      </c>
      <c r="D80" t="s">
        <v>78</v>
      </c>
      <c r="E80" t="s">
        <v>317</v>
      </c>
      <c r="F80" t="s">
        <v>137</v>
      </c>
      <c r="G80" t="s">
        <v>42</v>
      </c>
      <c r="H80">
        <v>33.293137899999998</v>
      </c>
      <c r="I80">
        <v>-111.82496260000001</v>
      </c>
      <c r="J80">
        <v>620</v>
      </c>
      <c r="K80" t="s">
        <v>43</v>
      </c>
      <c r="O80" t="s">
        <v>61</v>
      </c>
      <c r="P80" t="s">
        <v>101</v>
      </c>
      <c r="R80" t="str">
        <f>IFERROR(_xlfn.XLOOKUP($A80,Anova_Live!$B$2:$B$60,Anova_Live!$A$2:$A$60,""),"")</f>
        <v/>
      </c>
      <c r="S80" t="str">
        <f>IFERROR(_xlfn.XLOOKUP($A80,Anova_Live!$B$2:$B$60,Anova_Live!$E$2:$E$60,""),"")</f>
        <v/>
      </c>
      <c r="T80" t="str">
        <f>IFERROR(_xlfn.XLOOKUP($A80,Anova_Live!$B$2:$B$60,Anova_Live!$K$2:$K$60,""),"")</f>
        <v/>
      </c>
      <c r="U80" t="str">
        <f>IFERROR(_xlfn.XLOOKUP($A80,Anova_Live!$B$2:$B$60,Anova_Live!$H$2:$H$60,""),"")</f>
        <v/>
      </c>
      <c r="V80" t="str">
        <f>IFERROR(_xlfn.XLOOKUP($A80,Anova_Live!$B$2:$B$60,Anova_Live!$L$2:$L$60,""),"")</f>
        <v/>
      </c>
      <c r="W80" t="str">
        <f>IFERROR(_xlfn.XLOOKUP($A80,Anova_Live!$B$2:$B$60,Anova_Live!$M$2:$M$60,""),"")</f>
        <v/>
      </c>
      <c r="X80" t="str">
        <f>IFERROR(_xlfn.XLOOKUP($A80,Anova_Live!$B$2:$B$60,Anova_Live!$N$2:$N$60,""),"")</f>
        <v/>
      </c>
    </row>
    <row r="81" spans="1:24" x14ac:dyDescent="0.2">
      <c r="A81">
        <v>14009</v>
      </c>
      <c r="B81" t="s">
        <v>318</v>
      </c>
      <c r="C81" t="s">
        <v>63</v>
      </c>
      <c r="D81" t="s">
        <v>319</v>
      </c>
      <c r="E81" t="s">
        <v>320</v>
      </c>
      <c r="F81" t="s">
        <v>321</v>
      </c>
      <c r="G81" t="s">
        <v>42</v>
      </c>
      <c r="H81">
        <v>33.453455699999999</v>
      </c>
      <c r="I81">
        <v>-112.30494969999999</v>
      </c>
      <c r="J81">
        <v>1050</v>
      </c>
      <c r="K81" t="s">
        <v>48</v>
      </c>
      <c r="N81" t="s">
        <v>322</v>
      </c>
      <c r="O81" t="s">
        <v>61</v>
      </c>
      <c r="R81" t="str">
        <f>IFERROR(_xlfn.XLOOKUP($A81,Anova_Live!$B$2:$B$60,Anova_Live!$A$2:$A$60,""),"")</f>
        <v/>
      </c>
      <c r="S81" t="str">
        <f>IFERROR(_xlfn.XLOOKUP($A81,Anova_Live!$B$2:$B$60,Anova_Live!$E$2:$E$60,""),"")</f>
        <v/>
      </c>
      <c r="T81" t="str">
        <f>IFERROR(_xlfn.XLOOKUP($A81,Anova_Live!$B$2:$B$60,Anova_Live!$K$2:$K$60,""),"")</f>
        <v/>
      </c>
      <c r="U81" t="str">
        <f>IFERROR(_xlfn.XLOOKUP($A81,Anova_Live!$B$2:$B$60,Anova_Live!$H$2:$H$60,""),"")</f>
        <v/>
      </c>
      <c r="V81" t="str">
        <f>IFERROR(_xlfn.XLOOKUP($A81,Anova_Live!$B$2:$B$60,Anova_Live!$L$2:$L$60,""),"")</f>
        <v/>
      </c>
      <c r="W81" t="str">
        <f>IFERROR(_xlfn.XLOOKUP($A81,Anova_Live!$B$2:$B$60,Anova_Live!$M$2:$M$60,""),"")</f>
        <v/>
      </c>
      <c r="X81" t="str">
        <f>IFERROR(_xlfn.XLOOKUP($A81,Anova_Live!$B$2:$B$60,Anova_Live!$N$2:$N$60,""),"")</f>
        <v/>
      </c>
    </row>
    <row r="82" spans="1:24" x14ac:dyDescent="0.2">
      <c r="A82">
        <v>14008</v>
      </c>
      <c r="B82" t="s">
        <v>323</v>
      </c>
      <c r="C82" t="s">
        <v>51</v>
      </c>
      <c r="D82" t="s">
        <v>168</v>
      </c>
      <c r="E82" t="s">
        <v>324</v>
      </c>
      <c r="F82" t="s">
        <v>216</v>
      </c>
      <c r="G82" t="s">
        <v>42</v>
      </c>
      <c r="H82">
        <v>33.428745999999997</v>
      </c>
      <c r="I82">
        <v>-111.965056</v>
      </c>
      <c r="J82">
        <v>2000</v>
      </c>
      <c r="K82" t="s">
        <v>48</v>
      </c>
      <c r="N82" t="s">
        <v>325</v>
      </c>
      <c r="R82" t="str">
        <f>IFERROR(_xlfn.XLOOKUP($A82,Anova_Live!$B$2:$B$60,Anova_Live!$A$2:$A$60,""),"")</f>
        <v/>
      </c>
      <c r="S82" t="str">
        <f>IFERROR(_xlfn.XLOOKUP($A82,Anova_Live!$B$2:$B$60,Anova_Live!$E$2:$E$60,""),"")</f>
        <v/>
      </c>
      <c r="T82" t="str">
        <f>IFERROR(_xlfn.XLOOKUP($A82,Anova_Live!$B$2:$B$60,Anova_Live!$K$2:$K$60,""),"")</f>
        <v/>
      </c>
      <c r="U82" t="str">
        <f>IFERROR(_xlfn.XLOOKUP($A82,Anova_Live!$B$2:$B$60,Anova_Live!$H$2:$H$60,""),"")</f>
        <v/>
      </c>
      <c r="V82" t="str">
        <f>IFERROR(_xlfn.XLOOKUP($A82,Anova_Live!$B$2:$B$60,Anova_Live!$L$2:$L$60,""),"")</f>
        <v/>
      </c>
      <c r="W82" t="str">
        <f>IFERROR(_xlfn.XLOOKUP($A82,Anova_Live!$B$2:$B$60,Anova_Live!$M$2:$M$60,""),"")</f>
        <v/>
      </c>
      <c r="X82" t="str">
        <f>IFERROR(_xlfn.XLOOKUP($A82,Anova_Live!$B$2:$B$60,Anova_Live!$N$2:$N$60,""),"")</f>
        <v/>
      </c>
    </row>
    <row r="83" spans="1:24" x14ac:dyDescent="0.2">
      <c r="A83">
        <v>15000</v>
      </c>
      <c r="B83" t="s">
        <v>326</v>
      </c>
      <c r="C83" t="s">
        <v>51</v>
      </c>
      <c r="D83" t="s">
        <v>115</v>
      </c>
      <c r="E83" t="s">
        <v>327</v>
      </c>
      <c r="F83" t="s">
        <v>75</v>
      </c>
      <c r="G83" t="s">
        <v>42</v>
      </c>
      <c r="H83">
        <v>33.495007600000001</v>
      </c>
      <c r="I83">
        <v>-111.9758635</v>
      </c>
      <c r="J83">
        <v>1050</v>
      </c>
      <c r="K83" t="s">
        <v>48</v>
      </c>
      <c r="N83" t="s">
        <v>328</v>
      </c>
      <c r="O83" t="s">
        <v>61</v>
      </c>
      <c r="R83" t="str">
        <f>IFERROR(_xlfn.XLOOKUP($A83,Anova_Live!$B$2:$B$60,Anova_Live!$A$2:$A$60,""),"")</f>
        <v/>
      </c>
      <c r="S83" t="str">
        <f>IFERROR(_xlfn.XLOOKUP($A83,Anova_Live!$B$2:$B$60,Anova_Live!$E$2:$E$60,""),"")</f>
        <v/>
      </c>
      <c r="T83" t="str">
        <f>IFERROR(_xlfn.XLOOKUP($A83,Anova_Live!$B$2:$B$60,Anova_Live!$K$2:$K$60,""),"")</f>
        <v/>
      </c>
      <c r="U83" t="str">
        <f>IFERROR(_xlfn.XLOOKUP($A83,Anova_Live!$B$2:$B$60,Anova_Live!$H$2:$H$60,""),"")</f>
        <v/>
      </c>
      <c r="V83" t="str">
        <f>IFERROR(_xlfn.XLOOKUP($A83,Anova_Live!$B$2:$B$60,Anova_Live!$L$2:$L$60,""),"")</f>
        <v/>
      </c>
      <c r="W83" t="str">
        <f>IFERROR(_xlfn.XLOOKUP($A83,Anova_Live!$B$2:$B$60,Anova_Live!$M$2:$M$60,""),"")</f>
        <v/>
      </c>
      <c r="X83" t="str">
        <f>IFERROR(_xlfn.XLOOKUP($A83,Anova_Live!$B$2:$B$60,Anova_Live!$N$2:$N$60,""),"")</f>
        <v/>
      </c>
    </row>
    <row r="84" spans="1:24" x14ac:dyDescent="0.2">
      <c r="A84">
        <v>15035</v>
      </c>
      <c r="B84" t="s">
        <v>329</v>
      </c>
      <c r="C84" t="s">
        <v>81</v>
      </c>
      <c r="D84" t="s">
        <v>193</v>
      </c>
      <c r="E84" t="s">
        <v>330</v>
      </c>
      <c r="F84" t="s">
        <v>84</v>
      </c>
      <c r="G84" t="s">
        <v>42</v>
      </c>
      <c r="H84">
        <v>33.356210900000001</v>
      </c>
      <c r="I84">
        <v>-111.7893894</v>
      </c>
      <c r="J84">
        <v>1800</v>
      </c>
      <c r="K84" t="s">
        <v>48</v>
      </c>
      <c r="N84" t="s">
        <v>331</v>
      </c>
      <c r="O84" t="s">
        <v>61</v>
      </c>
      <c r="R84" t="str">
        <f>IFERROR(_xlfn.XLOOKUP($A84,Anova_Live!$B$2:$B$60,Anova_Live!$A$2:$A$60,""),"")</f>
        <v/>
      </c>
      <c r="S84" t="str">
        <f>IFERROR(_xlfn.XLOOKUP($A84,Anova_Live!$B$2:$B$60,Anova_Live!$E$2:$E$60,""),"")</f>
        <v/>
      </c>
      <c r="T84" t="str">
        <f>IFERROR(_xlfn.XLOOKUP($A84,Anova_Live!$B$2:$B$60,Anova_Live!$K$2:$K$60,""),"")</f>
        <v/>
      </c>
      <c r="U84" t="str">
        <f>IFERROR(_xlfn.XLOOKUP($A84,Anova_Live!$B$2:$B$60,Anova_Live!$H$2:$H$60,""),"")</f>
        <v/>
      </c>
      <c r="V84" t="str">
        <f>IFERROR(_xlfn.XLOOKUP($A84,Anova_Live!$B$2:$B$60,Anova_Live!$L$2:$L$60,""),"")</f>
        <v/>
      </c>
      <c r="W84" t="str">
        <f>IFERROR(_xlfn.XLOOKUP($A84,Anova_Live!$B$2:$B$60,Anova_Live!$M$2:$M$60,""),"")</f>
        <v/>
      </c>
      <c r="X84" t="str">
        <f>IFERROR(_xlfn.XLOOKUP($A84,Anova_Live!$B$2:$B$60,Anova_Live!$N$2:$N$60,""),"")</f>
        <v/>
      </c>
    </row>
    <row r="85" spans="1:24" x14ac:dyDescent="0.2">
      <c r="A85">
        <v>15001</v>
      </c>
      <c r="B85" t="s">
        <v>332</v>
      </c>
      <c r="C85" t="s">
        <v>51</v>
      </c>
      <c r="D85" t="s">
        <v>52</v>
      </c>
      <c r="E85" t="s">
        <v>333</v>
      </c>
      <c r="F85" t="s">
        <v>54</v>
      </c>
      <c r="G85" t="s">
        <v>42</v>
      </c>
      <c r="H85">
        <v>33.627865500000013</v>
      </c>
      <c r="I85">
        <v>-111.8934385</v>
      </c>
      <c r="J85">
        <v>1050</v>
      </c>
      <c r="K85" t="s">
        <v>48</v>
      </c>
      <c r="N85" t="s">
        <v>334</v>
      </c>
      <c r="O85" t="s">
        <v>61</v>
      </c>
      <c r="R85" t="str">
        <f>IFERROR(_xlfn.XLOOKUP($A85,Anova_Live!$B$2:$B$60,Anova_Live!$A$2:$A$60,""),"")</f>
        <v/>
      </c>
      <c r="S85" t="str">
        <f>IFERROR(_xlfn.XLOOKUP($A85,Anova_Live!$B$2:$B$60,Anova_Live!$E$2:$E$60,""),"")</f>
        <v/>
      </c>
      <c r="T85" t="str">
        <f>IFERROR(_xlfn.XLOOKUP($A85,Anova_Live!$B$2:$B$60,Anova_Live!$K$2:$K$60,""),"")</f>
        <v/>
      </c>
      <c r="U85" t="str">
        <f>IFERROR(_xlfn.XLOOKUP($A85,Anova_Live!$B$2:$B$60,Anova_Live!$H$2:$H$60,""),"")</f>
        <v/>
      </c>
      <c r="V85" t="str">
        <f>IFERROR(_xlfn.XLOOKUP($A85,Anova_Live!$B$2:$B$60,Anova_Live!$L$2:$L$60,""),"")</f>
        <v/>
      </c>
      <c r="W85" t="str">
        <f>IFERROR(_xlfn.XLOOKUP($A85,Anova_Live!$B$2:$B$60,Anova_Live!$M$2:$M$60,""),"")</f>
        <v/>
      </c>
      <c r="X85" t="str">
        <f>IFERROR(_xlfn.XLOOKUP($A85,Anova_Live!$B$2:$B$60,Anova_Live!$N$2:$N$60,""),"")</f>
        <v/>
      </c>
    </row>
    <row r="86" spans="1:24" x14ac:dyDescent="0.2">
      <c r="A86">
        <v>15007</v>
      </c>
      <c r="B86" t="s">
        <v>335</v>
      </c>
      <c r="C86" t="s">
        <v>51</v>
      </c>
      <c r="D86" t="s">
        <v>52</v>
      </c>
      <c r="E86" t="s">
        <v>336</v>
      </c>
      <c r="F86" t="s">
        <v>75</v>
      </c>
      <c r="G86" t="s">
        <v>42</v>
      </c>
      <c r="H86">
        <v>33.5841627</v>
      </c>
      <c r="I86">
        <v>-111.9795489</v>
      </c>
      <c r="J86">
        <v>1050</v>
      </c>
      <c r="K86" t="s">
        <v>48</v>
      </c>
      <c r="O86" t="s">
        <v>61</v>
      </c>
      <c r="P86" t="s">
        <v>337</v>
      </c>
      <c r="R86" t="str">
        <f>IFERROR(_xlfn.XLOOKUP($A86,Anova_Live!$B$2:$B$60,Anova_Live!$A$2:$A$60,""),"")</f>
        <v/>
      </c>
      <c r="S86" t="str">
        <f>IFERROR(_xlfn.XLOOKUP($A86,Anova_Live!$B$2:$B$60,Anova_Live!$E$2:$E$60,""),"")</f>
        <v/>
      </c>
      <c r="T86" t="str">
        <f>IFERROR(_xlfn.XLOOKUP($A86,Anova_Live!$B$2:$B$60,Anova_Live!$K$2:$K$60,""),"")</f>
        <v/>
      </c>
      <c r="U86" t="str">
        <f>IFERROR(_xlfn.XLOOKUP($A86,Anova_Live!$B$2:$B$60,Anova_Live!$H$2:$H$60,""),"")</f>
        <v/>
      </c>
      <c r="V86" t="str">
        <f>IFERROR(_xlfn.XLOOKUP($A86,Anova_Live!$B$2:$B$60,Anova_Live!$L$2:$L$60,""),"")</f>
        <v/>
      </c>
      <c r="W86" t="str">
        <f>IFERROR(_xlfn.XLOOKUP($A86,Anova_Live!$B$2:$B$60,Anova_Live!$M$2:$M$60,""),"")</f>
        <v/>
      </c>
      <c r="X86" t="str">
        <f>IFERROR(_xlfn.XLOOKUP($A86,Anova_Live!$B$2:$B$60,Anova_Live!$N$2:$N$60,""),"")</f>
        <v/>
      </c>
    </row>
    <row r="87" spans="1:24" x14ac:dyDescent="0.2">
      <c r="A87">
        <v>15041</v>
      </c>
      <c r="B87" t="s">
        <v>338</v>
      </c>
      <c r="C87" t="s">
        <v>51</v>
      </c>
      <c r="D87" t="s">
        <v>52</v>
      </c>
      <c r="E87" t="s">
        <v>339</v>
      </c>
      <c r="F87" t="s">
        <v>212</v>
      </c>
      <c r="G87" t="s">
        <v>42</v>
      </c>
      <c r="H87">
        <v>33.627167800000002</v>
      </c>
      <c r="I87">
        <v>-111.89154139999999</v>
      </c>
      <c r="J87">
        <v>630</v>
      </c>
      <c r="K87" t="s">
        <v>48</v>
      </c>
      <c r="N87" t="s">
        <v>122</v>
      </c>
      <c r="O87" t="s">
        <v>61</v>
      </c>
      <c r="R87" t="str">
        <f>IFERROR(_xlfn.XLOOKUP($A87,Anova_Live!$B$2:$B$60,Anova_Live!$A$2:$A$60,""),"")</f>
        <v/>
      </c>
      <c r="S87" t="str">
        <f>IFERROR(_xlfn.XLOOKUP($A87,Anova_Live!$B$2:$B$60,Anova_Live!$E$2:$E$60,""),"")</f>
        <v/>
      </c>
      <c r="T87" t="str">
        <f>IFERROR(_xlfn.XLOOKUP($A87,Anova_Live!$B$2:$B$60,Anova_Live!$K$2:$K$60,""),"")</f>
        <v/>
      </c>
      <c r="U87" t="str">
        <f>IFERROR(_xlfn.XLOOKUP($A87,Anova_Live!$B$2:$B$60,Anova_Live!$H$2:$H$60,""),"")</f>
        <v/>
      </c>
      <c r="V87" t="str">
        <f>IFERROR(_xlfn.XLOOKUP($A87,Anova_Live!$B$2:$B$60,Anova_Live!$L$2:$L$60,""),"")</f>
        <v/>
      </c>
      <c r="W87" t="str">
        <f>IFERROR(_xlfn.XLOOKUP($A87,Anova_Live!$B$2:$B$60,Anova_Live!$M$2:$M$60,""),"")</f>
        <v/>
      </c>
      <c r="X87" t="str">
        <f>IFERROR(_xlfn.XLOOKUP($A87,Anova_Live!$B$2:$B$60,Anova_Live!$N$2:$N$60,""),"")</f>
        <v/>
      </c>
    </row>
    <row r="88" spans="1:24" x14ac:dyDescent="0.2">
      <c r="A88">
        <v>15003</v>
      </c>
      <c r="B88" t="s">
        <v>340</v>
      </c>
      <c r="C88" t="s">
        <v>38</v>
      </c>
      <c r="D88" t="s">
        <v>46</v>
      </c>
      <c r="E88" t="s">
        <v>341</v>
      </c>
      <c r="F88" t="s">
        <v>41</v>
      </c>
      <c r="G88" t="s">
        <v>42</v>
      </c>
      <c r="H88">
        <v>33.638778500000001</v>
      </c>
      <c r="I88">
        <v>-112.2042015</v>
      </c>
      <c r="J88">
        <v>1050</v>
      </c>
      <c r="K88" t="s">
        <v>48</v>
      </c>
      <c r="N88" t="s">
        <v>342</v>
      </c>
      <c r="O88" t="s">
        <v>61</v>
      </c>
      <c r="R88" t="str">
        <f>IFERROR(_xlfn.XLOOKUP($A88,Anova_Live!$B$2:$B$60,Anova_Live!$A$2:$A$60,""),"")</f>
        <v/>
      </c>
      <c r="S88" t="str">
        <f>IFERROR(_xlfn.XLOOKUP($A88,Anova_Live!$B$2:$B$60,Anova_Live!$E$2:$E$60,""),"")</f>
        <v/>
      </c>
      <c r="T88" t="str">
        <f>IFERROR(_xlfn.XLOOKUP($A88,Anova_Live!$B$2:$B$60,Anova_Live!$K$2:$K$60,""),"")</f>
        <v/>
      </c>
      <c r="U88" t="str">
        <f>IFERROR(_xlfn.XLOOKUP($A88,Anova_Live!$B$2:$B$60,Anova_Live!$H$2:$H$60,""),"")</f>
        <v/>
      </c>
      <c r="V88" t="str">
        <f>IFERROR(_xlfn.XLOOKUP($A88,Anova_Live!$B$2:$B$60,Anova_Live!$L$2:$L$60,""),"")</f>
        <v/>
      </c>
      <c r="W88" t="str">
        <f>IFERROR(_xlfn.XLOOKUP($A88,Anova_Live!$B$2:$B$60,Anova_Live!$M$2:$M$60,""),"")</f>
        <v/>
      </c>
      <c r="X88" t="str">
        <f>IFERROR(_xlfn.XLOOKUP($A88,Anova_Live!$B$2:$B$60,Anova_Live!$N$2:$N$60,""),"")</f>
        <v/>
      </c>
    </row>
    <row r="89" spans="1:24" x14ac:dyDescent="0.2">
      <c r="A89">
        <v>15016</v>
      </c>
      <c r="B89" t="s">
        <v>343</v>
      </c>
      <c r="C89" t="s">
        <v>63</v>
      </c>
      <c r="D89" t="s">
        <v>64</v>
      </c>
      <c r="E89" t="s">
        <v>344</v>
      </c>
      <c r="F89" t="s">
        <v>345</v>
      </c>
      <c r="G89" t="s">
        <v>42</v>
      </c>
      <c r="H89">
        <v>33.639402699999998</v>
      </c>
      <c r="I89">
        <v>-112.4230688</v>
      </c>
      <c r="J89">
        <v>630</v>
      </c>
      <c r="K89" t="s">
        <v>48</v>
      </c>
      <c r="N89" t="s">
        <v>122</v>
      </c>
      <c r="O89" t="s">
        <v>61</v>
      </c>
      <c r="R89" t="str">
        <f>IFERROR(_xlfn.XLOOKUP($A89,Anova_Live!$B$2:$B$60,Anova_Live!$A$2:$A$60,""),"")</f>
        <v/>
      </c>
      <c r="S89" t="str">
        <f>IFERROR(_xlfn.XLOOKUP($A89,Anova_Live!$B$2:$B$60,Anova_Live!$E$2:$E$60,""),"")</f>
        <v/>
      </c>
      <c r="T89" t="str">
        <f>IFERROR(_xlfn.XLOOKUP($A89,Anova_Live!$B$2:$B$60,Anova_Live!$K$2:$K$60,""),"")</f>
        <v/>
      </c>
      <c r="U89" t="str">
        <f>IFERROR(_xlfn.XLOOKUP($A89,Anova_Live!$B$2:$B$60,Anova_Live!$H$2:$H$60,""),"")</f>
        <v/>
      </c>
      <c r="V89" t="str">
        <f>IFERROR(_xlfn.XLOOKUP($A89,Anova_Live!$B$2:$B$60,Anova_Live!$L$2:$L$60,""),"")</f>
        <v/>
      </c>
      <c r="W89" t="str">
        <f>IFERROR(_xlfn.XLOOKUP($A89,Anova_Live!$B$2:$B$60,Anova_Live!$M$2:$M$60,""),"")</f>
        <v/>
      </c>
      <c r="X89" t="str">
        <f>IFERROR(_xlfn.XLOOKUP($A89,Anova_Live!$B$2:$B$60,Anova_Live!$N$2:$N$60,""),"")</f>
        <v/>
      </c>
    </row>
    <row r="90" spans="1:24" x14ac:dyDescent="0.2">
      <c r="A90">
        <v>15020</v>
      </c>
      <c r="B90" t="s">
        <v>346</v>
      </c>
      <c r="C90" t="s">
        <v>72</v>
      </c>
      <c r="D90" t="s">
        <v>73</v>
      </c>
      <c r="E90" t="s">
        <v>347</v>
      </c>
      <c r="F90" t="s">
        <v>75</v>
      </c>
      <c r="G90" t="s">
        <v>42</v>
      </c>
      <c r="H90">
        <v>33.5094888</v>
      </c>
      <c r="I90">
        <v>-112.0602469</v>
      </c>
      <c r="J90">
        <v>450</v>
      </c>
      <c r="K90" t="s">
        <v>48</v>
      </c>
      <c r="N90" t="s">
        <v>348</v>
      </c>
      <c r="O90" t="s">
        <v>61</v>
      </c>
      <c r="R90" t="str">
        <f>IFERROR(_xlfn.XLOOKUP($A90,Anova_Live!$B$2:$B$60,Anova_Live!$A$2:$A$60,""),"")</f>
        <v/>
      </c>
      <c r="S90" t="str">
        <f>IFERROR(_xlfn.XLOOKUP($A90,Anova_Live!$B$2:$B$60,Anova_Live!$E$2:$E$60,""),"")</f>
        <v/>
      </c>
      <c r="T90" t="str">
        <f>IFERROR(_xlfn.XLOOKUP($A90,Anova_Live!$B$2:$B$60,Anova_Live!$K$2:$K$60,""),"")</f>
        <v/>
      </c>
      <c r="U90" t="str">
        <f>IFERROR(_xlfn.XLOOKUP($A90,Anova_Live!$B$2:$B$60,Anova_Live!$H$2:$H$60,""),"")</f>
        <v/>
      </c>
      <c r="V90" t="str">
        <f>IFERROR(_xlfn.XLOOKUP($A90,Anova_Live!$B$2:$B$60,Anova_Live!$L$2:$L$60,""),"")</f>
        <v/>
      </c>
      <c r="W90" t="str">
        <f>IFERROR(_xlfn.XLOOKUP($A90,Anova_Live!$B$2:$B$60,Anova_Live!$M$2:$M$60,""),"")</f>
        <v/>
      </c>
      <c r="X90" t="str">
        <f>IFERROR(_xlfn.XLOOKUP($A90,Anova_Live!$B$2:$B$60,Anova_Live!$N$2:$N$60,""),"")</f>
        <v/>
      </c>
    </row>
    <row r="91" spans="1:24" x14ac:dyDescent="0.2">
      <c r="A91">
        <v>15026</v>
      </c>
      <c r="B91" t="s">
        <v>349</v>
      </c>
      <c r="C91" t="s">
        <v>51</v>
      </c>
      <c r="D91" t="s">
        <v>52</v>
      </c>
      <c r="E91" t="s">
        <v>350</v>
      </c>
      <c r="F91" t="s">
        <v>75</v>
      </c>
      <c r="G91" t="s">
        <v>42</v>
      </c>
      <c r="H91">
        <v>33.599670099999997</v>
      </c>
      <c r="I91">
        <v>-111.9823088</v>
      </c>
      <c r="J91">
        <v>630</v>
      </c>
      <c r="K91" t="s">
        <v>48</v>
      </c>
      <c r="N91" t="s">
        <v>351</v>
      </c>
      <c r="R91" t="str">
        <f>IFERROR(_xlfn.XLOOKUP($A91,Anova_Live!$B$2:$B$60,Anova_Live!$A$2:$A$60,""),"")</f>
        <v/>
      </c>
      <c r="S91" t="str">
        <f>IFERROR(_xlfn.XLOOKUP($A91,Anova_Live!$B$2:$B$60,Anova_Live!$E$2:$E$60,""),"")</f>
        <v/>
      </c>
      <c r="T91" t="str">
        <f>IFERROR(_xlfn.XLOOKUP($A91,Anova_Live!$B$2:$B$60,Anova_Live!$K$2:$K$60,""),"")</f>
        <v/>
      </c>
      <c r="U91" t="str">
        <f>IFERROR(_xlfn.XLOOKUP($A91,Anova_Live!$B$2:$B$60,Anova_Live!$H$2:$H$60,""),"")</f>
        <v/>
      </c>
      <c r="V91" t="str">
        <f>IFERROR(_xlfn.XLOOKUP($A91,Anova_Live!$B$2:$B$60,Anova_Live!$L$2:$L$60,""),"")</f>
        <v/>
      </c>
      <c r="W91" t="str">
        <f>IFERROR(_xlfn.XLOOKUP($A91,Anova_Live!$B$2:$B$60,Anova_Live!$M$2:$M$60,""),"")</f>
        <v/>
      </c>
      <c r="X91" t="str">
        <f>IFERROR(_xlfn.XLOOKUP($A91,Anova_Live!$B$2:$B$60,Anova_Live!$N$2:$N$60,""),"")</f>
        <v/>
      </c>
    </row>
    <row r="92" spans="1:24" x14ac:dyDescent="0.2">
      <c r="A92">
        <v>15002</v>
      </c>
      <c r="B92" t="s">
        <v>352</v>
      </c>
      <c r="C92" t="s">
        <v>51</v>
      </c>
      <c r="D92" t="s">
        <v>237</v>
      </c>
      <c r="E92" t="s">
        <v>353</v>
      </c>
      <c r="F92" t="s">
        <v>239</v>
      </c>
      <c r="G92" t="s">
        <v>42</v>
      </c>
      <c r="H92">
        <v>33.827916199999997</v>
      </c>
      <c r="I92">
        <v>-111.9546909</v>
      </c>
      <c r="J92">
        <v>480</v>
      </c>
      <c r="K92" t="s">
        <v>48</v>
      </c>
      <c r="N92" t="s">
        <v>354</v>
      </c>
      <c r="R92" t="str">
        <f>IFERROR(_xlfn.XLOOKUP($A92,Anova_Live!$B$2:$B$60,Anova_Live!$A$2:$A$60,""),"")</f>
        <v/>
      </c>
      <c r="S92" t="str">
        <f>IFERROR(_xlfn.XLOOKUP($A92,Anova_Live!$B$2:$B$60,Anova_Live!$E$2:$E$60,""),"")</f>
        <v/>
      </c>
      <c r="T92" t="str">
        <f>IFERROR(_xlfn.XLOOKUP($A92,Anova_Live!$B$2:$B$60,Anova_Live!$K$2:$K$60,""),"")</f>
        <v/>
      </c>
      <c r="U92" t="str">
        <f>IFERROR(_xlfn.XLOOKUP($A92,Anova_Live!$B$2:$B$60,Anova_Live!$H$2:$H$60,""),"")</f>
        <v/>
      </c>
      <c r="V92" t="str">
        <f>IFERROR(_xlfn.XLOOKUP($A92,Anova_Live!$B$2:$B$60,Anova_Live!$L$2:$L$60,""),"")</f>
        <v/>
      </c>
      <c r="W92" t="str">
        <f>IFERROR(_xlfn.XLOOKUP($A92,Anova_Live!$B$2:$B$60,Anova_Live!$M$2:$M$60,""),"")</f>
        <v/>
      </c>
      <c r="X92" t="str">
        <f>IFERROR(_xlfn.XLOOKUP($A92,Anova_Live!$B$2:$B$60,Anova_Live!$N$2:$N$60,""),"")</f>
        <v/>
      </c>
    </row>
    <row r="93" spans="1:24" x14ac:dyDescent="0.2">
      <c r="A93">
        <v>15025</v>
      </c>
      <c r="B93" t="s">
        <v>355</v>
      </c>
      <c r="C93" t="s">
        <v>51</v>
      </c>
      <c r="D93" t="s">
        <v>168</v>
      </c>
      <c r="E93" t="s">
        <v>356</v>
      </c>
      <c r="F93" t="s">
        <v>219</v>
      </c>
      <c r="G93" t="s">
        <v>42</v>
      </c>
      <c r="H93">
        <v>33.348653400000003</v>
      </c>
      <c r="I93">
        <v>-111.9626165</v>
      </c>
      <c r="J93">
        <v>630</v>
      </c>
      <c r="K93" t="s">
        <v>48</v>
      </c>
      <c r="N93" t="s">
        <v>357</v>
      </c>
      <c r="O93" t="s">
        <v>61</v>
      </c>
      <c r="R93" t="str">
        <f>IFERROR(_xlfn.XLOOKUP($A93,Anova_Live!$B$2:$B$60,Anova_Live!$A$2:$A$60,""),"")</f>
        <v/>
      </c>
      <c r="S93" t="str">
        <f>IFERROR(_xlfn.XLOOKUP($A93,Anova_Live!$B$2:$B$60,Anova_Live!$E$2:$E$60,""),"")</f>
        <v/>
      </c>
      <c r="T93" t="str">
        <f>IFERROR(_xlfn.XLOOKUP($A93,Anova_Live!$B$2:$B$60,Anova_Live!$K$2:$K$60,""),"")</f>
        <v/>
      </c>
      <c r="U93" t="str">
        <f>IFERROR(_xlfn.XLOOKUP($A93,Anova_Live!$B$2:$B$60,Anova_Live!$H$2:$H$60,""),"")</f>
        <v/>
      </c>
      <c r="V93" t="str">
        <f>IFERROR(_xlfn.XLOOKUP($A93,Anova_Live!$B$2:$B$60,Anova_Live!$L$2:$L$60,""),"")</f>
        <v/>
      </c>
      <c r="W93" t="str">
        <f>IFERROR(_xlfn.XLOOKUP($A93,Anova_Live!$B$2:$B$60,Anova_Live!$M$2:$M$60,""),"")</f>
        <v/>
      </c>
      <c r="X93" t="str">
        <f>IFERROR(_xlfn.XLOOKUP($A93,Anova_Live!$B$2:$B$60,Anova_Live!$N$2:$N$60,""),"")</f>
        <v/>
      </c>
    </row>
    <row r="94" spans="1:24" x14ac:dyDescent="0.2">
      <c r="A94">
        <v>15024</v>
      </c>
      <c r="B94" t="s">
        <v>358</v>
      </c>
      <c r="C94" t="s">
        <v>81</v>
      </c>
      <c r="D94" t="s">
        <v>193</v>
      </c>
      <c r="E94" t="s">
        <v>359</v>
      </c>
      <c r="F94" t="s">
        <v>84</v>
      </c>
      <c r="G94" t="s">
        <v>42</v>
      </c>
      <c r="H94">
        <v>33.355855600000012</v>
      </c>
      <c r="I94">
        <v>-111.7899633</v>
      </c>
      <c r="J94">
        <v>450</v>
      </c>
      <c r="K94" t="s">
        <v>48</v>
      </c>
      <c r="N94" t="s">
        <v>360</v>
      </c>
      <c r="R94" t="str">
        <f>IFERROR(_xlfn.XLOOKUP($A94,Anova_Live!$B$2:$B$60,Anova_Live!$A$2:$A$60,""),"")</f>
        <v/>
      </c>
      <c r="S94" t="str">
        <f>IFERROR(_xlfn.XLOOKUP($A94,Anova_Live!$B$2:$B$60,Anova_Live!$E$2:$E$60,""),"")</f>
        <v/>
      </c>
      <c r="T94" t="str">
        <f>IFERROR(_xlfn.XLOOKUP($A94,Anova_Live!$B$2:$B$60,Anova_Live!$K$2:$K$60,""),"")</f>
        <v/>
      </c>
      <c r="U94" t="str">
        <f>IFERROR(_xlfn.XLOOKUP($A94,Anova_Live!$B$2:$B$60,Anova_Live!$H$2:$H$60,""),"")</f>
        <v/>
      </c>
      <c r="V94" t="str">
        <f>IFERROR(_xlfn.XLOOKUP($A94,Anova_Live!$B$2:$B$60,Anova_Live!$L$2:$L$60,""),"")</f>
        <v/>
      </c>
      <c r="W94" t="str">
        <f>IFERROR(_xlfn.XLOOKUP($A94,Anova_Live!$B$2:$B$60,Anova_Live!$M$2:$M$60,""),"")</f>
        <v/>
      </c>
      <c r="X94" t="str">
        <f>IFERROR(_xlfn.XLOOKUP($A94,Anova_Live!$B$2:$B$60,Anova_Live!$N$2:$N$60,""),"")</f>
        <v/>
      </c>
    </row>
    <row r="95" spans="1:24" x14ac:dyDescent="0.2">
      <c r="A95">
        <v>15027</v>
      </c>
      <c r="B95" t="s">
        <v>361</v>
      </c>
      <c r="C95" t="s">
        <v>51</v>
      </c>
      <c r="D95" t="s">
        <v>78</v>
      </c>
      <c r="E95" t="s">
        <v>362</v>
      </c>
      <c r="F95" t="s">
        <v>160</v>
      </c>
      <c r="G95" t="s">
        <v>42</v>
      </c>
      <c r="H95">
        <v>33.277746499999999</v>
      </c>
      <c r="I95">
        <v>-111.8756684</v>
      </c>
      <c r="J95">
        <v>660</v>
      </c>
      <c r="K95" t="s">
        <v>48</v>
      </c>
      <c r="N95" t="s">
        <v>363</v>
      </c>
      <c r="O95" t="s">
        <v>61</v>
      </c>
      <c r="R95" t="str">
        <f>IFERROR(_xlfn.XLOOKUP($A95,Anova_Live!$B$2:$B$60,Anova_Live!$A$2:$A$60,""),"")</f>
        <v/>
      </c>
      <c r="S95" t="str">
        <f>IFERROR(_xlfn.XLOOKUP($A95,Anova_Live!$B$2:$B$60,Anova_Live!$E$2:$E$60,""),"")</f>
        <v/>
      </c>
      <c r="T95" t="str">
        <f>IFERROR(_xlfn.XLOOKUP($A95,Anova_Live!$B$2:$B$60,Anova_Live!$K$2:$K$60,""),"")</f>
        <v/>
      </c>
      <c r="U95" t="str">
        <f>IFERROR(_xlfn.XLOOKUP($A95,Anova_Live!$B$2:$B$60,Anova_Live!$H$2:$H$60,""),"")</f>
        <v/>
      </c>
      <c r="V95" t="str">
        <f>IFERROR(_xlfn.XLOOKUP($A95,Anova_Live!$B$2:$B$60,Anova_Live!$L$2:$L$60,""),"")</f>
        <v/>
      </c>
      <c r="W95" t="str">
        <f>IFERROR(_xlfn.XLOOKUP($A95,Anova_Live!$B$2:$B$60,Anova_Live!$M$2:$M$60,""),"")</f>
        <v/>
      </c>
      <c r="X95" t="str">
        <f>IFERROR(_xlfn.XLOOKUP($A95,Anova_Live!$B$2:$B$60,Anova_Live!$N$2:$N$60,""),"")</f>
        <v/>
      </c>
    </row>
    <row r="96" spans="1:24" x14ac:dyDescent="0.2">
      <c r="R96">
        <f>IFERROR(_xlfn.XLOOKUP($A96,Anova_Live!$B$2:$B$60,Anova_Live!$A$2:$A$60,""),"")</f>
        <v>124677515</v>
      </c>
      <c r="S96">
        <f>IFERROR(_xlfn.XLOOKUP($A96,Anova_Live!$B$2:$B$60,Anova_Live!$E$2:$E$60,""),"")</f>
        <v>825.94074998567567</v>
      </c>
      <c r="T96" t="str">
        <f>IFERROR(_xlfn.XLOOKUP($A96,Anova_Live!$B$2:$B$60,Anova_Live!$K$2:$K$60,""),"")</f>
        <v/>
      </c>
      <c r="U96" t="str">
        <f>IFERROR(_xlfn.XLOOKUP($A96,Anova_Live!$B$2:$B$60,Anova_Live!$H$2:$H$60,""),"")</f>
        <v>2026-05-06T11:00:42Z</v>
      </c>
      <c r="V96">
        <f>IFERROR(_xlfn.XLOOKUP($A96,Anova_Live!$B$2:$B$60,Anova_Live!$L$2:$L$60,""),"")</f>
        <v>-826</v>
      </c>
      <c r="W96" t="str">
        <f ca="1">IFERROR(_xlfn.XLOOKUP($A96,Anova_Live!$B$2:$B$60,Anova_Live!$M$2:$M$60,""),"")</f>
        <v/>
      </c>
      <c r="X96" t="str">
        <f>IFERROR(_xlfn.XLOOKUP($A96,Anova_Live!$B$2:$B$60,Anova_Live!$N$2:$N$60,""),"")</f>
        <v>push</v>
      </c>
    </row>
    <row r="97" spans="1:24" x14ac:dyDescent="0.2">
      <c r="A97">
        <v>15005</v>
      </c>
      <c r="B97" t="s">
        <v>364</v>
      </c>
      <c r="C97" t="s">
        <v>63</v>
      </c>
      <c r="D97" t="s">
        <v>87</v>
      </c>
      <c r="E97" t="s">
        <v>365</v>
      </c>
      <c r="F97" t="s">
        <v>89</v>
      </c>
      <c r="G97" t="s">
        <v>42</v>
      </c>
      <c r="H97">
        <v>33.464940499999997</v>
      </c>
      <c r="I97">
        <v>-112.3879295</v>
      </c>
      <c r="J97">
        <v>660</v>
      </c>
      <c r="K97" t="s">
        <v>48</v>
      </c>
      <c r="N97" t="s">
        <v>366</v>
      </c>
      <c r="O97" t="s">
        <v>61</v>
      </c>
      <c r="R97" t="str">
        <f>IFERROR(_xlfn.XLOOKUP($A97,Anova_Live!$B$2:$B$60,Anova_Live!$A$2:$A$60,""),"")</f>
        <v/>
      </c>
      <c r="S97" t="str">
        <f>IFERROR(_xlfn.XLOOKUP($A97,Anova_Live!$B$2:$B$60,Anova_Live!$E$2:$E$60,""),"")</f>
        <v/>
      </c>
      <c r="T97" t="str">
        <f>IFERROR(_xlfn.XLOOKUP($A97,Anova_Live!$B$2:$B$60,Anova_Live!$K$2:$K$60,""),"")</f>
        <v/>
      </c>
      <c r="U97" t="str">
        <f>IFERROR(_xlfn.XLOOKUP($A97,Anova_Live!$B$2:$B$60,Anova_Live!$H$2:$H$60,""),"")</f>
        <v/>
      </c>
      <c r="V97" t="str">
        <f>IFERROR(_xlfn.XLOOKUP($A97,Anova_Live!$B$2:$B$60,Anova_Live!$L$2:$L$60,""),"")</f>
        <v/>
      </c>
      <c r="W97" t="str">
        <f>IFERROR(_xlfn.XLOOKUP($A97,Anova_Live!$B$2:$B$60,Anova_Live!$M$2:$M$60,""),"")</f>
        <v/>
      </c>
      <c r="X97" t="str">
        <f>IFERROR(_xlfn.XLOOKUP($A97,Anova_Live!$B$2:$B$60,Anova_Live!$N$2:$N$60,""),"")</f>
        <v/>
      </c>
    </row>
    <row r="98" spans="1:24" x14ac:dyDescent="0.2">
      <c r="A98">
        <v>15009</v>
      </c>
      <c r="B98" t="s">
        <v>367</v>
      </c>
      <c r="C98" t="s">
        <v>81</v>
      </c>
      <c r="D98" t="s">
        <v>82</v>
      </c>
      <c r="E98" t="s">
        <v>368</v>
      </c>
      <c r="F98" t="s">
        <v>369</v>
      </c>
      <c r="G98" t="s">
        <v>42</v>
      </c>
      <c r="H98">
        <v>33.253677600000003</v>
      </c>
      <c r="I98">
        <v>-111.6372362</v>
      </c>
      <c r="J98">
        <v>500</v>
      </c>
      <c r="K98" t="s">
        <v>48</v>
      </c>
      <c r="N98" t="s">
        <v>370</v>
      </c>
      <c r="R98" t="str">
        <f>IFERROR(_xlfn.XLOOKUP($A98,Anova_Live!$B$2:$B$60,Anova_Live!$A$2:$A$60,""),"")</f>
        <v/>
      </c>
      <c r="S98" t="str">
        <f>IFERROR(_xlfn.XLOOKUP($A98,Anova_Live!$B$2:$B$60,Anova_Live!$E$2:$E$60,""),"")</f>
        <v/>
      </c>
      <c r="T98" t="str">
        <f>IFERROR(_xlfn.XLOOKUP($A98,Anova_Live!$B$2:$B$60,Anova_Live!$K$2:$K$60,""),"")</f>
        <v/>
      </c>
      <c r="U98" t="str">
        <f>IFERROR(_xlfn.XLOOKUP($A98,Anova_Live!$B$2:$B$60,Anova_Live!$H$2:$H$60,""),"")</f>
        <v/>
      </c>
      <c r="V98" t="str">
        <f>IFERROR(_xlfn.XLOOKUP($A98,Anova_Live!$B$2:$B$60,Anova_Live!$L$2:$L$60,""),"")</f>
        <v/>
      </c>
      <c r="W98" t="str">
        <f>IFERROR(_xlfn.XLOOKUP($A98,Anova_Live!$B$2:$B$60,Anova_Live!$M$2:$M$60,""),"")</f>
        <v/>
      </c>
      <c r="X98" t="str">
        <f>IFERROR(_xlfn.XLOOKUP($A98,Anova_Live!$B$2:$B$60,Anova_Live!$N$2:$N$60,""),"")</f>
        <v/>
      </c>
    </row>
    <row r="99" spans="1:24" x14ac:dyDescent="0.2">
      <c r="A99">
        <v>15023</v>
      </c>
      <c r="B99" t="s">
        <v>371</v>
      </c>
      <c r="C99" t="s">
        <v>51</v>
      </c>
      <c r="D99" t="s">
        <v>168</v>
      </c>
      <c r="E99" t="s">
        <v>372</v>
      </c>
      <c r="F99" t="s">
        <v>99</v>
      </c>
      <c r="G99" t="s">
        <v>42</v>
      </c>
      <c r="H99">
        <v>33.393939899999999</v>
      </c>
      <c r="I99">
        <v>-111.8750816</v>
      </c>
      <c r="J99">
        <v>630</v>
      </c>
      <c r="K99" t="s">
        <v>48</v>
      </c>
      <c r="N99" t="s">
        <v>373</v>
      </c>
      <c r="R99" t="str">
        <f>IFERROR(_xlfn.XLOOKUP($A99,Anova_Live!$B$2:$B$60,Anova_Live!$A$2:$A$60,""),"")</f>
        <v/>
      </c>
      <c r="S99" t="str">
        <f>IFERROR(_xlfn.XLOOKUP($A99,Anova_Live!$B$2:$B$60,Anova_Live!$E$2:$E$60,""),"")</f>
        <v/>
      </c>
      <c r="T99" t="str">
        <f>IFERROR(_xlfn.XLOOKUP($A99,Anova_Live!$B$2:$B$60,Anova_Live!$K$2:$K$60,""),"")</f>
        <v/>
      </c>
      <c r="U99" t="str">
        <f>IFERROR(_xlfn.XLOOKUP($A99,Anova_Live!$B$2:$B$60,Anova_Live!$H$2:$H$60,""),"")</f>
        <v/>
      </c>
      <c r="V99" t="str">
        <f>IFERROR(_xlfn.XLOOKUP($A99,Anova_Live!$B$2:$B$60,Anova_Live!$L$2:$L$60,""),"")</f>
        <v/>
      </c>
      <c r="W99" t="str">
        <f>IFERROR(_xlfn.XLOOKUP($A99,Anova_Live!$B$2:$B$60,Anova_Live!$M$2:$M$60,""),"")</f>
        <v/>
      </c>
      <c r="X99" t="str">
        <f>IFERROR(_xlfn.XLOOKUP($A99,Anova_Live!$B$2:$B$60,Anova_Live!$N$2:$N$60,""),"")</f>
        <v/>
      </c>
    </row>
    <row r="100" spans="1:24" x14ac:dyDescent="0.2">
      <c r="A100">
        <v>15015</v>
      </c>
      <c r="B100" t="s">
        <v>374</v>
      </c>
      <c r="C100" t="s">
        <v>81</v>
      </c>
      <c r="D100" t="s">
        <v>193</v>
      </c>
      <c r="E100" t="s">
        <v>375</v>
      </c>
      <c r="F100" t="s">
        <v>99</v>
      </c>
      <c r="G100" t="s">
        <v>42</v>
      </c>
      <c r="H100">
        <v>33.383219799999999</v>
      </c>
      <c r="I100">
        <v>-111.68381479999999</v>
      </c>
      <c r="J100">
        <v>500</v>
      </c>
      <c r="K100" t="s">
        <v>48</v>
      </c>
      <c r="N100" t="s">
        <v>122</v>
      </c>
      <c r="R100" t="str">
        <f>IFERROR(_xlfn.XLOOKUP($A100,Anova_Live!$B$2:$B$60,Anova_Live!$A$2:$A$60,""),"")</f>
        <v/>
      </c>
      <c r="S100" t="str">
        <f>IFERROR(_xlfn.XLOOKUP($A100,Anova_Live!$B$2:$B$60,Anova_Live!$E$2:$E$60,""),"")</f>
        <v/>
      </c>
      <c r="T100" t="str">
        <f>IFERROR(_xlfn.XLOOKUP($A100,Anova_Live!$B$2:$B$60,Anova_Live!$K$2:$K$60,""),"")</f>
        <v/>
      </c>
      <c r="U100" t="str">
        <f>IFERROR(_xlfn.XLOOKUP($A100,Anova_Live!$B$2:$B$60,Anova_Live!$H$2:$H$60,""),"")</f>
        <v/>
      </c>
      <c r="V100" t="str">
        <f>IFERROR(_xlfn.XLOOKUP($A100,Anova_Live!$B$2:$B$60,Anova_Live!$L$2:$L$60,""),"")</f>
        <v/>
      </c>
      <c r="W100" t="str">
        <f>IFERROR(_xlfn.XLOOKUP($A100,Anova_Live!$B$2:$B$60,Anova_Live!$M$2:$M$60,""),"")</f>
        <v/>
      </c>
      <c r="X100" t="str">
        <f>IFERROR(_xlfn.XLOOKUP($A100,Anova_Live!$B$2:$B$60,Anova_Live!$N$2:$N$60,""),"")</f>
        <v/>
      </c>
    </row>
    <row r="101" spans="1:24" x14ac:dyDescent="0.2">
      <c r="A101">
        <v>15018</v>
      </c>
      <c r="B101" t="s">
        <v>376</v>
      </c>
      <c r="C101" t="s">
        <v>51</v>
      </c>
      <c r="D101" t="s">
        <v>115</v>
      </c>
      <c r="E101" t="s">
        <v>377</v>
      </c>
      <c r="F101" t="s">
        <v>54</v>
      </c>
      <c r="G101" t="s">
        <v>42</v>
      </c>
      <c r="H101">
        <v>33.483285199999997</v>
      </c>
      <c r="I101">
        <v>-111.9267136</v>
      </c>
      <c r="J101">
        <v>660</v>
      </c>
      <c r="K101" t="s">
        <v>48</v>
      </c>
      <c r="N101" t="s">
        <v>378</v>
      </c>
      <c r="O101" t="s">
        <v>61</v>
      </c>
      <c r="R101" t="str">
        <f>IFERROR(_xlfn.XLOOKUP($A101,Anova_Live!$B$2:$B$60,Anova_Live!$A$2:$A$60,""),"")</f>
        <v/>
      </c>
      <c r="S101" t="str">
        <f>IFERROR(_xlfn.XLOOKUP($A101,Anova_Live!$B$2:$B$60,Anova_Live!$E$2:$E$60,""),"")</f>
        <v/>
      </c>
      <c r="T101" t="str">
        <f>IFERROR(_xlfn.XLOOKUP($A101,Anova_Live!$B$2:$B$60,Anova_Live!$K$2:$K$60,""),"")</f>
        <v/>
      </c>
      <c r="U101" t="str">
        <f>IFERROR(_xlfn.XLOOKUP($A101,Anova_Live!$B$2:$B$60,Anova_Live!$H$2:$H$60,""),"")</f>
        <v/>
      </c>
      <c r="V101" t="str">
        <f>IFERROR(_xlfn.XLOOKUP($A101,Anova_Live!$B$2:$B$60,Anova_Live!$L$2:$L$60,""),"")</f>
        <v/>
      </c>
      <c r="W101" t="str">
        <f>IFERROR(_xlfn.XLOOKUP($A101,Anova_Live!$B$2:$B$60,Anova_Live!$M$2:$M$60,""),"")</f>
        <v/>
      </c>
      <c r="X101" t="str">
        <f>IFERROR(_xlfn.XLOOKUP($A101,Anova_Live!$B$2:$B$60,Anova_Live!$N$2:$N$60,""),"")</f>
        <v/>
      </c>
    </row>
    <row r="102" spans="1:24" x14ac:dyDescent="0.2">
      <c r="A102">
        <v>15051</v>
      </c>
      <c r="B102" t="s">
        <v>379</v>
      </c>
      <c r="C102" t="s">
        <v>81</v>
      </c>
      <c r="D102" t="s">
        <v>82</v>
      </c>
      <c r="E102" t="s">
        <v>380</v>
      </c>
      <c r="F102" t="s">
        <v>84</v>
      </c>
      <c r="G102" t="s">
        <v>42</v>
      </c>
      <c r="H102">
        <v>33.306136599999988</v>
      </c>
      <c r="I102">
        <v>-111.7047128</v>
      </c>
      <c r="J102">
        <v>350</v>
      </c>
      <c r="K102" t="s">
        <v>48</v>
      </c>
      <c r="N102" t="s">
        <v>381</v>
      </c>
      <c r="R102" t="str">
        <f>IFERROR(_xlfn.XLOOKUP($A102,Anova_Live!$B$2:$B$60,Anova_Live!$A$2:$A$60,""),"")</f>
        <v/>
      </c>
      <c r="S102" t="str">
        <f>IFERROR(_xlfn.XLOOKUP($A102,Anova_Live!$B$2:$B$60,Anova_Live!$E$2:$E$60,""),"")</f>
        <v/>
      </c>
      <c r="T102" t="str">
        <f>IFERROR(_xlfn.XLOOKUP($A102,Anova_Live!$B$2:$B$60,Anova_Live!$K$2:$K$60,""),"")</f>
        <v/>
      </c>
      <c r="U102" t="str">
        <f>IFERROR(_xlfn.XLOOKUP($A102,Anova_Live!$B$2:$B$60,Anova_Live!$H$2:$H$60,""),"")</f>
        <v/>
      </c>
      <c r="V102" t="str">
        <f>IFERROR(_xlfn.XLOOKUP($A102,Anova_Live!$B$2:$B$60,Anova_Live!$L$2:$L$60,""),"")</f>
        <v/>
      </c>
      <c r="W102" t="str">
        <f>IFERROR(_xlfn.XLOOKUP($A102,Anova_Live!$B$2:$B$60,Anova_Live!$M$2:$M$60,""),"")</f>
        <v/>
      </c>
      <c r="X102" t="str">
        <f>IFERROR(_xlfn.XLOOKUP($A102,Anova_Live!$B$2:$B$60,Anova_Live!$N$2:$N$60,""),"")</f>
        <v/>
      </c>
    </row>
    <row r="103" spans="1:24" x14ac:dyDescent="0.2">
      <c r="A103">
        <v>16006</v>
      </c>
      <c r="B103" t="s">
        <v>382</v>
      </c>
      <c r="C103" t="s">
        <v>51</v>
      </c>
      <c r="D103" t="s">
        <v>115</v>
      </c>
      <c r="E103" t="s">
        <v>383</v>
      </c>
      <c r="F103" t="s">
        <v>75</v>
      </c>
      <c r="G103" t="s">
        <v>42</v>
      </c>
      <c r="H103">
        <v>33.495720900000002</v>
      </c>
      <c r="I103">
        <v>-111.9866128</v>
      </c>
      <c r="J103">
        <v>950</v>
      </c>
      <c r="K103" t="s">
        <v>43</v>
      </c>
      <c r="N103" t="s">
        <v>384</v>
      </c>
      <c r="P103" t="s">
        <v>385</v>
      </c>
      <c r="R103" t="str">
        <f>IFERROR(_xlfn.XLOOKUP($A103,Anova_Live!$B$2:$B$60,Anova_Live!$A$2:$A$60,""),"")</f>
        <v/>
      </c>
      <c r="S103" t="str">
        <f>IFERROR(_xlfn.XLOOKUP($A103,Anova_Live!$B$2:$B$60,Anova_Live!$E$2:$E$60,""),"")</f>
        <v/>
      </c>
      <c r="T103" t="str">
        <f>IFERROR(_xlfn.XLOOKUP($A103,Anova_Live!$B$2:$B$60,Anova_Live!$K$2:$K$60,""),"")</f>
        <v/>
      </c>
      <c r="U103" t="str">
        <f>IFERROR(_xlfn.XLOOKUP($A103,Anova_Live!$B$2:$B$60,Anova_Live!$H$2:$H$60,""),"")</f>
        <v/>
      </c>
      <c r="V103" t="str">
        <f>IFERROR(_xlfn.XLOOKUP($A103,Anova_Live!$B$2:$B$60,Anova_Live!$L$2:$L$60,""),"")</f>
        <v/>
      </c>
      <c r="W103" t="str">
        <f>IFERROR(_xlfn.XLOOKUP($A103,Anova_Live!$B$2:$B$60,Anova_Live!$M$2:$M$60,""),"")</f>
        <v/>
      </c>
      <c r="X103" t="str">
        <f>IFERROR(_xlfn.XLOOKUP($A103,Anova_Live!$B$2:$B$60,Anova_Live!$N$2:$N$60,""),"")</f>
        <v/>
      </c>
    </row>
    <row r="104" spans="1:24" x14ac:dyDescent="0.2">
      <c r="A104">
        <v>16007</v>
      </c>
      <c r="B104" t="s">
        <v>386</v>
      </c>
      <c r="C104" t="s">
        <v>51</v>
      </c>
      <c r="D104" t="s">
        <v>168</v>
      </c>
      <c r="E104" t="s">
        <v>387</v>
      </c>
      <c r="F104" t="s">
        <v>219</v>
      </c>
      <c r="G104" t="s">
        <v>42</v>
      </c>
      <c r="H104">
        <v>33.414431499999999</v>
      </c>
      <c r="I104">
        <v>-111.9237294</v>
      </c>
      <c r="J104">
        <v>950</v>
      </c>
      <c r="K104" t="s">
        <v>43</v>
      </c>
      <c r="N104" t="s">
        <v>388</v>
      </c>
      <c r="P104" t="s">
        <v>389</v>
      </c>
      <c r="R104" t="str">
        <f>IFERROR(_xlfn.XLOOKUP($A104,Anova_Live!$B$2:$B$60,Anova_Live!$A$2:$A$60,""),"")</f>
        <v/>
      </c>
      <c r="S104" t="str">
        <f>IFERROR(_xlfn.XLOOKUP($A104,Anova_Live!$B$2:$B$60,Anova_Live!$E$2:$E$60,""),"")</f>
        <v/>
      </c>
      <c r="T104" t="str">
        <f>IFERROR(_xlfn.XLOOKUP($A104,Anova_Live!$B$2:$B$60,Anova_Live!$K$2:$K$60,""),"")</f>
        <v/>
      </c>
      <c r="U104" t="str">
        <f>IFERROR(_xlfn.XLOOKUP($A104,Anova_Live!$B$2:$B$60,Anova_Live!$H$2:$H$60,""),"")</f>
        <v/>
      </c>
      <c r="V104" t="str">
        <f>IFERROR(_xlfn.XLOOKUP($A104,Anova_Live!$B$2:$B$60,Anova_Live!$L$2:$L$60,""),"")</f>
        <v/>
      </c>
      <c r="W104" t="str">
        <f>IFERROR(_xlfn.XLOOKUP($A104,Anova_Live!$B$2:$B$60,Anova_Live!$M$2:$M$60,""),"")</f>
        <v/>
      </c>
      <c r="X104" t="str">
        <f>IFERROR(_xlfn.XLOOKUP($A104,Anova_Live!$B$2:$B$60,Anova_Live!$N$2:$N$60,""),"")</f>
        <v/>
      </c>
    </row>
    <row r="105" spans="1:24" x14ac:dyDescent="0.2">
      <c r="A105">
        <v>16004</v>
      </c>
      <c r="B105" t="s">
        <v>390</v>
      </c>
      <c r="C105" t="s">
        <v>72</v>
      </c>
      <c r="D105" t="s">
        <v>131</v>
      </c>
      <c r="E105" t="s">
        <v>391</v>
      </c>
      <c r="F105" t="s">
        <v>75</v>
      </c>
      <c r="G105" t="s">
        <v>42</v>
      </c>
      <c r="H105">
        <v>33.436498399999998</v>
      </c>
      <c r="I105">
        <v>-112.0584386</v>
      </c>
      <c r="J105">
        <v>950</v>
      </c>
      <c r="K105" t="s">
        <v>43</v>
      </c>
      <c r="N105" t="s">
        <v>392</v>
      </c>
      <c r="P105" t="s">
        <v>393</v>
      </c>
      <c r="R105" t="str">
        <f>IFERROR(_xlfn.XLOOKUP($A105,Anova_Live!$B$2:$B$60,Anova_Live!$A$2:$A$60,""),"")</f>
        <v/>
      </c>
      <c r="S105" t="str">
        <f>IFERROR(_xlfn.XLOOKUP($A105,Anova_Live!$B$2:$B$60,Anova_Live!$E$2:$E$60,""),"")</f>
        <v/>
      </c>
      <c r="T105" t="str">
        <f>IFERROR(_xlfn.XLOOKUP($A105,Anova_Live!$B$2:$B$60,Anova_Live!$K$2:$K$60,""),"")</f>
        <v/>
      </c>
      <c r="U105" t="str">
        <f>IFERROR(_xlfn.XLOOKUP($A105,Anova_Live!$B$2:$B$60,Anova_Live!$H$2:$H$60,""),"")</f>
        <v/>
      </c>
      <c r="V105" t="str">
        <f>IFERROR(_xlfn.XLOOKUP($A105,Anova_Live!$B$2:$B$60,Anova_Live!$L$2:$L$60,""),"")</f>
        <v/>
      </c>
      <c r="W105" t="str">
        <f>IFERROR(_xlfn.XLOOKUP($A105,Anova_Live!$B$2:$B$60,Anova_Live!$M$2:$M$60,""),"")</f>
        <v/>
      </c>
      <c r="X105" t="str">
        <f>IFERROR(_xlfn.XLOOKUP($A105,Anova_Live!$B$2:$B$60,Anova_Live!$N$2:$N$60,""),"")</f>
        <v/>
      </c>
    </row>
    <row r="106" spans="1:24" x14ac:dyDescent="0.2">
      <c r="A106">
        <v>16003</v>
      </c>
      <c r="B106" t="s">
        <v>394</v>
      </c>
      <c r="C106" t="s">
        <v>72</v>
      </c>
      <c r="D106" t="s">
        <v>131</v>
      </c>
      <c r="E106" t="s">
        <v>395</v>
      </c>
      <c r="F106" t="s">
        <v>75</v>
      </c>
      <c r="G106" t="s">
        <v>42</v>
      </c>
      <c r="H106">
        <v>33.410806299999997</v>
      </c>
      <c r="I106">
        <v>-112.073633</v>
      </c>
      <c r="J106">
        <v>950</v>
      </c>
      <c r="K106" t="s">
        <v>43</v>
      </c>
      <c r="N106" t="s">
        <v>396</v>
      </c>
      <c r="P106" t="s">
        <v>397</v>
      </c>
      <c r="R106" t="str">
        <f>IFERROR(_xlfn.XLOOKUP($A106,Anova_Live!$B$2:$B$60,Anova_Live!$A$2:$A$60,""),"")</f>
        <v/>
      </c>
      <c r="S106" t="str">
        <f>IFERROR(_xlfn.XLOOKUP($A106,Anova_Live!$B$2:$B$60,Anova_Live!$E$2:$E$60,""),"")</f>
        <v/>
      </c>
      <c r="T106" t="str">
        <f>IFERROR(_xlfn.XLOOKUP($A106,Anova_Live!$B$2:$B$60,Anova_Live!$K$2:$K$60,""),"")</f>
        <v/>
      </c>
      <c r="U106" t="str">
        <f>IFERROR(_xlfn.XLOOKUP($A106,Anova_Live!$B$2:$B$60,Anova_Live!$H$2:$H$60,""),"")</f>
        <v/>
      </c>
      <c r="V106" t="str">
        <f>IFERROR(_xlfn.XLOOKUP($A106,Anova_Live!$B$2:$B$60,Anova_Live!$L$2:$L$60,""),"")</f>
        <v/>
      </c>
      <c r="W106" t="str">
        <f>IFERROR(_xlfn.XLOOKUP($A106,Anova_Live!$B$2:$B$60,Anova_Live!$M$2:$M$60,""),"")</f>
        <v/>
      </c>
      <c r="X106" t="str">
        <f>IFERROR(_xlfn.XLOOKUP($A106,Anova_Live!$B$2:$B$60,Anova_Live!$N$2:$N$60,""),"")</f>
        <v/>
      </c>
    </row>
    <row r="107" spans="1:24" x14ac:dyDescent="0.2">
      <c r="A107">
        <v>16008</v>
      </c>
      <c r="B107" t="s">
        <v>398</v>
      </c>
      <c r="C107" t="s">
        <v>38</v>
      </c>
      <c r="D107" t="s">
        <v>39</v>
      </c>
      <c r="E107" t="s">
        <v>399</v>
      </c>
      <c r="F107" t="s">
        <v>41</v>
      </c>
      <c r="G107" t="s">
        <v>42</v>
      </c>
      <c r="H107">
        <v>33.5387591</v>
      </c>
      <c r="I107">
        <v>-112.1783937</v>
      </c>
      <c r="J107">
        <v>950</v>
      </c>
      <c r="K107" t="s">
        <v>43</v>
      </c>
      <c r="N107" t="s">
        <v>400</v>
      </c>
      <c r="P107" t="s">
        <v>401</v>
      </c>
      <c r="R107" t="str">
        <f>IFERROR(_xlfn.XLOOKUP($A107,Anova_Live!$B$2:$B$60,Anova_Live!$A$2:$A$60,""),"")</f>
        <v/>
      </c>
      <c r="S107" t="str">
        <f>IFERROR(_xlfn.XLOOKUP($A107,Anova_Live!$B$2:$B$60,Anova_Live!$E$2:$E$60,""),"")</f>
        <v/>
      </c>
      <c r="T107" t="str">
        <f>IFERROR(_xlfn.XLOOKUP($A107,Anova_Live!$B$2:$B$60,Anova_Live!$K$2:$K$60,""),"")</f>
        <v/>
      </c>
      <c r="U107" t="str">
        <f>IFERROR(_xlfn.XLOOKUP($A107,Anova_Live!$B$2:$B$60,Anova_Live!$H$2:$H$60,""),"")</f>
        <v/>
      </c>
      <c r="V107" t="str">
        <f>IFERROR(_xlfn.XLOOKUP($A107,Anova_Live!$B$2:$B$60,Anova_Live!$L$2:$L$60,""),"")</f>
        <v/>
      </c>
      <c r="W107" t="str">
        <f>IFERROR(_xlfn.XLOOKUP($A107,Anova_Live!$B$2:$B$60,Anova_Live!$M$2:$M$60,""),"")</f>
        <v/>
      </c>
      <c r="X107" t="str">
        <f>IFERROR(_xlfn.XLOOKUP($A107,Anova_Live!$B$2:$B$60,Anova_Live!$N$2:$N$60,""),"")</f>
        <v/>
      </c>
    </row>
    <row r="108" spans="1:24" x14ac:dyDescent="0.2">
      <c r="A108">
        <v>16009</v>
      </c>
      <c r="B108" t="s">
        <v>402</v>
      </c>
      <c r="C108" t="s">
        <v>51</v>
      </c>
      <c r="D108" t="s">
        <v>168</v>
      </c>
      <c r="E108" t="s">
        <v>403</v>
      </c>
      <c r="F108" t="s">
        <v>99</v>
      </c>
      <c r="G108" t="s">
        <v>42</v>
      </c>
      <c r="H108">
        <v>33.414418400000002</v>
      </c>
      <c r="I108">
        <v>-111.8233194</v>
      </c>
      <c r="J108">
        <v>1950</v>
      </c>
      <c r="K108" t="s">
        <v>43</v>
      </c>
      <c r="N108" t="s">
        <v>404</v>
      </c>
      <c r="P108" t="s">
        <v>393</v>
      </c>
      <c r="R108" t="str">
        <f>IFERROR(_xlfn.XLOOKUP($A108,Anova_Live!$B$2:$B$60,Anova_Live!$A$2:$A$60,""),"")</f>
        <v/>
      </c>
      <c r="S108" t="str">
        <f>IFERROR(_xlfn.XLOOKUP($A108,Anova_Live!$B$2:$B$60,Anova_Live!$E$2:$E$60,""),"")</f>
        <v/>
      </c>
      <c r="T108" t="str">
        <f>IFERROR(_xlfn.XLOOKUP($A108,Anova_Live!$B$2:$B$60,Anova_Live!$K$2:$K$60,""),"")</f>
        <v/>
      </c>
      <c r="U108" t="str">
        <f>IFERROR(_xlfn.XLOOKUP($A108,Anova_Live!$B$2:$B$60,Anova_Live!$H$2:$H$60,""),"")</f>
        <v/>
      </c>
      <c r="V108" t="str">
        <f>IFERROR(_xlfn.XLOOKUP($A108,Anova_Live!$B$2:$B$60,Anova_Live!$L$2:$L$60,""),"")</f>
        <v/>
      </c>
      <c r="W108" t="str">
        <f>IFERROR(_xlfn.XLOOKUP($A108,Anova_Live!$B$2:$B$60,Anova_Live!$M$2:$M$60,""),"")</f>
        <v/>
      </c>
      <c r="X108" t="str">
        <f>IFERROR(_xlfn.XLOOKUP($A108,Anova_Live!$B$2:$B$60,Anova_Live!$N$2:$N$60,""),"")</f>
        <v/>
      </c>
    </row>
    <row r="109" spans="1:24" x14ac:dyDescent="0.2">
      <c r="A109">
        <v>16010</v>
      </c>
      <c r="B109" t="s">
        <v>405</v>
      </c>
      <c r="C109" t="s">
        <v>38</v>
      </c>
      <c r="D109" t="s">
        <v>282</v>
      </c>
      <c r="E109" t="s">
        <v>406</v>
      </c>
      <c r="F109" t="s">
        <v>407</v>
      </c>
      <c r="G109" t="s">
        <v>42</v>
      </c>
      <c r="H109">
        <v>33.450061900000001</v>
      </c>
      <c r="I109">
        <v>-112.26033080000001</v>
      </c>
      <c r="J109">
        <v>1950</v>
      </c>
      <c r="K109" t="s">
        <v>43</v>
      </c>
      <c r="N109" t="s">
        <v>408</v>
      </c>
      <c r="P109" t="s">
        <v>409</v>
      </c>
      <c r="R109" t="str">
        <f>IFERROR(_xlfn.XLOOKUP($A109,Anova_Live!$B$2:$B$60,Anova_Live!$A$2:$A$60,""),"")</f>
        <v/>
      </c>
      <c r="S109" t="str">
        <f>IFERROR(_xlfn.XLOOKUP($A109,Anova_Live!$B$2:$B$60,Anova_Live!$E$2:$E$60,""),"")</f>
        <v/>
      </c>
      <c r="T109" t="str">
        <f>IFERROR(_xlfn.XLOOKUP($A109,Anova_Live!$B$2:$B$60,Anova_Live!$K$2:$K$60,""),"")</f>
        <v/>
      </c>
      <c r="U109" t="str">
        <f>IFERROR(_xlfn.XLOOKUP($A109,Anova_Live!$B$2:$B$60,Anova_Live!$H$2:$H$60,""),"")</f>
        <v/>
      </c>
      <c r="V109" t="str">
        <f>IFERROR(_xlfn.XLOOKUP($A109,Anova_Live!$B$2:$B$60,Anova_Live!$L$2:$L$60,""),"")</f>
        <v/>
      </c>
      <c r="W109" t="str">
        <f>IFERROR(_xlfn.XLOOKUP($A109,Anova_Live!$B$2:$B$60,Anova_Live!$M$2:$M$60,""),"")</f>
        <v/>
      </c>
      <c r="X109" t="str">
        <f>IFERROR(_xlfn.XLOOKUP($A109,Anova_Live!$B$2:$B$60,Anova_Live!$N$2:$N$60,""),"")</f>
        <v/>
      </c>
    </row>
    <row r="110" spans="1:24" x14ac:dyDescent="0.2">
      <c r="A110">
        <v>16005</v>
      </c>
      <c r="B110" t="s">
        <v>410</v>
      </c>
      <c r="C110" t="s">
        <v>72</v>
      </c>
      <c r="D110" t="s">
        <v>131</v>
      </c>
      <c r="E110" t="s">
        <v>411</v>
      </c>
      <c r="F110" t="s">
        <v>75</v>
      </c>
      <c r="G110" t="s">
        <v>42</v>
      </c>
      <c r="H110">
        <v>33.451374800000004</v>
      </c>
      <c r="I110">
        <v>-112.1165443</v>
      </c>
      <c r="J110">
        <v>950</v>
      </c>
      <c r="K110" t="s">
        <v>43</v>
      </c>
      <c r="N110" t="s">
        <v>412</v>
      </c>
      <c r="P110" t="s">
        <v>413</v>
      </c>
      <c r="R110" t="str">
        <f>IFERROR(_xlfn.XLOOKUP($A110,Anova_Live!$B$2:$B$60,Anova_Live!$A$2:$A$60,""),"")</f>
        <v/>
      </c>
      <c r="S110" t="str">
        <f>IFERROR(_xlfn.XLOOKUP($A110,Anova_Live!$B$2:$B$60,Anova_Live!$E$2:$E$60,""),"")</f>
        <v/>
      </c>
      <c r="T110" t="str">
        <f>IFERROR(_xlfn.XLOOKUP($A110,Anova_Live!$B$2:$B$60,Anova_Live!$K$2:$K$60,""),"")</f>
        <v/>
      </c>
      <c r="U110" t="str">
        <f>IFERROR(_xlfn.XLOOKUP($A110,Anova_Live!$B$2:$B$60,Anova_Live!$H$2:$H$60,""),"")</f>
        <v/>
      </c>
      <c r="V110" t="str">
        <f>IFERROR(_xlfn.XLOOKUP($A110,Anova_Live!$B$2:$B$60,Anova_Live!$L$2:$L$60,""),"")</f>
        <v/>
      </c>
      <c r="W110" t="str">
        <f>IFERROR(_xlfn.XLOOKUP($A110,Anova_Live!$B$2:$B$60,Anova_Live!$M$2:$M$60,""),"")</f>
        <v/>
      </c>
      <c r="X110" t="str">
        <f>IFERROR(_xlfn.XLOOKUP($A110,Anova_Live!$B$2:$B$60,Anova_Live!$N$2:$N$60,""),"")</f>
        <v/>
      </c>
    </row>
    <row r="111" spans="1:24" x14ac:dyDescent="0.2">
      <c r="A111">
        <v>16019</v>
      </c>
      <c r="B111" t="s">
        <v>414</v>
      </c>
      <c r="C111" t="s">
        <v>51</v>
      </c>
      <c r="D111" t="s">
        <v>78</v>
      </c>
      <c r="E111" t="s">
        <v>415</v>
      </c>
      <c r="F111" t="s">
        <v>160</v>
      </c>
      <c r="G111" t="s">
        <v>42</v>
      </c>
      <c r="H111">
        <v>33.300450300000001</v>
      </c>
      <c r="I111">
        <v>-111.84174400000001</v>
      </c>
      <c r="J111">
        <v>950</v>
      </c>
      <c r="K111" t="s">
        <v>43</v>
      </c>
      <c r="R111" t="str">
        <f>IFERROR(_xlfn.XLOOKUP($A111,Anova_Live!$B$2:$B$60,Anova_Live!$A$2:$A$60,""),"")</f>
        <v/>
      </c>
      <c r="S111" t="str">
        <f>IFERROR(_xlfn.XLOOKUP($A111,Anova_Live!$B$2:$B$60,Anova_Live!$E$2:$E$60,""),"")</f>
        <v/>
      </c>
      <c r="T111" t="str">
        <f>IFERROR(_xlfn.XLOOKUP($A111,Anova_Live!$B$2:$B$60,Anova_Live!$K$2:$K$60,""),"")</f>
        <v/>
      </c>
      <c r="U111" t="str">
        <f>IFERROR(_xlfn.XLOOKUP($A111,Anova_Live!$B$2:$B$60,Anova_Live!$H$2:$H$60,""),"")</f>
        <v/>
      </c>
      <c r="V111" t="str">
        <f>IFERROR(_xlfn.XLOOKUP($A111,Anova_Live!$B$2:$B$60,Anova_Live!$L$2:$L$60,""),"")</f>
        <v/>
      </c>
      <c r="W111" t="str">
        <f>IFERROR(_xlfn.XLOOKUP($A111,Anova_Live!$B$2:$B$60,Anova_Live!$M$2:$M$60,""),"")</f>
        <v/>
      </c>
      <c r="X111" t="str">
        <f>IFERROR(_xlfn.XLOOKUP($A111,Anova_Live!$B$2:$B$60,Anova_Live!$N$2:$N$60,""),"")</f>
        <v/>
      </c>
    </row>
    <row r="112" spans="1:24" x14ac:dyDescent="0.2">
      <c r="A112">
        <v>16018</v>
      </c>
      <c r="B112" t="s">
        <v>416</v>
      </c>
      <c r="C112" t="s">
        <v>81</v>
      </c>
      <c r="D112" t="s">
        <v>193</v>
      </c>
      <c r="E112" t="s">
        <v>417</v>
      </c>
      <c r="F112" t="s">
        <v>99</v>
      </c>
      <c r="G112" t="s">
        <v>42</v>
      </c>
      <c r="H112">
        <v>33.423738200000003</v>
      </c>
      <c r="I112">
        <v>-111.7705505</v>
      </c>
      <c r="J112">
        <v>950</v>
      </c>
      <c r="K112" t="s">
        <v>43</v>
      </c>
      <c r="N112" t="s">
        <v>418</v>
      </c>
      <c r="R112" t="str">
        <f>IFERROR(_xlfn.XLOOKUP($A112,Anova_Live!$B$2:$B$60,Anova_Live!$A$2:$A$60,""),"")</f>
        <v/>
      </c>
      <c r="S112" t="str">
        <f>IFERROR(_xlfn.XLOOKUP($A112,Anova_Live!$B$2:$B$60,Anova_Live!$E$2:$E$60,""),"")</f>
        <v/>
      </c>
      <c r="T112" t="str">
        <f>IFERROR(_xlfn.XLOOKUP($A112,Anova_Live!$B$2:$B$60,Anova_Live!$K$2:$K$60,""),"")</f>
        <v/>
      </c>
      <c r="U112" t="str">
        <f>IFERROR(_xlfn.XLOOKUP($A112,Anova_Live!$B$2:$B$60,Anova_Live!$H$2:$H$60,""),"")</f>
        <v/>
      </c>
      <c r="V112" t="str">
        <f>IFERROR(_xlfn.XLOOKUP($A112,Anova_Live!$B$2:$B$60,Anova_Live!$L$2:$L$60,""),"")</f>
        <v/>
      </c>
      <c r="W112" t="str">
        <f>IFERROR(_xlfn.XLOOKUP($A112,Anova_Live!$B$2:$B$60,Anova_Live!$M$2:$M$60,""),"")</f>
        <v/>
      </c>
      <c r="X112" t="str">
        <f>IFERROR(_xlfn.XLOOKUP($A112,Anova_Live!$B$2:$B$60,Anova_Live!$N$2:$N$60,""),"")</f>
        <v/>
      </c>
    </row>
    <row r="113" spans="1:24" x14ac:dyDescent="0.2">
      <c r="A113">
        <v>16015</v>
      </c>
      <c r="B113" t="s">
        <v>419</v>
      </c>
      <c r="C113" t="s">
        <v>38</v>
      </c>
      <c r="D113" t="s">
        <v>46</v>
      </c>
      <c r="E113" t="s">
        <v>420</v>
      </c>
      <c r="F113" t="s">
        <v>41</v>
      </c>
      <c r="G113" t="s">
        <v>42</v>
      </c>
      <c r="H113">
        <v>33.639794000000002</v>
      </c>
      <c r="I113">
        <v>-112.1860267</v>
      </c>
      <c r="J113">
        <v>1950</v>
      </c>
      <c r="K113" t="s">
        <v>48</v>
      </c>
      <c r="N113" t="s">
        <v>421</v>
      </c>
      <c r="O113" t="s">
        <v>61</v>
      </c>
      <c r="R113" t="str">
        <f>IFERROR(_xlfn.XLOOKUP($A113,Anova_Live!$B$2:$B$60,Anova_Live!$A$2:$A$60,""),"")</f>
        <v/>
      </c>
      <c r="S113" t="str">
        <f>IFERROR(_xlfn.XLOOKUP($A113,Anova_Live!$B$2:$B$60,Anova_Live!$E$2:$E$60,""),"")</f>
        <v/>
      </c>
      <c r="T113" t="str">
        <f>IFERROR(_xlfn.XLOOKUP($A113,Anova_Live!$B$2:$B$60,Anova_Live!$K$2:$K$60,""),"")</f>
        <v/>
      </c>
      <c r="U113" t="str">
        <f>IFERROR(_xlfn.XLOOKUP($A113,Anova_Live!$B$2:$B$60,Anova_Live!$H$2:$H$60,""),"")</f>
        <v/>
      </c>
      <c r="V113" t="str">
        <f>IFERROR(_xlfn.XLOOKUP($A113,Anova_Live!$B$2:$B$60,Anova_Live!$L$2:$L$60,""),"")</f>
        <v/>
      </c>
      <c r="W113" t="str">
        <f>IFERROR(_xlfn.XLOOKUP($A113,Anova_Live!$B$2:$B$60,Anova_Live!$M$2:$M$60,""),"")</f>
        <v/>
      </c>
      <c r="X113" t="str">
        <f>IFERROR(_xlfn.XLOOKUP($A113,Anova_Live!$B$2:$B$60,Anova_Live!$N$2:$N$60,""),"")</f>
        <v/>
      </c>
    </row>
    <row r="114" spans="1:24" x14ac:dyDescent="0.2">
      <c r="A114">
        <v>16014</v>
      </c>
      <c r="B114" t="s">
        <v>422</v>
      </c>
      <c r="C114" t="s">
        <v>38</v>
      </c>
      <c r="D114" t="s">
        <v>39</v>
      </c>
      <c r="E114" t="s">
        <v>423</v>
      </c>
      <c r="F114" t="s">
        <v>75</v>
      </c>
      <c r="G114" t="s">
        <v>42</v>
      </c>
      <c r="H114">
        <v>33.495276799999999</v>
      </c>
      <c r="I114">
        <v>-112.20212239999999</v>
      </c>
      <c r="J114">
        <v>1950</v>
      </c>
      <c r="K114" t="s">
        <v>43</v>
      </c>
      <c r="N114" t="s">
        <v>424</v>
      </c>
      <c r="R114" t="str">
        <f>IFERROR(_xlfn.XLOOKUP($A114,Anova_Live!$B$2:$B$60,Anova_Live!$A$2:$A$60,""),"")</f>
        <v/>
      </c>
      <c r="S114" t="str">
        <f>IFERROR(_xlfn.XLOOKUP($A114,Anova_Live!$B$2:$B$60,Anova_Live!$E$2:$E$60,""),"")</f>
        <v/>
      </c>
      <c r="T114" t="str">
        <f>IFERROR(_xlfn.XLOOKUP($A114,Anova_Live!$B$2:$B$60,Anova_Live!$K$2:$K$60,""),"")</f>
        <v/>
      </c>
      <c r="U114" t="str">
        <f>IFERROR(_xlfn.XLOOKUP($A114,Anova_Live!$B$2:$B$60,Anova_Live!$H$2:$H$60,""),"")</f>
        <v/>
      </c>
      <c r="V114" t="str">
        <f>IFERROR(_xlfn.XLOOKUP($A114,Anova_Live!$B$2:$B$60,Anova_Live!$L$2:$L$60,""),"")</f>
        <v/>
      </c>
      <c r="W114" t="str">
        <f>IFERROR(_xlfn.XLOOKUP($A114,Anova_Live!$B$2:$B$60,Anova_Live!$M$2:$M$60,""),"")</f>
        <v/>
      </c>
      <c r="X114" t="str">
        <f>IFERROR(_xlfn.XLOOKUP($A114,Anova_Live!$B$2:$B$60,Anova_Live!$N$2:$N$60,""),"")</f>
        <v/>
      </c>
    </row>
    <row r="115" spans="1:24" x14ac:dyDescent="0.2">
      <c r="A115">
        <v>18042</v>
      </c>
      <c r="B115" t="s">
        <v>425</v>
      </c>
      <c r="C115" t="s">
        <v>63</v>
      </c>
      <c r="D115" t="s">
        <v>426</v>
      </c>
      <c r="E115" t="s">
        <v>427</v>
      </c>
      <c r="F115" t="s">
        <v>428</v>
      </c>
      <c r="G115" t="s">
        <v>42</v>
      </c>
      <c r="H115">
        <v>33.968950599999999</v>
      </c>
      <c r="I115">
        <v>-112.7294813</v>
      </c>
      <c r="J115">
        <v>1950</v>
      </c>
      <c r="K115" t="s">
        <v>48</v>
      </c>
      <c r="N115" t="s">
        <v>429</v>
      </c>
      <c r="O115" t="s">
        <v>61</v>
      </c>
      <c r="R115" t="str">
        <f>IFERROR(_xlfn.XLOOKUP($A115,Anova_Live!$B$2:$B$60,Anova_Live!$A$2:$A$60,""),"")</f>
        <v/>
      </c>
      <c r="S115" t="str">
        <f>IFERROR(_xlfn.XLOOKUP($A115,Anova_Live!$B$2:$B$60,Anova_Live!$E$2:$E$60,""),"")</f>
        <v/>
      </c>
      <c r="T115" t="str">
        <f>IFERROR(_xlfn.XLOOKUP($A115,Anova_Live!$B$2:$B$60,Anova_Live!$K$2:$K$60,""),"")</f>
        <v/>
      </c>
      <c r="U115" t="str">
        <f>IFERROR(_xlfn.XLOOKUP($A115,Anova_Live!$B$2:$B$60,Anova_Live!$H$2:$H$60,""),"")</f>
        <v/>
      </c>
      <c r="V115" t="str">
        <f>IFERROR(_xlfn.XLOOKUP($A115,Anova_Live!$B$2:$B$60,Anova_Live!$L$2:$L$60,""),"")</f>
        <v/>
      </c>
      <c r="W115" t="str">
        <f>IFERROR(_xlfn.XLOOKUP($A115,Anova_Live!$B$2:$B$60,Anova_Live!$M$2:$M$60,""),"")</f>
        <v/>
      </c>
      <c r="X115" t="str">
        <f>IFERROR(_xlfn.XLOOKUP($A115,Anova_Live!$B$2:$B$60,Anova_Live!$N$2:$N$60,""),"")</f>
        <v/>
      </c>
    </row>
    <row r="116" spans="1:24" x14ac:dyDescent="0.2">
      <c r="A116">
        <v>18004</v>
      </c>
      <c r="B116" t="s">
        <v>430</v>
      </c>
      <c r="C116" t="s">
        <v>81</v>
      </c>
      <c r="D116" t="s">
        <v>97</v>
      </c>
      <c r="E116" t="s">
        <v>431</v>
      </c>
      <c r="F116" t="s">
        <v>99</v>
      </c>
      <c r="G116" t="s">
        <v>42</v>
      </c>
      <c r="H116">
        <v>33.466821099999997</v>
      </c>
      <c r="I116">
        <v>-111.68501310000001</v>
      </c>
      <c r="J116">
        <v>660</v>
      </c>
      <c r="K116" t="s">
        <v>48</v>
      </c>
      <c r="N116" t="s">
        <v>432</v>
      </c>
      <c r="R116" t="str">
        <f>IFERROR(_xlfn.XLOOKUP($A116,Anova_Live!$B$2:$B$60,Anova_Live!$A$2:$A$60,""),"")</f>
        <v/>
      </c>
      <c r="S116" t="str">
        <f>IFERROR(_xlfn.XLOOKUP($A116,Anova_Live!$B$2:$B$60,Anova_Live!$E$2:$E$60,""),"")</f>
        <v/>
      </c>
      <c r="T116" t="str">
        <f>IFERROR(_xlfn.XLOOKUP($A116,Anova_Live!$B$2:$B$60,Anova_Live!$K$2:$K$60,""),"")</f>
        <v/>
      </c>
      <c r="U116" t="str">
        <f>IFERROR(_xlfn.XLOOKUP($A116,Anova_Live!$B$2:$B$60,Anova_Live!$H$2:$H$60,""),"")</f>
        <v/>
      </c>
      <c r="V116" t="str">
        <f>IFERROR(_xlfn.XLOOKUP($A116,Anova_Live!$B$2:$B$60,Anova_Live!$L$2:$L$60,""),"")</f>
        <v/>
      </c>
      <c r="W116" t="str">
        <f>IFERROR(_xlfn.XLOOKUP($A116,Anova_Live!$B$2:$B$60,Anova_Live!$M$2:$M$60,""),"")</f>
        <v/>
      </c>
      <c r="X116" t="str">
        <f>IFERROR(_xlfn.XLOOKUP($A116,Anova_Live!$B$2:$B$60,Anova_Live!$N$2:$N$60,""),"")</f>
        <v/>
      </c>
    </row>
    <row r="117" spans="1:24" x14ac:dyDescent="0.2">
      <c r="A117">
        <v>18031</v>
      </c>
      <c r="B117" t="s">
        <v>433</v>
      </c>
      <c r="C117" t="s">
        <v>72</v>
      </c>
      <c r="D117" t="s">
        <v>73</v>
      </c>
      <c r="E117" t="s">
        <v>434</v>
      </c>
      <c r="F117" t="s">
        <v>216</v>
      </c>
      <c r="G117" t="s">
        <v>42</v>
      </c>
      <c r="H117">
        <v>33.393490300000003</v>
      </c>
      <c r="I117">
        <v>-111.9423309</v>
      </c>
      <c r="J117">
        <v>660</v>
      </c>
      <c r="K117" t="s">
        <v>43</v>
      </c>
      <c r="R117" t="str">
        <f>IFERROR(_xlfn.XLOOKUP($A117,Anova_Live!$B$2:$B$60,Anova_Live!$A$2:$A$60,""),"")</f>
        <v/>
      </c>
      <c r="S117" t="str">
        <f>IFERROR(_xlfn.XLOOKUP($A117,Anova_Live!$B$2:$B$60,Anova_Live!$E$2:$E$60,""),"")</f>
        <v/>
      </c>
      <c r="T117" t="str">
        <f>IFERROR(_xlfn.XLOOKUP($A117,Anova_Live!$B$2:$B$60,Anova_Live!$K$2:$K$60,""),"")</f>
        <v/>
      </c>
      <c r="U117" t="str">
        <f>IFERROR(_xlfn.XLOOKUP($A117,Anova_Live!$B$2:$B$60,Anova_Live!$H$2:$H$60,""),"")</f>
        <v/>
      </c>
      <c r="V117" t="str">
        <f>IFERROR(_xlfn.XLOOKUP($A117,Anova_Live!$B$2:$B$60,Anova_Live!$L$2:$L$60,""),"")</f>
        <v/>
      </c>
      <c r="W117" t="str">
        <f>IFERROR(_xlfn.XLOOKUP($A117,Anova_Live!$B$2:$B$60,Anova_Live!$M$2:$M$60,""),"")</f>
        <v/>
      </c>
      <c r="X117" t="str">
        <f>IFERROR(_xlfn.XLOOKUP($A117,Anova_Live!$B$2:$B$60,Anova_Live!$N$2:$N$60,""),"")</f>
        <v/>
      </c>
    </row>
    <row r="118" spans="1:24" x14ac:dyDescent="0.2">
      <c r="A118">
        <v>18051</v>
      </c>
      <c r="B118" t="s">
        <v>435</v>
      </c>
      <c r="C118" t="s">
        <v>38</v>
      </c>
      <c r="D118" t="s">
        <v>46</v>
      </c>
      <c r="E118" t="s">
        <v>436</v>
      </c>
      <c r="F118" t="s">
        <v>141</v>
      </c>
      <c r="G118" t="s">
        <v>42</v>
      </c>
      <c r="H118">
        <v>33.653517999999998</v>
      </c>
      <c r="I118">
        <v>-112.23362830000001</v>
      </c>
      <c r="J118">
        <v>1050</v>
      </c>
      <c r="K118" t="s">
        <v>48</v>
      </c>
      <c r="N118" t="s">
        <v>437</v>
      </c>
      <c r="O118" t="s">
        <v>61</v>
      </c>
      <c r="R118" t="str">
        <f>IFERROR(_xlfn.XLOOKUP($A118,Anova_Live!$B$2:$B$60,Anova_Live!$A$2:$A$60,""),"")</f>
        <v/>
      </c>
      <c r="S118" t="str">
        <f>IFERROR(_xlfn.XLOOKUP($A118,Anova_Live!$B$2:$B$60,Anova_Live!$E$2:$E$60,""),"")</f>
        <v/>
      </c>
      <c r="T118" t="str">
        <f>IFERROR(_xlfn.XLOOKUP($A118,Anova_Live!$B$2:$B$60,Anova_Live!$K$2:$K$60,""),"")</f>
        <v/>
      </c>
      <c r="U118" t="str">
        <f>IFERROR(_xlfn.XLOOKUP($A118,Anova_Live!$B$2:$B$60,Anova_Live!$H$2:$H$60,""),"")</f>
        <v/>
      </c>
      <c r="V118" t="str">
        <f>IFERROR(_xlfn.XLOOKUP($A118,Anova_Live!$B$2:$B$60,Anova_Live!$L$2:$L$60,""),"")</f>
        <v/>
      </c>
      <c r="W118" t="str">
        <f>IFERROR(_xlfn.XLOOKUP($A118,Anova_Live!$B$2:$B$60,Anova_Live!$M$2:$M$60,""),"")</f>
        <v/>
      </c>
      <c r="X118" t="str">
        <f>IFERROR(_xlfn.XLOOKUP($A118,Anova_Live!$B$2:$B$60,Anova_Live!$N$2:$N$60,""),"")</f>
        <v/>
      </c>
    </row>
    <row r="119" spans="1:24" x14ac:dyDescent="0.2">
      <c r="A119">
        <v>18003</v>
      </c>
      <c r="B119" t="s">
        <v>438</v>
      </c>
      <c r="C119" t="s">
        <v>72</v>
      </c>
      <c r="D119" t="s">
        <v>164</v>
      </c>
      <c r="E119" t="s">
        <v>439</v>
      </c>
      <c r="F119" t="s">
        <v>75</v>
      </c>
      <c r="G119" t="s">
        <v>42</v>
      </c>
      <c r="H119">
        <v>33.641054500000003</v>
      </c>
      <c r="I119">
        <v>-112.01786420000001</v>
      </c>
      <c r="J119">
        <v>450</v>
      </c>
      <c r="K119" t="s">
        <v>43</v>
      </c>
      <c r="N119" t="s">
        <v>440</v>
      </c>
      <c r="R119" t="str">
        <f>IFERROR(_xlfn.XLOOKUP($A119,Anova_Live!$B$2:$B$60,Anova_Live!$A$2:$A$60,""),"")</f>
        <v/>
      </c>
      <c r="S119" t="str">
        <f>IFERROR(_xlfn.XLOOKUP($A119,Anova_Live!$B$2:$B$60,Anova_Live!$E$2:$E$60,""),"")</f>
        <v/>
      </c>
      <c r="T119" t="str">
        <f>IFERROR(_xlfn.XLOOKUP($A119,Anova_Live!$B$2:$B$60,Anova_Live!$K$2:$K$60,""),"")</f>
        <v/>
      </c>
      <c r="U119" t="str">
        <f>IFERROR(_xlfn.XLOOKUP($A119,Anova_Live!$B$2:$B$60,Anova_Live!$H$2:$H$60,""),"")</f>
        <v/>
      </c>
      <c r="V119" t="str">
        <f>IFERROR(_xlfn.XLOOKUP($A119,Anova_Live!$B$2:$B$60,Anova_Live!$L$2:$L$60,""),"")</f>
        <v/>
      </c>
      <c r="W119" t="str">
        <f>IFERROR(_xlfn.XLOOKUP($A119,Anova_Live!$B$2:$B$60,Anova_Live!$M$2:$M$60,""),"")</f>
        <v/>
      </c>
      <c r="X119" t="str">
        <f>IFERROR(_xlfn.XLOOKUP($A119,Anova_Live!$B$2:$B$60,Anova_Live!$N$2:$N$60,""),"")</f>
        <v/>
      </c>
    </row>
    <row r="120" spans="1:24" x14ac:dyDescent="0.2">
      <c r="A120">
        <v>18001</v>
      </c>
      <c r="B120" t="s">
        <v>441</v>
      </c>
      <c r="C120" t="s">
        <v>72</v>
      </c>
      <c r="D120" t="s">
        <v>73</v>
      </c>
      <c r="E120" t="s">
        <v>442</v>
      </c>
      <c r="F120" t="s">
        <v>75</v>
      </c>
      <c r="G120" t="s">
        <v>42</v>
      </c>
      <c r="H120">
        <v>33.466081799999998</v>
      </c>
      <c r="I120">
        <v>-112.01547619999999</v>
      </c>
      <c r="J120">
        <v>950</v>
      </c>
      <c r="K120" t="s">
        <v>43</v>
      </c>
      <c r="N120" t="s">
        <v>443</v>
      </c>
      <c r="R120" t="str">
        <f>IFERROR(_xlfn.XLOOKUP($A120,Anova_Live!$B$2:$B$60,Anova_Live!$A$2:$A$60,""),"")</f>
        <v/>
      </c>
      <c r="S120" t="str">
        <f>IFERROR(_xlfn.XLOOKUP($A120,Anova_Live!$B$2:$B$60,Anova_Live!$E$2:$E$60,""),"")</f>
        <v/>
      </c>
      <c r="T120" t="str">
        <f>IFERROR(_xlfn.XLOOKUP($A120,Anova_Live!$B$2:$B$60,Anova_Live!$K$2:$K$60,""),"")</f>
        <v/>
      </c>
      <c r="U120" t="str">
        <f>IFERROR(_xlfn.XLOOKUP($A120,Anova_Live!$B$2:$B$60,Anova_Live!$H$2:$H$60,""),"")</f>
        <v/>
      </c>
      <c r="V120" t="str">
        <f>IFERROR(_xlfn.XLOOKUP($A120,Anova_Live!$B$2:$B$60,Anova_Live!$L$2:$L$60,""),"")</f>
        <v/>
      </c>
      <c r="W120" t="str">
        <f>IFERROR(_xlfn.XLOOKUP($A120,Anova_Live!$B$2:$B$60,Anova_Live!$M$2:$M$60,""),"")</f>
        <v/>
      </c>
      <c r="X120" t="str">
        <f>IFERROR(_xlfn.XLOOKUP($A120,Anova_Live!$B$2:$B$60,Anova_Live!$N$2:$N$60,""),"")</f>
        <v/>
      </c>
    </row>
    <row r="121" spans="1:24" x14ac:dyDescent="0.2">
      <c r="A121">
        <v>18036</v>
      </c>
      <c r="B121" t="s">
        <v>444</v>
      </c>
      <c r="C121" t="s">
        <v>72</v>
      </c>
      <c r="D121" t="s">
        <v>445</v>
      </c>
      <c r="E121" t="s">
        <v>446</v>
      </c>
      <c r="F121" t="s">
        <v>447</v>
      </c>
      <c r="G121" t="s">
        <v>42</v>
      </c>
      <c r="H121">
        <v>33.918937200000009</v>
      </c>
      <c r="I121">
        <v>-112.1401541</v>
      </c>
      <c r="J121">
        <v>1850</v>
      </c>
      <c r="K121" t="s">
        <v>48</v>
      </c>
      <c r="N121" t="s">
        <v>448</v>
      </c>
      <c r="R121" t="str">
        <f>IFERROR(_xlfn.XLOOKUP($A121,Anova_Live!$B$2:$B$60,Anova_Live!$A$2:$A$60,""),"")</f>
        <v/>
      </c>
      <c r="S121" t="str">
        <f>IFERROR(_xlfn.XLOOKUP($A121,Anova_Live!$B$2:$B$60,Anova_Live!$E$2:$E$60,""),"")</f>
        <v/>
      </c>
      <c r="T121" t="str">
        <f>IFERROR(_xlfn.XLOOKUP($A121,Anova_Live!$B$2:$B$60,Anova_Live!$K$2:$K$60,""),"")</f>
        <v/>
      </c>
      <c r="U121" t="str">
        <f>IFERROR(_xlfn.XLOOKUP($A121,Anova_Live!$B$2:$B$60,Anova_Live!$H$2:$H$60,""),"")</f>
        <v/>
      </c>
      <c r="V121" t="str">
        <f>IFERROR(_xlfn.XLOOKUP($A121,Anova_Live!$B$2:$B$60,Anova_Live!$L$2:$L$60,""),"")</f>
        <v/>
      </c>
      <c r="W121" t="str">
        <f>IFERROR(_xlfn.XLOOKUP($A121,Anova_Live!$B$2:$B$60,Anova_Live!$M$2:$M$60,""),"")</f>
        <v/>
      </c>
      <c r="X121" t="str">
        <f>IFERROR(_xlfn.XLOOKUP($A121,Anova_Live!$B$2:$B$60,Anova_Live!$N$2:$N$60,""),"")</f>
        <v/>
      </c>
    </row>
    <row r="122" spans="1:24" x14ac:dyDescent="0.2">
      <c r="A122">
        <v>18054</v>
      </c>
      <c r="B122" t="s">
        <v>449</v>
      </c>
      <c r="C122" t="s">
        <v>81</v>
      </c>
      <c r="D122" t="s">
        <v>193</v>
      </c>
      <c r="E122" t="s">
        <v>450</v>
      </c>
      <c r="F122" t="s">
        <v>195</v>
      </c>
      <c r="G122" t="s">
        <v>42</v>
      </c>
      <c r="H122">
        <v>33.4174814</v>
      </c>
      <c r="I122">
        <v>-111.5469768</v>
      </c>
      <c r="J122">
        <v>1050</v>
      </c>
      <c r="K122" t="s">
        <v>48</v>
      </c>
      <c r="N122" t="s">
        <v>451</v>
      </c>
      <c r="R122" t="str">
        <f>IFERROR(_xlfn.XLOOKUP($A122,Anova_Live!$B$2:$B$60,Anova_Live!$A$2:$A$60,""),"")</f>
        <v/>
      </c>
      <c r="S122" t="str">
        <f>IFERROR(_xlfn.XLOOKUP($A122,Anova_Live!$B$2:$B$60,Anova_Live!$E$2:$E$60,""),"")</f>
        <v/>
      </c>
      <c r="T122" t="str">
        <f>IFERROR(_xlfn.XLOOKUP($A122,Anova_Live!$B$2:$B$60,Anova_Live!$K$2:$K$60,""),"")</f>
        <v/>
      </c>
      <c r="U122" t="str">
        <f>IFERROR(_xlfn.XLOOKUP($A122,Anova_Live!$B$2:$B$60,Anova_Live!$H$2:$H$60,""),"")</f>
        <v/>
      </c>
      <c r="V122" t="str">
        <f>IFERROR(_xlfn.XLOOKUP($A122,Anova_Live!$B$2:$B$60,Anova_Live!$L$2:$L$60,""),"")</f>
        <v/>
      </c>
      <c r="W122" t="str">
        <f>IFERROR(_xlfn.XLOOKUP($A122,Anova_Live!$B$2:$B$60,Anova_Live!$M$2:$M$60,""),"")</f>
        <v/>
      </c>
      <c r="X122" t="str">
        <f>IFERROR(_xlfn.XLOOKUP($A122,Anova_Live!$B$2:$B$60,Anova_Live!$N$2:$N$60,""),"")</f>
        <v/>
      </c>
    </row>
    <row r="123" spans="1:24" x14ac:dyDescent="0.2">
      <c r="A123">
        <v>19022</v>
      </c>
      <c r="B123" t="s">
        <v>452</v>
      </c>
      <c r="C123" t="s">
        <v>63</v>
      </c>
      <c r="D123" t="s">
        <v>319</v>
      </c>
      <c r="E123" t="s">
        <v>453</v>
      </c>
      <c r="F123" t="s">
        <v>89</v>
      </c>
      <c r="G123" t="s">
        <v>42</v>
      </c>
      <c r="H123">
        <v>33.456409000000008</v>
      </c>
      <c r="I123">
        <v>-112.395652</v>
      </c>
      <c r="J123">
        <v>1100</v>
      </c>
      <c r="K123" t="s">
        <v>43</v>
      </c>
      <c r="N123" t="s">
        <v>454</v>
      </c>
      <c r="O123" t="s">
        <v>61</v>
      </c>
      <c r="R123" t="str">
        <f>IFERROR(_xlfn.XLOOKUP($A123,Anova_Live!$B$2:$B$60,Anova_Live!$A$2:$A$60,""),"")</f>
        <v/>
      </c>
      <c r="S123" t="str">
        <f>IFERROR(_xlfn.XLOOKUP($A123,Anova_Live!$B$2:$B$60,Anova_Live!$E$2:$E$60,""),"")</f>
        <v/>
      </c>
      <c r="T123" t="str">
        <f>IFERROR(_xlfn.XLOOKUP($A123,Anova_Live!$B$2:$B$60,Anova_Live!$K$2:$K$60,""),"")</f>
        <v/>
      </c>
      <c r="U123" t="str">
        <f>IFERROR(_xlfn.XLOOKUP($A123,Anova_Live!$B$2:$B$60,Anova_Live!$H$2:$H$60,""),"")</f>
        <v/>
      </c>
      <c r="V123" t="str">
        <f>IFERROR(_xlfn.XLOOKUP($A123,Anova_Live!$B$2:$B$60,Anova_Live!$L$2:$L$60,""),"")</f>
        <v/>
      </c>
      <c r="W123" t="str">
        <f>IFERROR(_xlfn.XLOOKUP($A123,Anova_Live!$B$2:$B$60,Anova_Live!$M$2:$M$60,""),"")</f>
        <v/>
      </c>
      <c r="X123" t="str">
        <f>IFERROR(_xlfn.XLOOKUP($A123,Anova_Live!$B$2:$B$60,Anova_Live!$N$2:$N$60,""),"")</f>
        <v/>
      </c>
    </row>
    <row r="124" spans="1:24" x14ac:dyDescent="0.2">
      <c r="A124">
        <v>19080</v>
      </c>
      <c r="B124" t="s">
        <v>455</v>
      </c>
      <c r="C124" t="s">
        <v>38</v>
      </c>
      <c r="D124" t="s">
        <v>46</v>
      </c>
      <c r="E124" t="s">
        <v>456</v>
      </c>
      <c r="F124" t="s">
        <v>187</v>
      </c>
      <c r="G124" t="s">
        <v>42</v>
      </c>
      <c r="H124">
        <v>33.670362099999998</v>
      </c>
      <c r="I124">
        <v>-112.23835510000001</v>
      </c>
      <c r="J124">
        <v>620</v>
      </c>
      <c r="K124" t="s">
        <v>48</v>
      </c>
      <c r="N124" t="s">
        <v>457</v>
      </c>
      <c r="R124" t="str">
        <f>IFERROR(_xlfn.XLOOKUP($A124,Anova_Live!$B$2:$B$60,Anova_Live!$A$2:$A$60,""),"")</f>
        <v/>
      </c>
      <c r="S124" t="str">
        <f>IFERROR(_xlfn.XLOOKUP($A124,Anova_Live!$B$2:$B$60,Anova_Live!$E$2:$E$60,""),"")</f>
        <v/>
      </c>
      <c r="T124" t="str">
        <f>IFERROR(_xlfn.XLOOKUP($A124,Anova_Live!$B$2:$B$60,Anova_Live!$K$2:$K$60,""),"")</f>
        <v/>
      </c>
      <c r="U124" t="str">
        <f>IFERROR(_xlfn.XLOOKUP($A124,Anova_Live!$B$2:$B$60,Anova_Live!$H$2:$H$60,""),"")</f>
        <v/>
      </c>
      <c r="V124" t="str">
        <f>IFERROR(_xlfn.XLOOKUP($A124,Anova_Live!$B$2:$B$60,Anova_Live!$L$2:$L$60,""),"")</f>
        <v/>
      </c>
      <c r="W124" t="str">
        <f>IFERROR(_xlfn.XLOOKUP($A124,Anova_Live!$B$2:$B$60,Anova_Live!$M$2:$M$60,""),"")</f>
        <v/>
      </c>
      <c r="X124" t="str">
        <f>IFERROR(_xlfn.XLOOKUP($A124,Anova_Live!$B$2:$B$60,Anova_Live!$N$2:$N$60,""),"")</f>
        <v/>
      </c>
    </row>
    <row r="125" spans="1:24" x14ac:dyDescent="0.2">
      <c r="A125">
        <v>19081</v>
      </c>
      <c r="B125" t="s">
        <v>458</v>
      </c>
      <c r="C125" t="s">
        <v>72</v>
      </c>
      <c r="D125" t="s">
        <v>164</v>
      </c>
      <c r="E125" t="s">
        <v>459</v>
      </c>
      <c r="F125" t="s">
        <v>75</v>
      </c>
      <c r="G125" t="s">
        <v>42</v>
      </c>
      <c r="H125">
        <v>33.6559375</v>
      </c>
      <c r="I125">
        <v>-112.09793790000001</v>
      </c>
      <c r="J125">
        <v>620</v>
      </c>
      <c r="K125" t="s">
        <v>48</v>
      </c>
      <c r="N125" t="s">
        <v>460</v>
      </c>
      <c r="R125" t="str">
        <f>IFERROR(_xlfn.XLOOKUP($A125,Anova_Live!$B$2:$B$60,Anova_Live!$A$2:$A$60,""),"")</f>
        <v/>
      </c>
      <c r="S125" t="str">
        <f>IFERROR(_xlfn.XLOOKUP($A125,Anova_Live!$B$2:$B$60,Anova_Live!$E$2:$E$60,""),"")</f>
        <v/>
      </c>
      <c r="T125" t="str">
        <f>IFERROR(_xlfn.XLOOKUP($A125,Anova_Live!$B$2:$B$60,Anova_Live!$K$2:$K$60,""),"")</f>
        <v/>
      </c>
      <c r="U125" t="str">
        <f>IFERROR(_xlfn.XLOOKUP($A125,Anova_Live!$B$2:$B$60,Anova_Live!$H$2:$H$60,""),"")</f>
        <v/>
      </c>
      <c r="V125" t="str">
        <f>IFERROR(_xlfn.XLOOKUP($A125,Anova_Live!$B$2:$B$60,Anova_Live!$L$2:$L$60,""),"")</f>
        <v/>
      </c>
      <c r="W125" t="str">
        <f>IFERROR(_xlfn.XLOOKUP($A125,Anova_Live!$B$2:$B$60,Anova_Live!$M$2:$M$60,""),"")</f>
        <v/>
      </c>
      <c r="X125" t="str">
        <f>IFERROR(_xlfn.XLOOKUP($A125,Anova_Live!$B$2:$B$60,Anova_Live!$N$2:$N$60,""),"")</f>
        <v/>
      </c>
    </row>
    <row r="126" spans="1:24" x14ac:dyDescent="0.2">
      <c r="A126">
        <v>19082</v>
      </c>
      <c r="B126" t="s">
        <v>461</v>
      </c>
      <c r="C126" t="s">
        <v>72</v>
      </c>
      <c r="D126" t="s">
        <v>164</v>
      </c>
      <c r="E126" t="s">
        <v>462</v>
      </c>
      <c r="F126" t="s">
        <v>75</v>
      </c>
      <c r="G126" t="s">
        <v>42</v>
      </c>
      <c r="H126">
        <v>33.598052899999999</v>
      </c>
      <c r="I126">
        <v>-112.1509389</v>
      </c>
      <c r="J126">
        <v>620</v>
      </c>
      <c r="K126" t="s">
        <v>48</v>
      </c>
      <c r="R126" t="str">
        <f>IFERROR(_xlfn.XLOOKUP($A126,Anova_Live!$B$2:$B$60,Anova_Live!$A$2:$A$60,""),"")</f>
        <v/>
      </c>
      <c r="S126" t="str">
        <f>IFERROR(_xlfn.XLOOKUP($A126,Anova_Live!$B$2:$B$60,Anova_Live!$E$2:$E$60,""),"")</f>
        <v/>
      </c>
      <c r="T126" t="str">
        <f>IFERROR(_xlfn.XLOOKUP($A126,Anova_Live!$B$2:$B$60,Anova_Live!$K$2:$K$60,""),"")</f>
        <v/>
      </c>
      <c r="U126" t="str">
        <f>IFERROR(_xlfn.XLOOKUP($A126,Anova_Live!$B$2:$B$60,Anova_Live!$H$2:$H$60,""),"")</f>
        <v/>
      </c>
      <c r="V126" t="str">
        <f>IFERROR(_xlfn.XLOOKUP($A126,Anova_Live!$B$2:$B$60,Anova_Live!$L$2:$L$60,""),"")</f>
        <v/>
      </c>
      <c r="W126" t="str">
        <f>IFERROR(_xlfn.XLOOKUP($A126,Anova_Live!$B$2:$B$60,Anova_Live!$M$2:$M$60,""),"")</f>
        <v/>
      </c>
      <c r="X126" t="str">
        <f>IFERROR(_xlfn.XLOOKUP($A126,Anova_Live!$B$2:$B$60,Anova_Live!$N$2:$N$60,""),"")</f>
        <v/>
      </c>
    </row>
    <row r="127" spans="1:24" x14ac:dyDescent="0.2">
      <c r="A127">
        <v>19089</v>
      </c>
      <c r="B127" t="s">
        <v>463</v>
      </c>
      <c r="C127" t="s">
        <v>72</v>
      </c>
      <c r="D127" t="s">
        <v>73</v>
      </c>
      <c r="E127" t="s">
        <v>464</v>
      </c>
      <c r="F127" t="s">
        <v>41</v>
      </c>
      <c r="G127" t="s">
        <v>42</v>
      </c>
      <c r="H127">
        <v>33.567888699999997</v>
      </c>
      <c r="I127">
        <v>-112.1538264</v>
      </c>
      <c r="J127">
        <v>350</v>
      </c>
      <c r="K127" t="s">
        <v>48</v>
      </c>
      <c r="R127" t="str">
        <f>IFERROR(_xlfn.XLOOKUP($A127,Anova_Live!$B$2:$B$60,Anova_Live!$A$2:$A$60,""),"")</f>
        <v/>
      </c>
      <c r="S127" t="str">
        <f>IFERROR(_xlfn.XLOOKUP($A127,Anova_Live!$B$2:$B$60,Anova_Live!$E$2:$E$60,""),"")</f>
        <v/>
      </c>
      <c r="T127" t="str">
        <f>IFERROR(_xlfn.XLOOKUP($A127,Anova_Live!$B$2:$B$60,Anova_Live!$K$2:$K$60,""),"")</f>
        <v/>
      </c>
      <c r="U127" t="str">
        <f>IFERROR(_xlfn.XLOOKUP($A127,Anova_Live!$B$2:$B$60,Anova_Live!$H$2:$H$60,""),"")</f>
        <v/>
      </c>
      <c r="V127" t="str">
        <f>IFERROR(_xlfn.XLOOKUP($A127,Anova_Live!$B$2:$B$60,Anova_Live!$L$2:$L$60,""),"")</f>
        <v/>
      </c>
      <c r="W127" t="str">
        <f>IFERROR(_xlfn.XLOOKUP($A127,Anova_Live!$B$2:$B$60,Anova_Live!$M$2:$M$60,""),"")</f>
        <v/>
      </c>
      <c r="X127" t="str">
        <f>IFERROR(_xlfn.XLOOKUP($A127,Anova_Live!$B$2:$B$60,Anova_Live!$N$2:$N$60,""),"")</f>
        <v/>
      </c>
    </row>
    <row r="128" spans="1:24" x14ac:dyDescent="0.2">
      <c r="A128">
        <v>19107</v>
      </c>
      <c r="B128" t="s">
        <v>465</v>
      </c>
      <c r="C128" t="s">
        <v>72</v>
      </c>
      <c r="D128" t="s">
        <v>73</v>
      </c>
      <c r="E128" t="s">
        <v>466</v>
      </c>
      <c r="F128" t="s">
        <v>75</v>
      </c>
      <c r="G128" t="s">
        <v>42</v>
      </c>
      <c r="H128">
        <v>33.502972</v>
      </c>
      <c r="I128">
        <v>-112.116158</v>
      </c>
      <c r="J128">
        <v>450</v>
      </c>
      <c r="K128" t="s">
        <v>48</v>
      </c>
      <c r="N128" t="s">
        <v>467</v>
      </c>
      <c r="P128" t="s">
        <v>468</v>
      </c>
      <c r="R128" t="str">
        <f>IFERROR(_xlfn.XLOOKUP($A128,Anova_Live!$B$2:$B$60,Anova_Live!$A$2:$A$60,""),"")</f>
        <v/>
      </c>
      <c r="S128" t="str">
        <f>IFERROR(_xlfn.XLOOKUP($A128,Anova_Live!$B$2:$B$60,Anova_Live!$E$2:$E$60,""),"")</f>
        <v/>
      </c>
      <c r="T128" t="str">
        <f>IFERROR(_xlfn.XLOOKUP($A128,Anova_Live!$B$2:$B$60,Anova_Live!$K$2:$K$60,""),"")</f>
        <v/>
      </c>
      <c r="U128" t="str">
        <f>IFERROR(_xlfn.XLOOKUP($A128,Anova_Live!$B$2:$B$60,Anova_Live!$H$2:$H$60,""),"")</f>
        <v/>
      </c>
      <c r="V128" t="str">
        <f>IFERROR(_xlfn.XLOOKUP($A128,Anova_Live!$B$2:$B$60,Anova_Live!$L$2:$L$60,""),"")</f>
        <v/>
      </c>
      <c r="W128" t="str">
        <f>IFERROR(_xlfn.XLOOKUP($A128,Anova_Live!$B$2:$B$60,Anova_Live!$M$2:$M$60,""),"")</f>
        <v/>
      </c>
      <c r="X128" t="str">
        <f>IFERROR(_xlfn.XLOOKUP($A128,Anova_Live!$B$2:$B$60,Anova_Live!$N$2:$N$60,""),"")</f>
        <v/>
      </c>
    </row>
    <row r="129" spans="1:24" x14ac:dyDescent="0.2">
      <c r="A129">
        <v>19110</v>
      </c>
      <c r="B129" t="s">
        <v>469</v>
      </c>
      <c r="C129" t="s">
        <v>51</v>
      </c>
      <c r="D129" t="s">
        <v>115</v>
      </c>
      <c r="E129" t="s">
        <v>470</v>
      </c>
      <c r="F129" t="s">
        <v>54</v>
      </c>
      <c r="G129" t="s">
        <v>42</v>
      </c>
      <c r="H129">
        <v>33.498759900000003</v>
      </c>
      <c r="I129">
        <v>-111.9246156</v>
      </c>
      <c r="J129">
        <v>1500</v>
      </c>
      <c r="K129" t="s">
        <v>48</v>
      </c>
      <c r="N129" t="s">
        <v>471</v>
      </c>
      <c r="O129" t="s">
        <v>61</v>
      </c>
      <c r="R129" t="str">
        <f>IFERROR(_xlfn.XLOOKUP($A129,Anova_Live!$B$2:$B$60,Anova_Live!$A$2:$A$60,""),"")</f>
        <v/>
      </c>
      <c r="S129" t="str">
        <f>IFERROR(_xlfn.XLOOKUP($A129,Anova_Live!$B$2:$B$60,Anova_Live!$E$2:$E$60,""),"")</f>
        <v/>
      </c>
      <c r="T129" t="str">
        <f>IFERROR(_xlfn.XLOOKUP($A129,Anova_Live!$B$2:$B$60,Anova_Live!$K$2:$K$60,""),"")</f>
        <v/>
      </c>
      <c r="U129" t="str">
        <f>IFERROR(_xlfn.XLOOKUP($A129,Anova_Live!$B$2:$B$60,Anova_Live!$H$2:$H$60,""),"")</f>
        <v/>
      </c>
      <c r="V129" t="str">
        <f>IFERROR(_xlfn.XLOOKUP($A129,Anova_Live!$B$2:$B$60,Anova_Live!$L$2:$L$60,""),"")</f>
        <v/>
      </c>
      <c r="W129" t="str">
        <f>IFERROR(_xlfn.XLOOKUP($A129,Anova_Live!$B$2:$B$60,Anova_Live!$M$2:$M$60,""),"")</f>
        <v/>
      </c>
      <c r="X129" t="str">
        <f>IFERROR(_xlfn.XLOOKUP($A129,Anova_Live!$B$2:$B$60,Anova_Live!$N$2:$N$60,""),"")</f>
        <v/>
      </c>
    </row>
    <row r="130" spans="1:24" x14ac:dyDescent="0.2">
      <c r="A130">
        <v>19119</v>
      </c>
      <c r="B130" t="s">
        <v>472</v>
      </c>
      <c r="C130" t="s">
        <v>51</v>
      </c>
      <c r="D130" t="s">
        <v>52</v>
      </c>
      <c r="E130" t="s">
        <v>473</v>
      </c>
      <c r="F130" t="s">
        <v>212</v>
      </c>
      <c r="G130" t="s">
        <v>42</v>
      </c>
      <c r="H130">
        <v>33.622056000000001</v>
      </c>
      <c r="I130">
        <v>-111.90449599999999</v>
      </c>
      <c r="J130">
        <v>480</v>
      </c>
      <c r="K130" t="s">
        <v>43</v>
      </c>
      <c r="N130" t="s">
        <v>474</v>
      </c>
      <c r="O130" t="s">
        <v>61</v>
      </c>
      <c r="R130" t="str">
        <f>IFERROR(_xlfn.XLOOKUP($A130,Anova_Live!$B$2:$B$60,Anova_Live!$A$2:$A$60,""),"")</f>
        <v/>
      </c>
      <c r="S130" t="str">
        <f>IFERROR(_xlfn.XLOOKUP($A130,Anova_Live!$B$2:$B$60,Anova_Live!$E$2:$E$60,""),"")</f>
        <v/>
      </c>
      <c r="T130" t="str">
        <f>IFERROR(_xlfn.XLOOKUP($A130,Anova_Live!$B$2:$B$60,Anova_Live!$K$2:$K$60,""),"")</f>
        <v/>
      </c>
      <c r="U130" t="str">
        <f>IFERROR(_xlfn.XLOOKUP($A130,Anova_Live!$B$2:$B$60,Anova_Live!$H$2:$H$60,""),"")</f>
        <v/>
      </c>
      <c r="V130" t="str">
        <f>IFERROR(_xlfn.XLOOKUP($A130,Anova_Live!$B$2:$B$60,Anova_Live!$L$2:$L$60,""),"")</f>
        <v/>
      </c>
      <c r="W130" t="str">
        <f>IFERROR(_xlfn.XLOOKUP($A130,Anova_Live!$B$2:$B$60,Anova_Live!$M$2:$M$60,""),"")</f>
        <v/>
      </c>
      <c r="X130" t="str">
        <f>IFERROR(_xlfn.XLOOKUP($A130,Anova_Live!$B$2:$B$60,Anova_Live!$N$2:$N$60,""),"")</f>
        <v/>
      </c>
    </row>
    <row r="131" spans="1:24" x14ac:dyDescent="0.2">
      <c r="A131">
        <v>19031</v>
      </c>
      <c r="B131" t="s">
        <v>475</v>
      </c>
      <c r="C131" t="s">
        <v>63</v>
      </c>
      <c r="D131" t="s">
        <v>64</v>
      </c>
      <c r="E131" t="s">
        <v>476</v>
      </c>
      <c r="F131" t="s">
        <v>477</v>
      </c>
      <c r="G131" t="s">
        <v>42</v>
      </c>
      <c r="H131">
        <v>33.638244800000002</v>
      </c>
      <c r="I131">
        <v>-112.357798</v>
      </c>
      <c r="J131">
        <v>950</v>
      </c>
      <c r="K131" t="s">
        <v>48</v>
      </c>
      <c r="N131" t="s">
        <v>478</v>
      </c>
      <c r="P131" t="s">
        <v>479</v>
      </c>
      <c r="R131" t="str">
        <f>IFERROR(_xlfn.XLOOKUP($A131,Anova_Live!$B$2:$B$60,Anova_Live!$A$2:$A$60,""),"")</f>
        <v/>
      </c>
      <c r="S131" t="str">
        <f>IFERROR(_xlfn.XLOOKUP($A131,Anova_Live!$B$2:$B$60,Anova_Live!$E$2:$E$60,""),"")</f>
        <v/>
      </c>
      <c r="T131" t="str">
        <f>IFERROR(_xlfn.XLOOKUP($A131,Anova_Live!$B$2:$B$60,Anova_Live!$K$2:$K$60,""),"")</f>
        <v/>
      </c>
      <c r="U131" t="str">
        <f>IFERROR(_xlfn.XLOOKUP($A131,Anova_Live!$B$2:$B$60,Anova_Live!$H$2:$H$60,""),"")</f>
        <v/>
      </c>
      <c r="V131" t="str">
        <f>IFERROR(_xlfn.XLOOKUP($A131,Anova_Live!$B$2:$B$60,Anova_Live!$L$2:$L$60,""),"")</f>
        <v/>
      </c>
      <c r="W131" t="str">
        <f>IFERROR(_xlfn.XLOOKUP($A131,Anova_Live!$B$2:$B$60,Anova_Live!$M$2:$M$60,""),"")</f>
        <v/>
      </c>
      <c r="X131" t="str">
        <f>IFERROR(_xlfn.XLOOKUP($A131,Anova_Live!$B$2:$B$60,Anova_Live!$N$2:$N$60,""),"")</f>
        <v/>
      </c>
    </row>
    <row r="132" spans="1:24" x14ac:dyDescent="0.2">
      <c r="A132">
        <v>19033</v>
      </c>
      <c r="B132" t="s">
        <v>480</v>
      </c>
      <c r="C132" t="s">
        <v>51</v>
      </c>
      <c r="D132" t="s">
        <v>52</v>
      </c>
      <c r="E132" t="s">
        <v>481</v>
      </c>
      <c r="F132" t="s">
        <v>54</v>
      </c>
      <c r="G132" t="s">
        <v>42</v>
      </c>
      <c r="H132">
        <v>33.628121200000002</v>
      </c>
      <c r="I132">
        <v>-111.8964059</v>
      </c>
      <c r="J132">
        <v>350</v>
      </c>
      <c r="K132" t="s">
        <v>43</v>
      </c>
      <c r="P132" t="s">
        <v>95</v>
      </c>
      <c r="R132" t="str">
        <f>IFERROR(_xlfn.XLOOKUP($A132,Anova_Live!$B$2:$B$60,Anova_Live!$A$2:$A$60,""),"")</f>
        <v/>
      </c>
      <c r="S132" t="str">
        <f>IFERROR(_xlfn.XLOOKUP($A132,Anova_Live!$B$2:$B$60,Anova_Live!$E$2:$E$60,""),"")</f>
        <v/>
      </c>
      <c r="T132" t="str">
        <f>IFERROR(_xlfn.XLOOKUP($A132,Anova_Live!$B$2:$B$60,Anova_Live!$K$2:$K$60,""),"")</f>
        <v/>
      </c>
      <c r="U132" t="str">
        <f>IFERROR(_xlfn.XLOOKUP($A132,Anova_Live!$B$2:$B$60,Anova_Live!$H$2:$H$60,""),"")</f>
        <v/>
      </c>
      <c r="V132" t="str">
        <f>IFERROR(_xlfn.XLOOKUP($A132,Anova_Live!$B$2:$B$60,Anova_Live!$L$2:$L$60,""),"")</f>
        <v/>
      </c>
      <c r="W132" t="str">
        <f>IFERROR(_xlfn.XLOOKUP($A132,Anova_Live!$B$2:$B$60,Anova_Live!$M$2:$M$60,""),"")</f>
        <v/>
      </c>
      <c r="X132" t="str">
        <f>IFERROR(_xlfn.XLOOKUP($A132,Anova_Live!$B$2:$B$60,Anova_Live!$N$2:$N$60,""),"")</f>
        <v/>
      </c>
    </row>
    <row r="133" spans="1:24" x14ac:dyDescent="0.2">
      <c r="A133">
        <v>19035</v>
      </c>
      <c r="B133" t="s">
        <v>482</v>
      </c>
      <c r="C133" t="s">
        <v>38</v>
      </c>
      <c r="D133" t="s">
        <v>39</v>
      </c>
      <c r="E133" t="s">
        <v>483</v>
      </c>
      <c r="F133" t="s">
        <v>141</v>
      </c>
      <c r="G133" t="s">
        <v>42</v>
      </c>
      <c r="H133">
        <v>33.5339016</v>
      </c>
      <c r="I133">
        <v>-112.260605</v>
      </c>
      <c r="J133">
        <v>350</v>
      </c>
      <c r="K133" t="s">
        <v>48</v>
      </c>
      <c r="P133" t="s">
        <v>484</v>
      </c>
      <c r="R133" t="str">
        <f>IFERROR(_xlfn.XLOOKUP($A133,Anova_Live!$B$2:$B$60,Anova_Live!$A$2:$A$60,""),"")</f>
        <v/>
      </c>
      <c r="S133" t="str">
        <f>IFERROR(_xlfn.XLOOKUP($A133,Anova_Live!$B$2:$B$60,Anova_Live!$E$2:$E$60,""),"")</f>
        <v/>
      </c>
      <c r="T133" t="str">
        <f>IFERROR(_xlfn.XLOOKUP($A133,Anova_Live!$B$2:$B$60,Anova_Live!$K$2:$K$60,""),"")</f>
        <v/>
      </c>
      <c r="U133" t="str">
        <f>IFERROR(_xlfn.XLOOKUP($A133,Anova_Live!$B$2:$B$60,Anova_Live!$H$2:$H$60,""),"")</f>
        <v/>
      </c>
      <c r="V133" t="str">
        <f>IFERROR(_xlfn.XLOOKUP($A133,Anova_Live!$B$2:$B$60,Anova_Live!$L$2:$L$60,""),"")</f>
        <v/>
      </c>
      <c r="W133" t="str">
        <f>IFERROR(_xlfn.XLOOKUP($A133,Anova_Live!$B$2:$B$60,Anova_Live!$M$2:$M$60,""),"")</f>
        <v/>
      </c>
      <c r="X133" t="str">
        <f>IFERROR(_xlfn.XLOOKUP($A133,Anova_Live!$B$2:$B$60,Anova_Live!$N$2:$N$60,""),"")</f>
        <v/>
      </c>
    </row>
    <row r="134" spans="1:24" x14ac:dyDescent="0.2">
      <c r="A134">
        <v>19123</v>
      </c>
      <c r="B134" t="s">
        <v>485</v>
      </c>
      <c r="C134" t="s">
        <v>72</v>
      </c>
      <c r="D134" t="s">
        <v>486</v>
      </c>
      <c r="E134" t="s">
        <v>487</v>
      </c>
      <c r="F134" t="s">
        <v>58</v>
      </c>
      <c r="G134" t="s">
        <v>42</v>
      </c>
      <c r="H134">
        <v>33.715291100000009</v>
      </c>
      <c r="I134">
        <v>-112.11364260000001</v>
      </c>
      <c r="J134">
        <v>350</v>
      </c>
      <c r="K134" t="s">
        <v>48</v>
      </c>
      <c r="R134" t="str">
        <f>IFERROR(_xlfn.XLOOKUP($A134,Anova_Live!$B$2:$B$60,Anova_Live!$A$2:$A$60,""),"")</f>
        <v/>
      </c>
      <c r="S134" t="str">
        <f>IFERROR(_xlfn.XLOOKUP($A134,Anova_Live!$B$2:$B$60,Anova_Live!$E$2:$E$60,""),"")</f>
        <v/>
      </c>
      <c r="T134" t="str">
        <f>IFERROR(_xlfn.XLOOKUP($A134,Anova_Live!$B$2:$B$60,Anova_Live!$K$2:$K$60,""),"")</f>
        <v/>
      </c>
      <c r="U134" t="str">
        <f>IFERROR(_xlfn.XLOOKUP($A134,Anova_Live!$B$2:$B$60,Anova_Live!$H$2:$H$60,""),"")</f>
        <v/>
      </c>
      <c r="V134" t="str">
        <f>IFERROR(_xlfn.XLOOKUP($A134,Anova_Live!$B$2:$B$60,Anova_Live!$L$2:$L$60,""),"")</f>
        <v/>
      </c>
      <c r="W134" t="str">
        <f>IFERROR(_xlfn.XLOOKUP($A134,Anova_Live!$B$2:$B$60,Anova_Live!$M$2:$M$60,""),"")</f>
        <v/>
      </c>
      <c r="X134" t="str">
        <f>IFERROR(_xlfn.XLOOKUP($A134,Anova_Live!$B$2:$B$60,Anova_Live!$N$2:$N$60,""),"")</f>
        <v/>
      </c>
    </row>
    <row r="135" spans="1:24" x14ac:dyDescent="0.2">
      <c r="A135">
        <v>19077</v>
      </c>
      <c r="B135" t="s">
        <v>488</v>
      </c>
      <c r="C135" t="s">
        <v>51</v>
      </c>
      <c r="D135" t="s">
        <v>52</v>
      </c>
      <c r="E135" t="s">
        <v>489</v>
      </c>
      <c r="F135" t="s">
        <v>54</v>
      </c>
      <c r="G135" t="s">
        <v>42</v>
      </c>
      <c r="H135">
        <v>33.622039999999998</v>
      </c>
      <c r="I135">
        <v>-111.90441439999999</v>
      </c>
      <c r="J135">
        <v>1050</v>
      </c>
      <c r="K135" t="s">
        <v>43</v>
      </c>
      <c r="N135" t="s">
        <v>490</v>
      </c>
      <c r="O135" t="s">
        <v>61</v>
      </c>
      <c r="R135" t="str">
        <f>IFERROR(_xlfn.XLOOKUP($A135,Anova_Live!$B$2:$B$60,Anova_Live!$A$2:$A$60,""),"")</f>
        <v/>
      </c>
      <c r="S135" t="str">
        <f>IFERROR(_xlfn.XLOOKUP($A135,Anova_Live!$B$2:$B$60,Anova_Live!$E$2:$E$60,""),"")</f>
        <v/>
      </c>
      <c r="T135" t="str">
        <f>IFERROR(_xlfn.XLOOKUP($A135,Anova_Live!$B$2:$B$60,Anova_Live!$K$2:$K$60,""),"")</f>
        <v/>
      </c>
      <c r="U135" t="str">
        <f>IFERROR(_xlfn.XLOOKUP($A135,Anova_Live!$B$2:$B$60,Anova_Live!$H$2:$H$60,""),"")</f>
        <v/>
      </c>
      <c r="V135" t="str">
        <f>IFERROR(_xlfn.XLOOKUP($A135,Anova_Live!$B$2:$B$60,Anova_Live!$L$2:$L$60,""),"")</f>
        <v/>
      </c>
      <c r="W135" t="str">
        <f>IFERROR(_xlfn.XLOOKUP($A135,Anova_Live!$B$2:$B$60,Anova_Live!$M$2:$M$60,""),"")</f>
        <v/>
      </c>
      <c r="X135" t="str">
        <f>IFERROR(_xlfn.XLOOKUP($A135,Anova_Live!$B$2:$B$60,Anova_Live!$N$2:$N$60,""),"")</f>
        <v/>
      </c>
    </row>
    <row r="136" spans="1:24" x14ac:dyDescent="0.2">
      <c r="A136">
        <v>19117</v>
      </c>
      <c r="B136" t="s">
        <v>491</v>
      </c>
      <c r="C136" t="s">
        <v>72</v>
      </c>
      <c r="D136" t="s">
        <v>164</v>
      </c>
      <c r="E136" t="s">
        <v>492</v>
      </c>
      <c r="F136" t="s">
        <v>216</v>
      </c>
      <c r="G136" t="s">
        <v>42</v>
      </c>
      <c r="H136">
        <v>33.378718900000003</v>
      </c>
      <c r="I136">
        <v>-111.9301978</v>
      </c>
      <c r="J136">
        <v>500</v>
      </c>
      <c r="K136" t="s">
        <v>43</v>
      </c>
      <c r="N136" t="s">
        <v>493</v>
      </c>
      <c r="O136" t="s">
        <v>61</v>
      </c>
      <c r="R136">
        <f>IFERROR(_xlfn.XLOOKUP($A136,Anova_Live!$B$2:$B$60,Anova_Live!$A$2:$A$60,""),"")</f>
        <v>121381187</v>
      </c>
      <c r="S136">
        <f>IFERROR(_xlfn.XLOOKUP($A136,Anova_Live!$B$2:$B$60,Anova_Live!$E$2:$E$60,""),"")</f>
        <v>220.14309816133209</v>
      </c>
      <c r="T136">
        <f>IFERROR(_xlfn.XLOOKUP($A136,Anova_Live!$B$2:$B$60,Anova_Live!$K$2:$K$60,""),"")</f>
        <v>44</v>
      </c>
      <c r="U136" t="str">
        <f>IFERROR(_xlfn.XLOOKUP($A136,Anova_Live!$B$2:$B$60,Anova_Live!$H$2:$H$60,""),"")</f>
        <v>2026-05-06T11:00:29Z</v>
      </c>
      <c r="V136">
        <f>IFERROR(_xlfn.XLOOKUP($A136,Anova_Live!$B$2:$B$60,Anova_Live!$L$2:$L$60,""),"")</f>
        <v>280</v>
      </c>
      <c r="W136" t="str">
        <f ca="1">IFERROR(_xlfn.XLOOKUP($A136,Anova_Live!$B$2:$B$60,Anova_Live!$M$2:$M$60,""),"")</f>
        <v/>
      </c>
      <c r="X136" t="str">
        <f>IFERROR(_xlfn.XLOOKUP($A136,Anova_Live!$B$2:$B$60,Anova_Live!$N$2:$N$60,""),"")</f>
        <v>push</v>
      </c>
    </row>
    <row r="137" spans="1:24" x14ac:dyDescent="0.2">
      <c r="A137">
        <v>20081</v>
      </c>
      <c r="B137" t="s">
        <v>494</v>
      </c>
      <c r="C137" t="s">
        <v>72</v>
      </c>
      <c r="D137" t="s">
        <v>73</v>
      </c>
      <c r="E137" t="s">
        <v>495</v>
      </c>
      <c r="F137" t="s">
        <v>58</v>
      </c>
      <c r="G137" t="s">
        <v>42</v>
      </c>
      <c r="H137">
        <v>33.4877599</v>
      </c>
      <c r="I137">
        <v>-112.06568489999999</v>
      </c>
      <c r="J137">
        <v>1050</v>
      </c>
      <c r="K137" t="s">
        <v>48</v>
      </c>
      <c r="O137" t="s">
        <v>61</v>
      </c>
      <c r="R137" t="str">
        <f>IFERROR(_xlfn.XLOOKUP($A137,Anova_Live!$B$2:$B$60,Anova_Live!$A$2:$A$60,""),"")</f>
        <v/>
      </c>
      <c r="S137" t="str">
        <f>IFERROR(_xlfn.XLOOKUP($A137,Anova_Live!$B$2:$B$60,Anova_Live!$E$2:$E$60,""),"")</f>
        <v/>
      </c>
      <c r="T137" t="str">
        <f>IFERROR(_xlfn.XLOOKUP($A137,Anova_Live!$B$2:$B$60,Anova_Live!$K$2:$K$60,""),"")</f>
        <v/>
      </c>
      <c r="U137" t="str">
        <f>IFERROR(_xlfn.XLOOKUP($A137,Anova_Live!$B$2:$B$60,Anova_Live!$H$2:$H$60,""),"")</f>
        <v/>
      </c>
      <c r="V137" t="str">
        <f>IFERROR(_xlfn.XLOOKUP($A137,Anova_Live!$B$2:$B$60,Anova_Live!$L$2:$L$60,""),"")</f>
        <v/>
      </c>
      <c r="W137" t="str">
        <f>IFERROR(_xlfn.XLOOKUP($A137,Anova_Live!$B$2:$B$60,Anova_Live!$M$2:$M$60,""),"")</f>
        <v/>
      </c>
      <c r="X137" t="str">
        <f>IFERROR(_xlfn.XLOOKUP($A137,Anova_Live!$B$2:$B$60,Anova_Live!$N$2:$N$60,""),"")</f>
        <v/>
      </c>
    </row>
    <row r="138" spans="1:24" x14ac:dyDescent="0.2">
      <c r="A138">
        <v>20090</v>
      </c>
      <c r="B138" t="s">
        <v>496</v>
      </c>
      <c r="C138" t="s">
        <v>38</v>
      </c>
      <c r="D138" t="s">
        <v>46</v>
      </c>
      <c r="E138" t="s">
        <v>497</v>
      </c>
      <c r="F138" t="s">
        <v>498</v>
      </c>
      <c r="G138" t="s">
        <v>42</v>
      </c>
      <c r="H138">
        <v>33.678324699999997</v>
      </c>
      <c r="I138">
        <v>-112.2768177</v>
      </c>
      <c r="J138">
        <v>1050</v>
      </c>
      <c r="K138" t="s">
        <v>48</v>
      </c>
      <c r="N138" t="s">
        <v>499</v>
      </c>
      <c r="R138" t="str">
        <f>IFERROR(_xlfn.XLOOKUP($A138,Anova_Live!$B$2:$B$60,Anova_Live!$A$2:$A$60,""),"")</f>
        <v/>
      </c>
      <c r="S138" t="str">
        <f>IFERROR(_xlfn.XLOOKUP($A138,Anova_Live!$B$2:$B$60,Anova_Live!$E$2:$E$60,""),"")</f>
        <v/>
      </c>
      <c r="T138" t="str">
        <f>IFERROR(_xlfn.XLOOKUP($A138,Anova_Live!$B$2:$B$60,Anova_Live!$K$2:$K$60,""),"")</f>
        <v/>
      </c>
      <c r="U138" t="str">
        <f>IFERROR(_xlfn.XLOOKUP($A138,Anova_Live!$B$2:$B$60,Anova_Live!$H$2:$H$60,""),"")</f>
        <v/>
      </c>
      <c r="V138" t="str">
        <f>IFERROR(_xlfn.XLOOKUP($A138,Anova_Live!$B$2:$B$60,Anova_Live!$L$2:$L$60,""),"")</f>
        <v/>
      </c>
      <c r="W138" t="str">
        <f>IFERROR(_xlfn.XLOOKUP($A138,Anova_Live!$B$2:$B$60,Anova_Live!$M$2:$M$60,""),"")</f>
        <v/>
      </c>
      <c r="X138" t="str">
        <f>IFERROR(_xlfn.XLOOKUP($A138,Anova_Live!$B$2:$B$60,Anova_Live!$N$2:$N$60,""),"")</f>
        <v/>
      </c>
    </row>
    <row r="139" spans="1:24" x14ac:dyDescent="0.2">
      <c r="A139">
        <v>20091</v>
      </c>
      <c r="B139" t="s">
        <v>500</v>
      </c>
      <c r="C139" t="s">
        <v>63</v>
      </c>
      <c r="D139" t="s">
        <v>64</v>
      </c>
      <c r="E139" t="s">
        <v>501</v>
      </c>
      <c r="F139" t="s">
        <v>66</v>
      </c>
      <c r="G139" t="s">
        <v>42</v>
      </c>
      <c r="H139">
        <v>33.636786000000001</v>
      </c>
      <c r="I139">
        <v>-112.3946409</v>
      </c>
      <c r="J139">
        <v>1050</v>
      </c>
      <c r="K139" t="s">
        <v>48</v>
      </c>
      <c r="N139" t="s">
        <v>502</v>
      </c>
      <c r="R139" t="str">
        <f>IFERROR(_xlfn.XLOOKUP($A139,Anova_Live!$B$2:$B$60,Anova_Live!$A$2:$A$60,""),"")</f>
        <v/>
      </c>
      <c r="S139" t="str">
        <f>IFERROR(_xlfn.XLOOKUP($A139,Anova_Live!$B$2:$B$60,Anova_Live!$E$2:$E$60,""),"")</f>
        <v/>
      </c>
      <c r="T139" t="str">
        <f>IFERROR(_xlfn.XLOOKUP($A139,Anova_Live!$B$2:$B$60,Anova_Live!$K$2:$K$60,""),"")</f>
        <v/>
      </c>
      <c r="U139" t="str">
        <f>IFERROR(_xlfn.XLOOKUP($A139,Anova_Live!$B$2:$B$60,Anova_Live!$H$2:$H$60,""),"")</f>
        <v/>
      </c>
      <c r="V139" t="str">
        <f>IFERROR(_xlfn.XLOOKUP($A139,Anova_Live!$B$2:$B$60,Anova_Live!$L$2:$L$60,""),"")</f>
        <v/>
      </c>
      <c r="W139" t="str">
        <f>IFERROR(_xlfn.XLOOKUP($A139,Anova_Live!$B$2:$B$60,Anova_Live!$M$2:$M$60,""),"")</f>
        <v/>
      </c>
      <c r="X139" t="str">
        <f>IFERROR(_xlfn.XLOOKUP($A139,Anova_Live!$B$2:$B$60,Anova_Live!$N$2:$N$60,""),"")</f>
        <v/>
      </c>
    </row>
    <row r="140" spans="1:24" x14ac:dyDescent="0.2">
      <c r="A140">
        <v>20092</v>
      </c>
      <c r="B140" t="s">
        <v>503</v>
      </c>
      <c r="C140" t="s">
        <v>63</v>
      </c>
      <c r="D140" t="s">
        <v>319</v>
      </c>
      <c r="E140" t="s">
        <v>504</v>
      </c>
      <c r="F140" t="s">
        <v>121</v>
      </c>
      <c r="G140" t="s">
        <v>42</v>
      </c>
      <c r="H140">
        <v>33.452567299999998</v>
      </c>
      <c r="I140">
        <v>-112.3939295</v>
      </c>
      <c r="J140">
        <v>1050</v>
      </c>
      <c r="K140" t="s">
        <v>48</v>
      </c>
      <c r="N140" t="s">
        <v>505</v>
      </c>
      <c r="R140" t="str">
        <f>IFERROR(_xlfn.XLOOKUP($A140,Anova_Live!$B$2:$B$60,Anova_Live!$A$2:$A$60,""),"")</f>
        <v/>
      </c>
      <c r="S140" t="str">
        <f>IFERROR(_xlfn.XLOOKUP($A140,Anova_Live!$B$2:$B$60,Anova_Live!$E$2:$E$60,""),"")</f>
        <v/>
      </c>
      <c r="T140" t="str">
        <f>IFERROR(_xlfn.XLOOKUP($A140,Anova_Live!$B$2:$B$60,Anova_Live!$K$2:$K$60,""),"")</f>
        <v/>
      </c>
      <c r="U140" t="str">
        <f>IFERROR(_xlfn.XLOOKUP($A140,Anova_Live!$B$2:$B$60,Anova_Live!$H$2:$H$60,""),"")</f>
        <v/>
      </c>
      <c r="V140" t="str">
        <f>IFERROR(_xlfn.XLOOKUP($A140,Anova_Live!$B$2:$B$60,Anova_Live!$L$2:$L$60,""),"")</f>
        <v/>
      </c>
      <c r="W140" t="str">
        <f>IFERROR(_xlfn.XLOOKUP($A140,Anova_Live!$B$2:$B$60,Anova_Live!$M$2:$M$60,""),"")</f>
        <v/>
      </c>
      <c r="X140" t="str">
        <f>IFERROR(_xlfn.XLOOKUP($A140,Anova_Live!$B$2:$B$60,Anova_Live!$N$2:$N$60,""),"")</f>
        <v/>
      </c>
    </row>
    <row r="141" spans="1:24" x14ac:dyDescent="0.2">
      <c r="A141">
        <v>20093</v>
      </c>
      <c r="B141" t="s">
        <v>506</v>
      </c>
      <c r="C141" t="s">
        <v>38</v>
      </c>
      <c r="D141" t="s">
        <v>39</v>
      </c>
      <c r="E141" t="s">
        <v>507</v>
      </c>
      <c r="F141" t="s">
        <v>508</v>
      </c>
      <c r="G141" t="s">
        <v>42</v>
      </c>
      <c r="H141">
        <v>33.5093666</v>
      </c>
      <c r="I141">
        <v>-112.342473</v>
      </c>
      <c r="J141">
        <v>1050</v>
      </c>
      <c r="K141" t="s">
        <v>43</v>
      </c>
      <c r="N141" t="s">
        <v>509</v>
      </c>
      <c r="R141" t="str">
        <f>IFERROR(_xlfn.XLOOKUP($A141,Anova_Live!$B$2:$B$60,Anova_Live!$A$2:$A$60,""),"")</f>
        <v/>
      </c>
      <c r="S141" t="str">
        <f>IFERROR(_xlfn.XLOOKUP($A141,Anova_Live!$B$2:$B$60,Anova_Live!$E$2:$E$60,""),"")</f>
        <v/>
      </c>
      <c r="T141" t="str">
        <f>IFERROR(_xlfn.XLOOKUP($A141,Anova_Live!$B$2:$B$60,Anova_Live!$K$2:$K$60,""),"")</f>
        <v/>
      </c>
      <c r="U141" t="str">
        <f>IFERROR(_xlfn.XLOOKUP($A141,Anova_Live!$B$2:$B$60,Anova_Live!$H$2:$H$60,""),"")</f>
        <v/>
      </c>
      <c r="V141" t="str">
        <f>IFERROR(_xlfn.XLOOKUP($A141,Anova_Live!$B$2:$B$60,Anova_Live!$L$2:$L$60,""),"")</f>
        <v/>
      </c>
      <c r="W141" t="str">
        <f>IFERROR(_xlfn.XLOOKUP($A141,Anova_Live!$B$2:$B$60,Anova_Live!$M$2:$M$60,""),"")</f>
        <v/>
      </c>
      <c r="X141" t="str">
        <f>IFERROR(_xlfn.XLOOKUP($A141,Anova_Live!$B$2:$B$60,Anova_Live!$N$2:$N$60,""),"")</f>
        <v/>
      </c>
    </row>
    <row r="142" spans="1:24" x14ac:dyDescent="0.2">
      <c r="A142">
        <v>20094</v>
      </c>
      <c r="B142" t="s">
        <v>510</v>
      </c>
      <c r="C142" t="s">
        <v>63</v>
      </c>
      <c r="D142" t="s">
        <v>319</v>
      </c>
      <c r="E142" t="s">
        <v>511</v>
      </c>
      <c r="F142" t="s">
        <v>512</v>
      </c>
      <c r="G142" t="s">
        <v>42</v>
      </c>
      <c r="H142">
        <v>33.442979000000001</v>
      </c>
      <c r="I142">
        <v>-112.55476350000001</v>
      </c>
      <c r="J142">
        <v>1050</v>
      </c>
      <c r="K142" t="s">
        <v>48</v>
      </c>
      <c r="N142" t="s">
        <v>513</v>
      </c>
      <c r="R142" t="str">
        <f>IFERROR(_xlfn.XLOOKUP($A142,Anova_Live!$B$2:$B$60,Anova_Live!$A$2:$A$60,""),"")</f>
        <v/>
      </c>
      <c r="S142" t="str">
        <f>IFERROR(_xlfn.XLOOKUP($A142,Anova_Live!$B$2:$B$60,Anova_Live!$E$2:$E$60,""),"")</f>
        <v/>
      </c>
      <c r="T142" t="str">
        <f>IFERROR(_xlfn.XLOOKUP($A142,Anova_Live!$B$2:$B$60,Anova_Live!$K$2:$K$60,""),"")</f>
        <v/>
      </c>
      <c r="U142" t="str">
        <f>IFERROR(_xlfn.XLOOKUP($A142,Anova_Live!$B$2:$B$60,Anova_Live!$H$2:$H$60,""),"")</f>
        <v/>
      </c>
      <c r="V142" t="str">
        <f>IFERROR(_xlfn.XLOOKUP($A142,Anova_Live!$B$2:$B$60,Anova_Live!$L$2:$L$60,""),"")</f>
        <v/>
      </c>
      <c r="W142" t="str">
        <f>IFERROR(_xlfn.XLOOKUP($A142,Anova_Live!$B$2:$B$60,Anova_Live!$M$2:$M$60,""),"")</f>
        <v/>
      </c>
      <c r="X142" t="str">
        <f>IFERROR(_xlfn.XLOOKUP($A142,Anova_Live!$B$2:$B$60,Anova_Live!$N$2:$N$60,""),"")</f>
        <v/>
      </c>
    </row>
    <row r="143" spans="1:24" x14ac:dyDescent="0.2">
      <c r="A143">
        <v>20095</v>
      </c>
      <c r="B143" t="s">
        <v>514</v>
      </c>
      <c r="C143" t="s">
        <v>51</v>
      </c>
      <c r="D143" t="s">
        <v>247</v>
      </c>
      <c r="E143" t="s">
        <v>515</v>
      </c>
      <c r="F143" t="s">
        <v>516</v>
      </c>
      <c r="G143" t="s">
        <v>42</v>
      </c>
      <c r="H143">
        <v>33.742255499999999</v>
      </c>
      <c r="I143">
        <v>-111.9798691</v>
      </c>
      <c r="J143">
        <v>1050</v>
      </c>
      <c r="K143" t="s">
        <v>48</v>
      </c>
      <c r="N143" t="s">
        <v>517</v>
      </c>
      <c r="R143" t="str">
        <f>IFERROR(_xlfn.XLOOKUP($A143,Anova_Live!$B$2:$B$60,Anova_Live!$A$2:$A$60,""),"")</f>
        <v/>
      </c>
      <c r="S143" t="str">
        <f>IFERROR(_xlfn.XLOOKUP($A143,Anova_Live!$B$2:$B$60,Anova_Live!$E$2:$E$60,""),"")</f>
        <v/>
      </c>
      <c r="T143" t="str">
        <f>IFERROR(_xlfn.XLOOKUP($A143,Anova_Live!$B$2:$B$60,Anova_Live!$K$2:$K$60,""),"")</f>
        <v/>
      </c>
      <c r="U143" t="str">
        <f>IFERROR(_xlfn.XLOOKUP($A143,Anova_Live!$B$2:$B$60,Anova_Live!$H$2:$H$60,""),"")</f>
        <v/>
      </c>
      <c r="V143" t="str">
        <f>IFERROR(_xlfn.XLOOKUP($A143,Anova_Live!$B$2:$B$60,Anova_Live!$L$2:$L$60,""),"")</f>
        <v/>
      </c>
      <c r="W143" t="str">
        <f>IFERROR(_xlfn.XLOOKUP($A143,Anova_Live!$B$2:$B$60,Anova_Live!$M$2:$M$60,""),"")</f>
        <v/>
      </c>
      <c r="X143" t="str">
        <f>IFERROR(_xlfn.XLOOKUP($A143,Anova_Live!$B$2:$B$60,Anova_Live!$N$2:$N$60,""),"")</f>
        <v/>
      </c>
    </row>
    <row r="144" spans="1:24" x14ac:dyDescent="0.2">
      <c r="A144">
        <v>20098</v>
      </c>
      <c r="B144" t="s">
        <v>518</v>
      </c>
      <c r="C144" t="s">
        <v>51</v>
      </c>
      <c r="D144" t="s">
        <v>247</v>
      </c>
      <c r="E144" t="s">
        <v>519</v>
      </c>
      <c r="F144" t="s">
        <v>58</v>
      </c>
      <c r="G144" t="s">
        <v>42</v>
      </c>
      <c r="H144">
        <v>33.640246400000002</v>
      </c>
      <c r="I144">
        <v>-112.0328493</v>
      </c>
      <c r="J144">
        <v>1050</v>
      </c>
      <c r="K144" t="s">
        <v>48</v>
      </c>
      <c r="O144" t="s">
        <v>61</v>
      </c>
      <c r="R144" t="str">
        <f>IFERROR(_xlfn.XLOOKUP($A144,Anova_Live!$B$2:$B$60,Anova_Live!$A$2:$A$60,""),"")</f>
        <v/>
      </c>
      <c r="S144" t="str">
        <f>IFERROR(_xlfn.XLOOKUP($A144,Anova_Live!$B$2:$B$60,Anova_Live!$E$2:$E$60,""),"")</f>
        <v/>
      </c>
      <c r="T144" t="str">
        <f>IFERROR(_xlfn.XLOOKUP($A144,Anova_Live!$B$2:$B$60,Anova_Live!$K$2:$K$60,""),"")</f>
        <v/>
      </c>
      <c r="U144" t="str">
        <f>IFERROR(_xlfn.XLOOKUP($A144,Anova_Live!$B$2:$B$60,Anova_Live!$H$2:$H$60,""),"")</f>
        <v/>
      </c>
      <c r="V144" t="str">
        <f>IFERROR(_xlfn.XLOOKUP($A144,Anova_Live!$B$2:$B$60,Anova_Live!$L$2:$L$60,""),"")</f>
        <v/>
      </c>
      <c r="W144" t="str">
        <f>IFERROR(_xlfn.XLOOKUP($A144,Anova_Live!$B$2:$B$60,Anova_Live!$M$2:$M$60,""),"")</f>
        <v/>
      </c>
      <c r="X144" t="str">
        <f>IFERROR(_xlfn.XLOOKUP($A144,Anova_Live!$B$2:$B$60,Anova_Live!$N$2:$N$60,""),"")</f>
        <v/>
      </c>
    </row>
    <row r="145" spans="1:24" x14ac:dyDescent="0.2">
      <c r="A145">
        <v>22006</v>
      </c>
      <c r="B145" t="s">
        <v>520</v>
      </c>
      <c r="C145" t="s">
        <v>63</v>
      </c>
      <c r="D145" t="s">
        <v>64</v>
      </c>
      <c r="E145" t="s">
        <v>521</v>
      </c>
      <c r="F145" t="s">
        <v>345</v>
      </c>
      <c r="G145" t="s">
        <v>42</v>
      </c>
      <c r="H145">
        <v>33.608203400000001</v>
      </c>
      <c r="I145">
        <v>-112.3573367</v>
      </c>
      <c r="J145">
        <v>950</v>
      </c>
      <c r="K145" t="s">
        <v>43</v>
      </c>
      <c r="N145" t="s">
        <v>522</v>
      </c>
      <c r="R145" t="str">
        <f>IFERROR(_xlfn.XLOOKUP($A145,Anova_Live!$B$2:$B$60,Anova_Live!$A$2:$A$60,""),"")</f>
        <v/>
      </c>
      <c r="S145" t="str">
        <f>IFERROR(_xlfn.XLOOKUP($A145,Anova_Live!$B$2:$B$60,Anova_Live!$E$2:$E$60,""),"")</f>
        <v/>
      </c>
      <c r="T145" t="str">
        <f>IFERROR(_xlfn.XLOOKUP($A145,Anova_Live!$B$2:$B$60,Anova_Live!$K$2:$K$60,""),"")</f>
        <v/>
      </c>
      <c r="U145" t="str">
        <f>IFERROR(_xlfn.XLOOKUP($A145,Anova_Live!$B$2:$B$60,Anova_Live!$H$2:$H$60,""),"")</f>
        <v/>
      </c>
      <c r="V145" t="str">
        <f>IFERROR(_xlfn.XLOOKUP($A145,Anova_Live!$B$2:$B$60,Anova_Live!$L$2:$L$60,""),"")</f>
        <v/>
      </c>
      <c r="W145" t="str">
        <f>IFERROR(_xlfn.XLOOKUP($A145,Anova_Live!$B$2:$B$60,Anova_Live!$M$2:$M$60,""),"")</f>
        <v/>
      </c>
      <c r="X145" t="str">
        <f>IFERROR(_xlfn.XLOOKUP($A145,Anova_Live!$B$2:$B$60,Anova_Live!$N$2:$N$60,""),"")</f>
        <v/>
      </c>
    </row>
    <row r="146" spans="1:24" x14ac:dyDescent="0.2">
      <c r="A146">
        <v>20013</v>
      </c>
      <c r="B146" t="s">
        <v>523</v>
      </c>
      <c r="C146" t="s">
        <v>51</v>
      </c>
      <c r="D146" t="s">
        <v>52</v>
      </c>
      <c r="E146" t="s">
        <v>524</v>
      </c>
      <c r="F146" t="s">
        <v>54</v>
      </c>
      <c r="G146" t="s">
        <v>42</v>
      </c>
      <c r="H146">
        <v>33.543011399999997</v>
      </c>
      <c r="I146">
        <v>-111.9052496</v>
      </c>
      <c r="J146">
        <v>1050</v>
      </c>
      <c r="K146" t="s">
        <v>48</v>
      </c>
      <c r="N146" t="s">
        <v>525</v>
      </c>
      <c r="R146" t="str">
        <f>IFERROR(_xlfn.XLOOKUP($A146,Anova_Live!$B$2:$B$60,Anova_Live!$A$2:$A$60,""),"")</f>
        <v/>
      </c>
      <c r="S146" t="str">
        <f>IFERROR(_xlfn.XLOOKUP($A146,Anova_Live!$B$2:$B$60,Anova_Live!$E$2:$E$60,""),"")</f>
        <v/>
      </c>
      <c r="T146" t="str">
        <f>IFERROR(_xlfn.XLOOKUP($A146,Anova_Live!$B$2:$B$60,Anova_Live!$K$2:$K$60,""),"")</f>
        <v/>
      </c>
      <c r="U146" t="str">
        <f>IFERROR(_xlfn.XLOOKUP($A146,Anova_Live!$B$2:$B$60,Anova_Live!$H$2:$H$60,""),"")</f>
        <v/>
      </c>
      <c r="V146" t="str">
        <f>IFERROR(_xlfn.XLOOKUP($A146,Anova_Live!$B$2:$B$60,Anova_Live!$L$2:$L$60,""),"")</f>
        <v/>
      </c>
      <c r="W146" t="str">
        <f>IFERROR(_xlfn.XLOOKUP($A146,Anova_Live!$B$2:$B$60,Anova_Live!$M$2:$M$60,""),"")</f>
        <v/>
      </c>
      <c r="X146" t="str">
        <f>IFERROR(_xlfn.XLOOKUP($A146,Anova_Live!$B$2:$B$60,Anova_Live!$N$2:$N$60,""),"")</f>
        <v/>
      </c>
    </row>
    <row r="147" spans="1:24" x14ac:dyDescent="0.2">
      <c r="A147">
        <v>20014</v>
      </c>
      <c r="B147" t="s">
        <v>526</v>
      </c>
      <c r="C147" t="s">
        <v>63</v>
      </c>
      <c r="D147" t="s">
        <v>319</v>
      </c>
      <c r="E147" t="s">
        <v>527</v>
      </c>
      <c r="F147" t="s">
        <v>125</v>
      </c>
      <c r="G147" t="s">
        <v>42</v>
      </c>
      <c r="H147">
        <v>33.353912800000003</v>
      </c>
      <c r="I147">
        <v>-112.59184329999999</v>
      </c>
      <c r="J147">
        <v>1050</v>
      </c>
      <c r="K147" t="s">
        <v>48</v>
      </c>
      <c r="R147" t="str">
        <f>IFERROR(_xlfn.XLOOKUP($A147,Anova_Live!$B$2:$B$60,Anova_Live!$A$2:$A$60,""),"")</f>
        <v/>
      </c>
      <c r="S147" t="str">
        <f>IFERROR(_xlfn.XLOOKUP($A147,Anova_Live!$B$2:$B$60,Anova_Live!$E$2:$E$60,""),"")</f>
        <v/>
      </c>
      <c r="T147" t="str">
        <f>IFERROR(_xlfn.XLOOKUP($A147,Anova_Live!$B$2:$B$60,Anova_Live!$K$2:$K$60,""),"")</f>
        <v/>
      </c>
      <c r="U147" t="str">
        <f>IFERROR(_xlfn.XLOOKUP($A147,Anova_Live!$B$2:$B$60,Anova_Live!$H$2:$H$60,""),"")</f>
        <v/>
      </c>
      <c r="V147" t="str">
        <f>IFERROR(_xlfn.XLOOKUP($A147,Anova_Live!$B$2:$B$60,Anova_Live!$L$2:$L$60,""),"")</f>
        <v/>
      </c>
      <c r="W147" t="str">
        <f>IFERROR(_xlfn.XLOOKUP($A147,Anova_Live!$B$2:$B$60,Anova_Live!$M$2:$M$60,""),"")</f>
        <v/>
      </c>
      <c r="X147" t="str">
        <f>IFERROR(_xlfn.XLOOKUP($A147,Anova_Live!$B$2:$B$60,Anova_Live!$N$2:$N$60,""),"")</f>
        <v/>
      </c>
    </row>
    <row r="148" spans="1:24" x14ac:dyDescent="0.2">
      <c r="A148">
        <v>20019</v>
      </c>
      <c r="B148" t="s">
        <v>528</v>
      </c>
      <c r="C148" t="s">
        <v>38</v>
      </c>
      <c r="D148" t="s">
        <v>46</v>
      </c>
      <c r="E148" t="s">
        <v>529</v>
      </c>
      <c r="F148" t="s">
        <v>41</v>
      </c>
      <c r="G148" t="s">
        <v>42</v>
      </c>
      <c r="H148">
        <v>33.638676699999998</v>
      </c>
      <c r="I148">
        <v>-112.1709561</v>
      </c>
      <c r="J148">
        <v>1050</v>
      </c>
      <c r="K148" t="s">
        <v>48</v>
      </c>
      <c r="N148" t="s">
        <v>530</v>
      </c>
      <c r="R148" t="str">
        <f>IFERROR(_xlfn.XLOOKUP($A148,Anova_Live!$B$2:$B$60,Anova_Live!$A$2:$A$60,""),"")</f>
        <v/>
      </c>
      <c r="S148" t="str">
        <f>IFERROR(_xlfn.XLOOKUP($A148,Anova_Live!$B$2:$B$60,Anova_Live!$E$2:$E$60,""),"")</f>
        <v/>
      </c>
      <c r="T148" t="str">
        <f>IFERROR(_xlfn.XLOOKUP($A148,Anova_Live!$B$2:$B$60,Anova_Live!$K$2:$K$60,""),"")</f>
        <v/>
      </c>
      <c r="U148" t="str">
        <f>IFERROR(_xlfn.XLOOKUP($A148,Anova_Live!$B$2:$B$60,Anova_Live!$H$2:$H$60,""),"")</f>
        <v/>
      </c>
      <c r="V148" t="str">
        <f>IFERROR(_xlfn.XLOOKUP($A148,Anova_Live!$B$2:$B$60,Anova_Live!$L$2:$L$60,""),"")</f>
        <v/>
      </c>
      <c r="W148" t="str">
        <f>IFERROR(_xlfn.XLOOKUP($A148,Anova_Live!$B$2:$B$60,Anova_Live!$M$2:$M$60,""),"")</f>
        <v/>
      </c>
      <c r="X148" t="str">
        <f>IFERROR(_xlfn.XLOOKUP($A148,Anova_Live!$B$2:$B$60,Anova_Live!$N$2:$N$60,""),"")</f>
        <v/>
      </c>
    </row>
    <row r="149" spans="1:24" x14ac:dyDescent="0.2">
      <c r="A149">
        <v>20021</v>
      </c>
      <c r="B149" t="s">
        <v>531</v>
      </c>
      <c r="C149" t="s">
        <v>81</v>
      </c>
      <c r="D149" t="s">
        <v>193</v>
      </c>
      <c r="E149" t="s">
        <v>532</v>
      </c>
      <c r="F149" t="s">
        <v>170</v>
      </c>
      <c r="G149" t="s">
        <v>42</v>
      </c>
      <c r="H149">
        <v>33.383326500000003</v>
      </c>
      <c r="I149">
        <v>-111.7569014</v>
      </c>
      <c r="J149">
        <v>1050</v>
      </c>
      <c r="K149" t="s">
        <v>48</v>
      </c>
      <c r="N149" t="s">
        <v>525</v>
      </c>
      <c r="R149" t="str">
        <f>IFERROR(_xlfn.XLOOKUP($A149,Anova_Live!$B$2:$B$60,Anova_Live!$A$2:$A$60,""),"")</f>
        <v/>
      </c>
      <c r="S149" t="str">
        <f>IFERROR(_xlfn.XLOOKUP($A149,Anova_Live!$B$2:$B$60,Anova_Live!$E$2:$E$60,""),"")</f>
        <v/>
      </c>
      <c r="T149" t="str">
        <f>IFERROR(_xlfn.XLOOKUP($A149,Anova_Live!$B$2:$B$60,Anova_Live!$K$2:$K$60,""),"")</f>
        <v/>
      </c>
      <c r="U149" t="str">
        <f>IFERROR(_xlfn.XLOOKUP($A149,Anova_Live!$B$2:$B$60,Anova_Live!$H$2:$H$60,""),"")</f>
        <v/>
      </c>
      <c r="V149" t="str">
        <f>IFERROR(_xlfn.XLOOKUP($A149,Anova_Live!$B$2:$B$60,Anova_Live!$L$2:$L$60,""),"")</f>
        <v/>
      </c>
      <c r="W149" t="str">
        <f>IFERROR(_xlfn.XLOOKUP($A149,Anova_Live!$B$2:$B$60,Anova_Live!$M$2:$M$60,""),"")</f>
        <v/>
      </c>
      <c r="X149" t="str">
        <f>IFERROR(_xlfn.XLOOKUP($A149,Anova_Live!$B$2:$B$60,Anova_Live!$N$2:$N$60,""),"")</f>
        <v/>
      </c>
    </row>
    <row r="150" spans="1:24" x14ac:dyDescent="0.2">
      <c r="A150">
        <v>20088</v>
      </c>
      <c r="B150" t="s">
        <v>533</v>
      </c>
      <c r="C150" t="s">
        <v>51</v>
      </c>
      <c r="D150" t="s">
        <v>115</v>
      </c>
      <c r="E150" t="s">
        <v>534</v>
      </c>
      <c r="F150" t="s">
        <v>212</v>
      </c>
      <c r="G150" t="s">
        <v>42</v>
      </c>
      <c r="H150">
        <v>33.639537099999998</v>
      </c>
      <c r="I150">
        <v>-111.8617453</v>
      </c>
      <c r="J150">
        <v>1050</v>
      </c>
      <c r="K150" t="s">
        <v>48</v>
      </c>
      <c r="N150" t="s">
        <v>535</v>
      </c>
      <c r="R150" t="str">
        <f>IFERROR(_xlfn.XLOOKUP($A150,Anova_Live!$B$2:$B$60,Anova_Live!$A$2:$A$60,""),"")</f>
        <v/>
      </c>
      <c r="S150" t="str">
        <f>IFERROR(_xlfn.XLOOKUP($A150,Anova_Live!$B$2:$B$60,Anova_Live!$E$2:$E$60,""),"")</f>
        <v/>
      </c>
      <c r="T150" t="str">
        <f>IFERROR(_xlfn.XLOOKUP($A150,Anova_Live!$B$2:$B$60,Anova_Live!$K$2:$K$60,""),"")</f>
        <v/>
      </c>
      <c r="U150" t="str">
        <f>IFERROR(_xlfn.XLOOKUP($A150,Anova_Live!$B$2:$B$60,Anova_Live!$H$2:$H$60,""),"")</f>
        <v/>
      </c>
      <c r="V150" t="str">
        <f>IFERROR(_xlfn.XLOOKUP($A150,Anova_Live!$B$2:$B$60,Anova_Live!$L$2:$L$60,""),"")</f>
        <v/>
      </c>
      <c r="W150" t="str">
        <f>IFERROR(_xlfn.XLOOKUP($A150,Anova_Live!$B$2:$B$60,Anova_Live!$M$2:$M$60,""),"")</f>
        <v/>
      </c>
      <c r="X150" t="str">
        <f>IFERROR(_xlfn.XLOOKUP($A150,Anova_Live!$B$2:$B$60,Anova_Live!$N$2:$N$60,""),"")</f>
        <v/>
      </c>
    </row>
    <row r="151" spans="1:24" x14ac:dyDescent="0.2">
      <c r="A151">
        <v>20033</v>
      </c>
      <c r="B151" t="s">
        <v>536</v>
      </c>
      <c r="C151" t="s">
        <v>51</v>
      </c>
      <c r="D151" t="s">
        <v>115</v>
      </c>
      <c r="E151" t="s">
        <v>537</v>
      </c>
      <c r="F151" t="s">
        <v>538</v>
      </c>
      <c r="G151" t="s">
        <v>42</v>
      </c>
      <c r="H151">
        <v>33.518335700000002</v>
      </c>
      <c r="I151">
        <v>-112.00490449999999</v>
      </c>
      <c r="J151">
        <v>1050</v>
      </c>
      <c r="K151" t="s">
        <v>48</v>
      </c>
      <c r="N151" t="s">
        <v>539</v>
      </c>
      <c r="O151" t="s">
        <v>61</v>
      </c>
      <c r="R151" t="str">
        <f>IFERROR(_xlfn.XLOOKUP($A151,Anova_Live!$B$2:$B$60,Anova_Live!$A$2:$A$60,""),"")</f>
        <v/>
      </c>
      <c r="S151" t="str">
        <f>IFERROR(_xlfn.XLOOKUP($A151,Anova_Live!$B$2:$B$60,Anova_Live!$E$2:$E$60,""),"")</f>
        <v/>
      </c>
      <c r="T151" t="str">
        <f>IFERROR(_xlfn.XLOOKUP($A151,Anova_Live!$B$2:$B$60,Anova_Live!$K$2:$K$60,""),"")</f>
        <v/>
      </c>
      <c r="U151" t="str">
        <f>IFERROR(_xlfn.XLOOKUP($A151,Anova_Live!$B$2:$B$60,Anova_Live!$H$2:$H$60,""),"")</f>
        <v/>
      </c>
      <c r="V151" t="str">
        <f>IFERROR(_xlfn.XLOOKUP($A151,Anova_Live!$B$2:$B$60,Anova_Live!$L$2:$L$60,""),"")</f>
        <v/>
      </c>
      <c r="W151" t="str">
        <f>IFERROR(_xlfn.XLOOKUP($A151,Anova_Live!$B$2:$B$60,Anova_Live!$M$2:$M$60,""),"")</f>
        <v/>
      </c>
      <c r="X151" t="str">
        <f>IFERROR(_xlfn.XLOOKUP($A151,Anova_Live!$B$2:$B$60,Anova_Live!$N$2:$N$60,""),"")</f>
        <v/>
      </c>
    </row>
    <row r="152" spans="1:24" x14ac:dyDescent="0.2">
      <c r="A152">
        <v>20051</v>
      </c>
      <c r="B152" t="s">
        <v>540</v>
      </c>
      <c r="C152" t="s">
        <v>38</v>
      </c>
      <c r="D152" t="s">
        <v>46</v>
      </c>
      <c r="E152" t="s">
        <v>541</v>
      </c>
      <c r="F152" t="s">
        <v>41</v>
      </c>
      <c r="G152" t="s">
        <v>42</v>
      </c>
      <c r="H152">
        <v>33.640470899999997</v>
      </c>
      <c r="I152">
        <v>-112.1860298</v>
      </c>
      <c r="J152">
        <v>300</v>
      </c>
      <c r="K152" t="s">
        <v>43</v>
      </c>
      <c r="N152" t="s">
        <v>542</v>
      </c>
      <c r="R152" t="str">
        <f>IFERROR(_xlfn.XLOOKUP($A152,Anova_Live!$B$2:$B$60,Anova_Live!$A$2:$A$60,""),"")</f>
        <v/>
      </c>
      <c r="S152" t="str">
        <f>IFERROR(_xlfn.XLOOKUP($A152,Anova_Live!$B$2:$B$60,Anova_Live!$E$2:$E$60,""),"")</f>
        <v/>
      </c>
      <c r="T152" t="str">
        <f>IFERROR(_xlfn.XLOOKUP($A152,Anova_Live!$B$2:$B$60,Anova_Live!$K$2:$K$60,""),"")</f>
        <v/>
      </c>
      <c r="U152" t="str">
        <f>IFERROR(_xlfn.XLOOKUP($A152,Anova_Live!$B$2:$B$60,Anova_Live!$H$2:$H$60,""),"")</f>
        <v/>
      </c>
      <c r="V152" t="str">
        <f>IFERROR(_xlfn.XLOOKUP($A152,Anova_Live!$B$2:$B$60,Anova_Live!$L$2:$L$60,""),"")</f>
        <v/>
      </c>
      <c r="W152" t="str">
        <f>IFERROR(_xlfn.XLOOKUP($A152,Anova_Live!$B$2:$B$60,Anova_Live!$M$2:$M$60,""),"")</f>
        <v/>
      </c>
      <c r="X152" t="str">
        <f>IFERROR(_xlfn.XLOOKUP($A152,Anova_Live!$B$2:$B$60,Anova_Live!$N$2:$N$60,""),"")</f>
        <v/>
      </c>
    </row>
    <row r="153" spans="1:24" x14ac:dyDescent="0.2">
      <c r="A153">
        <v>20077</v>
      </c>
      <c r="B153" t="s">
        <v>543</v>
      </c>
      <c r="C153" t="s">
        <v>51</v>
      </c>
      <c r="D153" t="s">
        <v>237</v>
      </c>
      <c r="E153" t="s">
        <v>544</v>
      </c>
      <c r="F153" t="s">
        <v>516</v>
      </c>
      <c r="G153" t="s">
        <v>42</v>
      </c>
      <c r="H153">
        <v>33.833152900000002</v>
      </c>
      <c r="I153">
        <v>-111.9561758</v>
      </c>
      <c r="J153">
        <v>630</v>
      </c>
      <c r="K153" t="s">
        <v>43</v>
      </c>
      <c r="N153" t="s">
        <v>545</v>
      </c>
      <c r="P153" t="s">
        <v>546</v>
      </c>
      <c r="R153" t="str">
        <f>IFERROR(_xlfn.XLOOKUP($A153,Anova_Live!$B$2:$B$60,Anova_Live!$A$2:$A$60,""),"")</f>
        <v/>
      </c>
      <c r="S153" t="str">
        <f>IFERROR(_xlfn.XLOOKUP($A153,Anova_Live!$B$2:$B$60,Anova_Live!$E$2:$E$60,""),"")</f>
        <v/>
      </c>
      <c r="T153" t="str">
        <f>IFERROR(_xlfn.XLOOKUP($A153,Anova_Live!$B$2:$B$60,Anova_Live!$K$2:$K$60,""),"")</f>
        <v/>
      </c>
      <c r="U153" t="str">
        <f>IFERROR(_xlfn.XLOOKUP($A153,Anova_Live!$B$2:$B$60,Anova_Live!$H$2:$H$60,""),"")</f>
        <v/>
      </c>
      <c r="V153" t="str">
        <f>IFERROR(_xlfn.XLOOKUP($A153,Anova_Live!$B$2:$B$60,Anova_Live!$L$2:$L$60,""),"")</f>
        <v/>
      </c>
      <c r="W153" t="str">
        <f>IFERROR(_xlfn.XLOOKUP($A153,Anova_Live!$B$2:$B$60,Anova_Live!$M$2:$M$60,""),"")</f>
        <v/>
      </c>
      <c r="X153" t="str">
        <f>IFERROR(_xlfn.XLOOKUP($A153,Anova_Live!$B$2:$B$60,Anova_Live!$N$2:$N$60,""),"")</f>
        <v/>
      </c>
    </row>
    <row r="154" spans="1:24" x14ac:dyDescent="0.2">
      <c r="A154">
        <v>21001</v>
      </c>
      <c r="B154" t="s">
        <v>547</v>
      </c>
      <c r="C154" t="s">
        <v>38</v>
      </c>
      <c r="D154" t="s">
        <v>46</v>
      </c>
      <c r="E154" t="s">
        <v>548</v>
      </c>
      <c r="F154" t="s">
        <v>187</v>
      </c>
      <c r="G154" t="s">
        <v>42</v>
      </c>
      <c r="H154">
        <v>33.655749999999998</v>
      </c>
      <c r="I154">
        <v>-112.2370715</v>
      </c>
      <c r="J154">
        <v>1200</v>
      </c>
      <c r="K154" t="s">
        <v>43</v>
      </c>
      <c r="N154" t="s">
        <v>549</v>
      </c>
      <c r="R154" t="str">
        <f>IFERROR(_xlfn.XLOOKUP($A154,Anova_Live!$B$2:$B$60,Anova_Live!$A$2:$A$60,""),"")</f>
        <v/>
      </c>
      <c r="S154" t="str">
        <f>IFERROR(_xlfn.XLOOKUP($A154,Anova_Live!$B$2:$B$60,Anova_Live!$E$2:$E$60,""),"")</f>
        <v/>
      </c>
      <c r="T154" t="str">
        <f>IFERROR(_xlfn.XLOOKUP($A154,Anova_Live!$B$2:$B$60,Anova_Live!$K$2:$K$60,""),"")</f>
        <v/>
      </c>
      <c r="U154" t="str">
        <f>IFERROR(_xlfn.XLOOKUP($A154,Anova_Live!$B$2:$B$60,Anova_Live!$H$2:$H$60,""),"")</f>
        <v/>
      </c>
      <c r="V154" t="str">
        <f>IFERROR(_xlfn.XLOOKUP($A154,Anova_Live!$B$2:$B$60,Anova_Live!$L$2:$L$60,""),"")</f>
        <v/>
      </c>
      <c r="W154" t="str">
        <f>IFERROR(_xlfn.XLOOKUP($A154,Anova_Live!$B$2:$B$60,Anova_Live!$M$2:$M$60,""),"")</f>
        <v/>
      </c>
      <c r="X154" t="str">
        <f>IFERROR(_xlfn.XLOOKUP($A154,Anova_Live!$B$2:$B$60,Anova_Live!$N$2:$N$60,""),"")</f>
        <v/>
      </c>
    </row>
    <row r="155" spans="1:24" x14ac:dyDescent="0.2">
      <c r="A155">
        <v>21002</v>
      </c>
      <c r="B155" t="s">
        <v>550</v>
      </c>
      <c r="C155" t="s">
        <v>72</v>
      </c>
      <c r="D155" t="s">
        <v>164</v>
      </c>
      <c r="E155" t="s">
        <v>551</v>
      </c>
      <c r="F155" t="s">
        <v>75</v>
      </c>
      <c r="G155" t="s">
        <v>42</v>
      </c>
      <c r="H155">
        <v>33.582112199999997</v>
      </c>
      <c r="I155">
        <v>-112.0121697</v>
      </c>
      <c r="J155">
        <v>1850</v>
      </c>
      <c r="K155" t="s">
        <v>43</v>
      </c>
      <c r="N155" t="s">
        <v>549</v>
      </c>
      <c r="R155" t="str">
        <f>IFERROR(_xlfn.XLOOKUP($A155,Anova_Live!$B$2:$B$60,Anova_Live!$A$2:$A$60,""),"")</f>
        <v/>
      </c>
      <c r="S155" t="str">
        <f>IFERROR(_xlfn.XLOOKUP($A155,Anova_Live!$B$2:$B$60,Anova_Live!$E$2:$E$60,""),"")</f>
        <v/>
      </c>
      <c r="T155" t="str">
        <f>IFERROR(_xlfn.XLOOKUP($A155,Anova_Live!$B$2:$B$60,Anova_Live!$K$2:$K$60,""),"")</f>
        <v/>
      </c>
      <c r="U155" t="str">
        <f>IFERROR(_xlfn.XLOOKUP($A155,Anova_Live!$B$2:$B$60,Anova_Live!$H$2:$H$60,""),"")</f>
        <v/>
      </c>
      <c r="V155" t="str">
        <f>IFERROR(_xlfn.XLOOKUP($A155,Anova_Live!$B$2:$B$60,Anova_Live!$L$2:$L$60,""),"")</f>
        <v/>
      </c>
      <c r="W155" t="str">
        <f>IFERROR(_xlfn.XLOOKUP($A155,Anova_Live!$B$2:$B$60,Anova_Live!$M$2:$M$60,""),"")</f>
        <v/>
      </c>
      <c r="X155" t="str">
        <f>IFERROR(_xlfn.XLOOKUP($A155,Anova_Live!$B$2:$B$60,Anova_Live!$N$2:$N$60,""),"")</f>
        <v/>
      </c>
    </row>
    <row r="156" spans="1:24" x14ac:dyDescent="0.2">
      <c r="A156">
        <v>20097</v>
      </c>
      <c r="B156" t="s">
        <v>552</v>
      </c>
      <c r="C156" t="s">
        <v>38</v>
      </c>
      <c r="D156" t="s">
        <v>39</v>
      </c>
      <c r="E156" t="s">
        <v>553</v>
      </c>
      <c r="F156" t="s">
        <v>498</v>
      </c>
      <c r="G156" t="s">
        <v>42</v>
      </c>
      <c r="H156">
        <v>33.551618599999998</v>
      </c>
      <c r="I156">
        <v>-112.27091129999999</v>
      </c>
      <c r="J156">
        <v>1050</v>
      </c>
      <c r="K156" t="s">
        <v>48</v>
      </c>
      <c r="N156" t="s">
        <v>554</v>
      </c>
      <c r="R156" t="str">
        <f>IFERROR(_xlfn.XLOOKUP($A156,Anova_Live!$B$2:$B$60,Anova_Live!$A$2:$A$60,""),"")</f>
        <v/>
      </c>
      <c r="S156" t="str">
        <f>IFERROR(_xlfn.XLOOKUP($A156,Anova_Live!$B$2:$B$60,Anova_Live!$E$2:$E$60,""),"")</f>
        <v/>
      </c>
      <c r="T156" t="str">
        <f>IFERROR(_xlfn.XLOOKUP($A156,Anova_Live!$B$2:$B$60,Anova_Live!$K$2:$K$60,""),"")</f>
        <v/>
      </c>
      <c r="U156" t="str">
        <f>IFERROR(_xlfn.XLOOKUP($A156,Anova_Live!$B$2:$B$60,Anova_Live!$H$2:$H$60,""),"")</f>
        <v/>
      </c>
      <c r="V156" t="str">
        <f>IFERROR(_xlfn.XLOOKUP($A156,Anova_Live!$B$2:$B$60,Anova_Live!$L$2:$L$60,""),"")</f>
        <v/>
      </c>
      <c r="W156" t="str">
        <f>IFERROR(_xlfn.XLOOKUP($A156,Anova_Live!$B$2:$B$60,Anova_Live!$M$2:$M$60,""),"")</f>
        <v/>
      </c>
      <c r="X156" t="str">
        <f>IFERROR(_xlfn.XLOOKUP($A156,Anova_Live!$B$2:$B$60,Anova_Live!$N$2:$N$60,""),"")</f>
        <v/>
      </c>
    </row>
    <row r="157" spans="1:24" x14ac:dyDescent="0.2">
      <c r="A157">
        <v>1057</v>
      </c>
      <c r="B157" t="s">
        <v>555</v>
      </c>
      <c r="D157" t="s">
        <v>556</v>
      </c>
      <c r="E157" t="s">
        <v>557</v>
      </c>
      <c r="F157" t="s">
        <v>558</v>
      </c>
      <c r="G157" t="s">
        <v>42</v>
      </c>
      <c r="H157">
        <v>32.249794399999999</v>
      </c>
      <c r="I157">
        <v>-110.99404699999999</v>
      </c>
      <c r="J157">
        <v>1000</v>
      </c>
      <c r="K157" t="s">
        <v>43</v>
      </c>
      <c r="N157" t="s">
        <v>559</v>
      </c>
      <c r="R157" t="str">
        <f>IFERROR(_xlfn.XLOOKUP($A157,Anova_Live!$B$2:$B$60,Anova_Live!$A$2:$A$60,""),"")</f>
        <v/>
      </c>
      <c r="S157" t="str">
        <f>IFERROR(_xlfn.XLOOKUP($A157,Anova_Live!$B$2:$B$60,Anova_Live!$E$2:$E$60,""),"")</f>
        <v/>
      </c>
      <c r="T157" t="str">
        <f>IFERROR(_xlfn.XLOOKUP($A157,Anova_Live!$B$2:$B$60,Anova_Live!$K$2:$K$60,""),"")</f>
        <v/>
      </c>
      <c r="U157" t="str">
        <f>IFERROR(_xlfn.XLOOKUP($A157,Anova_Live!$B$2:$B$60,Anova_Live!$H$2:$H$60,""),"")</f>
        <v/>
      </c>
      <c r="V157" t="str">
        <f>IFERROR(_xlfn.XLOOKUP($A157,Anova_Live!$B$2:$B$60,Anova_Live!$L$2:$L$60,""),"")</f>
        <v/>
      </c>
      <c r="W157" t="str">
        <f>IFERROR(_xlfn.XLOOKUP($A157,Anova_Live!$B$2:$B$60,Anova_Live!$M$2:$M$60,""),"")</f>
        <v/>
      </c>
      <c r="X157" t="str">
        <f>IFERROR(_xlfn.XLOOKUP($A157,Anova_Live!$B$2:$B$60,Anova_Live!$N$2:$N$60,""),"")</f>
        <v/>
      </c>
    </row>
    <row r="158" spans="1:24" x14ac:dyDescent="0.2">
      <c r="A158">
        <v>2016</v>
      </c>
      <c r="B158" t="s">
        <v>560</v>
      </c>
      <c r="E158" t="s">
        <v>561</v>
      </c>
      <c r="F158" t="s">
        <v>66</v>
      </c>
      <c r="G158" t="s">
        <v>42</v>
      </c>
      <c r="H158">
        <v>33.637075699999997</v>
      </c>
      <c r="I158">
        <v>-112.3951187</v>
      </c>
      <c r="J158">
        <v>700</v>
      </c>
      <c r="K158" t="s">
        <v>48</v>
      </c>
      <c r="N158" t="s">
        <v>562</v>
      </c>
      <c r="O158" t="s">
        <v>61</v>
      </c>
      <c r="R158" t="str">
        <f>IFERROR(_xlfn.XLOOKUP($A158,Anova_Live!$B$2:$B$60,Anova_Live!$A$2:$A$60,""),"")</f>
        <v/>
      </c>
      <c r="S158" t="str">
        <f>IFERROR(_xlfn.XLOOKUP($A158,Anova_Live!$B$2:$B$60,Anova_Live!$E$2:$E$60,""),"")</f>
        <v/>
      </c>
      <c r="T158" t="str">
        <f>IFERROR(_xlfn.XLOOKUP($A158,Anova_Live!$B$2:$B$60,Anova_Live!$K$2:$K$60,""),"")</f>
        <v/>
      </c>
      <c r="U158" t="str">
        <f>IFERROR(_xlfn.XLOOKUP($A158,Anova_Live!$B$2:$B$60,Anova_Live!$H$2:$H$60,""),"")</f>
        <v/>
      </c>
      <c r="V158" t="str">
        <f>IFERROR(_xlfn.XLOOKUP($A158,Anova_Live!$B$2:$B$60,Anova_Live!$L$2:$L$60,""),"")</f>
        <v/>
      </c>
      <c r="W158" t="str">
        <f>IFERROR(_xlfn.XLOOKUP($A158,Anova_Live!$B$2:$B$60,Anova_Live!$M$2:$M$60,""),"")</f>
        <v/>
      </c>
      <c r="X158" t="str">
        <f>IFERROR(_xlfn.XLOOKUP($A158,Anova_Live!$B$2:$B$60,Anova_Live!$N$2:$N$60,""),"")</f>
        <v/>
      </c>
    </row>
    <row r="159" spans="1:24" x14ac:dyDescent="0.2">
      <c r="A159">
        <v>3056</v>
      </c>
      <c r="B159" t="s">
        <v>563</v>
      </c>
      <c r="C159" t="s">
        <v>38</v>
      </c>
      <c r="D159" t="s">
        <v>46</v>
      </c>
      <c r="E159" t="s">
        <v>564</v>
      </c>
      <c r="F159" t="s">
        <v>498</v>
      </c>
      <c r="G159" t="s">
        <v>42</v>
      </c>
      <c r="H159">
        <v>33.659877299999998</v>
      </c>
      <c r="I159">
        <v>-112.26597169999999</v>
      </c>
      <c r="J159">
        <v>350</v>
      </c>
      <c r="K159" t="s">
        <v>48</v>
      </c>
      <c r="N159" t="s">
        <v>565</v>
      </c>
      <c r="R159" t="str">
        <f>IFERROR(_xlfn.XLOOKUP($A159,Anova_Live!$B$2:$B$60,Anova_Live!$A$2:$A$60,""),"")</f>
        <v/>
      </c>
      <c r="S159" t="str">
        <f>IFERROR(_xlfn.XLOOKUP($A159,Anova_Live!$B$2:$B$60,Anova_Live!$E$2:$E$60,""),"")</f>
        <v/>
      </c>
      <c r="T159" t="str">
        <f>IFERROR(_xlfn.XLOOKUP($A159,Anova_Live!$B$2:$B$60,Anova_Live!$K$2:$K$60,""),"")</f>
        <v/>
      </c>
      <c r="U159" t="str">
        <f>IFERROR(_xlfn.XLOOKUP($A159,Anova_Live!$B$2:$B$60,Anova_Live!$H$2:$H$60,""),"")</f>
        <v/>
      </c>
      <c r="V159" t="str">
        <f>IFERROR(_xlfn.XLOOKUP($A159,Anova_Live!$B$2:$B$60,Anova_Live!$L$2:$L$60,""),"")</f>
        <v/>
      </c>
      <c r="W159" t="str">
        <f>IFERROR(_xlfn.XLOOKUP($A159,Anova_Live!$B$2:$B$60,Anova_Live!$M$2:$M$60,""),"")</f>
        <v/>
      </c>
      <c r="X159" t="str">
        <f>IFERROR(_xlfn.XLOOKUP($A159,Anova_Live!$B$2:$B$60,Anova_Live!$N$2:$N$60,""),"")</f>
        <v/>
      </c>
    </row>
    <row r="160" spans="1:24" x14ac:dyDescent="0.2">
      <c r="A160">
        <v>3028</v>
      </c>
      <c r="B160" t="s">
        <v>566</v>
      </c>
      <c r="D160" t="s">
        <v>567</v>
      </c>
      <c r="E160" t="s">
        <v>568</v>
      </c>
      <c r="F160" t="s">
        <v>428</v>
      </c>
      <c r="G160" t="s">
        <v>42</v>
      </c>
      <c r="H160">
        <v>33.970954200000001</v>
      </c>
      <c r="I160">
        <v>-112.7222422</v>
      </c>
      <c r="J160">
        <v>950</v>
      </c>
      <c r="K160" t="s">
        <v>48</v>
      </c>
      <c r="N160" t="s">
        <v>569</v>
      </c>
      <c r="R160" t="str">
        <f>IFERROR(_xlfn.XLOOKUP($A160,Anova_Live!$B$2:$B$60,Anova_Live!$A$2:$A$60,""),"")</f>
        <v/>
      </c>
      <c r="S160" t="str">
        <f>IFERROR(_xlfn.XLOOKUP($A160,Anova_Live!$B$2:$B$60,Anova_Live!$E$2:$E$60,""),"")</f>
        <v/>
      </c>
      <c r="T160" t="str">
        <f>IFERROR(_xlfn.XLOOKUP($A160,Anova_Live!$B$2:$B$60,Anova_Live!$K$2:$K$60,""),"")</f>
        <v/>
      </c>
      <c r="U160" t="str">
        <f>IFERROR(_xlfn.XLOOKUP($A160,Anova_Live!$B$2:$B$60,Anova_Live!$H$2:$H$60,""),"")</f>
        <v/>
      </c>
      <c r="V160" t="str">
        <f>IFERROR(_xlfn.XLOOKUP($A160,Anova_Live!$B$2:$B$60,Anova_Live!$L$2:$L$60,""),"")</f>
        <v/>
      </c>
      <c r="W160" t="str">
        <f>IFERROR(_xlfn.XLOOKUP($A160,Anova_Live!$B$2:$B$60,Anova_Live!$M$2:$M$60,""),"")</f>
        <v/>
      </c>
      <c r="X160" t="str">
        <f>IFERROR(_xlfn.XLOOKUP($A160,Anova_Live!$B$2:$B$60,Anova_Live!$N$2:$N$60,""),"")</f>
        <v/>
      </c>
    </row>
    <row r="161" spans="1:24" x14ac:dyDescent="0.2">
      <c r="A161">
        <v>3083</v>
      </c>
      <c r="B161" t="s">
        <v>570</v>
      </c>
      <c r="E161" t="s">
        <v>571</v>
      </c>
      <c r="F161" t="s">
        <v>498</v>
      </c>
      <c r="G161" t="s">
        <v>42</v>
      </c>
      <c r="H161">
        <v>33.728045600000002</v>
      </c>
      <c r="I161">
        <v>-112.2428546</v>
      </c>
      <c r="J161">
        <v>350</v>
      </c>
      <c r="K161" t="s">
        <v>48</v>
      </c>
      <c r="N161" t="s">
        <v>572</v>
      </c>
      <c r="R161" t="str">
        <f>IFERROR(_xlfn.XLOOKUP($A161,Anova_Live!$B$2:$B$60,Anova_Live!$A$2:$A$60,""),"")</f>
        <v/>
      </c>
      <c r="S161" t="str">
        <f>IFERROR(_xlfn.XLOOKUP($A161,Anova_Live!$B$2:$B$60,Anova_Live!$E$2:$E$60,""),"")</f>
        <v/>
      </c>
      <c r="T161" t="str">
        <f>IFERROR(_xlfn.XLOOKUP($A161,Anova_Live!$B$2:$B$60,Anova_Live!$K$2:$K$60,""),"")</f>
        <v/>
      </c>
      <c r="U161" t="str">
        <f>IFERROR(_xlfn.XLOOKUP($A161,Anova_Live!$B$2:$B$60,Anova_Live!$H$2:$H$60,""),"")</f>
        <v/>
      </c>
      <c r="V161" t="str">
        <f>IFERROR(_xlfn.XLOOKUP($A161,Anova_Live!$B$2:$B$60,Anova_Live!$L$2:$L$60,""),"")</f>
        <v/>
      </c>
      <c r="W161" t="str">
        <f>IFERROR(_xlfn.XLOOKUP($A161,Anova_Live!$B$2:$B$60,Anova_Live!$M$2:$M$60,""),"")</f>
        <v/>
      </c>
      <c r="X161" t="str">
        <f>IFERROR(_xlfn.XLOOKUP($A161,Anova_Live!$B$2:$B$60,Anova_Live!$N$2:$N$60,""),"")</f>
        <v/>
      </c>
    </row>
    <row r="162" spans="1:24" x14ac:dyDescent="0.2">
      <c r="A162">
        <v>10012</v>
      </c>
      <c r="B162" t="s">
        <v>573</v>
      </c>
      <c r="E162" t="s">
        <v>574</v>
      </c>
      <c r="F162" t="s">
        <v>575</v>
      </c>
      <c r="G162" t="s">
        <v>42</v>
      </c>
      <c r="H162">
        <v>32.270746799999998</v>
      </c>
      <c r="I162">
        <v>-109.244125</v>
      </c>
      <c r="J162">
        <v>2500</v>
      </c>
      <c r="K162" t="s">
        <v>48</v>
      </c>
      <c r="N162" t="s">
        <v>576</v>
      </c>
      <c r="O162" t="s">
        <v>61</v>
      </c>
      <c r="P162" t="s">
        <v>577</v>
      </c>
      <c r="Q162" t="s">
        <v>61</v>
      </c>
      <c r="R162" t="str">
        <f>IFERROR(_xlfn.XLOOKUP($A162,Anova_Live!$B$2:$B$60,Anova_Live!$A$2:$A$60,""),"")</f>
        <v/>
      </c>
      <c r="S162" t="str">
        <f>IFERROR(_xlfn.XLOOKUP($A162,Anova_Live!$B$2:$B$60,Anova_Live!$E$2:$E$60,""),"")</f>
        <v/>
      </c>
      <c r="T162" t="str">
        <f>IFERROR(_xlfn.XLOOKUP($A162,Anova_Live!$B$2:$B$60,Anova_Live!$K$2:$K$60,""),"")</f>
        <v/>
      </c>
      <c r="U162" t="str">
        <f>IFERROR(_xlfn.XLOOKUP($A162,Anova_Live!$B$2:$B$60,Anova_Live!$H$2:$H$60,""),"")</f>
        <v/>
      </c>
      <c r="V162" t="str">
        <f>IFERROR(_xlfn.XLOOKUP($A162,Anova_Live!$B$2:$B$60,Anova_Live!$L$2:$L$60,""),"")</f>
        <v/>
      </c>
      <c r="W162" t="str">
        <f>IFERROR(_xlfn.XLOOKUP($A162,Anova_Live!$B$2:$B$60,Anova_Live!$M$2:$M$60,""),"")</f>
        <v/>
      </c>
      <c r="X162" t="str">
        <f>IFERROR(_xlfn.XLOOKUP($A162,Anova_Live!$B$2:$B$60,Anova_Live!$N$2:$N$60,""),"")</f>
        <v/>
      </c>
    </row>
    <row r="163" spans="1:24" x14ac:dyDescent="0.2">
      <c r="A163">
        <v>12021</v>
      </c>
      <c r="B163" t="s">
        <v>578</v>
      </c>
      <c r="D163" t="s">
        <v>579</v>
      </c>
      <c r="E163" t="s">
        <v>580</v>
      </c>
      <c r="F163" t="s">
        <v>254</v>
      </c>
      <c r="G163" t="s">
        <v>42</v>
      </c>
      <c r="H163">
        <v>35.198408700000002</v>
      </c>
      <c r="I163">
        <v>-111.6472392</v>
      </c>
      <c r="J163">
        <v>700</v>
      </c>
      <c r="K163" t="s">
        <v>48</v>
      </c>
      <c r="N163" t="s">
        <v>581</v>
      </c>
      <c r="R163" t="str">
        <f>IFERROR(_xlfn.XLOOKUP($A163,Anova_Live!$B$2:$B$60,Anova_Live!$A$2:$A$60,""),"")</f>
        <v/>
      </c>
      <c r="S163" t="str">
        <f>IFERROR(_xlfn.XLOOKUP($A163,Anova_Live!$B$2:$B$60,Anova_Live!$E$2:$E$60,""),"")</f>
        <v/>
      </c>
      <c r="T163" t="str">
        <f>IFERROR(_xlfn.XLOOKUP($A163,Anova_Live!$B$2:$B$60,Anova_Live!$K$2:$K$60,""),"")</f>
        <v/>
      </c>
      <c r="U163" t="str">
        <f>IFERROR(_xlfn.XLOOKUP($A163,Anova_Live!$B$2:$B$60,Anova_Live!$H$2:$H$60,""),"")</f>
        <v/>
      </c>
      <c r="V163" t="str">
        <f>IFERROR(_xlfn.XLOOKUP($A163,Anova_Live!$B$2:$B$60,Anova_Live!$L$2:$L$60,""),"")</f>
        <v/>
      </c>
      <c r="W163" t="str">
        <f>IFERROR(_xlfn.XLOOKUP($A163,Anova_Live!$B$2:$B$60,Anova_Live!$M$2:$M$60,""),"")</f>
        <v/>
      </c>
      <c r="X163" t="str">
        <f>IFERROR(_xlfn.XLOOKUP($A163,Anova_Live!$B$2:$B$60,Anova_Live!$N$2:$N$60,""),"")</f>
        <v/>
      </c>
    </row>
    <row r="164" spans="1:24" x14ac:dyDescent="0.2">
      <c r="A164">
        <v>12062</v>
      </c>
      <c r="B164" t="s">
        <v>582</v>
      </c>
      <c r="E164" t="s">
        <v>583</v>
      </c>
      <c r="F164" t="s">
        <v>321</v>
      </c>
      <c r="G164" t="s">
        <v>42</v>
      </c>
      <c r="H164">
        <v>33.435552700000002</v>
      </c>
      <c r="I164">
        <v>-112.3466337</v>
      </c>
      <c r="J164">
        <v>350</v>
      </c>
      <c r="K164" t="s">
        <v>48</v>
      </c>
      <c r="N164" t="s">
        <v>584</v>
      </c>
      <c r="P164" t="s">
        <v>585</v>
      </c>
      <c r="R164" t="str">
        <f>IFERROR(_xlfn.XLOOKUP($A164,Anova_Live!$B$2:$B$60,Anova_Live!$A$2:$A$60,""),"")</f>
        <v/>
      </c>
      <c r="S164" t="str">
        <f>IFERROR(_xlfn.XLOOKUP($A164,Anova_Live!$B$2:$B$60,Anova_Live!$E$2:$E$60,""),"")</f>
        <v/>
      </c>
      <c r="T164" t="str">
        <f>IFERROR(_xlfn.XLOOKUP($A164,Anova_Live!$B$2:$B$60,Anova_Live!$K$2:$K$60,""),"")</f>
        <v/>
      </c>
      <c r="U164" t="str">
        <f>IFERROR(_xlfn.XLOOKUP($A164,Anova_Live!$B$2:$B$60,Anova_Live!$H$2:$H$60,""),"")</f>
        <v/>
      </c>
      <c r="V164" t="str">
        <f>IFERROR(_xlfn.XLOOKUP($A164,Anova_Live!$B$2:$B$60,Anova_Live!$L$2:$L$60,""),"")</f>
        <v/>
      </c>
      <c r="W164" t="str">
        <f>IFERROR(_xlfn.XLOOKUP($A164,Anova_Live!$B$2:$B$60,Anova_Live!$M$2:$M$60,""),"")</f>
        <v/>
      </c>
      <c r="X164" t="str">
        <f>IFERROR(_xlfn.XLOOKUP($A164,Anova_Live!$B$2:$B$60,Anova_Live!$N$2:$N$60,""),"")</f>
        <v/>
      </c>
    </row>
    <row r="165" spans="1:24" x14ac:dyDescent="0.2">
      <c r="A165">
        <v>15032</v>
      </c>
      <c r="B165" t="s">
        <v>586</v>
      </c>
      <c r="D165" t="s">
        <v>587</v>
      </c>
      <c r="E165" t="s">
        <v>588</v>
      </c>
      <c r="F165" t="s">
        <v>254</v>
      </c>
      <c r="G165" t="s">
        <v>42</v>
      </c>
      <c r="H165">
        <v>35.214451599999997</v>
      </c>
      <c r="I165">
        <v>-111.57920970000001</v>
      </c>
      <c r="J165">
        <v>950</v>
      </c>
      <c r="K165" t="s">
        <v>48</v>
      </c>
      <c r="N165" t="s">
        <v>122</v>
      </c>
      <c r="R165" t="str">
        <f>IFERROR(_xlfn.XLOOKUP($A165,Anova_Live!$B$2:$B$60,Anova_Live!$A$2:$A$60,""),"")</f>
        <v/>
      </c>
      <c r="S165" t="str">
        <f>IFERROR(_xlfn.XLOOKUP($A165,Anova_Live!$B$2:$B$60,Anova_Live!$E$2:$E$60,""),"")</f>
        <v/>
      </c>
      <c r="T165" t="str">
        <f>IFERROR(_xlfn.XLOOKUP($A165,Anova_Live!$B$2:$B$60,Anova_Live!$K$2:$K$60,""),"")</f>
        <v/>
      </c>
      <c r="U165" t="str">
        <f>IFERROR(_xlfn.XLOOKUP($A165,Anova_Live!$B$2:$B$60,Anova_Live!$H$2:$H$60,""),"")</f>
        <v/>
      </c>
      <c r="V165" t="str">
        <f>IFERROR(_xlfn.XLOOKUP($A165,Anova_Live!$B$2:$B$60,Anova_Live!$L$2:$L$60,""),"")</f>
        <v/>
      </c>
      <c r="W165" t="str">
        <f>IFERROR(_xlfn.XLOOKUP($A165,Anova_Live!$B$2:$B$60,Anova_Live!$M$2:$M$60,""),"")</f>
        <v/>
      </c>
      <c r="X165" t="str">
        <f>IFERROR(_xlfn.XLOOKUP($A165,Anova_Live!$B$2:$B$60,Anova_Live!$N$2:$N$60,""),"")</f>
        <v/>
      </c>
    </row>
    <row r="166" spans="1:24" x14ac:dyDescent="0.2">
      <c r="A166">
        <v>15033</v>
      </c>
      <c r="B166" t="s">
        <v>589</v>
      </c>
      <c r="D166" t="s">
        <v>587</v>
      </c>
      <c r="E166" t="s">
        <v>590</v>
      </c>
      <c r="F166" t="s">
        <v>591</v>
      </c>
      <c r="G166" t="s">
        <v>42</v>
      </c>
      <c r="H166">
        <v>32.164645</v>
      </c>
      <c r="I166">
        <v>-110.990036</v>
      </c>
      <c r="J166">
        <v>500</v>
      </c>
      <c r="K166" t="s">
        <v>48</v>
      </c>
      <c r="N166" t="s">
        <v>122</v>
      </c>
      <c r="R166" t="str">
        <f>IFERROR(_xlfn.XLOOKUP($A166,Anova_Live!$B$2:$B$60,Anova_Live!$A$2:$A$60,""),"")</f>
        <v/>
      </c>
      <c r="S166" t="str">
        <f>IFERROR(_xlfn.XLOOKUP($A166,Anova_Live!$B$2:$B$60,Anova_Live!$E$2:$E$60,""),"")</f>
        <v/>
      </c>
      <c r="T166" t="str">
        <f>IFERROR(_xlfn.XLOOKUP($A166,Anova_Live!$B$2:$B$60,Anova_Live!$K$2:$K$60,""),"")</f>
        <v/>
      </c>
      <c r="U166" t="str">
        <f>IFERROR(_xlfn.XLOOKUP($A166,Anova_Live!$B$2:$B$60,Anova_Live!$H$2:$H$60,""),"")</f>
        <v/>
      </c>
      <c r="V166" t="str">
        <f>IFERROR(_xlfn.XLOOKUP($A166,Anova_Live!$B$2:$B$60,Anova_Live!$L$2:$L$60,""),"")</f>
        <v/>
      </c>
      <c r="W166" t="str">
        <f>IFERROR(_xlfn.XLOOKUP($A166,Anova_Live!$B$2:$B$60,Anova_Live!$M$2:$M$60,""),"")</f>
        <v/>
      </c>
      <c r="X166" t="str">
        <f>IFERROR(_xlfn.XLOOKUP($A166,Anova_Live!$B$2:$B$60,Anova_Live!$N$2:$N$60,""),"")</f>
        <v/>
      </c>
    </row>
    <row r="167" spans="1:24" x14ac:dyDescent="0.2">
      <c r="A167">
        <v>15028</v>
      </c>
      <c r="B167" t="s">
        <v>592</v>
      </c>
      <c r="D167" t="s">
        <v>556</v>
      </c>
      <c r="E167" t="s">
        <v>593</v>
      </c>
      <c r="F167" t="s">
        <v>591</v>
      </c>
      <c r="G167" t="s">
        <v>42</v>
      </c>
      <c r="H167">
        <v>32.323158499999998</v>
      </c>
      <c r="I167">
        <v>-110.9736484</v>
      </c>
      <c r="J167">
        <v>950</v>
      </c>
      <c r="K167" t="s">
        <v>48</v>
      </c>
      <c r="N167" t="s">
        <v>594</v>
      </c>
      <c r="R167" t="str">
        <f>IFERROR(_xlfn.XLOOKUP($A167,Anova_Live!$B$2:$B$60,Anova_Live!$A$2:$A$60,""),"")</f>
        <v/>
      </c>
      <c r="S167" t="str">
        <f>IFERROR(_xlfn.XLOOKUP($A167,Anova_Live!$B$2:$B$60,Anova_Live!$E$2:$E$60,""),"")</f>
        <v/>
      </c>
      <c r="T167" t="str">
        <f>IFERROR(_xlfn.XLOOKUP($A167,Anova_Live!$B$2:$B$60,Anova_Live!$K$2:$K$60,""),"")</f>
        <v/>
      </c>
      <c r="U167" t="str">
        <f>IFERROR(_xlfn.XLOOKUP($A167,Anova_Live!$B$2:$B$60,Anova_Live!$H$2:$H$60,""),"")</f>
        <v/>
      </c>
      <c r="V167" t="str">
        <f>IFERROR(_xlfn.XLOOKUP($A167,Anova_Live!$B$2:$B$60,Anova_Live!$L$2:$L$60,""),"")</f>
        <v/>
      </c>
      <c r="W167" t="str">
        <f>IFERROR(_xlfn.XLOOKUP($A167,Anova_Live!$B$2:$B$60,Anova_Live!$M$2:$M$60,""),"")</f>
        <v/>
      </c>
      <c r="X167" t="str">
        <f>IFERROR(_xlfn.XLOOKUP($A167,Anova_Live!$B$2:$B$60,Anova_Live!$N$2:$N$60,""),"")</f>
        <v/>
      </c>
    </row>
    <row r="168" spans="1:24" x14ac:dyDescent="0.2">
      <c r="A168">
        <v>15004</v>
      </c>
      <c r="B168" t="s">
        <v>595</v>
      </c>
      <c r="D168" t="s">
        <v>579</v>
      </c>
      <c r="E168" t="s">
        <v>596</v>
      </c>
      <c r="F168" t="s">
        <v>254</v>
      </c>
      <c r="G168" t="s">
        <v>42</v>
      </c>
      <c r="H168">
        <v>35.188986</v>
      </c>
      <c r="I168">
        <v>-111.6634641</v>
      </c>
      <c r="J168">
        <v>700</v>
      </c>
      <c r="K168" t="s">
        <v>48</v>
      </c>
      <c r="N168" t="s">
        <v>597</v>
      </c>
      <c r="R168" t="str">
        <f>IFERROR(_xlfn.XLOOKUP($A168,Anova_Live!$B$2:$B$60,Anova_Live!$A$2:$A$60,""),"")</f>
        <v/>
      </c>
      <c r="S168" t="str">
        <f>IFERROR(_xlfn.XLOOKUP($A168,Anova_Live!$B$2:$B$60,Anova_Live!$E$2:$E$60,""),"")</f>
        <v/>
      </c>
      <c r="T168" t="str">
        <f>IFERROR(_xlfn.XLOOKUP($A168,Anova_Live!$B$2:$B$60,Anova_Live!$K$2:$K$60,""),"")</f>
        <v/>
      </c>
      <c r="U168" t="str">
        <f>IFERROR(_xlfn.XLOOKUP($A168,Anova_Live!$B$2:$B$60,Anova_Live!$H$2:$H$60,""),"")</f>
        <v/>
      </c>
      <c r="V168" t="str">
        <f>IFERROR(_xlfn.XLOOKUP($A168,Anova_Live!$B$2:$B$60,Anova_Live!$L$2:$L$60,""),"")</f>
        <v/>
      </c>
      <c r="W168" t="str">
        <f>IFERROR(_xlfn.XLOOKUP($A168,Anova_Live!$B$2:$B$60,Anova_Live!$M$2:$M$60,""),"")</f>
        <v/>
      </c>
      <c r="X168" t="str">
        <f>IFERROR(_xlfn.XLOOKUP($A168,Anova_Live!$B$2:$B$60,Anova_Live!$N$2:$N$60,""),"")</f>
        <v/>
      </c>
    </row>
    <row r="169" spans="1:24" x14ac:dyDescent="0.2">
      <c r="A169">
        <v>15021</v>
      </c>
      <c r="B169" t="s">
        <v>598</v>
      </c>
      <c r="D169" t="s">
        <v>556</v>
      </c>
      <c r="E169" t="s">
        <v>599</v>
      </c>
      <c r="F169" t="s">
        <v>591</v>
      </c>
      <c r="G169" t="s">
        <v>42</v>
      </c>
      <c r="H169">
        <v>32.235861900000003</v>
      </c>
      <c r="I169">
        <v>-110.88793560000001</v>
      </c>
      <c r="J169">
        <v>700</v>
      </c>
      <c r="K169" t="s">
        <v>48</v>
      </c>
      <c r="N169" t="s">
        <v>600</v>
      </c>
      <c r="R169" t="str">
        <f>IFERROR(_xlfn.XLOOKUP($A169,Anova_Live!$B$2:$B$60,Anova_Live!$A$2:$A$60,""),"")</f>
        <v/>
      </c>
      <c r="S169" t="str">
        <f>IFERROR(_xlfn.XLOOKUP($A169,Anova_Live!$B$2:$B$60,Anova_Live!$E$2:$E$60,""),"")</f>
        <v/>
      </c>
      <c r="T169" t="str">
        <f>IFERROR(_xlfn.XLOOKUP($A169,Anova_Live!$B$2:$B$60,Anova_Live!$K$2:$K$60,""),"")</f>
        <v/>
      </c>
      <c r="U169" t="str">
        <f>IFERROR(_xlfn.XLOOKUP($A169,Anova_Live!$B$2:$B$60,Anova_Live!$H$2:$H$60,""),"")</f>
        <v/>
      </c>
      <c r="V169" t="str">
        <f>IFERROR(_xlfn.XLOOKUP($A169,Anova_Live!$B$2:$B$60,Anova_Live!$L$2:$L$60,""),"")</f>
        <v/>
      </c>
      <c r="W169" t="str">
        <f>IFERROR(_xlfn.XLOOKUP($A169,Anova_Live!$B$2:$B$60,Anova_Live!$M$2:$M$60,""),"")</f>
        <v/>
      </c>
      <c r="X169" t="str">
        <f>IFERROR(_xlfn.XLOOKUP($A169,Anova_Live!$B$2:$B$60,Anova_Live!$N$2:$N$60,""),"")</f>
        <v/>
      </c>
    </row>
    <row r="170" spans="1:24" x14ac:dyDescent="0.2">
      <c r="A170">
        <v>16052</v>
      </c>
      <c r="B170" t="s">
        <v>601</v>
      </c>
      <c r="D170" t="s">
        <v>602</v>
      </c>
      <c r="E170" t="s">
        <v>603</v>
      </c>
      <c r="F170" t="s">
        <v>604</v>
      </c>
      <c r="G170" t="s">
        <v>42</v>
      </c>
      <c r="H170">
        <v>34.541307600000003</v>
      </c>
      <c r="I170">
        <v>-112.47032299999999</v>
      </c>
      <c r="J170">
        <v>1800</v>
      </c>
      <c r="K170" t="s">
        <v>48</v>
      </c>
      <c r="N170" t="s">
        <v>605</v>
      </c>
      <c r="O170" t="s">
        <v>61</v>
      </c>
      <c r="R170" t="str">
        <f>IFERROR(_xlfn.XLOOKUP($A170,Anova_Live!$B$2:$B$60,Anova_Live!$A$2:$A$60,""),"")</f>
        <v/>
      </c>
      <c r="S170" t="str">
        <f>IFERROR(_xlfn.XLOOKUP($A170,Anova_Live!$B$2:$B$60,Anova_Live!$E$2:$E$60,""),"")</f>
        <v/>
      </c>
      <c r="T170" t="str">
        <f>IFERROR(_xlfn.XLOOKUP($A170,Anova_Live!$B$2:$B$60,Anova_Live!$K$2:$K$60,""),"")</f>
        <v/>
      </c>
      <c r="U170" t="str">
        <f>IFERROR(_xlfn.XLOOKUP($A170,Anova_Live!$B$2:$B$60,Anova_Live!$H$2:$H$60,""),"")</f>
        <v/>
      </c>
      <c r="V170" t="str">
        <f>IFERROR(_xlfn.XLOOKUP($A170,Anova_Live!$B$2:$B$60,Anova_Live!$L$2:$L$60,""),"")</f>
        <v/>
      </c>
      <c r="W170" t="str">
        <f>IFERROR(_xlfn.XLOOKUP($A170,Anova_Live!$B$2:$B$60,Anova_Live!$M$2:$M$60,""),"")</f>
        <v/>
      </c>
      <c r="X170" t="str">
        <f>IFERROR(_xlfn.XLOOKUP($A170,Anova_Live!$B$2:$B$60,Anova_Live!$N$2:$N$60,""),"")</f>
        <v/>
      </c>
    </row>
    <row r="171" spans="1:24" x14ac:dyDescent="0.2">
      <c r="A171">
        <v>16027</v>
      </c>
      <c r="B171" t="s">
        <v>606</v>
      </c>
      <c r="D171" t="s">
        <v>607</v>
      </c>
      <c r="E171" t="s">
        <v>608</v>
      </c>
      <c r="F171" t="s">
        <v>609</v>
      </c>
      <c r="G171" t="s">
        <v>42</v>
      </c>
      <c r="H171">
        <v>32.881369999999997</v>
      </c>
      <c r="I171">
        <v>-111.7569141</v>
      </c>
      <c r="J171">
        <v>700</v>
      </c>
      <c r="K171" t="s">
        <v>43</v>
      </c>
      <c r="N171" t="s">
        <v>610</v>
      </c>
      <c r="R171" t="str">
        <f>IFERROR(_xlfn.XLOOKUP($A171,Anova_Live!$B$2:$B$60,Anova_Live!$A$2:$A$60,""),"")</f>
        <v/>
      </c>
      <c r="S171" t="str">
        <f>IFERROR(_xlfn.XLOOKUP($A171,Anova_Live!$B$2:$B$60,Anova_Live!$E$2:$E$60,""),"")</f>
        <v/>
      </c>
      <c r="T171" t="str">
        <f>IFERROR(_xlfn.XLOOKUP($A171,Anova_Live!$B$2:$B$60,Anova_Live!$K$2:$K$60,""),"")</f>
        <v/>
      </c>
      <c r="U171" t="str">
        <f>IFERROR(_xlfn.XLOOKUP($A171,Anova_Live!$B$2:$B$60,Anova_Live!$H$2:$H$60,""),"")</f>
        <v/>
      </c>
      <c r="V171" t="str">
        <f>IFERROR(_xlfn.XLOOKUP($A171,Anova_Live!$B$2:$B$60,Anova_Live!$L$2:$L$60,""),"")</f>
        <v/>
      </c>
      <c r="W171" t="str">
        <f>IFERROR(_xlfn.XLOOKUP($A171,Anova_Live!$B$2:$B$60,Anova_Live!$M$2:$M$60,""),"")</f>
        <v/>
      </c>
      <c r="X171" t="str">
        <f>IFERROR(_xlfn.XLOOKUP($A171,Anova_Live!$B$2:$B$60,Anova_Live!$N$2:$N$60,""),"")</f>
        <v/>
      </c>
    </row>
    <row r="172" spans="1:24" x14ac:dyDescent="0.2">
      <c r="A172">
        <v>16051</v>
      </c>
      <c r="B172" t="s">
        <v>611</v>
      </c>
      <c r="C172" t="s">
        <v>63</v>
      </c>
      <c r="D172" t="s">
        <v>87</v>
      </c>
      <c r="E172" t="s">
        <v>612</v>
      </c>
      <c r="F172" t="s">
        <v>121</v>
      </c>
      <c r="G172" t="s">
        <v>145</v>
      </c>
      <c r="H172">
        <v>33.4640925</v>
      </c>
      <c r="I172">
        <v>-112.3899888</v>
      </c>
      <c r="J172">
        <v>2000</v>
      </c>
      <c r="K172" t="s">
        <v>48</v>
      </c>
      <c r="O172" t="s">
        <v>61</v>
      </c>
      <c r="R172" t="str">
        <f>IFERROR(_xlfn.XLOOKUP($A172,Anova_Live!$B$2:$B$60,Anova_Live!$A$2:$A$60,""),"")</f>
        <v/>
      </c>
      <c r="S172" t="str">
        <f>IFERROR(_xlfn.XLOOKUP($A172,Anova_Live!$B$2:$B$60,Anova_Live!$E$2:$E$60,""),"")</f>
        <v/>
      </c>
      <c r="T172" t="str">
        <f>IFERROR(_xlfn.XLOOKUP($A172,Anova_Live!$B$2:$B$60,Anova_Live!$K$2:$K$60,""),"")</f>
        <v/>
      </c>
      <c r="U172" t="str">
        <f>IFERROR(_xlfn.XLOOKUP($A172,Anova_Live!$B$2:$B$60,Anova_Live!$H$2:$H$60,""),"")</f>
        <v/>
      </c>
      <c r="V172" t="str">
        <f>IFERROR(_xlfn.XLOOKUP($A172,Anova_Live!$B$2:$B$60,Anova_Live!$L$2:$L$60,""),"")</f>
        <v/>
      </c>
      <c r="W172" t="str">
        <f>IFERROR(_xlfn.XLOOKUP($A172,Anova_Live!$B$2:$B$60,Anova_Live!$M$2:$M$60,""),"")</f>
        <v/>
      </c>
      <c r="X172" t="str">
        <f>IFERROR(_xlfn.XLOOKUP($A172,Anova_Live!$B$2:$B$60,Anova_Live!$N$2:$N$60,""),"")</f>
        <v/>
      </c>
    </row>
    <row r="173" spans="1:24" x14ac:dyDescent="0.2">
      <c r="A173">
        <v>20089</v>
      </c>
      <c r="B173" t="s">
        <v>613</v>
      </c>
      <c r="D173" t="s">
        <v>602</v>
      </c>
      <c r="E173" t="s">
        <v>614</v>
      </c>
      <c r="F173" t="s">
        <v>615</v>
      </c>
      <c r="G173" t="s">
        <v>42</v>
      </c>
      <c r="H173">
        <v>34.584835300000002</v>
      </c>
      <c r="I173">
        <v>-112.33899049999999</v>
      </c>
      <c r="J173">
        <v>1050</v>
      </c>
      <c r="K173" t="s">
        <v>48</v>
      </c>
      <c r="R173" t="str">
        <f>IFERROR(_xlfn.XLOOKUP($A173,Anova_Live!$B$2:$B$60,Anova_Live!$A$2:$A$60,""),"")</f>
        <v/>
      </c>
      <c r="S173" t="str">
        <f>IFERROR(_xlfn.XLOOKUP($A173,Anova_Live!$B$2:$B$60,Anova_Live!$E$2:$E$60,""),"")</f>
        <v/>
      </c>
      <c r="T173" t="str">
        <f>IFERROR(_xlfn.XLOOKUP($A173,Anova_Live!$B$2:$B$60,Anova_Live!$K$2:$K$60,""),"")</f>
        <v/>
      </c>
      <c r="U173" t="str">
        <f>IFERROR(_xlfn.XLOOKUP($A173,Anova_Live!$B$2:$B$60,Anova_Live!$H$2:$H$60,""),"")</f>
        <v/>
      </c>
      <c r="V173" t="str">
        <f>IFERROR(_xlfn.XLOOKUP($A173,Anova_Live!$B$2:$B$60,Anova_Live!$L$2:$L$60,""),"")</f>
        <v/>
      </c>
      <c r="W173" t="str">
        <f>IFERROR(_xlfn.XLOOKUP($A173,Anova_Live!$B$2:$B$60,Anova_Live!$M$2:$M$60,""),"")</f>
        <v/>
      </c>
      <c r="X173" t="str">
        <f>IFERROR(_xlfn.XLOOKUP($A173,Anova_Live!$B$2:$B$60,Anova_Live!$N$2:$N$60,""),"")</f>
        <v/>
      </c>
    </row>
    <row r="174" spans="1:24" x14ac:dyDescent="0.2">
      <c r="A174">
        <v>16058</v>
      </c>
      <c r="B174" t="s">
        <v>181</v>
      </c>
      <c r="E174" t="s">
        <v>616</v>
      </c>
      <c r="F174" t="s">
        <v>54</v>
      </c>
      <c r="G174" t="s">
        <v>42</v>
      </c>
      <c r="H174">
        <v>33.4925</v>
      </c>
      <c r="I174">
        <v>-111.923012</v>
      </c>
      <c r="J174">
        <v>1000</v>
      </c>
      <c r="K174" t="s">
        <v>43</v>
      </c>
      <c r="O174" t="s">
        <v>61</v>
      </c>
      <c r="R174" t="str">
        <f>IFERROR(_xlfn.XLOOKUP($A174,Anova_Live!$B$2:$B$60,Anova_Live!$A$2:$A$60,""),"")</f>
        <v/>
      </c>
      <c r="S174" t="str">
        <f>IFERROR(_xlfn.XLOOKUP($A174,Anova_Live!$B$2:$B$60,Anova_Live!$E$2:$E$60,""),"")</f>
        <v/>
      </c>
      <c r="T174" t="str">
        <f>IFERROR(_xlfn.XLOOKUP($A174,Anova_Live!$B$2:$B$60,Anova_Live!$K$2:$K$60,""),"")</f>
        <v/>
      </c>
      <c r="U174" t="str">
        <f>IFERROR(_xlfn.XLOOKUP($A174,Anova_Live!$B$2:$B$60,Anova_Live!$H$2:$H$60,""),"")</f>
        <v/>
      </c>
      <c r="V174" t="str">
        <f>IFERROR(_xlfn.XLOOKUP($A174,Anova_Live!$B$2:$B$60,Anova_Live!$L$2:$L$60,""),"")</f>
        <v/>
      </c>
      <c r="W174" t="str">
        <f>IFERROR(_xlfn.XLOOKUP($A174,Anova_Live!$B$2:$B$60,Anova_Live!$M$2:$M$60,""),"")</f>
        <v/>
      </c>
      <c r="X174" t="str">
        <f>IFERROR(_xlfn.XLOOKUP($A174,Anova_Live!$B$2:$B$60,Anova_Live!$N$2:$N$60,""),"")</f>
        <v/>
      </c>
    </row>
    <row r="175" spans="1:24" x14ac:dyDescent="0.2">
      <c r="A175">
        <v>4025</v>
      </c>
      <c r="B175" t="s">
        <v>617</v>
      </c>
      <c r="C175" t="s">
        <v>63</v>
      </c>
      <c r="D175" t="s">
        <v>618</v>
      </c>
      <c r="E175" t="s">
        <v>619</v>
      </c>
      <c r="F175" t="s">
        <v>620</v>
      </c>
      <c r="G175" t="s">
        <v>42</v>
      </c>
      <c r="H175">
        <v>33.829039799999997</v>
      </c>
      <c r="I175">
        <v>-112.59486889999999</v>
      </c>
      <c r="J175">
        <v>1050</v>
      </c>
      <c r="K175" t="s">
        <v>43</v>
      </c>
      <c r="O175" t="s">
        <v>61</v>
      </c>
      <c r="R175" t="str">
        <f>IFERROR(_xlfn.XLOOKUP($A175,Anova_Live!$B$2:$B$60,Anova_Live!$A$2:$A$60,""),"")</f>
        <v/>
      </c>
      <c r="S175" t="str">
        <f>IFERROR(_xlfn.XLOOKUP($A175,Anova_Live!$B$2:$B$60,Anova_Live!$E$2:$E$60,""),"")</f>
        <v/>
      </c>
      <c r="T175" t="str">
        <f>IFERROR(_xlfn.XLOOKUP($A175,Anova_Live!$B$2:$B$60,Anova_Live!$K$2:$K$60,""),"")</f>
        <v/>
      </c>
      <c r="U175" t="str">
        <f>IFERROR(_xlfn.XLOOKUP($A175,Anova_Live!$B$2:$B$60,Anova_Live!$H$2:$H$60,""),"")</f>
        <v/>
      </c>
      <c r="V175" t="str">
        <f>IFERROR(_xlfn.XLOOKUP($A175,Anova_Live!$B$2:$B$60,Anova_Live!$L$2:$L$60,""),"")</f>
        <v/>
      </c>
      <c r="W175" t="str">
        <f>IFERROR(_xlfn.XLOOKUP($A175,Anova_Live!$B$2:$B$60,Anova_Live!$M$2:$M$60,""),"")</f>
        <v/>
      </c>
      <c r="X175" t="str">
        <f>IFERROR(_xlfn.XLOOKUP($A175,Anova_Live!$B$2:$B$60,Anova_Live!$N$2:$N$60,""),"")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5"/>
  <sheetViews>
    <sheetView workbookViewId="0"/>
  </sheetViews>
  <sheetFormatPr baseColWidth="10" defaultColWidth="8.83203125" defaultRowHeight="15" x14ac:dyDescent="0.2"/>
  <sheetData>
    <row r="1" spans="1:21" x14ac:dyDescent="0.2">
      <c r="B1" t="s">
        <v>621</v>
      </c>
    </row>
    <row r="2" spans="1:21" x14ac:dyDescent="0.2">
      <c r="B2" t="s">
        <v>622</v>
      </c>
      <c r="C2">
        <v>0.15</v>
      </c>
      <c r="D2" t="s">
        <v>623</v>
      </c>
      <c r="E2">
        <v>7</v>
      </c>
      <c r="F2" t="s">
        <v>624</v>
      </c>
      <c r="G2">
        <v>600</v>
      </c>
      <c r="H2" t="s">
        <v>625</v>
      </c>
      <c r="I2">
        <v>20</v>
      </c>
      <c r="O2" t="s">
        <v>626</v>
      </c>
      <c r="Q2" s="1">
        <v>46023</v>
      </c>
    </row>
    <row r="3" spans="1:21" x14ac:dyDescent="0.2">
      <c r="B3" t="s">
        <v>627</v>
      </c>
    </row>
    <row r="4" spans="1:21" x14ac:dyDescent="0.2">
      <c r="B4" t="s">
        <v>628</v>
      </c>
      <c r="G4" t="s">
        <v>629</v>
      </c>
      <c r="J4" t="s">
        <v>630</v>
      </c>
      <c r="L4" t="s">
        <v>631</v>
      </c>
    </row>
    <row r="5" spans="1:21" x14ac:dyDescent="0.2">
      <c r="A5" t="s">
        <v>632</v>
      </c>
      <c r="B5" t="s">
        <v>16</v>
      </c>
      <c r="C5" t="s">
        <v>633</v>
      </c>
      <c r="D5" t="s">
        <v>18</v>
      </c>
      <c r="E5" t="s">
        <v>634</v>
      </c>
      <c r="F5" t="s">
        <v>635</v>
      </c>
      <c r="G5" t="s">
        <v>636</v>
      </c>
      <c r="H5" t="s">
        <v>637</v>
      </c>
      <c r="I5" t="s">
        <v>26</v>
      </c>
      <c r="J5" t="s">
        <v>638</v>
      </c>
      <c r="K5" t="s">
        <v>639</v>
      </c>
      <c r="L5" t="s">
        <v>640</v>
      </c>
      <c r="M5" t="s">
        <v>641</v>
      </c>
      <c r="N5" t="s">
        <v>642</v>
      </c>
      <c r="O5" t="s">
        <v>643</v>
      </c>
      <c r="P5" t="str">
        <f>"Next "&amp;E2&amp; " Days?"</f>
        <v>Next 7 Days?</v>
      </c>
      <c r="Q5" t="str">
        <f>"# Deliveries since "&amp; TEXT(Q2,"mm/dd/yyyy")</f>
        <v># Deliveries since 01/01/2026</v>
      </c>
      <c r="R5" t="s">
        <v>28</v>
      </c>
      <c r="S5" t="s">
        <v>31</v>
      </c>
      <c r="T5" t="s">
        <v>644</v>
      </c>
      <c r="U5" t="s">
        <v>645</v>
      </c>
    </row>
    <row r="6" spans="1:21" x14ac:dyDescent="0.2">
      <c r="A6">
        <v>1</v>
      </c>
      <c r="B6" t="s">
        <v>646</v>
      </c>
      <c r="C6" t="s">
        <v>37</v>
      </c>
      <c r="D6" t="s">
        <v>38</v>
      </c>
      <c r="E6" t="str">
        <f>IFERROR(VLOOKUP(C6,Client_List!$B:$K,4,0)&amp;", "&amp;VLOOKUP(C6,Client_List!$B:$K,5,0)&amp;" AZ","")</f>
        <v>5511 N 51St Ave, Glendale AZ</v>
      </c>
      <c r="F6" t="str">
        <f>IFERROR(VLOOKUP(C6,Client_List!$B:$K,7,0)&amp;", "&amp;VLOOKUP(C6,Client_List!$B:$K,8,0),"")</f>
        <v>33.5171994, -112.1681115</v>
      </c>
      <c r="G6">
        <f>IFERROR(VLOOKUP(C6,Client_List!$B:$K,9,0),"")</f>
        <v>350</v>
      </c>
      <c r="H6" t="str">
        <f>IFERROR(LOOKUP(2,1/((Delivery_Log!$B$4:$B$4998=B6)*(ISNUMBER(Delivery_Log!$J$4:$J$4998))*(Delivery_Log!$J$4:$J$4998&gt;0)),Delivery_Log!$J$4:$J$4998),"")</f>
        <v/>
      </c>
      <c r="I6" t="str">
        <f>IFERROR(VLOOKUP(C6,Client_List!$B:$K,10,0),"")</f>
        <v>FRYERS CHOICE BLEND</v>
      </c>
      <c r="J6">
        <f>IFERROR(_xlfn.MAXIFS(Delivery_Log!$A$4:$A$4998,Delivery_Log!$B$4:$B$4998,B6),"—")</f>
        <v>46084</v>
      </c>
      <c r="K6">
        <f t="shared" ref="K6:K37" ca="1" si="0">IFERROR(IF(J6="—","",TODAY()-J6),"")</f>
        <v>64</v>
      </c>
      <c r="L6" t="str">
        <f t="shared" ref="L6:L37" ca="1" si="1">IFERROR(IF(OR(K6="",H6=""),"",MAX(G6*0.03,G6-K6*H6)),"")</f>
        <v/>
      </c>
      <c r="M6" t="str">
        <f t="shared" ref="M6:M37" ca="1" si="2">IFERROR(IF(L6="","",G6-L6),"")</f>
        <v/>
      </c>
      <c r="N6" t="str">
        <f t="shared" ref="N6:N37" ca="1" si="3">IFERROR(IF(OR(L6="",H6=""),"",MIN(21,MAX(0,(L6-G6*$C$2)/H6))),"")</f>
        <v/>
      </c>
      <c r="O6" t="e">
        <f t="shared" ref="O6:O37" ca="1" si="4">TODAY()+ROUNDUP(N6,0)</f>
        <v>#VALUE!</v>
      </c>
      <c r="P6" t="str">
        <f t="shared" ref="P6:P37" ca="1" si="5">IFERROR(IF(N6="","—",IF(N6&lt;=$E$2,"YES","—")),"—")</f>
        <v>—</v>
      </c>
      <c r="Q6">
        <f>COUNTIFS(Delivery_Log!$B$4:$B$5998,B6,Delivery_Log!$A$4:$A$5998,"&gt;="&amp;$Q$2)</f>
        <v>2</v>
      </c>
      <c r="S6" t="str">
        <f>IFERROR(_xlfn.XLOOKUP(B6,Client_List!$A$4:$A$200,Client_List!$S$4:$S$200,""),"")</f>
        <v/>
      </c>
      <c r="T6" t="str">
        <f>IFERROR(_xlfn.XLOOKUP(B6,Client_List!$A$4:$A$200,Client_List!$U$4:$U$200,""),"")</f>
        <v/>
      </c>
      <c r="U6" t="str">
        <f>IFERROR(IF(S6="","",IF(_xlfn.XLOOKUP(B6,Client_List!$A$4:$A$200,Client_List!$W$4:$W$200,999)&lt;=24,"LIVE",IF(_xlfn.XLOOKUP(B6,Client_List!$A$4:$A$200,Client_List!$W$4:$W$200,999)&lt;=72,"STALE","OLD"))),"")</f>
        <v/>
      </c>
    </row>
    <row r="7" spans="1:21" x14ac:dyDescent="0.2">
      <c r="A7">
        <v>2</v>
      </c>
      <c r="B7">
        <v>1018</v>
      </c>
      <c r="C7" t="s">
        <v>45</v>
      </c>
      <c r="D7" t="s">
        <v>38</v>
      </c>
      <c r="E7" t="str">
        <f>IFERROR(VLOOKUP(C7,Client_List!$B:$K,4,0)&amp;", "&amp;VLOOKUP(C7,Client_List!$B:$K,5,0)&amp;" AZ","")</f>
        <v>7458 W Bell Rd, Glendale AZ</v>
      </c>
      <c r="F7" t="str">
        <f>IFERROR(VLOOKUP(C7,Client_List!$B:$K,7,0)&amp;", "&amp;VLOOKUP(C7,Client_List!$B:$K,8,0),"")</f>
        <v>33.6390173, -112.2197838</v>
      </c>
      <c r="G7">
        <f>IFERROR(VLOOKUP(C7,Client_List!$B:$K,9,0),"")</f>
        <v>950</v>
      </c>
      <c r="H7" t="str">
        <f>IFERROR(LOOKUP(2,1/((Delivery_Log!$B$4:$B$4998=B7)*(ISNUMBER(Delivery_Log!$J$4:$J$4998))*(Delivery_Log!$J$4:$J$4998&gt;0)),Delivery_Log!$J$4:$J$4998),"")</f>
        <v/>
      </c>
      <c r="I7" t="str">
        <f>IFERROR(VLOOKUP(C7,Client_List!$B:$K,10,0),"")</f>
        <v>CANOLA OIL</v>
      </c>
      <c r="J7">
        <f>IFERROR(_xlfn.MAXIFS(Delivery_Log!$A$4:$A$4998,Delivery_Log!$B$4:$B$4998,B7),"—")</f>
        <v>46141</v>
      </c>
      <c r="K7">
        <f t="shared" ca="1" si="0"/>
        <v>7</v>
      </c>
      <c r="L7" t="str">
        <f t="shared" ca="1" si="1"/>
        <v/>
      </c>
      <c r="M7" t="str">
        <f t="shared" ca="1" si="2"/>
        <v/>
      </c>
      <c r="N7" t="str">
        <f t="shared" ca="1" si="3"/>
        <v/>
      </c>
      <c r="O7" t="e">
        <f t="shared" ca="1" si="4"/>
        <v>#VALUE!</v>
      </c>
      <c r="P7" t="str">
        <f t="shared" ca="1" si="5"/>
        <v>—</v>
      </c>
      <c r="Q7">
        <f>COUNTIFS(Delivery_Log!$B$4:$B$5998,B7,Delivery_Log!$A$4:$A$5998,"&gt;="&amp;$Q$2)</f>
        <v>12</v>
      </c>
      <c r="S7" t="str">
        <f>IFERROR(_xlfn.XLOOKUP(B7,Client_List!$A$4:$A$200,Client_List!$S$4:$S$200,""),"")</f>
        <v/>
      </c>
      <c r="T7" t="str">
        <f>IFERROR(_xlfn.XLOOKUP(B7,Client_List!$A$4:$A$200,Client_List!$U$4:$U$200,""),"")</f>
        <v/>
      </c>
      <c r="U7" t="str">
        <f>IFERROR(IF(S7="","",IF(_xlfn.XLOOKUP(B7,Client_List!$A$4:$A$200,Client_List!$W$4:$W$200,999)&lt;=24,"LIVE",IF(_xlfn.XLOOKUP(B7,Client_List!$A$4:$A$200,Client_List!$W$4:$W$200,999)&lt;=72,"STALE","OLD"))),"")</f>
        <v/>
      </c>
    </row>
    <row r="8" spans="1:21" x14ac:dyDescent="0.2">
      <c r="A8">
        <v>3</v>
      </c>
      <c r="B8">
        <v>1063</v>
      </c>
      <c r="C8" t="s">
        <v>50</v>
      </c>
      <c r="D8" t="s">
        <v>51</v>
      </c>
      <c r="E8" t="str">
        <f>IFERROR(VLOOKUP(C8,Client_List!$B:$K,4,0)&amp;", "&amp;VLOOKUP(C8,Client_List!$B:$K,5,0)&amp;" AZ","")</f>
        <v>20751 N PIMA RD #105, Scottsdale AZ</v>
      </c>
      <c r="F8" t="str">
        <f>IFERROR(VLOOKUP(C8,Client_List!$B:$K,7,0)&amp;", "&amp;VLOOKUP(C8,Client_List!$B:$K,8,0),"")</f>
        <v>33.674519, -111.8880329</v>
      </c>
      <c r="G8">
        <f>IFERROR(VLOOKUP(C8,Client_List!$B:$K,9,0),"")</f>
        <v>900</v>
      </c>
      <c r="H8" t="str">
        <f>IFERROR(LOOKUP(2,1/((Delivery_Log!$B$4:$B$4998=B8)*(ISNUMBER(Delivery_Log!$J$4:$J$4998))*(Delivery_Log!$J$4:$J$4998&gt;0)),Delivery_Log!$J$4:$J$4998),"")</f>
        <v/>
      </c>
      <c r="I8" t="str">
        <f>IFERROR(VLOOKUP(C8,Client_List!$B:$K,10,0),"")</f>
        <v>CANOLA OIL</v>
      </c>
      <c r="J8">
        <f>IFERROR(_xlfn.MAXIFS(Delivery_Log!$A$4:$A$4998,Delivery_Log!$B$4:$B$4998,B8),"—")</f>
        <v>46143</v>
      </c>
      <c r="K8">
        <f t="shared" ca="1" si="0"/>
        <v>5</v>
      </c>
      <c r="L8" t="str">
        <f t="shared" ca="1" si="1"/>
        <v/>
      </c>
      <c r="M8" t="str">
        <f t="shared" ca="1" si="2"/>
        <v/>
      </c>
      <c r="N8" t="str">
        <f t="shared" ca="1" si="3"/>
        <v/>
      </c>
      <c r="O8" t="e">
        <f t="shared" ca="1" si="4"/>
        <v>#VALUE!</v>
      </c>
      <c r="P8" t="str">
        <f t="shared" ca="1" si="5"/>
        <v>—</v>
      </c>
      <c r="Q8">
        <f>COUNTIFS(Delivery_Log!$B$4:$B$5998,B8,Delivery_Log!$A$4:$A$5998,"&gt;="&amp;$Q$2)</f>
        <v>9</v>
      </c>
      <c r="S8" t="str">
        <f>IFERROR(_xlfn.XLOOKUP(B8,Client_List!$A$4:$A$200,Client_List!$S$4:$S$200,""),"")</f>
        <v/>
      </c>
      <c r="T8" t="str">
        <f>IFERROR(_xlfn.XLOOKUP(B8,Client_List!$A$4:$A$200,Client_List!$U$4:$U$200,""),"")</f>
        <v/>
      </c>
      <c r="U8" t="str">
        <f>IFERROR(IF(S8="","",IF(_xlfn.XLOOKUP(B8,Client_List!$A$4:$A$200,Client_List!$W$4:$W$200,999)&lt;=24,"LIVE",IF(_xlfn.XLOOKUP(B8,Client_List!$A$4:$A$200,Client_List!$W$4:$W$200,999)&lt;=72,"STALE","OLD"))),"")</f>
        <v/>
      </c>
    </row>
    <row r="9" spans="1:21" x14ac:dyDescent="0.2">
      <c r="A9">
        <v>4</v>
      </c>
      <c r="B9">
        <v>1073</v>
      </c>
      <c r="C9" t="s">
        <v>56</v>
      </c>
      <c r="D9" t="s">
        <v>51</v>
      </c>
      <c r="E9" t="str">
        <f>IFERROR(VLOOKUP(C9,Client_List!$B:$K,4,0)&amp;", "&amp;VLOOKUP(C9,Client_List!$B:$K,5,0)&amp;" AZ","")</f>
        <v>2656 N 37TH DR, PHOENIX AZ</v>
      </c>
      <c r="F9" t="str">
        <f>IFERROR(VLOOKUP(C9,Client_List!$B:$K,7,0)&amp;", "&amp;VLOOKUP(C9,Client_List!$B:$K,8,0),"")</f>
        <v>33.4782767, -112.140515</v>
      </c>
      <c r="G9">
        <f>IFERROR(VLOOKUP(C9,Client_List!$B:$K,9,0),"")</f>
        <v>2000</v>
      </c>
      <c r="H9" t="str">
        <f>IFERROR(LOOKUP(2,1/((Delivery_Log!$B$4:$B$4998=B9)*(ISNUMBER(Delivery_Log!$J$4:$J$4998))*(Delivery_Log!$J$4:$J$4998&gt;0)),Delivery_Log!$J$4:$J$4998),"")</f>
        <v/>
      </c>
      <c r="I9" t="str">
        <f>IFERROR(VLOOKUP(C9,Client_List!$B:$K,10,0),"")</f>
        <v>CANOLA OIL</v>
      </c>
      <c r="J9">
        <f>IFERROR(_xlfn.MAXIFS(Delivery_Log!$A$4:$A$4998,Delivery_Log!$B$4:$B$4998,B9),"—")</f>
        <v>46099</v>
      </c>
      <c r="K9">
        <f t="shared" ca="1" si="0"/>
        <v>49</v>
      </c>
      <c r="L9" t="str">
        <f t="shared" ca="1" si="1"/>
        <v/>
      </c>
      <c r="M9" t="str">
        <f t="shared" ca="1" si="2"/>
        <v/>
      </c>
      <c r="N9" t="str">
        <f t="shared" ca="1" si="3"/>
        <v/>
      </c>
      <c r="O9" t="e">
        <f t="shared" ca="1" si="4"/>
        <v>#VALUE!</v>
      </c>
      <c r="P9" t="str">
        <f t="shared" ca="1" si="5"/>
        <v>—</v>
      </c>
      <c r="Q9">
        <f>COUNTIFS(Delivery_Log!$B$4:$B$5998,B9,Delivery_Log!$A$4:$A$5998,"&gt;="&amp;$Q$2)</f>
        <v>1</v>
      </c>
      <c r="S9" t="str">
        <f>IFERROR(_xlfn.XLOOKUP(B9,Client_List!$A$4:$A$200,Client_List!$S$4:$S$200,""),"")</f>
        <v/>
      </c>
      <c r="T9" t="str">
        <f>IFERROR(_xlfn.XLOOKUP(B9,Client_List!$A$4:$A$200,Client_List!$U$4:$U$200,""),"")</f>
        <v/>
      </c>
      <c r="U9" t="str">
        <f>IFERROR(IF(S9="","",IF(_xlfn.XLOOKUP(B9,Client_List!$A$4:$A$200,Client_List!$W$4:$W$200,999)&lt;=24,"LIVE",IF(_xlfn.XLOOKUP(B9,Client_List!$A$4:$A$200,Client_List!$W$4:$W$200,999)&lt;=72,"STALE","OLD"))),"")</f>
        <v/>
      </c>
    </row>
    <row r="10" spans="1:21" x14ac:dyDescent="0.2">
      <c r="A10">
        <v>5</v>
      </c>
      <c r="B10">
        <v>1054</v>
      </c>
      <c r="C10" t="s">
        <v>62</v>
      </c>
      <c r="D10" t="s">
        <v>63</v>
      </c>
      <c r="E10" t="str">
        <f>IFERROR(VLOOKUP(C10,Client_List!$B:$K,4,0)&amp;", "&amp;VLOOKUP(C10,Client_List!$B:$K,5,0)&amp;" AZ","")</f>
        <v>11340 W BELL RD SUITE 118, SURPRISE AZ</v>
      </c>
      <c r="F10" t="str">
        <f>IFERROR(VLOOKUP(C10,Client_List!$B:$K,7,0)&amp;", "&amp;VLOOKUP(C10,Client_List!$B:$K,8,0),"")</f>
        <v>33.6399393, -112.3041939</v>
      </c>
      <c r="G10">
        <f>IFERROR(VLOOKUP(C10,Client_List!$B:$K,9,0),"")</f>
        <v>620</v>
      </c>
      <c r="H10" t="str">
        <f>IFERROR(LOOKUP(2,1/((Delivery_Log!$B$4:$B$4998=B10)*(ISNUMBER(Delivery_Log!$J$4:$J$4998))*(Delivery_Log!$J$4:$J$4998&gt;0)),Delivery_Log!$J$4:$J$4998),"")</f>
        <v/>
      </c>
      <c r="I10" t="str">
        <f>IFERROR(VLOOKUP(C10,Client_List!$B:$K,10,0),"")</f>
        <v>FRYERS CHOICE BLEND</v>
      </c>
      <c r="J10">
        <f>IFERROR(_xlfn.MAXIFS(Delivery_Log!$A$4:$A$4998,Delivery_Log!$B$4:$B$4998,B10),"—")</f>
        <v>46141</v>
      </c>
      <c r="K10">
        <f t="shared" ca="1" si="0"/>
        <v>7</v>
      </c>
      <c r="L10" t="str">
        <f t="shared" ca="1" si="1"/>
        <v/>
      </c>
      <c r="M10" t="str">
        <f t="shared" ca="1" si="2"/>
        <v/>
      </c>
      <c r="N10" t="str">
        <f t="shared" ca="1" si="3"/>
        <v/>
      </c>
      <c r="O10" t="e">
        <f t="shared" ca="1" si="4"/>
        <v>#VALUE!</v>
      </c>
      <c r="P10" t="str">
        <f t="shared" ca="1" si="5"/>
        <v>—</v>
      </c>
      <c r="Q10">
        <f>COUNTIFS(Delivery_Log!$B$4:$B$5998,B10,Delivery_Log!$A$4:$A$5998,"&gt;="&amp;$Q$2)</f>
        <v>11</v>
      </c>
      <c r="S10">
        <f>IFERROR(_xlfn.XLOOKUP(B10,Client_List!$A$4:$A$200,Client_List!$S$4:$S$200,""),"")</f>
        <v>325.4862296463582</v>
      </c>
      <c r="T10" t="str">
        <f>IFERROR(_xlfn.XLOOKUP(B10,Client_List!$A$4:$A$200,Client_List!$U$4:$U$200,""),"")</f>
        <v>2026-05-06T11:00:25Z</v>
      </c>
      <c r="U10" t="str">
        <f ca="1">IFERROR(IF(S10="","",IF(_xlfn.XLOOKUP(B10,Client_List!$A$4:$A$200,Client_List!$W$4:$W$200,999)&lt;=24,"LIVE",IF(_xlfn.XLOOKUP(B10,Client_List!$A$4:$A$200,Client_List!$W$4:$W$200,999)&lt;=72,"STALE","OLD"))),"")</f>
        <v>OLD</v>
      </c>
    </row>
    <row r="11" spans="1:21" x14ac:dyDescent="0.2">
      <c r="A11">
        <v>6</v>
      </c>
      <c r="B11">
        <v>1000</v>
      </c>
      <c r="C11" t="s">
        <v>68</v>
      </c>
      <c r="D11" t="s">
        <v>38</v>
      </c>
      <c r="E11" t="str">
        <f>IFERROR(VLOOKUP(C11,Client_List!$B:$K,4,0)&amp;", "&amp;VLOOKUP(C11,Client_List!$B:$K,5,0)&amp;" AZ","")</f>
        <v>17211 N 79Th Ave, Glendale AZ</v>
      </c>
      <c r="F11" t="str">
        <f>IFERROR(VLOOKUP(C11,Client_List!$B:$K,7,0)&amp;", "&amp;VLOOKUP(C11,Client_List!$B:$K,8,0),"")</f>
        <v>33.6402137, -112.2294109</v>
      </c>
      <c r="G11">
        <f>IFERROR(VLOOKUP(C11,Client_List!$B:$K,9,0),"")</f>
        <v>950</v>
      </c>
      <c r="H11" t="str">
        <f>IFERROR(LOOKUP(2,1/((Delivery_Log!$B$4:$B$4998=B11)*(ISNUMBER(Delivery_Log!$J$4:$J$4998))*(Delivery_Log!$J$4:$J$4998&gt;0)),Delivery_Log!$J$4:$J$4998),"")</f>
        <v/>
      </c>
      <c r="I11" t="str">
        <f>IFERROR(VLOOKUP(C11,Client_List!$B:$K,10,0),"")</f>
        <v>CANOLA OIL</v>
      </c>
      <c r="J11">
        <f>IFERROR(_xlfn.MAXIFS(Delivery_Log!$A$4:$A$4998,Delivery_Log!$B$4:$B$4998,B11),"—")</f>
        <v>46143</v>
      </c>
      <c r="K11">
        <f t="shared" ca="1" si="0"/>
        <v>5</v>
      </c>
      <c r="L11" t="str">
        <f t="shared" ca="1" si="1"/>
        <v/>
      </c>
      <c r="M11" t="str">
        <f t="shared" ca="1" si="2"/>
        <v/>
      </c>
      <c r="N11" t="str">
        <f t="shared" ca="1" si="3"/>
        <v/>
      </c>
      <c r="O11" t="e">
        <f t="shared" ca="1" si="4"/>
        <v>#VALUE!</v>
      </c>
      <c r="P11" t="str">
        <f t="shared" ca="1" si="5"/>
        <v>—</v>
      </c>
      <c r="Q11">
        <f>COUNTIFS(Delivery_Log!$B$4:$B$5998,B11,Delivery_Log!$A$4:$A$5998,"&gt;="&amp;$Q$2)</f>
        <v>12</v>
      </c>
      <c r="S11" t="str">
        <f>IFERROR(_xlfn.XLOOKUP(B11,Client_List!$A$4:$A$200,Client_List!$S$4:$S$200,""),"")</f>
        <v/>
      </c>
      <c r="T11" t="str">
        <f>IFERROR(_xlfn.XLOOKUP(B11,Client_List!$A$4:$A$200,Client_List!$U$4:$U$200,""),"")</f>
        <v/>
      </c>
      <c r="U11" t="str">
        <f>IFERROR(IF(S11="","",IF(_xlfn.XLOOKUP(B11,Client_List!$A$4:$A$200,Client_List!$W$4:$W$200,999)&lt;=24,"LIVE",IF(_xlfn.XLOOKUP(B11,Client_List!$A$4:$A$200,Client_List!$W$4:$W$200,999)&lt;=72,"STALE","OLD"))),"")</f>
        <v/>
      </c>
    </row>
    <row r="12" spans="1:21" x14ac:dyDescent="0.2">
      <c r="A12">
        <v>7</v>
      </c>
      <c r="B12">
        <v>1001</v>
      </c>
      <c r="C12" t="s">
        <v>71</v>
      </c>
      <c r="D12" t="s">
        <v>72</v>
      </c>
      <c r="E12" t="str">
        <f>IFERROR(VLOOKUP(C12,Client_List!$B:$K,4,0)&amp;", "&amp;VLOOKUP(C12,Client_List!$B:$K,5,0)&amp;" AZ","")</f>
        <v>1812 E Camelback Rd, Phoenix AZ</v>
      </c>
      <c r="F12" t="str">
        <f>IFERROR(VLOOKUP(C12,Client_List!$B:$K,7,0)&amp;", "&amp;VLOOKUP(C12,Client_List!$B:$K,8,0),"")</f>
        <v>33.50958, -112.042591</v>
      </c>
      <c r="G12">
        <f>IFERROR(VLOOKUP(C12,Client_List!$B:$K,9,0),"")</f>
        <v>700</v>
      </c>
      <c r="H12" t="str">
        <f>IFERROR(LOOKUP(2,1/((Delivery_Log!$B$4:$B$4998=B12)*(ISNUMBER(Delivery_Log!$J$4:$J$4998))*(Delivery_Log!$J$4:$J$4998&gt;0)),Delivery_Log!$J$4:$J$4998),"")</f>
        <v/>
      </c>
      <c r="I12" t="str">
        <f>IFERROR(VLOOKUP(C12,Client_List!$B:$K,10,0),"")</f>
        <v>CANOLA OIL</v>
      </c>
      <c r="J12">
        <f>IFERROR(_xlfn.MAXIFS(Delivery_Log!$A$4:$A$4998,Delivery_Log!$B$4:$B$4998,B12),"—")</f>
        <v>46140</v>
      </c>
      <c r="K12">
        <f t="shared" ca="1" si="0"/>
        <v>8</v>
      </c>
      <c r="L12" t="str">
        <f t="shared" ca="1" si="1"/>
        <v/>
      </c>
      <c r="M12" t="str">
        <f t="shared" ca="1" si="2"/>
        <v/>
      </c>
      <c r="N12" t="str">
        <f t="shared" ca="1" si="3"/>
        <v/>
      </c>
      <c r="O12" t="e">
        <f t="shared" ca="1" si="4"/>
        <v>#VALUE!</v>
      </c>
      <c r="P12" t="str">
        <f t="shared" ca="1" si="5"/>
        <v>—</v>
      </c>
      <c r="Q12">
        <f>COUNTIFS(Delivery_Log!$B$4:$B$5998,B12,Delivery_Log!$A$4:$A$5998,"&gt;="&amp;$Q$2)</f>
        <v>11</v>
      </c>
      <c r="S12" t="str">
        <f>IFERROR(_xlfn.XLOOKUP(B12,Client_List!$A$4:$A$200,Client_List!$S$4:$S$200,""),"")</f>
        <v/>
      </c>
      <c r="T12" t="str">
        <f>IFERROR(_xlfn.XLOOKUP(B12,Client_List!$A$4:$A$200,Client_List!$U$4:$U$200,""),"")</f>
        <v/>
      </c>
      <c r="U12" t="str">
        <f>IFERROR(IF(S12="","",IF(_xlfn.XLOOKUP(B12,Client_List!$A$4:$A$200,Client_List!$W$4:$W$200,999)&lt;=24,"LIVE",IF(_xlfn.XLOOKUP(B12,Client_List!$A$4:$A$200,Client_List!$W$4:$W$200,999)&lt;=72,"STALE","OLD"))),"")</f>
        <v/>
      </c>
    </row>
    <row r="13" spans="1:21" x14ac:dyDescent="0.2">
      <c r="A13">
        <v>8</v>
      </c>
      <c r="B13">
        <v>1011</v>
      </c>
      <c r="C13" t="s">
        <v>77</v>
      </c>
      <c r="D13" t="s">
        <v>51</v>
      </c>
      <c r="E13" t="str">
        <f>IFERROR(VLOOKUP(C13,Client_List!$B:$K,4,0)&amp;", "&amp;VLOOKUP(C13,Client_List!$B:$K,5,0)&amp;" AZ","")</f>
        <v>4649 E Chandler Blvd, Phoenix AZ</v>
      </c>
      <c r="F13" t="str">
        <f>IFERROR(VLOOKUP(C13,Client_List!$B:$K,7,0)&amp;", "&amp;VLOOKUP(C13,Client_List!$B:$K,8,0),"")</f>
        <v>33.3048264, -111.9816146</v>
      </c>
      <c r="G13">
        <f>IFERROR(VLOOKUP(C13,Client_List!$B:$K,9,0),"")</f>
        <v>1000</v>
      </c>
      <c r="H13" t="str">
        <f>IFERROR(LOOKUP(2,1/((Delivery_Log!$B$4:$B$4998=B13)*(ISNUMBER(Delivery_Log!$J$4:$J$4998))*(Delivery_Log!$J$4:$J$4998&gt;0)),Delivery_Log!$J$4:$J$4998),"")</f>
        <v/>
      </c>
      <c r="I13" t="str">
        <f>IFERROR(VLOOKUP(C13,Client_List!$B:$K,10,0),"")</f>
        <v>CANOLA OIL</v>
      </c>
      <c r="J13">
        <f>IFERROR(_xlfn.MAXIFS(Delivery_Log!$A$4:$A$4998,Delivery_Log!$B$4:$B$4998,B13),"—")</f>
        <v>46144</v>
      </c>
      <c r="K13">
        <f t="shared" ca="1" si="0"/>
        <v>4</v>
      </c>
      <c r="L13" t="str">
        <f t="shared" ca="1" si="1"/>
        <v/>
      </c>
      <c r="M13" t="str">
        <f t="shared" ca="1" si="2"/>
        <v/>
      </c>
      <c r="N13" t="str">
        <f t="shared" ca="1" si="3"/>
        <v/>
      </c>
      <c r="O13" t="e">
        <f t="shared" ca="1" si="4"/>
        <v>#VALUE!</v>
      </c>
      <c r="P13" t="str">
        <f t="shared" ca="1" si="5"/>
        <v>—</v>
      </c>
      <c r="Q13">
        <f>COUNTIFS(Delivery_Log!$B$4:$B$5998,B13,Delivery_Log!$A$4:$A$5998,"&gt;="&amp;$Q$2)</f>
        <v>10</v>
      </c>
      <c r="S13" t="str">
        <f>IFERROR(_xlfn.XLOOKUP(B13,Client_List!$A$4:$A$200,Client_List!$S$4:$S$200,""),"")</f>
        <v/>
      </c>
      <c r="T13" t="str">
        <f>IFERROR(_xlfn.XLOOKUP(B13,Client_List!$A$4:$A$200,Client_List!$U$4:$U$200,""),"")</f>
        <v/>
      </c>
      <c r="U13" t="str">
        <f>IFERROR(IF(S13="","",IF(_xlfn.XLOOKUP(B13,Client_List!$A$4:$A$200,Client_List!$W$4:$W$200,999)&lt;=24,"LIVE",IF(_xlfn.XLOOKUP(B13,Client_List!$A$4:$A$200,Client_List!$W$4:$W$200,999)&lt;=72,"STALE","OLD"))),"")</f>
        <v/>
      </c>
    </row>
    <row r="14" spans="1:21" x14ac:dyDescent="0.2">
      <c r="A14">
        <v>9</v>
      </c>
      <c r="B14">
        <v>1014</v>
      </c>
      <c r="C14" t="s">
        <v>80</v>
      </c>
      <c r="D14" t="s">
        <v>81</v>
      </c>
      <c r="E14" t="str">
        <f>IFERROR(VLOOKUP(C14,Client_List!$B:$K,4,0)&amp;", "&amp;VLOOKUP(C14,Client_List!$B:$K,5,0)&amp;" AZ","")</f>
        <v>2855 S Market St, Gilbert, AZ 85295, Gilbert AZ</v>
      </c>
      <c r="F14" t="str">
        <f>IFERROR(VLOOKUP(C14,Client_List!$B:$K,7,0)&amp;", "&amp;VLOOKUP(C14,Client_List!$B:$K,8,0),"")</f>
        <v>33.29809, -111.744273</v>
      </c>
      <c r="G14">
        <f>IFERROR(VLOOKUP(C14,Client_List!$B:$K,9,0),"")</f>
        <v>900</v>
      </c>
      <c r="H14" t="str">
        <f>IFERROR(LOOKUP(2,1/((Delivery_Log!$B$4:$B$4998=B14)*(ISNUMBER(Delivery_Log!$J$4:$J$4998))*(Delivery_Log!$J$4:$J$4998&gt;0)),Delivery_Log!$J$4:$J$4998),"")</f>
        <v/>
      </c>
      <c r="I14" t="str">
        <f>IFERROR(VLOOKUP(C14,Client_List!$B:$K,10,0),"")</f>
        <v>CANOLA OIL</v>
      </c>
      <c r="J14">
        <f>IFERROR(_xlfn.MAXIFS(Delivery_Log!$A$4:$A$4998,Delivery_Log!$B$4:$B$4998,B14),"—")</f>
        <v>46142</v>
      </c>
      <c r="K14">
        <f t="shared" ca="1" si="0"/>
        <v>6</v>
      </c>
      <c r="L14" t="str">
        <f t="shared" ca="1" si="1"/>
        <v/>
      </c>
      <c r="M14" t="str">
        <f t="shared" ca="1" si="2"/>
        <v/>
      </c>
      <c r="N14" t="str">
        <f t="shared" ca="1" si="3"/>
        <v/>
      </c>
      <c r="O14" t="e">
        <f t="shared" ca="1" si="4"/>
        <v>#VALUE!</v>
      </c>
      <c r="P14" t="str">
        <f t="shared" ca="1" si="5"/>
        <v>—</v>
      </c>
      <c r="Q14">
        <f>COUNTIFS(Delivery_Log!$B$4:$B$5998,B14,Delivery_Log!$A$4:$A$5998,"&gt;="&amp;$Q$2)</f>
        <v>10</v>
      </c>
      <c r="S14" t="str">
        <f>IFERROR(_xlfn.XLOOKUP(B14,Client_List!$A$4:$A$200,Client_List!$S$4:$S$200,""),"")</f>
        <v/>
      </c>
      <c r="T14" t="str">
        <f>IFERROR(_xlfn.XLOOKUP(B14,Client_List!$A$4:$A$200,Client_List!$U$4:$U$200,""),"")</f>
        <v/>
      </c>
      <c r="U14" t="str">
        <f>IFERROR(IF(S14="","",IF(_xlfn.XLOOKUP(B14,Client_List!$A$4:$A$200,Client_List!$W$4:$W$200,999)&lt;=24,"LIVE",IF(_xlfn.XLOOKUP(B14,Client_List!$A$4:$A$200,Client_List!$W$4:$W$200,999)&lt;=72,"STALE","OLD"))),"")</f>
        <v/>
      </c>
    </row>
    <row r="15" spans="1:21" x14ac:dyDescent="0.2">
      <c r="A15">
        <v>10</v>
      </c>
      <c r="B15">
        <v>1013</v>
      </c>
      <c r="C15" t="s">
        <v>86</v>
      </c>
      <c r="D15" t="s">
        <v>63</v>
      </c>
      <c r="E15" t="str">
        <f>IFERROR(VLOOKUP(C15,Client_List!$B:$K,4,0)&amp;", "&amp;VLOOKUP(C15,Client_List!$B:$K,5,0)&amp;" AZ","")</f>
        <v>15370 W McDowell Rd, Goodyear AZ</v>
      </c>
      <c r="F15" t="str">
        <f>IFERROR(VLOOKUP(C15,Client_List!$B:$K,7,0)&amp;", "&amp;VLOOKUP(C15,Client_List!$B:$K,8,0),"")</f>
        <v>33.46499, -112.389902</v>
      </c>
      <c r="G15">
        <f>IFERROR(VLOOKUP(C15,Client_List!$B:$K,9,0),"")</f>
        <v>900</v>
      </c>
      <c r="H15" t="str">
        <f>IFERROR(LOOKUP(2,1/((Delivery_Log!$B$4:$B$4998=B15)*(ISNUMBER(Delivery_Log!$J$4:$J$4998))*(Delivery_Log!$J$4:$J$4998&gt;0)),Delivery_Log!$J$4:$J$4998),"")</f>
        <v/>
      </c>
      <c r="I15" t="str">
        <f>IFERROR(VLOOKUP(C15,Client_List!$B:$K,10,0),"")</f>
        <v>CANOLA OIL</v>
      </c>
      <c r="J15">
        <f>IFERROR(_xlfn.MAXIFS(Delivery_Log!$A$4:$A$4998,Delivery_Log!$B$4:$B$4998,B15),"—")</f>
        <v>46141</v>
      </c>
      <c r="K15">
        <f t="shared" ca="1" si="0"/>
        <v>7</v>
      </c>
      <c r="L15" t="str">
        <f t="shared" ca="1" si="1"/>
        <v/>
      </c>
      <c r="M15" t="str">
        <f t="shared" ca="1" si="2"/>
        <v/>
      </c>
      <c r="N15" t="str">
        <f t="shared" ca="1" si="3"/>
        <v/>
      </c>
      <c r="O15" t="e">
        <f t="shared" ca="1" si="4"/>
        <v>#VALUE!</v>
      </c>
      <c r="P15" t="str">
        <f t="shared" ca="1" si="5"/>
        <v>—</v>
      </c>
      <c r="Q15">
        <f>COUNTIFS(Delivery_Log!$B$4:$B$5998,B15,Delivery_Log!$A$4:$A$5998,"&gt;="&amp;$Q$2)</f>
        <v>13</v>
      </c>
      <c r="S15" t="str">
        <f>IFERROR(_xlfn.XLOOKUP(B15,Client_List!$A$4:$A$200,Client_List!$S$4:$S$200,""),"")</f>
        <v/>
      </c>
      <c r="T15" t="str">
        <f>IFERROR(_xlfn.XLOOKUP(B15,Client_List!$A$4:$A$200,Client_List!$U$4:$U$200,""),"")</f>
        <v/>
      </c>
      <c r="U15" t="str">
        <f>IFERROR(IF(S15="","",IF(_xlfn.XLOOKUP(B15,Client_List!$A$4:$A$200,Client_List!$W$4:$W$200,999)&lt;=24,"LIVE",IF(_xlfn.XLOOKUP(B15,Client_List!$A$4:$A$200,Client_List!$W$4:$W$200,999)&lt;=72,"STALE","OLD"))),"")</f>
        <v/>
      </c>
    </row>
    <row r="16" spans="1:21" x14ac:dyDescent="0.2">
      <c r="A16">
        <v>11</v>
      </c>
      <c r="B16">
        <v>1081</v>
      </c>
      <c r="C16" t="s">
        <v>92</v>
      </c>
      <c r="D16" t="s">
        <v>72</v>
      </c>
      <c r="E16" t="str">
        <f>IFERROR(VLOOKUP(C16,Client_List!$B:$K,4,0)&amp;", "&amp;VLOOKUP(C16,Client_List!$B:$K,5,0)&amp;" AZ","")</f>
        <v>330 E ROOSEVELT RD, PHOENIX AZ</v>
      </c>
      <c r="F16" t="str">
        <f>IFERROR(VLOOKUP(C16,Client_List!$B:$K,7,0)&amp;", "&amp;VLOOKUP(C16,Client_List!$B:$K,8,0),"")</f>
        <v>33.4589406, -112.0685493</v>
      </c>
      <c r="G16">
        <f>IFERROR(VLOOKUP(C16,Client_List!$B:$K,9,0),"")</f>
        <v>350</v>
      </c>
      <c r="H16" t="str">
        <f>IFERROR(LOOKUP(2,1/((Delivery_Log!$B$4:$B$4998=B16)*(ISNUMBER(Delivery_Log!$J$4:$J$4998))*(Delivery_Log!$J$4:$J$4998&gt;0)),Delivery_Log!$J$4:$J$4998),"")</f>
        <v/>
      </c>
      <c r="I16" t="str">
        <f>IFERROR(VLOOKUP(C16,Client_List!$B:$K,10,0),"")</f>
        <v>CANOLA OIL</v>
      </c>
      <c r="J16">
        <f>IFERROR(_xlfn.MAXIFS(Delivery_Log!$A$4:$A$4998,Delivery_Log!$B$4:$B$4998,B16),"—")</f>
        <v>46141</v>
      </c>
      <c r="K16">
        <f t="shared" ca="1" si="0"/>
        <v>7</v>
      </c>
      <c r="L16" t="str">
        <f t="shared" ca="1" si="1"/>
        <v/>
      </c>
      <c r="M16" t="str">
        <f t="shared" ca="1" si="2"/>
        <v/>
      </c>
      <c r="N16" t="str">
        <f t="shared" ca="1" si="3"/>
        <v/>
      </c>
      <c r="O16" t="e">
        <f t="shared" ca="1" si="4"/>
        <v>#VALUE!</v>
      </c>
      <c r="P16" t="str">
        <f t="shared" ca="1" si="5"/>
        <v>—</v>
      </c>
      <c r="Q16">
        <f>COUNTIFS(Delivery_Log!$B$4:$B$5998,B16,Delivery_Log!$A$4:$A$5998,"&gt;="&amp;$Q$2)</f>
        <v>16</v>
      </c>
      <c r="S16" t="str">
        <f>IFERROR(_xlfn.XLOOKUP(B16,Client_List!$A$4:$A$200,Client_List!$S$4:$S$200,""),"")</f>
        <v/>
      </c>
      <c r="T16" t="str">
        <f>IFERROR(_xlfn.XLOOKUP(B16,Client_List!$A$4:$A$200,Client_List!$U$4:$U$200,""),"")</f>
        <v/>
      </c>
      <c r="U16" t="str">
        <f>IFERROR(IF(S16="","",IF(_xlfn.XLOOKUP(B16,Client_List!$A$4:$A$200,Client_List!$W$4:$W$200,999)&lt;=24,"LIVE",IF(_xlfn.XLOOKUP(B16,Client_List!$A$4:$A$200,Client_List!$W$4:$W$200,999)&lt;=72,"STALE","OLD"))),"")</f>
        <v/>
      </c>
    </row>
    <row r="17" spans="1:21" x14ac:dyDescent="0.2">
      <c r="A17">
        <v>12</v>
      </c>
      <c r="B17">
        <v>1083</v>
      </c>
      <c r="C17" t="s">
        <v>96</v>
      </c>
      <c r="D17" t="s">
        <v>81</v>
      </c>
      <c r="E17" t="str">
        <f>IFERROR(VLOOKUP(C17,Client_List!$B:$K,4,0)&amp;", "&amp;VLOOKUP(C17,Client_List!$B:$K,5,0)&amp;" AZ","")</f>
        <v>6837 E MAIN ST, Mesa AZ</v>
      </c>
      <c r="F17" t="str">
        <f>IFERROR(VLOOKUP(C17,Client_List!$B:$K,7,0)&amp;", "&amp;VLOOKUP(C17,Client_List!$B:$K,8,0),"")</f>
        <v>33.4151472, -111.6831813</v>
      </c>
      <c r="G17">
        <f>IFERROR(VLOOKUP(C17,Client_List!$B:$K,9,0),"")</f>
        <v>425</v>
      </c>
      <c r="H17" t="str">
        <f>IFERROR(LOOKUP(2,1/((Delivery_Log!$B$4:$B$4998=B17)*(ISNUMBER(Delivery_Log!$J$4:$J$4998))*(Delivery_Log!$J$4:$J$4998&gt;0)),Delivery_Log!$J$4:$J$4998),"")</f>
        <v/>
      </c>
      <c r="I17" t="str">
        <f>IFERROR(VLOOKUP(C17,Client_List!$B:$K,10,0),"")</f>
        <v>CANOLA OIL</v>
      </c>
      <c r="J17">
        <f>IFERROR(_xlfn.MAXIFS(Delivery_Log!$A$4:$A$4998,Delivery_Log!$B$4:$B$4998,B17),"—")</f>
        <v>46140</v>
      </c>
      <c r="K17">
        <f t="shared" ca="1" si="0"/>
        <v>8</v>
      </c>
      <c r="L17" t="str">
        <f t="shared" ca="1" si="1"/>
        <v/>
      </c>
      <c r="M17" t="str">
        <f t="shared" ca="1" si="2"/>
        <v/>
      </c>
      <c r="N17" t="str">
        <f t="shared" ca="1" si="3"/>
        <v/>
      </c>
      <c r="O17" t="e">
        <f t="shared" ca="1" si="4"/>
        <v>#VALUE!</v>
      </c>
      <c r="P17" t="str">
        <f t="shared" ca="1" si="5"/>
        <v>—</v>
      </c>
      <c r="Q17">
        <f>COUNTIFS(Delivery_Log!$B$4:$B$5998,B17,Delivery_Log!$A$4:$A$5998,"&gt;="&amp;$Q$2)</f>
        <v>18</v>
      </c>
      <c r="S17" t="str">
        <f>IFERROR(_xlfn.XLOOKUP(B17,Client_List!$A$4:$A$200,Client_List!$S$4:$S$200,""),"")</f>
        <v/>
      </c>
      <c r="T17" t="str">
        <f>IFERROR(_xlfn.XLOOKUP(B17,Client_List!$A$4:$A$200,Client_List!$U$4:$U$200,""),"")</f>
        <v/>
      </c>
      <c r="U17" t="str">
        <f>IFERROR(IF(S17="","",IF(_xlfn.XLOOKUP(B17,Client_List!$A$4:$A$200,Client_List!$W$4:$W$200,999)&lt;=24,"LIVE",IF(_xlfn.XLOOKUP(B17,Client_List!$A$4:$A$200,Client_List!$W$4:$W$200,999)&lt;=72,"STALE","OLD"))),"")</f>
        <v/>
      </c>
    </row>
    <row r="18" spans="1:21" x14ac:dyDescent="0.2">
      <c r="A18">
        <v>13</v>
      </c>
      <c r="B18">
        <v>19039</v>
      </c>
      <c r="C18" t="s">
        <v>102</v>
      </c>
      <c r="D18" t="s">
        <v>81</v>
      </c>
      <c r="E18" t="str">
        <f>IFERROR(VLOOKUP(C18,Client_List!$B:$K,4,0)&amp;", "&amp;VLOOKUP(C18,Client_List!$B:$K,5,0)&amp;" AZ","")</f>
        <v>BACKYARD (SANDBAR) GILBERT, Gilbert AZ</v>
      </c>
      <c r="F18" t="str">
        <f>IFERROR(VLOOKUP(C18,Client_List!$B:$K,7,0)&amp;", "&amp;VLOOKUP(C18,Client_List!$B:$K,8,0),"")</f>
        <v>33.3062162, -111.7475515</v>
      </c>
      <c r="G18">
        <f>IFERROR(VLOOKUP(C18,Client_List!$B:$K,9,0),"")</f>
        <v>1050</v>
      </c>
      <c r="H18" t="str">
        <f>IFERROR(LOOKUP(2,1/((Delivery_Log!$B$4:$B$4998=B18)*(ISNUMBER(Delivery_Log!$J$4:$J$4998))*(Delivery_Log!$J$4:$J$4998&gt;0)),Delivery_Log!$J$4:$J$4998),"")</f>
        <v/>
      </c>
      <c r="I18" t="str">
        <f>IFERROR(VLOOKUP(C18,Client_List!$B:$K,10,0),"")</f>
        <v>FRYERS CHOICE BLEND</v>
      </c>
      <c r="J18">
        <f>IFERROR(_xlfn.MAXIFS(Delivery_Log!$A$4:$A$4998,Delivery_Log!$B$4:$B$4998,B18),"—")</f>
        <v>46137</v>
      </c>
      <c r="K18">
        <f t="shared" ca="1" si="0"/>
        <v>11</v>
      </c>
      <c r="L18" t="str">
        <f t="shared" ca="1" si="1"/>
        <v/>
      </c>
      <c r="M18" t="str">
        <f t="shared" ca="1" si="2"/>
        <v/>
      </c>
      <c r="N18" t="str">
        <f t="shared" ca="1" si="3"/>
        <v/>
      </c>
      <c r="O18" t="e">
        <f t="shared" ca="1" si="4"/>
        <v>#VALUE!</v>
      </c>
      <c r="P18" t="str">
        <f t="shared" ca="1" si="5"/>
        <v>—</v>
      </c>
      <c r="Q18">
        <f>COUNTIFS(Delivery_Log!$B$4:$B$5998,B18,Delivery_Log!$A$4:$A$5998,"&gt;="&amp;$Q$2)</f>
        <v>8</v>
      </c>
      <c r="S18" t="str">
        <f>IFERROR(_xlfn.XLOOKUP(B18,Client_List!$A$4:$A$200,Client_List!$S$4:$S$200,""),"")</f>
        <v/>
      </c>
      <c r="T18" t="str">
        <f>IFERROR(_xlfn.XLOOKUP(B18,Client_List!$A$4:$A$200,Client_List!$U$4:$U$200,""),"")</f>
        <v/>
      </c>
      <c r="U18" t="str">
        <f>IFERROR(IF(S18="","",IF(_xlfn.XLOOKUP(B18,Client_List!$A$4:$A$200,Client_List!$W$4:$W$200,999)&lt;=24,"LIVE",IF(_xlfn.XLOOKUP(B18,Client_List!$A$4:$A$200,Client_List!$W$4:$W$200,999)&lt;=72,"STALE","OLD"))),"")</f>
        <v/>
      </c>
    </row>
    <row r="19" spans="1:21" x14ac:dyDescent="0.2">
      <c r="A19">
        <v>14</v>
      </c>
      <c r="B19">
        <v>2067</v>
      </c>
      <c r="C19" t="s">
        <v>105</v>
      </c>
      <c r="D19" t="s">
        <v>51</v>
      </c>
      <c r="E19" t="str">
        <f>IFERROR(VLOOKUP(C19,Client_List!$B:$K,4,0)&amp;", "&amp;VLOOKUP(C19,Client_List!$B:$K,5,0)&amp;" AZ","")</f>
        <v>21001 N Tatum Blvd, Phoenix AZ</v>
      </c>
      <c r="F19" t="str">
        <f>IFERROR(VLOOKUP(C19,Client_List!$B:$K,7,0)&amp;", "&amp;VLOOKUP(C19,Client_List!$B:$K,8,0),"")</f>
        <v>33.6766428, -111.9746059</v>
      </c>
      <c r="G19">
        <f>IFERROR(VLOOKUP(C19,Client_List!$B:$K,9,0),"")</f>
        <v>950</v>
      </c>
      <c r="H19" t="str">
        <f>IFERROR(LOOKUP(2,1/((Delivery_Log!$B$4:$B$4998=B19)*(ISNUMBER(Delivery_Log!$J$4:$J$4998))*(Delivery_Log!$J$4:$J$4998&gt;0)),Delivery_Log!$J$4:$J$4998),"")</f>
        <v/>
      </c>
      <c r="I19" t="str">
        <f>IFERROR(VLOOKUP(C19,Client_List!$B:$K,10,0),"")</f>
        <v>CANOLA OIL</v>
      </c>
      <c r="J19">
        <f>IFERROR(_xlfn.MAXIFS(Delivery_Log!$A$4:$A$4998,Delivery_Log!$B$4:$B$4998,B19),"—")</f>
        <v>46137</v>
      </c>
      <c r="K19">
        <f t="shared" ca="1" si="0"/>
        <v>11</v>
      </c>
      <c r="L19" t="str">
        <f t="shared" ca="1" si="1"/>
        <v/>
      </c>
      <c r="M19" t="str">
        <f t="shared" ca="1" si="2"/>
        <v/>
      </c>
      <c r="N19" t="str">
        <f t="shared" ca="1" si="3"/>
        <v/>
      </c>
      <c r="O19" t="e">
        <f t="shared" ca="1" si="4"/>
        <v>#VALUE!</v>
      </c>
      <c r="P19" t="str">
        <f t="shared" ca="1" si="5"/>
        <v>—</v>
      </c>
      <c r="Q19">
        <f>COUNTIFS(Delivery_Log!$B$4:$B$5998,B19,Delivery_Log!$A$4:$A$5998,"&gt;="&amp;$Q$2)</f>
        <v>12</v>
      </c>
      <c r="S19" t="str">
        <f>IFERROR(_xlfn.XLOOKUP(B19,Client_List!$A$4:$A$200,Client_List!$S$4:$S$200,""),"")</f>
        <v/>
      </c>
      <c r="T19" t="str">
        <f>IFERROR(_xlfn.XLOOKUP(B19,Client_List!$A$4:$A$200,Client_List!$U$4:$U$200,""),"")</f>
        <v/>
      </c>
      <c r="U19" t="str">
        <f>IFERROR(IF(S19="","",IF(_xlfn.XLOOKUP(B19,Client_List!$A$4:$A$200,Client_List!$W$4:$W$200,999)&lt;=24,"LIVE",IF(_xlfn.XLOOKUP(B19,Client_List!$A$4:$A$200,Client_List!$W$4:$W$200,999)&lt;=72,"STALE","OLD"))),"")</f>
        <v/>
      </c>
    </row>
    <row r="20" spans="1:21" x14ac:dyDescent="0.2">
      <c r="A20">
        <v>15</v>
      </c>
      <c r="B20">
        <v>2053</v>
      </c>
      <c r="C20" t="s">
        <v>108</v>
      </c>
      <c r="D20" t="s">
        <v>81</v>
      </c>
      <c r="E20" t="str">
        <f>IFERROR(VLOOKUP(C20,Client_List!$B:$K,4,0)&amp;", "&amp;VLOOKUP(C20,Client_List!$B:$K,5,0)&amp;" AZ","")</f>
        <v>1927 N Gilbert Road, Gilbert AZ</v>
      </c>
      <c r="F20" t="str">
        <f>IFERROR(VLOOKUP(C20,Client_List!$B:$K,7,0)&amp;", "&amp;VLOOKUP(C20,Client_List!$B:$K,8,0),"")</f>
        <v>33.4507253, -111.7864322</v>
      </c>
      <c r="G20">
        <f>IFERROR(VLOOKUP(C20,Client_List!$B:$K,9,0),"")</f>
        <v>1050</v>
      </c>
      <c r="H20" t="str">
        <f>IFERROR(LOOKUP(2,1/((Delivery_Log!$B$4:$B$4998=B20)*(ISNUMBER(Delivery_Log!$J$4:$J$4998))*(Delivery_Log!$J$4:$J$4998&gt;0)),Delivery_Log!$J$4:$J$4998),"")</f>
        <v/>
      </c>
      <c r="I20" t="str">
        <f>IFERROR(VLOOKUP(C20,Client_List!$B:$K,10,0),"")</f>
        <v>CANOLA OIL</v>
      </c>
      <c r="J20">
        <f>IFERROR(_xlfn.MAXIFS(Delivery_Log!$A$4:$A$4998,Delivery_Log!$B$4:$B$4998,B20),"—")</f>
        <v>46129</v>
      </c>
      <c r="K20">
        <f t="shared" ca="1" si="0"/>
        <v>19</v>
      </c>
      <c r="L20" t="str">
        <f t="shared" ca="1" si="1"/>
        <v/>
      </c>
      <c r="M20" t="str">
        <f t="shared" ca="1" si="2"/>
        <v/>
      </c>
      <c r="N20" t="str">
        <f t="shared" ca="1" si="3"/>
        <v/>
      </c>
      <c r="O20" t="e">
        <f t="shared" ca="1" si="4"/>
        <v>#VALUE!</v>
      </c>
      <c r="P20" t="str">
        <f t="shared" ca="1" si="5"/>
        <v>—</v>
      </c>
      <c r="Q20">
        <f>COUNTIFS(Delivery_Log!$B$4:$B$5998,B20,Delivery_Log!$A$4:$A$5998,"&gt;="&amp;$Q$2)</f>
        <v>7</v>
      </c>
      <c r="S20" t="str">
        <f>IFERROR(_xlfn.XLOOKUP(B20,Client_List!$A$4:$A$200,Client_List!$S$4:$S$200,""),"")</f>
        <v/>
      </c>
      <c r="T20" t="str">
        <f>IFERROR(_xlfn.XLOOKUP(B20,Client_List!$A$4:$A$200,Client_List!$U$4:$U$200,""),"")</f>
        <v/>
      </c>
      <c r="U20" t="str">
        <f>IFERROR(IF(S20="","",IF(_xlfn.XLOOKUP(B20,Client_List!$A$4:$A$200,Client_List!$W$4:$W$200,999)&lt;=24,"LIVE",IF(_xlfn.XLOOKUP(B20,Client_List!$A$4:$A$200,Client_List!$W$4:$W$200,999)&lt;=72,"STALE","OLD"))),"")</f>
        <v/>
      </c>
    </row>
    <row r="21" spans="1:21" x14ac:dyDescent="0.2">
      <c r="A21">
        <v>16</v>
      </c>
      <c r="B21">
        <v>2045</v>
      </c>
      <c r="C21" t="s">
        <v>111</v>
      </c>
      <c r="D21" t="s">
        <v>81</v>
      </c>
      <c r="E21" t="str">
        <f>IFERROR(VLOOKUP(C21,Client_List!$B:$K,4,0)&amp;", "&amp;VLOOKUP(C21,Client_List!$B:$K,5,0)&amp;" AZ","")</f>
        <v>5803 S Sossaman Rd, Mesa AZ</v>
      </c>
      <c r="F21" t="str">
        <f>IFERROR(VLOOKUP(C21,Client_List!$B:$K,7,0)&amp;", "&amp;VLOOKUP(C21,Client_List!$B:$K,8,0),"")</f>
        <v>33.3107427, -111.6698733</v>
      </c>
      <c r="G21">
        <f>IFERROR(VLOOKUP(C21,Client_List!$B:$K,9,0),"")</f>
        <v>350</v>
      </c>
      <c r="H21" t="str">
        <f>IFERROR(LOOKUP(2,1/((Delivery_Log!$B$4:$B$4998=B21)*(ISNUMBER(Delivery_Log!$J$4:$J$4998))*(Delivery_Log!$J$4:$J$4998&gt;0)),Delivery_Log!$J$4:$J$4998),"")</f>
        <v/>
      </c>
      <c r="I21" t="str">
        <f>IFERROR(VLOOKUP(C21,Client_List!$B:$K,10,0),"")</f>
        <v>CANOLA OIL</v>
      </c>
      <c r="J21">
        <f>IFERROR(_xlfn.MAXIFS(Delivery_Log!$A$4:$A$4998,Delivery_Log!$B$4:$B$4998,B21),"—")</f>
        <v>46142</v>
      </c>
      <c r="K21">
        <f t="shared" ca="1" si="0"/>
        <v>6</v>
      </c>
      <c r="L21" t="str">
        <f t="shared" ca="1" si="1"/>
        <v/>
      </c>
      <c r="M21" t="str">
        <f t="shared" ca="1" si="2"/>
        <v/>
      </c>
      <c r="N21" t="str">
        <f t="shared" ca="1" si="3"/>
        <v/>
      </c>
      <c r="O21" t="e">
        <f t="shared" ca="1" si="4"/>
        <v>#VALUE!</v>
      </c>
      <c r="P21" t="str">
        <f t="shared" ca="1" si="5"/>
        <v>—</v>
      </c>
      <c r="Q21">
        <f>COUNTIFS(Delivery_Log!$B$4:$B$5998,B21,Delivery_Log!$A$4:$A$5998,"&gt;="&amp;$Q$2)</f>
        <v>15</v>
      </c>
      <c r="S21" t="str">
        <f>IFERROR(_xlfn.XLOOKUP(B21,Client_List!$A$4:$A$200,Client_List!$S$4:$S$200,""),"")</f>
        <v/>
      </c>
      <c r="T21" t="str">
        <f>IFERROR(_xlfn.XLOOKUP(B21,Client_List!$A$4:$A$200,Client_List!$U$4:$U$200,""),"")</f>
        <v/>
      </c>
      <c r="U21" t="str">
        <f>IFERROR(IF(S21="","",IF(_xlfn.XLOOKUP(B21,Client_List!$A$4:$A$200,Client_List!$W$4:$W$200,999)&lt;=24,"LIVE",IF(_xlfn.XLOOKUP(B21,Client_List!$A$4:$A$200,Client_List!$W$4:$W$200,999)&lt;=72,"STALE","OLD"))),"")</f>
        <v/>
      </c>
    </row>
    <row r="22" spans="1:21" x14ac:dyDescent="0.2">
      <c r="A22">
        <v>17</v>
      </c>
      <c r="B22">
        <v>2038</v>
      </c>
      <c r="C22" t="s">
        <v>114</v>
      </c>
      <c r="D22" t="s">
        <v>51</v>
      </c>
      <c r="E22" t="str">
        <f>IFERROR(VLOOKUP(C22,Client_List!$B:$K,4,0)&amp;", "&amp;VLOOKUP(C22,Client_List!$B:$K,5,0)&amp;" AZ","")</f>
        <v>7212 E MAIN ST, Scottsdale AZ</v>
      </c>
      <c r="F22" t="str">
        <f>IFERROR(VLOOKUP(C22,Client_List!$B:$K,7,0)&amp;", "&amp;VLOOKUP(C22,Client_List!$B:$K,8,0),"")</f>
        <v>33.4933908, -111.925632</v>
      </c>
      <c r="G22">
        <f>IFERROR(VLOOKUP(C22,Client_List!$B:$K,9,0),"")</f>
        <v>620</v>
      </c>
      <c r="H22" t="str">
        <f>IFERROR(LOOKUP(2,1/((Delivery_Log!$B$4:$B$4998=B22)*(ISNUMBER(Delivery_Log!$J$4:$J$4998))*(Delivery_Log!$J$4:$J$4998&gt;0)),Delivery_Log!$J$4:$J$4998),"")</f>
        <v/>
      </c>
      <c r="I22" t="str">
        <f>IFERROR(VLOOKUP(C22,Client_List!$B:$K,10,0),"")</f>
        <v>CANOLA OIL</v>
      </c>
      <c r="J22">
        <f>IFERROR(_xlfn.MAXIFS(Delivery_Log!$A$4:$A$4998,Delivery_Log!$B$4:$B$4998,B22),"—")</f>
        <v>46143</v>
      </c>
      <c r="K22">
        <f t="shared" ca="1" si="0"/>
        <v>5</v>
      </c>
      <c r="L22" t="str">
        <f t="shared" ca="1" si="1"/>
        <v/>
      </c>
      <c r="M22" t="str">
        <f t="shared" ca="1" si="2"/>
        <v/>
      </c>
      <c r="N22" t="str">
        <f t="shared" ca="1" si="3"/>
        <v/>
      </c>
      <c r="O22" t="e">
        <f t="shared" ca="1" si="4"/>
        <v>#VALUE!</v>
      </c>
      <c r="P22" t="str">
        <f t="shared" ca="1" si="5"/>
        <v>—</v>
      </c>
      <c r="Q22">
        <f>COUNTIFS(Delivery_Log!$B$4:$B$5998,B22,Delivery_Log!$A$4:$A$5998,"&gt;="&amp;$Q$2)</f>
        <v>13</v>
      </c>
      <c r="S22" t="str">
        <f>IFERROR(_xlfn.XLOOKUP(B22,Client_List!$A$4:$A$200,Client_List!$S$4:$S$200,""),"")</f>
        <v/>
      </c>
      <c r="T22" t="str">
        <f>IFERROR(_xlfn.XLOOKUP(B22,Client_List!$A$4:$A$200,Client_List!$U$4:$U$200,""),"")</f>
        <v/>
      </c>
      <c r="U22" t="str">
        <f>IFERROR(IF(S22="","",IF(_xlfn.XLOOKUP(B22,Client_List!$A$4:$A$200,Client_List!$W$4:$W$200,999)&lt;=24,"LIVE",IF(_xlfn.XLOOKUP(B22,Client_List!$A$4:$A$200,Client_List!$W$4:$W$200,999)&lt;=72,"STALE","OLD"))),"")</f>
        <v/>
      </c>
    </row>
    <row r="23" spans="1:21" x14ac:dyDescent="0.2">
      <c r="A23">
        <v>18</v>
      </c>
      <c r="B23">
        <v>2023</v>
      </c>
      <c r="C23" t="s">
        <v>119</v>
      </c>
      <c r="D23" t="s">
        <v>63</v>
      </c>
      <c r="E23" t="str">
        <f>IFERROR(VLOOKUP(C23,Client_List!$B:$K,4,0)&amp;", "&amp;VLOOKUP(C23,Client_List!$B:$K,5,0)&amp;" AZ","")</f>
        <v>13375 W MCDOWELL RD STE 101, GOODYEAR AZ</v>
      </c>
      <c r="F23" t="str">
        <f>IFERROR(VLOOKUP(C23,Client_List!$B:$K,7,0)&amp;", "&amp;VLOOKUP(C23,Client_List!$B:$K,8,0),"")</f>
        <v>33.463417, -112.3468017</v>
      </c>
      <c r="G23">
        <f>IFERROR(VLOOKUP(C23,Client_List!$B:$K,9,0),"")</f>
        <v>620</v>
      </c>
      <c r="H23" t="str">
        <f>IFERROR(LOOKUP(2,1/((Delivery_Log!$B$4:$B$4998=B23)*(ISNUMBER(Delivery_Log!$J$4:$J$4998))*(Delivery_Log!$J$4:$J$4998&gt;0)),Delivery_Log!$J$4:$J$4998),"")</f>
        <v/>
      </c>
      <c r="I23" t="str">
        <f>IFERROR(VLOOKUP(C23,Client_List!$B:$K,10,0),"")</f>
        <v>CANOLA OIL</v>
      </c>
      <c r="J23">
        <f>IFERROR(_xlfn.MAXIFS(Delivery_Log!$A$4:$A$4998,Delivery_Log!$B$4:$B$4998,B23),"—")</f>
        <v>46141</v>
      </c>
      <c r="K23">
        <f t="shared" ca="1" si="0"/>
        <v>7</v>
      </c>
      <c r="L23" t="str">
        <f t="shared" ca="1" si="1"/>
        <v/>
      </c>
      <c r="M23" t="str">
        <f t="shared" ca="1" si="2"/>
        <v/>
      </c>
      <c r="N23" t="str">
        <f t="shared" ca="1" si="3"/>
        <v/>
      </c>
      <c r="O23" t="e">
        <f t="shared" ca="1" si="4"/>
        <v>#VALUE!</v>
      </c>
      <c r="P23" t="str">
        <f t="shared" ca="1" si="5"/>
        <v>—</v>
      </c>
      <c r="Q23">
        <f>COUNTIFS(Delivery_Log!$B$4:$B$5998,B23,Delivery_Log!$A$4:$A$5998,"&gt;="&amp;$Q$2)</f>
        <v>18</v>
      </c>
      <c r="S23" t="str">
        <f>IFERROR(_xlfn.XLOOKUP(B23,Client_List!$A$4:$A$200,Client_List!$S$4:$S$200,""),"")</f>
        <v/>
      </c>
      <c r="T23" t="str">
        <f>IFERROR(_xlfn.XLOOKUP(B23,Client_List!$A$4:$A$200,Client_List!$U$4:$U$200,""),"")</f>
        <v/>
      </c>
      <c r="U23" t="str">
        <f>IFERROR(IF(S23="","",IF(_xlfn.XLOOKUP(B23,Client_List!$A$4:$A$200,Client_List!$W$4:$W$200,999)&lt;=24,"LIVE",IF(_xlfn.XLOOKUP(B23,Client_List!$A$4:$A$200,Client_List!$W$4:$W$200,999)&lt;=72,"STALE","OLD"))),"")</f>
        <v/>
      </c>
    </row>
    <row r="24" spans="1:21" x14ac:dyDescent="0.2">
      <c r="A24">
        <v>19</v>
      </c>
      <c r="B24">
        <v>2017</v>
      </c>
      <c r="C24" t="s">
        <v>123</v>
      </c>
      <c r="D24" t="s">
        <v>63</v>
      </c>
      <c r="E24" t="str">
        <f>IFERROR(VLOOKUP(C24,Client_List!$B:$K,4,0)&amp;", "&amp;VLOOKUP(C24,Client_List!$B:$K,5,0)&amp;" AZ","")</f>
        <v>1300 S Watson Rd Ste 109, Buckeye AZ</v>
      </c>
      <c r="F24" t="str">
        <f>IFERROR(VLOOKUP(C24,Client_List!$B:$K,7,0)&amp;", "&amp;VLOOKUP(C24,Client_List!$B:$K,8,0),"")</f>
        <v>33.4347806, -112.558596</v>
      </c>
      <c r="G24">
        <f>IFERROR(VLOOKUP(C24,Client_List!$B:$K,9,0),"")</f>
        <v>620</v>
      </c>
      <c r="H24" t="str">
        <f>IFERROR(LOOKUP(2,1/((Delivery_Log!$B$4:$B$4998=B24)*(ISNUMBER(Delivery_Log!$J$4:$J$4998))*(Delivery_Log!$J$4:$J$4998&gt;0)),Delivery_Log!$J$4:$J$4998),"")</f>
        <v/>
      </c>
      <c r="I24" t="str">
        <f>IFERROR(VLOOKUP(C24,Client_List!$B:$K,10,0),"")</f>
        <v>CANOLA OIL</v>
      </c>
      <c r="J24">
        <f>IFERROR(_xlfn.MAXIFS(Delivery_Log!$A$4:$A$4998,Delivery_Log!$B$4:$B$4998,B24),"—")</f>
        <v>46143</v>
      </c>
      <c r="K24">
        <f t="shared" ca="1" si="0"/>
        <v>5</v>
      </c>
      <c r="L24" t="str">
        <f t="shared" ca="1" si="1"/>
        <v/>
      </c>
      <c r="M24" t="str">
        <f t="shared" ca="1" si="2"/>
        <v/>
      </c>
      <c r="N24" t="str">
        <f t="shared" ca="1" si="3"/>
        <v/>
      </c>
      <c r="O24" t="e">
        <f t="shared" ca="1" si="4"/>
        <v>#VALUE!</v>
      </c>
      <c r="P24" t="str">
        <f t="shared" ca="1" si="5"/>
        <v>—</v>
      </c>
      <c r="Q24">
        <f>COUNTIFS(Delivery_Log!$B$4:$B$5998,B24,Delivery_Log!$A$4:$A$5998,"&gt;="&amp;$Q$2)</f>
        <v>16</v>
      </c>
      <c r="S24" t="str">
        <f>IFERROR(_xlfn.XLOOKUP(B24,Client_List!$A$4:$A$200,Client_List!$S$4:$S$200,""),"")</f>
        <v/>
      </c>
      <c r="T24" t="str">
        <f>IFERROR(_xlfn.XLOOKUP(B24,Client_List!$A$4:$A$200,Client_List!$U$4:$U$200,""),"")</f>
        <v/>
      </c>
      <c r="U24" t="str">
        <f>IFERROR(IF(S24="","",IF(_xlfn.XLOOKUP(B24,Client_List!$A$4:$A$200,Client_List!$W$4:$W$200,999)&lt;=24,"LIVE",IF(_xlfn.XLOOKUP(B24,Client_List!$A$4:$A$200,Client_List!$W$4:$W$200,999)&lt;=72,"STALE","OLD"))),"")</f>
        <v/>
      </c>
    </row>
    <row r="25" spans="1:21" x14ac:dyDescent="0.2">
      <c r="A25">
        <v>20</v>
      </c>
      <c r="B25">
        <v>2078</v>
      </c>
      <c r="C25" t="s">
        <v>130</v>
      </c>
      <c r="D25" t="s">
        <v>72</v>
      </c>
      <c r="E25" t="str">
        <f>IFERROR(VLOOKUP(C25,Client_List!$B:$K,4,0)&amp;", "&amp;VLOOKUP(C25,Client_List!$B:$K,5,0)&amp;" AZ","")</f>
        <v>10720 W Indian School Rd, Phoenix AZ</v>
      </c>
      <c r="F25" t="str">
        <f>IFERROR(VLOOKUP(C25,Client_List!$B:$K,7,0)&amp;", "&amp;VLOOKUP(C25,Client_List!$B:$K,8,0),"")</f>
        <v>33.4953182, -112.2907004</v>
      </c>
      <c r="G25">
        <f>IFERROR(VLOOKUP(C25,Client_List!$B:$K,9,0),"")</f>
        <v>350</v>
      </c>
      <c r="H25" t="str">
        <f>IFERROR(LOOKUP(2,1/((Delivery_Log!$B$4:$B$4998=B25)*(ISNUMBER(Delivery_Log!$J$4:$J$4998))*(Delivery_Log!$J$4:$J$4998&gt;0)),Delivery_Log!$J$4:$J$4998),"")</f>
        <v/>
      </c>
      <c r="I25" t="str">
        <f>IFERROR(VLOOKUP(C25,Client_List!$B:$K,10,0),"")</f>
        <v>CANOLA OIL</v>
      </c>
      <c r="J25">
        <f>IFERROR(_xlfn.MAXIFS(Delivery_Log!$A$4:$A$4998,Delivery_Log!$B$4:$B$4998,B25),"—")</f>
        <v>46143</v>
      </c>
      <c r="K25">
        <f t="shared" ca="1" si="0"/>
        <v>5</v>
      </c>
      <c r="L25" t="str">
        <f t="shared" ca="1" si="1"/>
        <v/>
      </c>
      <c r="M25" t="str">
        <f t="shared" ca="1" si="2"/>
        <v/>
      </c>
      <c r="N25" t="str">
        <f t="shared" ca="1" si="3"/>
        <v/>
      </c>
      <c r="O25" t="e">
        <f t="shared" ca="1" si="4"/>
        <v>#VALUE!</v>
      </c>
      <c r="P25" t="str">
        <f t="shared" ca="1" si="5"/>
        <v>—</v>
      </c>
      <c r="Q25">
        <f>COUNTIFS(Delivery_Log!$B$4:$B$5998,B25,Delivery_Log!$A$4:$A$5998,"&gt;="&amp;$Q$2)</f>
        <v>9</v>
      </c>
      <c r="S25" t="str">
        <f>IFERROR(_xlfn.XLOOKUP(B25,Client_List!$A$4:$A$200,Client_List!$S$4:$S$200,""),"")</f>
        <v/>
      </c>
      <c r="T25" t="str">
        <f>IFERROR(_xlfn.XLOOKUP(B25,Client_List!$A$4:$A$200,Client_List!$U$4:$U$200,""),"")</f>
        <v/>
      </c>
      <c r="U25" t="str">
        <f>IFERROR(IF(S25="","",IF(_xlfn.XLOOKUP(B25,Client_List!$A$4:$A$200,Client_List!$W$4:$W$200,999)&lt;=24,"LIVE",IF(_xlfn.XLOOKUP(B25,Client_List!$A$4:$A$200,Client_List!$W$4:$W$200,999)&lt;=72,"STALE","OLD"))),"")</f>
        <v/>
      </c>
    </row>
    <row r="26" spans="1:21" x14ac:dyDescent="0.2">
      <c r="A26">
        <v>21</v>
      </c>
      <c r="B26">
        <v>2073</v>
      </c>
      <c r="C26" t="s">
        <v>135</v>
      </c>
      <c r="D26" t="s">
        <v>51</v>
      </c>
      <c r="E26" t="str">
        <f>IFERROR(VLOOKUP(C26,Client_List!$B:$K,4,0)&amp;", "&amp;VLOOKUP(C26,Client_List!$B:$K,5,0)&amp;" AZ","")</f>
        <v>1920 W GERMANN RD, CHANDLER AZ</v>
      </c>
      <c r="F26" t="str">
        <f>IFERROR(VLOOKUP(C26,Client_List!$B:$K,7,0)&amp;", "&amp;VLOOKUP(C26,Client_List!$B:$K,8,0),"")</f>
        <v>33.2769448, -111.8747704</v>
      </c>
      <c r="G26">
        <f>IFERROR(VLOOKUP(C26,Client_List!$B:$K,9,0),"")</f>
        <v>350</v>
      </c>
      <c r="H26" t="str">
        <f>IFERROR(LOOKUP(2,1/((Delivery_Log!$B$4:$B$4998=B26)*(ISNUMBER(Delivery_Log!$J$4:$J$4998))*(Delivery_Log!$J$4:$J$4998&gt;0)),Delivery_Log!$J$4:$J$4998),"")</f>
        <v/>
      </c>
      <c r="I26" t="str">
        <f>IFERROR(VLOOKUP(C26,Client_List!$B:$K,10,0),"")</f>
        <v>FRYERS CHOICE BLEND</v>
      </c>
      <c r="J26">
        <f>IFERROR(_xlfn.MAXIFS(Delivery_Log!$A$4:$A$4998,Delivery_Log!$B$4:$B$4998,B26),"—")</f>
        <v>46141</v>
      </c>
      <c r="K26">
        <f t="shared" ca="1" si="0"/>
        <v>7</v>
      </c>
      <c r="L26" t="str">
        <f t="shared" ca="1" si="1"/>
        <v/>
      </c>
      <c r="M26" t="str">
        <f t="shared" ca="1" si="2"/>
        <v/>
      </c>
      <c r="N26" t="str">
        <f t="shared" ca="1" si="3"/>
        <v/>
      </c>
      <c r="O26" t="e">
        <f t="shared" ca="1" si="4"/>
        <v>#VALUE!</v>
      </c>
      <c r="P26" t="str">
        <f t="shared" ca="1" si="5"/>
        <v>—</v>
      </c>
      <c r="Q26">
        <f>COUNTIFS(Delivery_Log!$B$4:$B$5998,B26,Delivery_Log!$A$4:$A$5998,"&gt;="&amp;$Q$2)</f>
        <v>15</v>
      </c>
      <c r="S26" t="str">
        <f>IFERROR(_xlfn.XLOOKUP(B26,Client_List!$A$4:$A$200,Client_List!$S$4:$S$200,""),"")</f>
        <v/>
      </c>
      <c r="T26" t="str">
        <f>IFERROR(_xlfn.XLOOKUP(B26,Client_List!$A$4:$A$200,Client_List!$U$4:$U$200,""),"")</f>
        <v/>
      </c>
      <c r="U26" t="str">
        <f>IFERROR(IF(S26="","",IF(_xlfn.XLOOKUP(B26,Client_List!$A$4:$A$200,Client_List!$W$4:$W$200,999)&lt;=24,"LIVE",IF(_xlfn.XLOOKUP(B26,Client_List!$A$4:$A$200,Client_List!$W$4:$W$200,999)&lt;=72,"STALE","OLD"))),"")</f>
        <v/>
      </c>
    </row>
    <row r="27" spans="1:21" x14ac:dyDescent="0.2">
      <c r="A27">
        <v>22</v>
      </c>
      <c r="B27">
        <v>4038</v>
      </c>
      <c r="C27" t="s">
        <v>139</v>
      </c>
      <c r="D27" t="s">
        <v>38</v>
      </c>
      <c r="E27" t="str">
        <f>IFERROR(VLOOKUP(C27,Client_List!$B:$K,4,0)&amp;", "&amp;VLOOKUP(C27,Client_List!$B:$K,5,0)&amp;" AZ","")</f>
        <v>6670 W CACTUS RD, GLENDALE AZ</v>
      </c>
      <c r="F27" t="str">
        <f>IFERROR(VLOOKUP(C27,Client_List!$B:$K,7,0)&amp;", "&amp;VLOOKUP(C27,Client_List!$B:$K,8,0),"")</f>
        <v>33.5974556, -112.2020183</v>
      </c>
      <c r="G27">
        <f>IFERROR(VLOOKUP(C27,Client_List!$B:$K,9,0),"")</f>
        <v>1050</v>
      </c>
      <c r="H27" t="str">
        <f>IFERROR(LOOKUP(2,1/((Delivery_Log!$B$4:$B$4998=B27)*(ISNUMBER(Delivery_Log!$J$4:$J$4998))*(Delivery_Log!$J$4:$J$4998&gt;0)),Delivery_Log!$J$4:$J$4998),"")</f>
        <v/>
      </c>
      <c r="I27" t="str">
        <f>IFERROR(VLOOKUP(C27,Client_List!$B:$K,10,0),"")</f>
        <v>CANOLA OIL</v>
      </c>
      <c r="J27">
        <f>IFERROR(_xlfn.MAXIFS(Delivery_Log!$A$4:$A$4998,Delivery_Log!$B$4:$B$4998,B27),"—")</f>
        <v>46129</v>
      </c>
      <c r="K27">
        <f t="shared" ca="1" si="0"/>
        <v>19</v>
      </c>
      <c r="L27" t="str">
        <f t="shared" ca="1" si="1"/>
        <v/>
      </c>
      <c r="M27" t="str">
        <f t="shared" ca="1" si="2"/>
        <v/>
      </c>
      <c r="N27" t="str">
        <f t="shared" ca="1" si="3"/>
        <v/>
      </c>
      <c r="O27" t="e">
        <f t="shared" ca="1" si="4"/>
        <v>#VALUE!</v>
      </c>
      <c r="P27" t="str">
        <f t="shared" ca="1" si="5"/>
        <v>—</v>
      </c>
      <c r="Q27">
        <f>COUNTIFS(Delivery_Log!$B$4:$B$5998,B27,Delivery_Log!$A$4:$A$5998,"&gt;="&amp;$Q$2)</f>
        <v>3</v>
      </c>
      <c r="S27" t="str">
        <f>IFERROR(_xlfn.XLOOKUP(B27,Client_List!$A$4:$A$200,Client_List!$S$4:$S$200,""),"")</f>
        <v/>
      </c>
      <c r="T27" t="str">
        <f>IFERROR(_xlfn.XLOOKUP(B27,Client_List!$A$4:$A$200,Client_List!$U$4:$U$200,""),"")</f>
        <v/>
      </c>
      <c r="U27" t="str">
        <f>IFERROR(IF(S27="","",IF(_xlfn.XLOOKUP(B27,Client_List!$A$4:$A$200,Client_List!$W$4:$W$200,999)&lt;=24,"LIVE",IF(_xlfn.XLOOKUP(B27,Client_List!$A$4:$A$200,Client_List!$W$4:$W$200,999)&lt;=72,"STALE","OLD"))),"")</f>
        <v/>
      </c>
    </row>
    <row r="28" spans="1:21" x14ac:dyDescent="0.2">
      <c r="A28">
        <v>23</v>
      </c>
      <c r="B28">
        <v>3063</v>
      </c>
      <c r="C28" t="s">
        <v>143</v>
      </c>
      <c r="D28" t="s">
        <v>38</v>
      </c>
      <c r="E28" t="str">
        <f>IFERROR(VLOOKUP(C28,Client_List!$B:$K,4,0)&amp;", "&amp;VLOOKUP(C28,Client_List!$B:$K,5,0)&amp;" AZ","")</f>
        <v>1 CARDINAL DR, GLENDALE AZ</v>
      </c>
      <c r="F28" t="str">
        <f>IFERROR(VLOOKUP(C28,Client_List!$B:$K,7,0)&amp;", "&amp;VLOOKUP(C28,Client_List!$B:$K,8,0),"")</f>
        <v>33.5262332, -112.2661138</v>
      </c>
      <c r="G28">
        <f>IFERROR(VLOOKUP(C28,Client_List!$B:$K,9,0),"")</f>
        <v>2500</v>
      </c>
      <c r="H28" t="str">
        <f>IFERROR(LOOKUP(2,1/((Delivery_Log!$B$4:$B$4998=B28)*(ISNUMBER(Delivery_Log!$J$4:$J$4998))*(Delivery_Log!$J$4:$J$4998&gt;0)),Delivery_Log!$J$4:$J$4998),"")</f>
        <v/>
      </c>
      <c r="I28" t="str">
        <f>IFERROR(VLOOKUP(C28,Client_List!$B:$K,10,0),"")</f>
        <v>CANOLA OIL</v>
      </c>
      <c r="J28">
        <f>IFERROR(_xlfn.MAXIFS(Delivery_Log!$A$4:$A$4998,Delivery_Log!$B$4:$B$4998,B28),"—")</f>
        <v>46129</v>
      </c>
      <c r="K28">
        <f t="shared" ca="1" si="0"/>
        <v>19</v>
      </c>
      <c r="L28" t="str">
        <f t="shared" ca="1" si="1"/>
        <v/>
      </c>
      <c r="M28" t="str">
        <f t="shared" ca="1" si="2"/>
        <v/>
      </c>
      <c r="N28" t="str">
        <f t="shared" ca="1" si="3"/>
        <v/>
      </c>
      <c r="O28" t="e">
        <f t="shared" ca="1" si="4"/>
        <v>#VALUE!</v>
      </c>
      <c r="P28" t="str">
        <f t="shared" ca="1" si="5"/>
        <v>—</v>
      </c>
      <c r="Q28">
        <f>COUNTIFS(Delivery_Log!$B$4:$B$5998,B28,Delivery_Log!$A$4:$A$5998,"&gt;="&amp;$Q$2)</f>
        <v>5</v>
      </c>
      <c r="S28" t="str">
        <f>IFERROR(_xlfn.XLOOKUP(B28,Client_List!$A$4:$A$200,Client_List!$S$4:$S$200,""),"")</f>
        <v/>
      </c>
      <c r="T28" t="str">
        <f>IFERROR(_xlfn.XLOOKUP(B28,Client_List!$A$4:$A$200,Client_List!$U$4:$U$200,""),"")</f>
        <v/>
      </c>
      <c r="U28" t="str">
        <f>IFERROR(IF(S28="","",IF(_xlfn.XLOOKUP(B28,Client_List!$A$4:$A$200,Client_List!$W$4:$W$200,999)&lt;=24,"LIVE",IF(_xlfn.XLOOKUP(B28,Client_List!$A$4:$A$200,Client_List!$W$4:$W$200,999)&lt;=72,"STALE","OLD"))),"")</f>
        <v/>
      </c>
    </row>
    <row r="29" spans="1:21" x14ac:dyDescent="0.2">
      <c r="A29">
        <v>24</v>
      </c>
      <c r="B29">
        <v>3069</v>
      </c>
      <c r="C29" t="s">
        <v>146</v>
      </c>
      <c r="D29" t="s">
        <v>38</v>
      </c>
      <c r="E29" t="str">
        <f>IFERROR(VLOOKUP(C29,Client_List!$B:$K,4,0)&amp;", "&amp;VLOOKUP(C29,Client_List!$B:$K,5,0)&amp;" AZ","")</f>
        <v>4920 W Thunderbird Rd, Glendale AZ</v>
      </c>
      <c r="F29" t="str">
        <f>IFERROR(VLOOKUP(C29,Client_List!$B:$K,7,0)&amp;", "&amp;VLOOKUP(C29,Client_List!$B:$K,8,0),"")</f>
        <v>33.6116326, -112.1654111</v>
      </c>
      <c r="G29">
        <f>IFERROR(VLOOKUP(C29,Client_List!$B:$K,9,0),"")</f>
        <v>1000</v>
      </c>
      <c r="H29" t="str">
        <f>IFERROR(LOOKUP(2,1/((Delivery_Log!$B$4:$B$4998=B29)*(ISNUMBER(Delivery_Log!$J$4:$J$4998))*(Delivery_Log!$J$4:$J$4998&gt;0)),Delivery_Log!$J$4:$J$4998),"")</f>
        <v/>
      </c>
      <c r="I29" t="str">
        <f>IFERROR(VLOOKUP(C29,Client_List!$B:$K,10,0),"")</f>
        <v>CANOLA OIL</v>
      </c>
      <c r="J29">
        <f>IFERROR(_xlfn.MAXIFS(Delivery_Log!$A$4:$A$4998,Delivery_Log!$B$4:$B$4998,B29),"—")</f>
        <v>46134</v>
      </c>
      <c r="K29">
        <f t="shared" ca="1" si="0"/>
        <v>14</v>
      </c>
      <c r="L29" t="str">
        <f t="shared" ca="1" si="1"/>
        <v/>
      </c>
      <c r="M29" t="str">
        <f t="shared" ca="1" si="2"/>
        <v/>
      </c>
      <c r="N29" t="str">
        <f t="shared" ca="1" si="3"/>
        <v/>
      </c>
      <c r="O29" t="e">
        <f t="shared" ca="1" si="4"/>
        <v>#VALUE!</v>
      </c>
      <c r="P29" t="str">
        <f t="shared" ca="1" si="5"/>
        <v>—</v>
      </c>
      <c r="Q29">
        <f>COUNTIFS(Delivery_Log!$B$4:$B$5998,B29,Delivery_Log!$A$4:$A$5998,"&gt;="&amp;$Q$2)</f>
        <v>4</v>
      </c>
      <c r="S29" t="str">
        <f>IFERROR(_xlfn.XLOOKUP(B29,Client_List!$A$4:$A$200,Client_List!$S$4:$S$200,""),"")</f>
        <v/>
      </c>
      <c r="T29" t="str">
        <f>IFERROR(_xlfn.XLOOKUP(B29,Client_List!$A$4:$A$200,Client_List!$U$4:$U$200,""),"")</f>
        <v/>
      </c>
      <c r="U29" t="str">
        <f>IFERROR(IF(S29="","",IF(_xlfn.XLOOKUP(B29,Client_List!$A$4:$A$200,Client_List!$W$4:$W$200,999)&lt;=24,"LIVE",IF(_xlfn.XLOOKUP(B29,Client_List!$A$4:$A$200,Client_List!$W$4:$W$200,999)&lt;=72,"STALE","OLD"))),"")</f>
        <v/>
      </c>
    </row>
    <row r="30" spans="1:21" x14ac:dyDescent="0.2">
      <c r="A30">
        <v>25</v>
      </c>
      <c r="B30">
        <v>3021</v>
      </c>
      <c r="C30" t="s">
        <v>149</v>
      </c>
      <c r="D30" t="s">
        <v>38</v>
      </c>
      <c r="E30" t="str">
        <f>IFERROR(VLOOKUP(C30,Client_List!$B:$K,4,0)&amp;", "&amp;VLOOKUP(C30,Client_List!$B:$K,5,0)&amp;" AZ","")</f>
        <v>CRAZY MIKES CHICKEN, Glendale AZ</v>
      </c>
      <c r="F30" t="str">
        <f>IFERROR(VLOOKUP(C30,Client_List!$B:$K,7,0)&amp;", "&amp;VLOOKUP(C30,Client_List!$B:$K,8,0),"")</f>
        <v>33.6397868, -112.1738598</v>
      </c>
      <c r="G30">
        <f>IFERROR(VLOOKUP(C30,Client_List!$B:$K,9,0),"")</f>
        <v>450</v>
      </c>
      <c r="H30" t="str">
        <f>IFERROR(LOOKUP(2,1/((Delivery_Log!$B$4:$B$4998=B30)*(ISNUMBER(Delivery_Log!$J$4:$J$4998))*(Delivery_Log!$J$4:$J$4998&gt;0)),Delivery_Log!$J$4:$J$4998),"")</f>
        <v/>
      </c>
      <c r="I30" t="str">
        <f>IFERROR(VLOOKUP(C30,Client_List!$B:$K,10,0),"")</f>
        <v>CANOLA OIL</v>
      </c>
      <c r="J30">
        <f>IFERROR(_xlfn.MAXIFS(Delivery_Log!$A$4:$A$4998,Delivery_Log!$B$4:$B$4998,B30),"—")</f>
        <v>46140</v>
      </c>
      <c r="K30">
        <f t="shared" ca="1" si="0"/>
        <v>8</v>
      </c>
      <c r="L30" t="str">
        <f t="shared" ca="1" si="1"/>
        <v/>
      </c>
      <c r="M30" t="str">
        <f t="shared" ca="1" si="2"/>
        <v/>
      </c>
      <c r="N30" t="str">
        <f t="shared" ca="1" si="3"/>
        <v/>
      </c>
      <c r="O30" t="e">
        <f t="shared" ca="1" si="4"/>
        <v>#VALUE!</v>
      </c>
      <c r="P30" t="str">
        <f t="shared" ca="1" si="5"/>
        <v>—</v>
      </c>
      <c r="Q30">
        <f>COUNTIFS(Delivery_Log!$B$4:$B$5998,B30,Delivery_Log!$A$4:$A$5998,"&gt;="&amp;$Q$2)</f>
        <v>11</v>
      </c>
      <c r="S30" t="str">
        <f>IFERROR(_xlfn.XLOOKUP(B30,Client_List!$A$4:$A$200,Client_List!$S$4:$S$200,""),"")</f>
        <v/>
      </c>
      <c r="T30" t="str">
        <f>IFERROR(_xlfn.XLOOKUP(B30,Client_List!$A$4:$A$200,Client_List!$U$4:$U$200,""),"")</f>
        <v/>
      </c>
      <c r="U30" t="str">
        <f>IFERROR(IF(S30="","",IF(_xlfn.XLOOKUP(B30,Client_List!$A$4:$A$200,Client_List!$W$4:$W$200,999)&lt;=24,"LIVE",IF(_xlfn.XLOOKUP(B30,Client_List!$A$4:$A$200,Client_List!$W$4:$W$200,999)&lt;=72,"STALE","OLD"))),"")</f>
        <v/>
      </c>
    </row>
    <row r="31" spans="1:21" x14ac:dyDescent="0.2">
      <c r="A31">
        <v>26</v>
      </c>
      <c r="B31">
        <v>3046</v>
      </c>
      <c r="C31" t="s">
        <v>152</v>
      </c>
      <c r="D31" t="s">
        <v>38</v>
      </c>
      <c r="E31" t="str">
        <f>IFERROR(VLOOKUP(C31,Client_List!$B:$K,4,0)&amp;", "&amp;VLOOKUP(C31,Client_List!$B:$K,5,0)&amp;" AZ","")</f>
        <v>CRAZY MIKE'S GOODYEAR, Goodyear AZ</v>
      </c>
      <c r="F31" t="str">
        <f>IFERROR(VLOOKUP(C31,Client_List!$B:$K,7,0)&amp;", "&amp;VLOOKUP(C31,Client_List!$B:$K,8,0),"")</f>
        <v>33.4839957, -112.3651191</v>
      </c>
      <c r="G31">
        <f>IFERROR(VLOOKUP(C31,Client_List!$B:$K,9,0),"")</f>
        <v>1000</v>
      </c>
      <c r="H31" t="str">
        <f>IFERROR(LOOKUP(2,1/((Delivery_Log!$B$4:$B$4998=B31)*(ISNUMBER(Delivery_Log!$J$4:$J$4998))*(Delivery_Log!$J$4:$J$4998&gt;0)),Delivery_Log!$J$4:$J$4998),"")</f>
        <v/>
      </c>
      <c r="I31" t="str">
        <f>IFERROR(VLOOKUP(C31,Client_List!$B:$K,10,0),"")</f>
        <v>CANOLA OIL</v>
      </c>
      <c r="J31">
        <f>IFERROR(_xlfn.MAXIFS(Delivery_Log!$A$4:$A$4998,Delivery_Log!$B$4:$B$4998,B31),"—")</f>
        <v>46133</v>
      </c>
      <c r="K31">
        <f t="shared" ca="1" si="0"/>
        <v>15</v>
      </c>
      <c r="L31" t="str">
        <f t="shared" ca="1" si="1"/>
        <v/>
      </c>
      <c r="M31" t="str">
        <f t="shared" ca="1" si="2"/>
        <v/>
      </c>
      <c r="N31" t="str">
        <f t="shared" ca="1" si="3"/>
        <v/>
      </c>
      <c r="O31" t="e">
        <f t="shared" ca="1" si="4"/>
        <v>#VALUE!</v>
      </c>
      <c r="P31" t="str">
        <f t="shared" ca="1" si="5"/>
        <v>—</v>
      </c>
      <c r="Q31">
        <f>COUNTIFS(Delivery_Log!$B$4:$B$5998,B31,Delivery_Log!$A$4:$A$5998,"&gt;="&amp;$Q$2)</f>
        <v>6</v>
      </c>
      <c r="S31" t="str">
        <f>IFERROR(_xlfn.XLOOKUP(B31,Client_List!$A$4:$A$200,Client_List!$S$4:$S$200,""),"")</f>
        <v/>
      </c>
      <c r="T31" t="str">
        <f>IFERROR(_xlfn.XLOOKUP(B31,Client_List!$A$4:$A$200,Client_List!$U$4:$U$200,""),"")</f>
        <v/>
      </c>
      <c r="U31" t="str">
        <f>IFERROR(IF(S31="","",IF(_xlfn.XLOOKUP(B31,Client_List!$A$4:$A$200,Client_List!$W$4:$W$200,999)&lt;=24,"LIVE",IF(_xlfn.XLOOKUP(B31,Client_List!$A$4:$A$200,Client_List!$W$4:$W$200,999)&lt;=72,"STALE","OLD"))),"")</f>
        <v/>
      </c>
    </row>
    <row r="32" spans="1:21" x14ac:dyDescent="0.2">
      <c r="A32">
        <v>27</v>
      </c>
      <c r="B32">
        <v>3065</v>
      </c>
      <c r="C32" t="s">
        <v>155</v>
      </c>
      <c r="D32" t="s">
        <v>51</v>
      </c>
      <c r="E32" t="str">
        <f>IFERROR(VLOOKUP(C32,Client_List!$B:$K,4,0)&amp;", "&amp;VLOOKUP(C32,Client_List!$B:$K,5,0)&amp;" AZ","")</f>
        <v>6736 E Avalon Dr, Scottsdale AZ</v>
      </c>
      <c r="F32" t="str">
        <f>IFERROR(VLOOKUP(C32,Client_List!$B:$K,7,0)&amp;", "&amp;VLOOKUP(C32,Client_List!$B:$K,8,0),"")</f>
        <v>33.4830758, -111.9358104</v>
      </c>
      <c r="G32">
        <f>IFERROR(VLOOKUP(C32,Client_List!$B:$K,9,0),"")</f>
        <v>350</v>
      </c>
      <c r="H32" t="str">
        <f>IFERROR(LOOKUP(2,1/((Delivery_Log!$B$4:$B$4998=B32)*(ISNUMBER(Delivery_Log!$J$4:$J$4998))*(Delivery_Log!$J$4:$J$4998&gt;0)),Delivery_Log!$J$4:$J$4998),"")</f>
        <v/>
      </c>
      <c r="I32" t="str">
        <f>IFERROR(VLOOKUP(C32,Client_List!$B:$K,10,0),"")</f>
        <v>CANOLA OIL</v>
      </c>
      <c r="J32">
        <f>IFERROR(_xlfn.MAXIFS(Delivery_Log!$A$4:$A$4998,Delivery_Log!$B$4:$B$4998,B32),"—")</f>
        <v>46135</v>
      </c>
      <c r="K32">
        <f t="shared" ca="1" si="0"/>
        <v>13</v>
      </c>
      <c r="L32" t="str">
        <f t="shared" ca="1" si="1"/>
        <v/>
      </c>
      <c r="M32" t="str">
        <f t="shared" ca="1" si="2"/>
        <v/>
      </c>
      <c r="N32" t="str">
        <f t="shared" ca="1" si="3"/>
        <v/>
      </c>
      <c r="O32" t="e">
        <f t="shared" ca="1" si="4"/>
        <v>#VALUE!</v>
      </c>
      <c r="P32" t="str">
        <f t="shared" ca="1" si="5"/>
        <v>—</v>
      </c>
      <c r="Q32">
        <f>COUNTIFS(Delivery_Log!$B$4:$B$5998,B32,Delivery_Log!$A$4:$A$5998,"&gt;="&amp;$Q$2)</f>
        <v>4</v>
      </c>
      <c r="S32" t="str">
        <f>IFERROR(_xlfn.XLOOKUP(B32,Client_List!$A$4:$A$200,Client_List!$S$4:$S$200,""),"")</f>
        <v/>
      </c>
      <c r="T32" t="str">
        <f>IFERROR(_xlfn.XLOOKUP(B32,Client_List!$A$4:$A$200,Client_List!$U$4:$U$200,""),"")</f>
        <v/>
      </c>
      <c r="U32" t="str">
        <f>IFERROR(IF(S32="","",IF(_xlfn.XLOOKUP(B32,Client_List!$A$4:$A$200,Client_List!$W$4:$W$200,999)&lt;=24,"LIVE",IF(_xlfn.XLOOKUP(B32,Client_List!$A$4:$A$200,Client_List!$W$4:$W$200,999)&lt;=72,"STALE","OLD"))),"")</f>
        <v/>
      </c>
    </row>
    <row r="33" spans="1:21" x14ac:dyDescent="0.2">
      <c r="A33">
        <v>28</v>
      </c>
      <c r="B33">
        <v>3064</v>
      </c>
      <c r="C33" t="s">
        <v>158</v>
      </c>
      <c r="D33" t="s">
        <v>51</v>
      </c>
      <c r="E33" t="str">
        <f>IFERROR(VLOOKUP(C33,Client_List!$B:$K,4,0)&amp;", "&amp;VLOOKUP(C33,Client_List!$B:$K,5,0)&amp;" AZ","")</f>
        <v>One N San Marcos Pl, Chandler AZ</v>
      </c>
      <c r="F33" t="str">
        <f>IFERROR(VLOOKUP(C33,Client_List!$B:$K,7,0)&amp;", "&amp;VLOOKUP(C33,Client_List!$B:$K,8,0),"")</f>
        <v>33.3206372, -111.8437719</v>
      </c>
      <c r="G33">
        <f>IFERROR(VLOOKUP(C33,Client_List!$B:$K,9,0),"")</f>
        <v>700</v>
      </c>
      <c r="H33" t="str">
        <f>IFERROR(LOOKUP(2,1/((Delivery_Log!$B$4:$B$4998=B33)*(ISNUMBER(Delivery_Log!$J$4:$J$4998))*(Delivery_Log!$J$4:$J$4998&gt;0)),Delivery_Log!$J$4:$J$4998),"")</f>
        <v/>
      </c>
      <c r="I33" t="str">
        <f>IFERROR(VLOOKUP(C33,Client_List!$B:$K,10,0),"")</f>
        <v>CANOLA OIL</v>
      </c>
      <c r="J33">
        <f>IFERROR(_xlfn.MAXIFS(Delivery_Log!$A$4:$A$4998,Delivery_Log!$B$4:$B$4998,B33),"—")</f>
        <v>46142</v>
      </c>
      <c r="K33">
        <f t="shared" ca="1" si="0"/>
        <v>6</v>
      </c>
      <c r="L33" t="str">
        <f t="shared" ca="1" si="1"/>
        <v/>
      </c>
      <c r="M33" t="str">
        <f t="shared" ca="1" si="2"/>
        <v/>
      </c>
      <c r="N33" t="str">
        <f t="shared" ca="1" si="3"/>
        <v/>
      </c>
      <c r="O33" t="e">
        <f t="shared" ca="1" si="4"/>
        <v>#VALUE!</v>
      </c>
      <c r="P33" t="str">
        <f t="shared" ca="1" si="5"/>
        <v>—</v>
      </c>
      <c r="Q33">
        <f>COUNTIFS(Delivery_Log!$B$4:$B$5998,B33,Delivery_Log!$A$4:$A$5998,"&gt;="&amp;$Q$2)</f>
        <v>6</v>
      </c>
      <c r="S33" t="str">
        <f>IFERROR(_xlfn.XLOOKUP(B33,Client_List!$A$4:$A$200,Client_List!$S$4:$S$200,""),"")</f>
        <v/>
      </c>
      <c r="T33" t="str">
        <f>IFERROR(_xlfn.XLOOKUP(B33,Client_List!$A$4:$A$200,Client_List!$U$4:$U$200,""),"")</f>
        <v/>
      </c>
      <c r="U33" t="str">
        <f>IFERROR(IF(S33="","",IF(_xlfn.XLOOKUP(B33,Client_List!$A$4:$A$200,Client_List!$W$4:$W$200,999)&lt;=24,"LIVE",IF(_xlfn.XLOOKUP(B33,Client_List!$A$4:$A$200,Client_List!$W$4:$W$200,999)&lt;=72,"STALE","OLD"))),"")</f>
        <v/>
      </c>
    </row>
    <row r="34" spans="1:21" x14ac:dyDescent="0.2">
      <c r="A34">
        <v>29</v>
      </c>
      <c r="B34" t="s">
        <v>13</v>
      </c>
      <c r="C34" t="s">
        <v>163</v>
      </c>
      <c r="D34" t="s">
        <v>72</v>
      </c>
      <c r="E34" t="str">
        <f>IFERROR(VLOOKUP(C34,Client_List!$B:$K,4,0)&amp;", "&amp;VLOOKUP(C34,Client_List!$B:$K,5,0)&amp;" AZ","")</f>
        <v>3550 E BELL ROAD, PHOENIX AZ</v>
      </c>
      <c r="F34" t="str">
        <f>IFERROR(VLOOKUP(C34,Client_List!$B:$K,7,0)&amp;", "&amp;VLOOKUP(C34,Client_List!$B:$K,8,0),"")</f>
        <v>33.6410013, -112.0051915</v>
      </c>
      <c r="G34">
        <f>IFERROR(VLOOKUP(C34,Client_List!$B:$K,9,0),"")</f>
        <v>500</v>
      </c>
      <c r="H34" t="str">
        <f>IFERROR(LOOKUP(2,1/((Delivery_Log!$B$4:$B$4998=B34)*(ISNUMBER(Delivery_Log!$J$4:$J$4998))*(Delivery_Log!$J$4:$J$4998&gt;0)),Delivery_Log!$J$4:$J$4998),"")</f>
        <v/>
      </c>
      <c r="I34" t="str">
        <f>IFERROR(VLOOKUP(C34,Client_List!$B:$K,10,0),"")</f>
        <v>CANOLA OIL</v>
      </c>
      <c r="J34">
        <f>IFERROR(_xlfn.MAXIFS(Delivery_Log!$A$4:$A$4998,Delivery_Log!$B$4:$B$4998,B34),"—")</f>
        <v>46135</v>
      </c>
      <c r="K34">
        <f t="shared" ca="1" si="0"/>
        <v>13</v>
      </c>
      <c r="L34" t="str">
        <f t="shared" ca="1" si="1"/>
        <v/>
      </c>
      <c r="M34" t="str">
        <f t="shared" ca="1" si="2"/>
        <v/>
      </c>
      <c r="N34" t="str">
        <f t="shared" ca="1" si="3"/>
        <v/>
      </c>
      <c r="O34" t="e">
        <f t="shared" ca="1" si="4"/>
        <v>#VALUE!</v>
      </c>
      <c r="P34" t="str">
        <f t="shared" ca="1" si="5"/>
        <v>—</v>
      </c>
      <c r="Q34">
        <f>COUNTIFS(Delivery_Log!$B$4:$B$5998,B34,Delivery_Log!$A$4:$A$5998,"&gt;="&amp;$Q$2)</f>
        <v>9</v>
      </c>
      <c r="S34" t="str">
        <f>IFERROR(_xlfn.XLOOKUP(B34,Client_List!$A$4:$A$200,Client_List!$S$4:$S$200,""),"")</f>
        <v/>
      </c>
      <c r="T34" t="str">
        <f>IFERROR(_xlfn.XLOOKUP(B34,Client_List!$A$4:$A$200,Client_List!$U$4:$U$200,""),"")</f>
        <v/>
      </c>
      <c r="U34" t="str">
        <f>IFERROR(IF(S34="","",IF(_xlfn.XLOOKUP(B34,Client_List!$A$4:$A$200,Client_List!$W$4:$W$200,999)&lt;=24,"LIVE",IF(_xlfn.XLOOKUP(B34,Client_List!$A$4:$A$200,Client_List!$W$4:$W$200,999)&lt;=72,"STALE","OLD"))),"")</f>
        <v/>
      </c>
    </row>
    <row r="35" spans="1:21" x14ac:dyDescent="0.2">
      <c r="A35">
        <v>30</v>
      </c>
      <c r="B35">
        <v>4026</v>
      </c>
      <c r="C35" t="s">
        <v>167</v>
      </c>
      <c r="D35" t="s">
        <v>51</v>
      </c>
      <c r="E35" t="str">
        <f>IFERROR(VLOOKUP(C35,Client_List!$B:$K,4,0)&amp;", "&amp;VLOOKUP(C35,Client_List!$B:$K,5,0)&amp;" AZ","")</f>
        <v>1116 E DOBSON RD, MESA AZ</v>
      </c>
      <c r="F35" t="str">
        <f>IFERROR(VLOOKUP(C35,Client_List!$B:$K,7,0)&amp;", "&amp;VLOOKUP(C35,Client_List!$B:$K,8,0),"")</f>
        <v>33.3947597, -111.8753592</v>
      </c>
      <c r="G35">
        <f>IFERROR(VLOOKUP(C35,Client_List!$B:$K,9,0),"")</f>
        <v>350</v>
      </c>
      <c r="H35" t="str">
        <f>IFERROR(LOOKUP(2,1/((Delivery_Log!$B$4:$B$4998=B35)*(ISNUMBER(Delivery_Log!$J$4:$J$4998))*(Delivery_Log!$J$4:$J$4998&gt;0)),Delivery_Log!$J$4:$J$4998),"")</f>
        <v/>
      </c>
      <c r="I35" t="str">
        <f>IFERROR(VLOOKUP(C35,Client_List!$B:$K,10,0),"")</f>
        <v>CANOLA OIL</v>
      </c>
      <c r="J35">
        <f>IFERROR(_xlfn.MAXIFS(Delivery_Log!$A$4:$A$4998,Delivery_Log!$B$4:$B$4998,B35),"—")</f>
        <v>46134</v>
      </c>
      <c r="K35">
        <f t="shared" ca="1" si="0"/>
        <v>14</v>
      </c>
      <c r="L35" t="str">
        <f t="shared" ca="1" si="1"/>
        <v/>
      </c>
      <c r="M35" t="str">
        <f t="shared" ca="1" si="2"/>
        <v/>
      </c>
      <c r="N35" t="str">
        <f t="shared" ca="1" si="3"/>
        <v/>
      </c>
      <c r="O35" t="e">
        <f t="shared" ca="1" si="4"/>
        <v>#VALUE!</v>
      </c>
      <c r="P35" t="str">
        <f t="shared" ca="1" si="5"/>
        <v>—</v>
      </c>
      <c r="Q35">
        <f>COUNTIFS(Delivery_Log!$B$4:$B$5998,B35,Delivery_Log!$A$4:$A$5998,"&gt;="&amp;$Q$2)</f>
        <v>7</v>
      </c>
      <c r="S35" t="str">
        <f>IFERROR(_xlfn.XLOOKUP(B35,Client_List!$A$4:$A$200,Client_List!$S$4:$S$200,""),"")</f>
        <v/>
      </c>
      <c r="T35" t="str">
        <f>IFERROR(_xlfn.XLOOKUP(B35,Client_List!$A$4:$A$200,Client_List!$U$4:$U$200,""),"")</f>
        <v/>
      </c>
      <c r="U35" t="str">
        <f>IFERROR(IF(S35="","",IF(_xlfn.XLOOKUP(B35,Client_List!$A$4:$A$200,Client_List!$W$4:$W$200,999)&lt;=24,"LIVE",IF(_xlfn.XLOOKUP(B35,Client_List!$A$4:$A$200,Client_List!$W$4:$W$200,999)&lt;=72,"STALE","OLD"))),"")</f>
        <v/>
      </c>
    </row>
    <row r="36" spans="1:21" x14ac:dyDescent="0.2">
      <c r="A36">
        <v>31</v>
      </c>
      <c r="B36" t="s">
        <v>647</v>
      </c>
      <c r="C36" t="s">
        <v>173</v>
      </c>
      <c r="D36" t="s">
        <v>51</v>
      </c>
      <c r="E36" t="str">
        <f>IFERROR(VLOOKUP(C36,Client_List!$B:$K,4,0)&amp;", "&amp;VLOOKUP(C36,Client_List!$B:$K,5,0)&amp;" AZ","")</f>
        <v>2650 E UNIVERSITY DR, MESA AZ</v>
      </c>
      <c r="F36" t="str">
        <f>IFERROR(VLOOKUP(C36,Client_List!$B:$K,7,0)&amp;", "&amp;VLOOKUP(C36,Client_List!$B:$K,8,0),"")</f>
        <v>33.4234572, -111.7735998</v>
      </c>
      <c r="G36">
        <f>IFERROR(VLOOKUP(C36,Client_List!$B:$K,9,0),"")</f>
        <v>350</v>
      </c>
      <c r="H36" t="str">
        <f>IFERROR(LOOKUP(2,1/((Delivery_Log!$B$4:$B$4998=B36)*(ISNUMBER(Delivery_Log!$J$4:$J$4998))*(Delivery_Log!$J$4:$J$4998&gt;0)),Delivery_Log!$J$4:$J$4998),"")</f>
        <v/>
      </c>
      <c r="I36" t="str">
        <f>IFERROR(VLOOKUP(C36,Client_List!$B:$K,10,0),"")</f>
        <v>CANOLA OIL</v>
      </c>
      <c r="J36">
        <f>IFERROR(_xlfn.MAXIFS(Delivery_Log!$A$4:$A$4998,Delivery_Log!$B$4:$B$4998,B36),"—")</f>
        <v>46137</v>
      </c>
      <c r="K36">
        <f t="shared" ca="1" si="0"/>
        <v>11</v>
      </c>
      <c r="L36" t="str">
        <f t="shared" ca="1" si="1"/>
        <v/>
      </c>
      <c r="M36" t="str">
        <f t="shared" ca="1" si="2"/>
        <v/>
      </c>
      <c r="N36" t="str">
        <f t="shared" ca="1" si="3"/>
        <v/>
      </c>
      <c r="O36" t="e">
        <f t="shared" ca="1" si="4"/>
        <v>#VALUE!</v>
      </c>
      <c r="P36" t="str">
        <f t="shared" ca="1" si="5"/>
        <v>—</v>
      </c>
      <c r="Q36">
        <f>COUNTIFS(Delivery_Log!$B$4:$B$5998,B36,Delivery_Log!$A$4:$A$5998,"&gt;="&amp;$Q$2)</f>
        <v>7</v>
      </c>
      <c r="S36" t="str">
        <f>IFERROR(_xlfn.XLOOKUP(B36,Client_List!$A$4:$A$200,Client_List!$S$4:$S$200,""),"")</f>
        <v/>
      </c>
      <c r="T36" t="str">
        <f>IFERROR(_xlfn.XLOOKUP(B36,Client_List!$A$4:$A$200,Client_List!$U$4:$U$200,""),"")</f>
        <v/>
      </c>
      <c r="U36" t="str">
        <f>IFERROR(IF(S36="","",IF(_xlfn.XLOOKUP(B36,Client_List!$A$4:$A$200,Client_List!$W$4:$W$200,999)&lt;=24,"LIVE",IF(_xlfn.XLOOKUP(B36,Client_List!$A$4:$A$200,Client_List!$W$4:$W$200,999)&lt;=72,"STALE","OLD"))),"")</f>
        <v/>
      </c>
    </row>
    <row r="37" spans="1:21" x14ac:dyDescent="0.2">
      <c r="A37">
        <v>32</v>
      </c>
      <c r="B37">
        <v>4009</v>
      </c>
      <c r="C37" t="s">
        <v>176</v>
      </c>
      <c r="D37" t="s">
        <v>63</v>
      </c>
      <c r="E37" t="str">
        <f>IFERROR(VLOOKUP(C37,Client_List!$B:$K,4,0)&amp;", "&amp;VLOOKUP(C37,Client_List!$B:$K,5,0)&amp;" AZ","")</f>
        <v>16335 W Northern Ave, Litchfield Pk AZ</v>
      </c>
      <c r="F37" t="str">
        <f>IFERROR(VLOOKUP(C37,Client_List!$B:$K,7,0)&amp;", "&amp;VLOOKUP(C37,Client_List!$B:$K,8,0),"")</f>
        <v>33.5499854, -112.4107069</v>
      </c>
      <c r="G37">
        <f>IFERROR(VLOOKUP(C37,Client_List!$B:$K,9,0),"")</f>
        <v>1050</v>
      </c>
      <c r="H37" t="str">
        <f>IFERROR(LOOKUP(2,1/((Delivery_Log!$B$4:$B$4998=B37)*(ISNUMBER(Delivery_Log!$J$4:$J$4998))*(Delivery_Log!$J$4:$J$4998&gt;0)),Delivery_Log!$J$4:$J$4998),"")</f>
        <v/>
      </c>
      <c r="I37" t="str">
        <f>IFERROR(VLOOKUP(C37,Client_List!$B:$K,10,0),"")</f>
        <v>FRYERS CHOICE BLEND</v>
      </c>
      <c r="J37">
        <f>IFERROR(_xlfn.MAXIFS(Delivery_Log!$A$4:$A$4998,Delivery_Log!$B$4:$B$4998,B37),"—")</f>
        <v>46136</v>
      </c>
      <c r="K37">
        <f t="shared" ca="1" si="0"/>
        <v>12</v>
      </c>
      <c r="L37" t="str">
        <f t="shared" ca="1" si="1"/>
        <v/>
      </c>
      <c r="M37" t="str">
        <f t="shared" ca="1" si="2"/>
        <v/>
      </c>
      <c r="N37" t="str">
        <f t="shared" ca="1" si="3"/>
        <v/>
      </c>
      <c r="O37" t="e">
        <f t="shared" ca="1" si="4"/>
        <v>#VALUE!</v>
      </c>
      <c r="P37" t="str">
        <f t="shared" ca="1" si="5"/>
        <v>—</v>
      </c>
      <c r="Q37">
        <f>COUNTIFS(Delivery_Log!$B$4:$B$5998,B37,Delivery_Log!$A$4:$A$5998,"&gt;="&amp;$Q$2)</f>
        <v>8</v>
      </c>
      <c r="S37" t="str">
        <f>IFERROR(_xlfn.XLOOKUP(B37,Client_List!$A$4:$A$200,Client_List!$S$4:$S$200,""),"")</f>
        <v/>
      </c>
      <c r="T37" t="str">
        <f>IFERROR(_xlfn.XLOOKUP(B37,Client_List!$A$4:$A$200,Client_List!$U$4:$U$200,""),"")</f>
        <v/>
      </c>
      <c r="U37" t="str">
        <f>IFERROR(IF(S37="","",IF(_xlfn.XLOOKUP(B37,Client_List!$A$4:$A$200,Client_List!$W$4:$W$200,999)&lt;=24,"LIVE",IF(_xlfn.XLOOKUP(B37,Client_List!$A$4:$A$200,Client_List!$W$4:$W$200,999)&lt;=72,"STALE","OLD"))),"")</f>
        <v/>
      </c>
    </row>
    <row r="38" spans="1:21" x14ac:dyDescent="0.2">
      <c r="A38">
        <v>33</v>
      </c>
      <c r="B38">
        <v>4025</v>
      </c>
      <c r="C38" t="s">
        <v>617</v>
      </c>
      <c r="D38" t="s">
        <v>63</v>
      </c>
      <c r="E38" t="str">
        <f>IFERROR(VLOOKUP(C38,Client_List!$B:$K,4,0)&amp;", "&amp;VLOOKUP(C38,Client_List!$B:$K,5,0)&amp;" AZ","")</f>
        <v>37838 W GRAND AVE, MORISTOWN AZ</v>
      </c>
      <c r="F38" t="str">
        <f>IFERROR(VLOOKUP(C38,Client_List!$B:$K,7,0)&amp;", "&amp;VLOOKUP(C38,Client_List!$B:$K,8,0),"")</f>
        <v>33.8290398, -112.5948689</v>
      </c>
      <c r="G38">
        <f>IFERROR(VLOOKUP(C38,Client_List!$B:$K,9,0),"")</f>
        <v>1050</v>
      </c>
      <c r="H38" t="str">
        <f>IFERROR(LOOKUP(2,1/((Delivery_Log!$B$4:$B$4998=B38)*(ISNUMBER(Delivery_Log!$J$4:$J$4998))*(Delivery_Log!$J$4:$J$4998&gt;0)),Delivery_Log!$J$4:$J$4998),"")</f>
        <v/>
      </c>
      <c r="I38" t="str">
        <f>IFERROR(VLOOKUP(C38,Client_List!$B:$K,10,0),"")</f>
        <v>FRYERS CHOICE BLEND</v>
      </c>
      <c r="J38">
        <f>IFERROR(_xlfn.MAXIFS(Delivery_Log!$A$4:$A$4998,Delivery_Log!$B$4:$B$4998,B38),"—")</f>
        <v>46136</v>
      </c>
      <c r="K38">
        <f t="shared" ref="K38:K69" ca="1" si="6">IFERROR(IF(J38="—","",TODAY()-J38),"")</f>
        <v>12</v>
      </c>
      <c r="L38" t="str">
        <f t="shared" ref="L38:L69" ca="1" si="7">IFERROR(IF(OR(K38="",H38=""),"",MAX(G38*0.03,G38-K38*H38)),"")</f>
        <v/>
      </c>
      <c r="M38" t="str">
        <f t="shared" ref="M38:M69" ca="1" si="8">IFERROR(IF(L38="","",G38-L38),"")</f>
        <v/>
      </c>
      <c r="N38" t="str">
        <f t="shared" ref="N38:N69" ca="1" si="9">IFERROR(IF(OR(L38="",H38=""),"",MIN(21,MAX(0,(L38-G38*$C$2)/H38))),"")</f>
        <v/>
      </c>
      <c r="O38" t="e">
        <f t="shared" ref="O38:O69" ca="1" si="10">TODAY()+ROUNDUP(N38,0)</f>
        <v>#VALUE!</v>
      </c>
      <c r="P38" t="str">
        <f t="shared" ref="P38:P69" ca="1" si="11">IFERROR(IF(N38="","—",IF(N38&lt;=$E$2,"YES","—")),"—")</f>
        <v>—</v>
      </c>
      <c r="Q38">
        <f>COUNTIFS(Delivery_Log!$B$4:$B$5998,B38,Delivery_Log!$A$4:$A$5998,"&gt;="&amp;$Q$2)</f>
        <v>6</v>
      </c>
      <c r="S38" t="str">
        <f>IFERROR(_xlfn.XLOOKUP(B38,Client_List!$A$4:$A$200,Client_List!$S$4:$S$200,""),"")</f>
        <v/>
      </c>
      <c r="T38" t="str">
        <f>IFERROR(_xlfn.XLOOKUP(B38,Client_List!$A$4:$A$200,Client_List!$U$4:$U$200,""),"")</f>
        <v/>
      </c>
      <c r="U38" t="str">
        <f>IFERROR(IF(S38="","",IF(_xlfn.XLOOKUP(B38,Client_List!$A$4:$A$200,Client_List!$W$4:$W$200,999)&lt;=24,"LIVE",IF(_xlfn.XLOOKUP(B38,Client_List!$A$4:$A$200,Client_List!$W$4:$W$200,999)&lt;=72,"STALE","OLD"))),"")</f>
        <v/>
      </c>
    </row>
    <row r="39" spans="1:21" x14ac:dyDescent="0.2">
      <c r="A39">
        <v>34</v>
      </c>
      <c r="B39">
        <v>4014</v>
      </c>
      <c r="C39" t="s">
        <v>184</v>
      </c>
      <c r="D39" t="s">
        <v>38</v>
      </c>
      <c r="E39" t="str">
        <f>IFERROR(VLOOKUP(C39,Client_List!$B:$K,4,0)&amp;", "&amp;VLOOKUP(C39,Client_List!$B:$K,5,0)&amp;" AZ","")</f>
        <v>40202 N 87Th Ave, Peoria AZ</v>
      </c>
      <c r="F39" t="str">
        <f>IFERROR(VLOOKUP(C39,Client_List!$B:$K,7,0)&amp;", "&amp;VLOOKUP(C39,Client_List!$B:$K,8,0),"")</f>
        <v>33.852793, -112.246978</v>
      </c>
      <c r="G39">
        <f>IFERROR(VLOOKUP(C39,Client_List!$B:$K,9,0),"")</f>
        <v>450</v>
      </c>
      <c r="H39" t="str">
        <f>IFERROR(LOOKUP(2,1/((Delivery_Log!$B$4:$B$4998=B39)*(ISNUMBER(Delivery_Log!$J$4:$J$4998))*(Delivery_Log!$J$4:$J$4998&gt;0)),Delivery_Log!$J$4:$J$4998),"")</f>
        <v/>
      </c>
      <c r="I39" t="str">
        <f>IFERROR(VLOOKUP(C39,Client_List!$B:$K,10,0),"")</f>
        <v>FRYERS CHOICE BLEND</v>
      </c>
      <c r="J39">
        <f>IFERROR(_xlfn.MAXIFS(Delivery_Log!$A$4:$A$4998,Delivery_Log!$B$4:$B$4998,B39),"—")</f>
        <v>46135</v>
      </c>
      <c r="K39">
        <f t="shared" ca="1" si="6"/>
        <v>13</v>
      </c>
      <c r="L39" t="str">
        <f t="shared" ca="1" si="7"/>
        <v/>
      </c>
      <c r="M39" t="str">
        <f t="shared" ca="1" si="8"/>
        <v/>
      </c>
      <c r="N39" t="str">
        <f t="shared" ca="1" si="9"/>
        <v/>
      </c>
      <c r="O39" t="e">
        <f t="shared" ca="1" si="10"/>
        <v>#VALUE!</v>
      </c>
      <c r="P39" t="str">
        <f t="shared" ca="1" si="11"/>
        <v>—</v>
      </c>
      <c r="Q39">
        <f>COUNTIFS(Delivery_Log!$B$4:$B$5998,B39,Delivery_Log!$A$4:$A$5998,"&gt;="&amp;$Q$2)</f>
        <v>9</v>
      </c>
      <c r="S39" t="str">
        <f>IFERROR(_xlfn.XLOOKUP(B39,Client_List!$A$4:$A$200,Client_List!$S$4:$S$200,""),"")</f>
        <v/>
      </c>
      <c r="T39" t="str">
        <f>IFERROR(_xlfn.XLOOKUP(B39,Client_List!$A$4:$A$200,Client_List!$U$4:$U$200,""),"")</f>
        <v/>
      </c>
      <c r="U39" t="str">
        <f>IFERROR(IF(S39="","",IF(_xlfn.XLOOKUP(B39,Client_List!$A$4:$A$200,Client_List!$W$4:$W$200,999)&lt;=24,"LIVE",IF(_xlfn.XLOOKUP(B39,Client_List!$A$4:$A$200,Client_List!$W$4:$W$200,999)&lt;=72,"STALE","OLD"))),"")</f>
        <v/>
      </c>
    </row>
    <row r="40" spans="1:21" x14ac:dyDescent="0.2">
      <c r="A40">
        <v>35</v>
      </c>
      <c r="B40">
        <v>4010</v>
      </c>
      <c r="C40" t="s">
        <v>189</v>
      </c>
      <c r="D40" t="s">
        <v>38</v>
      </c>
      <c r="E40" t="str">
        <f>IFERROR(VLOOKUP(C40,Client_List!$B:$K,4,0)&amp;", "&amp;VLOOKUP(C40,Client_List!$B:$K,5,0)&amp;" AZ","")</f>
        <v>20585 N 59Th Ave, Glendale AZ</v>
      </c>
      <c r="F40" t="str">
        <f>IFERROR(VLOOKUP(C40,Client_List!$B:$K,7,0)&amp;", "&amp;VLOOKUP(C40,Client_List!$B:$K,8,0),"")</f>
        <v>33.67218, -112.1863112</v>
      </c>
      <c r="G40">
        <f>IFERROR(VLOOKUP(C40,Client_List!$B:$K,9,0),"")</f>
        <v>500</v>
      </c>
      <c r="H40" t="str">
        <f>IFERROR(LOOKUP(2,1/((Delivery_Log!$B$4:$B$4998=B40)*(ISNUMBER(Delivery_Log!$J$4:$J$4998))*(Delivery_Log!$J$4:$J$4998&gt;0)),Delivery_Log!$J$4:$J$4998),"")</f>
        <v/>
      </c>
      <c r="I40" t="str">
        <f>IFERROR(VLOOKUP(C40,Client_List!$B:$K,10,0),"")</f>
        <v>FRYERS CHOICE BLEND</v>
      </c>
      <c r="J40">
        <f>IFERROR(_xlfn.MAXIFS(Delivery_Log!$A$4:$A$4998,Delivery_Log!$B$4:$B$4998,B40),"—")</f>
        <v>46134</v>
      </c>
      <c r="K40">
        <f t="shared" ca="1" si="6"/>
        <v>14</v>
      </c>
      <c r="L40" t="str">
        <f t="shared" ca="1" si="7"/>
        <v/>
      </c>
      <c r="M40" t="str">
        <f t="shared" ca="1" si="8"/>
        <v/>
      </c>
      <c r="N40" t="str">
        <f t="shared" ca="1" si="9"/>
        <v/>
      </c>
      <c r="O40" t="e">
        <f t="shared" ca="1" si="10"/>
        <v>#VALUE!</v>
      </c>
      <c r="P40" t="str">
        <f t="shared" ca="1" si="11"/>
        <v>—</v>
      </c>
      <c r="Q40">
        <f>COUNTIFS(Delivery_Log!$B$4:$B$5998,B40,Delivery_Log!$A$4:$A$5998,"&gt;="&amp;$Q$2)</f>
        <v>9</v>
      </c>
      <c r="S40" t="str">
        <f>IFERROR(_xlfn.XLOOKUP(B40,Client_List!$A$4:$A$200,Client_List!$S$4:$S$200,""),"")</f>
        <v/>
      </c>
      <c r="T40" t="str">
        <f>IFERROR(_xlfn.XLOOKUP(B40,Client_List!$A$4:$A$200,Client_List!$U$4:$U$200,""),"")</f>
        <v/>
      </c>
      <c r="U40" t="str">
        <f>IFERROR(IF(S40="","",IF(_xlfn.XLOOKUP(B40,Client_List!$A$4:$A$200,Client_List!$W$4:$W$200,999)&lt;=24,"LIVE",IF(_xlfn.XLOOKUP(B40,Client_List!$A$4:$A$200,Client_List!$W$4:$W$200,999)&lt;=72,"STALE","OLD"))),"")</f>
        <v/>
      </c>
    </row>
    <row r="41" spans="1:21" x14ac:dyDescent="0.2">
      <c r="A41">
        <v>36</v>
      </c>
      <c r="B41">
        <v>4027</v>
      </c>
      <c r="C41" t="s">
        <v>192</v>
      </c>
      <c r="D41" t="s">
        <v>81</v>
      </c>
      <c r="E41" t="str">
        <f>IFERROR(VLOOKUP(C41,Client_List!$B:$K,4,0)&amp;", "&amp;VLOOKUP(C41,Client_List!$B:$K,5,0)&amp;" AZ","")</f>
        <v>586 W APACHE, APACHE JUNCTION AZ</v>
      </c>
      <c r="F41" t="str">
        <f>IFERROR(VLOOKUP(C41,Client_List!$B:$K,7,0)&amp;", "&amp;VLOOKUP(C41,Client_List!$B:$K,8,0),"")</f>
        <v>33.4154921, -111.5523658</v>
      </c>
      <c r="G41">
        <f>IFERROR(VLOOKUP(C41,Client_List!$B:$K,9,0),"")</f>
        <v>900</v>
      </c>
      <c r="H41" t="str">
        <f>IFERROR(LOOKUP(2,1/((Delivery_Log!$B$4:$B$4998=B41)*(ISNUMBER(Delivery_Log!$J$4:$J$4998))*(Delivery_Log!$J$4:$J$4998&gt;0)),Delivery_Log!$J$4:$J$4998),"")</f>
        <v/>
      </c>
      <c r="I41" t="str">
        <f>IFERROR(VLOOKUP(C41,Client_List!$B:$K,10,0),"")</f>
        <v>FRYERS CHOICE BLEND</v>
      </c>
      <c r="J41">
        <f>IFERROR(_xlfn.MAXIFS(Delivery_Log!$A$4:$A$4998,Delivery_Log!$B$4:$B$4998,B41),"—")</f>
        <v>46130</v>
      </c>
      <c r="K41">
        <f t="shared" ca="1" si="6"/>
        <v>18</v>
      </c>
      <c r="L41" t="str">
        <f t="shared" ca="1" si="7"/>
        <v/>
      </c>
      <c r="M41" t="str">
        <f t="shared" ca="1" si="8"/>
        <v/>
      </c>
      <c r="N41" t="str">
        <f t="shared" ca="1" si="9"/>
        <v/>
      </c>
      <c r="O41" t="e">
        <f t="shared" ca="1" si="10"/>
        <v>#VALUE!</v>
      </c>
      <c r="P41" t="str">
        <f t="shared" ca="1" si="11"/>
        <v>—</v>
      </c>
      <c r="Q41">
        <f>COUNTIFS(Delivery_Log!$B$4:$B$5998,B41,Delivery_Log!$A$4:$A$5998,"&gt;="&amp;$Q$2)</f>
        <v>5</v>
      </c>
      <c r="S41" t="str">
        <f>IFERROR(_xlfn.XLOOKUP(B41,Client_List!$A$4:$A$200,Client_List!$S$4:$S$200,""),"")</f>
        <v/>
      </c>
      <c r="T41" t="str">
        <f>IFERROR(_xlfn.XLOOKUP(B41,Client_List!$A$4:$A$200,Client_List!$U$4:$U$200,""),"")</f>
        <v/>
      </c>
      <c r="U41" t="str">
        <f>IFERROR(IF(S41="","",IF(_xlfn.XLOOKUP(B41,Client_List!$A$4:$A$200,Client_List!$W$4:$W$200,999)&lt;=24,"LIVE",IF(_xlfn.XLOOKUP(B41,Client_List!$A$4:$A$200,Client_List!$W$4:$W$200,999)&lt;=72,"STALE","OLD"))),"")</f>
        <v/>
      </c>
    </row>
    <row r="42" spans="1:21" x14ac:dyDescent="0.2">
      <c r="A42">
        <v>37</v>
      </c>
      <c r="B42">
        <v>4029</v>
      </c>
      <c r="C42" t="s">
        <v>197</v>
      </c>
      <c r="D42" t="s">
        <v>51</v>
      </c>
      <c r="E42" t="str">
        <f>IFERROR(VLOOKUP(C42,Client_List!$B:$K,4,0)&amp;", "&amp;VLOOKUP(C42,Client_List!$B:$K,5,0)&amp;" AZ","")</f>
        <v>DURVILL FOODS, Phoenix AZ</v>
      </c>
      <c r="F42" t="str">
        <f>IFERROR(VLOOKUP(C42,Client_List!$B:$K,7,0)&amp;", "&amp;VLOOKUP(C42,Client_List!$B:$K,8,0),"")</f>
        <v>33.4066366, -112.0110289</v>
      </c>
      <c r="G42">
        <f>IFERROR(VLOOKUP(C42,Client_List!$B:$K,9,0),"")</f>
        <v>2500</v>
      </c>
      <c r="H42" t="str">
        <f>IFERROR(LOOKUP(2,1/((Delivery_Log!$B$4:$B$4998=B42)*(ISNUMBER(Delivery_Log!$J$4:$J$4998))*(Delivery_Log!$J$4:$J$4998&gt;0)),Delivery_Log!$J$4:$J$4998),"")</f>
        <v/>
      </c>
      <c r="I42" t="str">
        <f>IFERROR(VLOOKUP(C42,Client_List!$B:$K,10,0),"")</f>
        <v>CANOLA OIL</v>
      </c>
      <c r="J42">
        <f>IFERROR(_xlfn.MAXIFS(Delivery_Log!$A$4:$A$4998,Delivery_Log!$B$4:$B$4998,B42),"—")</f>
        <v>46129</v>
      </c>
      <c r="K42">
        <f t="shared" ca="1" si="6"/>
        <v>19</v>
      </c>
      <c r="L42" t="str">
        <f t="shared" ca="1" si="7"/>
        <v/>
      </c>
      <c r="M42" t="str">
        <f t="shared" ca="1" si="8"/>
        <v/>
      </c>
      <c r="N42" t="str">
        <f t="shared" ca="1" si="9"/>
        <v/>
      </c>
      <c r="O42" t="e">
        <f t="shared" ca="1" si="10"/>
        <v>#VALUE!</v>
      </c>
      <c r="P42" t="str">
        <f t="shared" ca="1" si="11"/>
        <v>—</v>
      </c>
      <c r="Q42">
        <f>COUNTIFS(Delivery_Log!$B$4:$B$5998,B42,Delivery_Log!$A$4:$A$5998,"&gt;="&amp;$Q$2)</f>
        <v>12</v>
      </c>
      <c r="S42" t="str">
        <f>IFERROR(_xlfn.XLOOKUP(B42,Client_List!$A$4:$A$200,Client_List!$S$4:$S$200,""),"")</f>
        <v/>
      </c>
      <c r="T42" t="str">
        <f>IFERROR(_xlfn.XLOOKUP(B42,Client_List!$A$4:$A$200,Client_List!$U$4:$U$200,""),"")</f>
        <v/>
      </c>
      <c r="U42" t="str">
        <f>IFERROR(IF(S42="","",IF(_xlfn.XLOOKUP(B42,Client_List!$A$4:$A$200,Client_List!$W$4:$W$200,999)&lt;=24,"LIVE",IF(_xlfn.XLOOKUP(B42,Client_List!$A$4:$A$200,Client_List!$W$4:$W$200,999)&lt;=72,"STALE","OLD"))),"")</f>
        <v/>
      </c>
    </row>
    <row r="43" spans="1:21" x14ac:dyDescent="0.2">
      <c r="A43">
        <v>38</v>
      </c>
      <c r="B43">
        <v>5006</v>
      </c>
      <c r="C43" t="s">
        <v>200</v>
      </c>
      <c r="D43" t="s">
        <v>81</v>
      </c>
      <c r="E43" t="str">
        <f>IFERROR(VLOOKUP(C43,Client_List!$B:$K,4,0)&amp;", "&amp;VLOOKUP(C43,Client_List!$B:$K,5,0)&amp;" AZ","")</f>
        <v>ECHO 5 SPORTS BAR, Mesa AZ</v>
      </c>
      <c r="F43" t="str">
        <f>IFERROR(VLOOKUP(C43,Client_List!$B:$K,7,0)&amp;", "&amp;VLOOKUP(C43,Client_List!$B:$K,8,0),"")</f>
        <v>33.468258, -111.6829244</v>
      </c>
      <c r="G43">
        <f>IFERROR(VLOOKUP(C43,Client_List!$B:$K,9,0),"")</f>
        <v>450</v>
      </c>
      <c r="H43" t="str">
        <f>IFERROR(LOOKUP(2,1/((Delivery_Log!$B$4:$B$4998=B43)*(ISNUMBER(Delivery_Log!$J$4:$J$4998))*(Delivery_Log!$J$4:$J$4998&gt;0)),Delivery_Log!$J$4:$J$4998),"")</f>
        <v/>
      </c>
      <c r="I43" t="str">
        <f>IFERROR(VLOOKUP(C43,Client_List!$B:$K,10,0),"")</f>
        <v>FRYERS CHOICE BLEND</v>
      </c>
      <c r="J43">
        <f>IFERROR(_xlfn.MAXIFS(Delivery_Log!$A$4:$A$4998,Delivery_Log!$B$4:$B$4998,B43),"—")</f>
        <v>46133</v>
      </c>
      <c r="K43">
        <f t="shared" ca="1" si="6"/>
        <v>15</v>
      </c>
      <c r="L43" t="str">
        <f t="shared" ca="1" si="7"/>
        <v/>
      </c>
      <c r="M43" t="str">
        <f t="shared" ca="1" si="8"/>
        <v/>
      </c>
      <c r="N43" t="str">
        <f t="shared" ca="1" si="9"/>
        <v/>
      </c>
      <c r="O43" t="e">
        <f t="shared" ca="1" si="10"/>
        <v>#VALUE!</v>
      </c>
      <c r="P43" t="str">
        <f t="shared" ca="1" si="11"/>
        <v>—</v>
      </c>
      <c r="Q43">
        <f>COUNTIFS(Delivery_Log!$B$4:$B$5998,B43,Delivery_Log!$A$4:$A$5998,"&gt;="&amp;$Q$2)</f>
        <v>12</v>
      </c>
      <c r="S43" t="str">
        <f>IFERROR(_xlfn.XLOOKUP(B43,Client_List!$A$4:$A$200,Client_List!$S$4:$S$200,""),"")</f>
        <v/>
      </c>
      <c r="T43" t="str">
        <f>IFERROR(_xlfn.XLOOKUP(B43,Client_List!$A$4:$A$200,Client_List!$U$4:$U$200,""),"")</f>
        <v/>
      </c>
      <c r="U43" t="str">
        <f>IFERROR(IF(S43="","",IF(_xlfn.XLOOKUP(B43,Client_List!$A$4:$A$200,Client_List!$W$4:$W$200,999)&lt;=24,"LIVE",IF(_xlfn.XLOOKUP(B43,Client_List!$A$4:$A$200,Client_List!$W$4:$W$200,999)&lt;=72,"STALE","OLD"))),"")</f>
        <v/>
      </c>
    </row>
    <row r="44" spans="1:21" x14ac:dyDescent="0.2">
      <c r="A44">
        <v>39</v>
      </c>
      <c r="B44">
        <v>5004</v>
      </c>
      <c r="C44" t="s">
        <v>204</v>
      </c>
      <c r="D44" t="s">
        <v>72</v>
      </c>
      <c r="E44" t="str">
        <f>IFERROR(VLOOKUP(C44,Client_List!$B:$K,4,0)&amp;", "&amp;VLOOKUP(C44,Client_List!$B:$K,5,0)&amp;" AZ","")</f>
        <v>3464 W Camelback Rd, Phoenix AZ</v>
      </c>
      <c r="F44" t="str">
        <f>IFERROR(VLOOKUP(C44,Client_List!$B:$K,7,0)&amp;", "&amp;VLOOKUP(C44,Client_List!$B:$K,8,0),"")</f>
        <v>33.5097147, -112.1338391</v>
      </c>
      <c r="G44">
        <f>IFERROR(VLOOKUP(C44,Client_List!$B:$K,9,0),"")</f>
        <v>500</v>
      </c>
      <c r="H44" t="str">
        <f>IFERROR(LOOKUP(2,1/((Delivery_Log!$B$4:$B$4998=B44)*(ISNUMBER(Delivery_Log!$J$4:$J$4998))*(Delivery_Log!$J$4:$J$4998&gt;0)),Delivery_Log!$J$4:$J$4998),"")</f>
        <v/>
      </c>
      <c r="I44" t="str">
        <f>IFERROR(VLOOKUP(C44,Client_List!$B:$K,10,0),"")</f>
        <v>CANOLA OIL</v>
      </c>
      <c r="J44">
        <f>IFERROR(_xlfn.MAXIFS(Delivery_Log!$A$4:$A$4998,Delivery_Log!$B$4:$B$4998,B44),"—")</f>
        <v>46136</v>
      </c>
      <c r="K44">
        <f t="shared" ca="1" si="6"/>
        <v>12</v>
      </c>
      <c r="L44" t="str">
        <f t="shared" ca="1" si="7"/>
        <v/>
      </c>
      <c r="M44" t="str">
        <f t="shared" ca="1" si="8"/>
        <v/>
      </c>
      <c r="N44" t="str">
        <f t="shared" ca="1" si="9"/>
        <v/>
      </c>
      <c r="O44" t="e">
        <f t="shared" ca="1" si="10"/>
        <v>#VALUE!</v>
      </c>
      <c r="P44" t="str">
        <f t="shared" ca="1" si="11"/>
        <v>—</v>
      </c>
      <c r="Q44">
        <f>COUNTIFS(Delivery_Log!$B$4:$B$5998,B44,Delivery_Log!$A$4:$A$5998,"&gt;="&amp;$Q$2)</f>
        <v>7</v>
      </c>
      <c r="S44" t="str">
        <f>IFERROR(_xlfn.XLOOKUP(B44,Client_List!$A$4:$A$200,Client_List!$S$4:$S$200,""),"")</f>
        <v/>
      </c>
      <c r="T44" t="str">
        <f>IFERROR(_xlfn.XLOOKUP(B44,Client_List!$A$4:$A$200,Client_List!$U$4:$U$200,""),"")</f>
        <v/>
      </c>
      <c r="U44" t="str">
        <f>IFERROR(IF(S44="","",IF(_xlfn.XLOOKUP(B44,Client_List!$A$4:$A$200,Client_List!$W$4:$W$200,999)&lt;=24,"LIVE",IF(_xlfn.XLOOKUP(B44,Client_List!$A$4:$A$200,Client_List!$W$4:$W$200,999)&lt;=72,"STALE","OLD"))),"")</f>
        <v/>
      </c>
    </row>
    <row r="45" spans="1:21" x14ac:dyDescent="0.2">
      <c r="A45">
        <v>40</v>
      </c>
      <c r="B45">
        <v>5018</v>
      </c>
      <c r="C45" t="s">
        <v>207</v>
      </c>
      <c r="D45" t="s">
        <v>63</v>
      </c>
      <c r="E45" t="str">
        <f>IFERROR(VLOOKUP(C45,Client_List!$B:$K,4,0)&amp;", "&amp;VLOOKUP(C45,Client_List!$B:$K,5,0)&amp;" AZ","")</f>
        <v>15605 W ROOSEVELT ST, GOODYEAR AZ</v>
      </c>
      <c r="F45" t="str">
        <f>IFERROR(VLOOKUP(C45,Client_List!$B:$K,7,0)&amp;", "&amp;VLOOKUP(C45,Client_List!$B:$K,8,0),"")</f>
        <v>33.4564151, -112.3944877</v>
      </c>
      <c r="G45">
        <f>IFERROR(VLOOKUP(C45,Client_List!$B:$K,9,0),"")</f>
        <v>350</v>
      </c>
      <c r="H45" t="str">
        <f>IFERROR(LOOKUP(2,1/((Delivery_Log!$B$4:$B$4998=B45)*(ISNUMBER(Delivery_Log!$J$4:$J$4998))*(Delivery_Log!$J$4:$J$4998&gt;0)),Delivery_Log!$J$4:$J$4998),"")</f>
        <v/>
      </c>
      <c r="I45" t="str">
        <f>IFERROR(VLOOKUP(C45,Client_List!$B:$K,10,0),"")</f>
        <v>CANOLA OIL</v>
      </c>
      <c r="J45">
        <f>IFERROR(_xlfn.MAXIFS(Delivery_Log!$A$4:$A$4998,Delivery_Log!$B$4:$B$4998,B45),"—")</f>
        <v>46113</v>
      </c>
      <c r="K45">
        <f t="shared" ca="1" si="6"/>
        <v>35</v>
      </c>
      <c r="L45" t="str">
        <f t="shared" ca="1" si="7"/>
        <v/>
      </c>
      <c r="M45" t="str">
        <f t="shared" ca="1" si="8"/>
        <v/>
      </c>
      <c r="N45" t="str">
        <f t="shared" ca="1" si="9"/>
        <v/>
      </c>
      <c r="O45" t="e">
        <f t="shared" ca="1" si="10"/>
        <v>#VALUE!</v>
      </c>
      <c r="P45" t="str">
        <f t="shared" ca="1" si="11"/>
        <v>—</v>
      </c>
      <c r="Q45">
        <f>COUNTIFS(Delivery_Log!$B$4:$B$5998,B45,Delivery_Log!$A$4:$A$5998,"&gt;="&amp;$Q$2)</f>
        <v>4</v>
      </c>
      <c r="S45" t="str">
        <f>IFERROR(_xlfn.XLOOKUP(B45,Client_List!$A$4:$A$200,Client_List!$S$4:$S$200,""),"")</f>
        <v/>
      </c>
      <c r="T45" t="str">
        <f>IFERROR(_xlfn.XLOOKUP(B45,Client_List!$A$4:$A$200,Client_List!$U$4:$U$200,""),"")</f>
        <v/>
      </c>
      <c r="U45" t="str">
        <f>IFERROR(IF(S45="","",IF(_xlfn.XLOOKUP(B45,Client_List!$A$4:$A$200,Client_List!$W$4:$W$200,999)&lt;=24,"LIVE",IF(_xlfn.XLOOKUP(B45,Client_List!$A$4:$A$200,Client_List!$W$4:$W$200,999)&lt;=72,"STALE","OLD"))),"")</f>
        <v/>
      </c>
    </row>
    <row r="46" spans="1:21" x14ac:dyDescent="0.2">
      <c r="A46">
        <v>41</v>
      </c>
      <c r="B46">
        <v>6101</v>
      </c>
      <c r="C46" t="s">
        <v>210</v>
      </c>
      <c r="D46" t="s">
        <v>51</v>
      </c>
      <c r="E46" t="str">
        <f>IFERROR(VLOOKUP(C46,Client_List!$B:$K,4,0)&amp;", "&amp;VLOOKUP(C46,Client_List!$B:$K,5,0)&amp;" AZ","")</f>
        <v>1312 N SCOTTSDALE RD, SCOTTSDALE AZ</v>
      </c>
      <c r="F46" t="str">
        <f>IFERROR(VLOOKUP(C46,Client_List!$B:$K,7,0)&amp;", "&amp;VLOOKUP(C46,Client_List!$B:$K,8,0),"")</f>
        <v>33.4627014, -111.926838</v>
      </c>
      <c r="G46">
        <f>IFERROR(VLOOKUP(C46,Client_List!$B:$K,9,0),"")</f>
        <v>700</v>
      </c>
      <c r="H46" t="str">
        <f>IFERROR(LOOKUP(2,1/((Delivery_Log!$B$4:$B$4998=B46)*(ISNUMBER(Delivery_Log!$J$4:$J$4998))*(Delivery_Log!$J$4:$J$4998&gt;0)),Delivery_Log!$J$4:$J$4998),"")</f>
        <v/>
      </c>
      <c r="I46" t="str">
        <f>IFERROR(VLOOKUP(C46,Client_List!$B:$K,10,0),"")</f>
        <v>CANOLA OIL</v>
      </c>
      <c r="J46">
        <f>IFERROR(_xlfn.MAXIFS(Delivery_Log!$A$4:$A$4998,Delivery_Log!$B$4:$B$4998,B46),"—")</f>
        <v>46143</v>
      </c>
      <c r="K46">
        <f t="shared" ca="1" si="6"/>
        <v>5</v>
      </c>
      <c r="L46" t="str">
        <f t="shared" ca="1" si="7"/>
        <v/>
      </c>
      <c r="M46" t="str">
        <f t="shared" ca="1" si="8"/>
        <v/>
      </c>
      <c r="N46" t="str">
        <f t="shared" ca="1" si="9"/>
        <v/>
      </c>
      <c r="O46" t="e">
        <f t="shared" ca="1" si="10"/>
        <v>#VALUE!</v>
      </c>
      <c r="P46" t="str">
        <f t="shared" ca="1" si="11"/>
        <v>—</v>
      </c>
      <c r="Q46">
        <f>COUNTIFS(Delivery_Log!$B$4:$B$5998,B46,Delivery_Log!$A$4:$A$5998,"&gt;="&amp;$Q$2)</f>
        <v>18</v>
      </c>
      <c r="S46" t="str">
        <f>IFERROR(_xlfn.XLOOKUP(B46,Client_List!$A$4:$A$200,Client_List!$S$4:$S$200,""),"")</f>
        <v/>
      </c>
      <c r="T46" t="str">
        <f>IFERROR(_xlfn.XLOOKUP(B46,Client_List!$A$4:$A$200,Client_List!$U$4:$U$200,""),"")</f>
        <v/>
      </c>
      <c r="U46" t="str">
        <f>IFERROR(IF(S46="","",IF(_xlfn.XLOOKUP(B46,Client_List!$A$4:$A$200,Client_List!$W$4:$W$200,999)&lt;=24,"LIVE",IF(_xlfn.XLOOKUP(B46,Client_List!$A$4:$A$200,Client_List!$W$4:$W$200,999)&lt;=72,"STALE","OLD"))),"")</f>
        <v/>
      </c>
    </row>
    <row r="47" spans="1:21" x14ac:dyDescent="0.2">
      <c r="A47">
        <v>42</v>
      </c>
      <c r="B47">
        <v>6109</v>
      </c>
      <c r="C47" t="s">
        <v>214</v>
      </c>
      <c r="D47" t="s">
        <v>51</v>
      </c>
      <c r="E47" t="str">
        <f>IFERROR(VLOOKUP(C47,Client_List!$B:$K,4,0)&amp;", "&amp;VLOOKUP(C47,Client_List!$B:$K,5,0)&amp;" AZ","")</f>
        <v>201 E SOUTHERN AVE, TEMPE AZ</v>
      </c>
      <c r="F47" t="str">
        <f>IFERROR(VLOOKUP(C47,Client_List!$B:$K,7,0)&amp;", "&amp;VLOOKUP(C47,Client_List!$B:$K,8,0),"")</f>
        <v>33.3923823, -111.9364861</v>
      </c>
      <c r="G47">
        <f>IFERROR(VLOOKUP(C47,Client_List!$B:$K,9,0),"")</f>
        <v>700</v>
      </c>
      <c r="H47" t="str">
        <f>IFERROR(LOOKUP(2,1/((Delivery_Log!$B$4:$B$4998=B47)*(ISNUMBER(Delivery_Log!$J$4:$J$4998))*(Delivery_Log!$J$4:$J$4998&gt;0)),Delivery_Log!$J$4:$J$4998),"")</f>
        <v/>
      </c>
      <c r="I47" t="str">
        <f>IFERROR(VLOOKUP(C47,Client_List!$B:$K,10,0),"")</f>
        <v>CANOLA OIL</v>
      </c>
      <c r="J47">
        <f>IFERROR(_xlfn.MAXIFS(Delivery_Log!$A$4:$A$4998,Delivery_Log!$B$4:$B$4998,B47),"—")</f>
        <v>46140</v>
      </c>
      <c r="K47">
        <f t="shared" ca="1" si="6"/>
        <v>8</v>
      </c>
      <c r="L47" t="str">
        <f t="shared" ca="1" si="7"/>
        <v/>
      </c>
      <c r="M47" t="str">
        <f t="shared" ca="1" si="8"/>
        <v/>
      </c>
      <c r="N47" t="str">
        <f t="shared" ca="1" si="9"/>
        <v/>
      </c>
      <c r="O47" t="e">
        <f t="shared" ca="1" si="10"/>
        <v>#VALUE!</v>
      </c>
      <c r="P47" t="str">
        <f t="shared" ca="1" si="11"/>
        <v>—</v>
      </c>
      <c r="Q47">
        <f>COUNTIFS(Delivery_Log!$B$4:$B$5998,B47,Delivery_Log!$A$4:$A$5998,"&gt;="&amp;$Q$2)</f>
        <v>17</v>
      </c>
      <c r="S47" t="str">
        <f>IFERROR(_xlfn.XLOOKUP(B47,Client_List!$A$4:$A$200,Client_List!$S$4:$S$200,""),"")</f>
        <v/>
      </c>
      <c r="T47" t="str">
        <f>IFERROR(_xlfn.XLOOKUP(B47,Client_List!$A$4:$A$200,Client_List!$U$4:$U$200,""),"")</f>
        <v/>
      </c>
      <c r="U47" t="str">
        <f>IFERROR(IF(S47="","",IF(_xlfn.XLOOKUP(B47,Client_List!$A$4:$A$200,Client_List!$W$4:$W$200,999)&lt;=24,"LIVE",IF(_xlfn.XLOOKUP(B47,Client_List!$A$4:$A$200,Client_List!$W$4:$W$200,999)&lt;=72,"STALE","OLD"))),"")</f>
        <v/>
      </c>
    </row>
    <row r="48" spans="1:21" x14ac:dyDescent="0.2">
      <c r="A48">
        <v>43</v>
      </c>
      <c r="B48">
        <v>6077</v>
      </c>
      <c r="C48" t="s">
        <v>217</v>
      </c>
      <c r="D48" t="s">
        <v>51</v>
      </c>
      <c r="E48" t="str">
        <f>IFERROR(VLOOKUP(C48,Client_List!$B:$K,4,0)&amp;", "&amp;VLOOKUP(C48,Client_List!$B:$K,5,0)&amp;" AZ","")</f>
        <v>1340 E 8Th St, Tempe AZ</v>
      </c>
      <c r="F48" t="str">
        <f>IFERROR(VLOOKUP(C48,Client_List!$B:$K,7,0)&amp;", "&amp;VLOOKUP(C48,Client_List!$B:$K,8,0),"")</f>
        <v>33.4196799, -111.915919</v>
      </c>
      <c r="G48">
        <f>IFERROR(VLOOKUP(C48,Client_List!$B:$K,9,0),"")</f>
        <v>2500</v>
      </c>
      <c r="H48" t="str">
        <f>IFERROR(LOOKUP(2,1/((Delivery_Log!$B$4:$B$4998=B48)*(ISNUMBER(Delivery_Log!$J$4:$J$4998))*(Delivery_Log!$J$4:$J$4998&gt;0)),Delivery_Log!$J$4:$J$4998),"")</f>
        <v/>
      </c>
      <c r="I48" t="str">
        <f>IFERROR(VLOOKUP(C48,Client_List!$B:$K,10,0),"")</f>
        <v>FRYERS CHOICE BLEND</v>
      </c>
      <c r="J48">
        <f>IFERROR(_xlfn.MAXIFS(Delivery_Log!$A$4:$A$4998,Delivery_Log!$B$4:$B$4998,B48),"—")</f>
        <v>46144</v>
      </c>
      <c r="K48">
        <f t="shared" ca="1" si="6"/>
        <v>4</v>
      </c>
      <c r="L48" t="str">
        <f t="shared" ca="1" si="7"/>
        <v/>
      </c>
      <c r="M48" t="str">
        <f t="shared" ca="1" si="8"/>
        <v/>
      </c>
      <c r="N48" t="str">
        <f t="shared" ca="1" si="9"/>
        <v/>
      </c>
      <c r="O48" t="e">
        <f t="shared" ca="1" si="10"/>
        <v>#VALUE!</v>
      </c>
      <c r="P48" t="str">
        <f t="shared" ca="1" si="11"/>
        <v>—</v>
      </c>
      <c r="Q48">
        <f>COUNTIFS(Delivery_Log!$B$4:$B$5998,B48,Delivery_Log!$A$4:$A$5998,"&gt;="&amp;$Q$2)</f>
        <v>8</v>
      </c>
      <c r="S48" t="str">
        <f>IFERROR(_xlfn.XLOOKUP(B48,Client_List!$A$4:$A$200,Client_List!$S$4:$S$200,""),"")</f>
        <v/>
      </c>
      <c r="T48" t="str">
        <f>IFERROR(_xlfn.XLOOKUP(B48,Client_List!$A$4:$A$200,Client_List!$U$4:$U$200,""),"")</f>
        <v/>
      </c>
      <c r="U48" t="str">
        <f>IFERROR(IF(S48="","",IF(_xlfn.XLOOKUP(B48,Client_List!$A$4:$A$200,Client_List!$W$4:$W$200,999)&lt;=24,"LIVE",IF(_xlfn.XLOOKUP(B48,Client_List!$A$4:$A$200,Client_List!$W$4:$W$200,999)&lt;=72,"STALE","OLD"))),"")</f>
        <v/>
      </c>
    </row>
    <row r="49" spans="1:21" x14ac:dyDescent="0.2">
      <c r="A49">
        <v>44</v>
      </c>
      <c r="B49">
        <v>12047</v>
      </c>
      <c r="C49" t="s">
        <v>221</v>
      </c>
      <c r="D49" t="s">
        <v>72</v>
      </c>
      <c r="E49" t="str">
        <f>IFERROR(VLOOKUP(C49,Client_List!$B:$K,4,0)&amp;", "&amp;VLOOKUP(C49,Client_List!$B:$K,5,0)&amp;" AZ","")</f>
        <v>4910 E Indian School Rd, Phoenix AZ</v>
      </c>
      <c r="F49" t="str">
        <f>IFERROR(VLOOKUP(C49,Client_List!$B:$K,7,0)&amp;", "&amp;VLOOKUP(C49,Client_List!$B:$K,8,0),"")</f>
        <v>33.494903, -111.9754061</v>
      </c>
      <c r="G49">
        <f>IFERROR(VLOOKUP(C49,Client_List!$B:$K,9,0),"")</f>
        <v>630</v>
      </c>
      <c r="H49" t="str">
        <f>IFERROR(LOOKUP(2,1/((Delivery_Log!$B$4:$B$4998=B49)*(ISNUMBER(Delivery_Log!$J$4:$J$4998))*(Delivery_Log!$J$4:$J$4998&gt;0)),Delivery_Log!$J$4:$J$4998),"")</f>
        <v/>
      </c>
      <c r="I49" t="str">
        <f>IFERROR(VLOOKUP(C49,Client_List!$B:$K,10,0),"")</f>
        <v>CANOLA OIL</v>
      </c>
      <c r="J49">
        <f>IFERROR(_xlfn.MAXIFS(Delivery_Log!$A$4:$A$4998,Delivery_Log!$B$4:$B$4998,B49),"—")</f>
        <v>46140</v>
      </c>
      <c r="K49">
        <f t="shared" ca="1" si="6"/>
        <v>8</v>
      </c>
      <c r="L49" t="str">
        <f t="shared" ca="1" si="7"/>
        <v/>
      </c>
      <c r="M49" t="str">
        <f t="shared" ca="1" si="8"/>
        <v/>
      </c>
      <c r="N49" t="str">
        <f t="shared" ca="1" si="9"/>
        <v/>
      </c>
      <c r="O49" t="e">
        <f t="shared" ca="1" si="10"/>
        <v>#VALUE!</v>
      </c>
      <c r="P49" t="str">
        <f t="shared" ca="1" si="11"/>
        <v>—</v>
      </c>
      <c r="Q49">
        <f>COUNTIFS(Delivery_Log!$B$4:$B$5998,B49,Delivery_Log!$A$4:$A$5998,"&gt;="&amp;$Q$2)</f>
        <v>9</v>
      </c>
      <c r="S49" t="str">
        <f>IFERROR(_xlfn.XLOOKUP(B49,Client_List!$A$4:$A$200,Client_List!$S$4:$S$200,""),"")</f>
        <v/>
      </c>
      <c r="T49" t="str">
        <f>IFERROR(_xlfn.XLOOKUP(B49,Client_List!$A$4:$A$200,Client_List!$U$4:$U$200,""),"")</f>
        <v/>
      </c>
      <c r="U49" t="str">
        <f>IFERROR(IF(S49="","",IF(_xlfn.XLOOKUP(B49,Client_List!$A$4:$A$200,Client_List!$W$4:$W$200,999)&lt;=24,"LIVE",IF(_xlfn.XLOOKUP(B49,Client_List!$A$4:$A$200,Client_List!$W$4:$W$200,999)&lt;=72,"STALE","OLD"))),"")</f>
        <v/>
      </c>
    </row>
    <row r="50" spans="1:21" x14ac:dyDescent="0.2">
      <c r="A50">
        <v>45</v>
      </c>
      <c r="B50">
        <v>7001</v>
      </c>
      <c r="C50" t="s">
        <v>224</v>
      </c>
      <c r="D50" t="s">
        <v>72</v>
      </c>
      <c r="E50" t="str">
        <f>IFERROR(VLOOKUP(C50,Client_List!$B:$K,4,0)&amp;", "&amp;VLOOKUP(C50,Client_List!$B:$K,5,0)&amp;" AZ","")</f>
        <v>2212 N 35Th Ave, Phoenix AZ</v>
      </c>
      <c r="F50" t="str">
        <f>IFERROR(VLOOKUP(C50,Client_List!$B:$K,7,0)&amp;", "&amp;VLOOKUP(C50,Client_List!$B:$K,8,0),"")</f>
        <v>33.471653, -112.1348179</v>
      </c>
      <c r="G50">
        <f>IFERROR(VLOOKUP(C50,Client_List!$B:$K,9,0),"")</f>
        <v>1850</v>
      </c>
      <c r="H50" t="str">
        <f>IFERROR(LOOKUP(2,1/((Delivery_Log!$B$4:$B$4998=B50)*(ISNUMBER(Delivery_Log!$J$4:$J$4998))*(Delivery_Log!$J$4:$J$4998&gt;0)),Delivery_Log!$J$4:$J$4998),"")</f>
        <v/>
      </c>
      <c r="I50" t="str">
        <f>IFERROR(VLOOKUP(C50,Client_List!$B:$K,10,0),"")</f>
        <v>CANOLA OIL</v>
      </c>
      <c r="J50">
        <f>IFERROR(_xlfn.MAXIFS(Delivery_Log!$A$4:$A$4998,Delivery_Log!$B$4:$B$4998,B50),"—")</f>
        <v>46129</v>
      </c>
      <c r="K50">
        <f t="shared" ca="1" si="6"/>
        <v>19</v>
      </c>
      <c r="L50" t="str">
        <f t="shared" ca="1" si="7"/>
        <v/>
      </c>
      <c r="M50" t="str">
        <f t="shared" ca="1" si="8"/>
        <v/>
      </c>
      <c r="N50" t="str">
        <f t="shared" ca="1" si="9"/>
        <v/>
      </c>
      <c r="O50" t="e">
        <f t="shared" ca="1" si="10"/>
        <v>#VALUE!</v>
      </c>
      <c r="P50" t="str">
        <f t="shared" ca="1" si="11"/>
        <v>—</v>
      </c>
      <c r="Q50">
        <f>COUNTIFS(Delivery_Log!$B$4:$B$5998,B50,Delivery_Log!$A$4:$A$5998,"&gt;="&amp;$Q$2)</f>
        <v>6</v>
      </c>
      <c r="S50" t="str">
        <f>IFERROR(_xlfn.XLOOKUP(B50,Client_List!$A$4:$A$200,Client_List!$S$4:$S$200,""),"")</f>
        <v/>
      </c>
      <c r="T50" t="str">
        <f>IFERROR(_xlfn.XLOOKUP(B50,Client_List!$A$4:$A$200,Client_List!$U$4:$U$200,""),"")</f>
        <v/>
      </c>
      <c r="U50" t="str">
        <f>IFERROR(IF(S50="","",IF(_xlfn.XLOOKUP(B50,Client_List!$A$4:$A$200,Client_List!$W$4:$W$200,999)&lt;=24,"LIVE",IF(_xlfn.XLOOKUP(B50,Client_List!$A$4:$A$200,Client_List!$W$4:$W$200,999)&lt;=72,"STALE","OLD"))),"")</f>
        <v/>
      </c>
    </row>
    <row r="51" spans="1:21" x14ac:dyDescent="0.2">
      <c r="A51">
        <v>46</v>
      </c>
      <c r="B51">
        <v>7002</v>
      </c>
      <c r="C51" t="s">
        <v>227</v>
      </c>
      <c r="D51" t="s">
        <v>81</v>
      </c>
      <c r="E51" t="str">
        <f>IFERROR(VLOOKUP(C51,Client_List!$B:$K,4,0)&amp;", "&amp;VLOOKUP(C51,Client_List!$B:$K,5,0)&amp;" AZ","")</f>
        <v>GILBERT PIZZA, Gilbert AZ</v>
      </c>
      <c r="F51" t="str">
        <f>IFERROR(VLOOKUP(C51,Client_List!$B:$K,7,0)&amp;", "&amp;VLOOKUP(C51,Client_List!$B:$K,8,0),"")</f>
        <v>33.3289767, -111.7905114</v>
      </c>
      <c r="G51">
        <f>IFERROR(VLOOKUP(C51,Client_List!$B:$K,9,0),"")</f>
        <v>480</v>
      </c>
      <c r="H51" t="str">
        <f>IFERROR(LOOKUP(2,1/((Delivery_Log!$B$4:$B$4998=B51)*(ISNUMBER(Delivery_Log!$J$4:$J$4998))*(Delivery_Log!$J$4:$J$4998&gt;0)),Delivery_Log!$J$4:$J$4998),"")</f>
        <v/>
      </c>
      <c r="I51" t="str">
        <f>IFERROR(VLOOKUP(C51,Client_List!$B:$K,10,0),"")</f>
        <v>FRYERS CHOICE BLEND</v>
      </c>
      <c r="J51">
        <f>IFERROR(_xlfn.MAXIFS(Delivery_Log!$A$4:$A$4998,Delivery_Log!$B$4:$B$4998,B51),"—")</f>
        <v>46144</v>
      </c>
      <c r="K51">
        <f t="shared" ca="1" si="6"/>
        <v>4</v>
      </c>
      <c r="L51" t="str">
        <f t="shared" ca="1" si="7"/>
        <v/>
      </c>
      <c r="M51" t="str">
        <f t="shared" ca="1" si="8"/>
        <v/>
      </c>
      <c r="N51" t="str">
        <f t="shared" ca="1" si="9"/>
        <v/>
      </c>
      <c r="O51" t="e">
        <f t="shared" ca="1" si="10"/>
        <v>#VALUE!</v>
      </c>
      <c r="P51" t="str">
        <f t="shared" ca="1" si="11"/>
        <v>—</v>
      </c>
      <c r="Q51">
        <f>COUNTIFS(Delivery_Log!$B$4:$B$5998,B51,Delivery_Log!$A$4:$A$5998,"&gt;="&amp;$Q$2)</f>
        <v>12</v>
      </c>
      <c r="S51" t="str">
        <f>IFERROR(_xlfn.XLOOKUP(B51,Client_List!$A$4:$A$200,Client_List!$S$4:$S$200,""),"")</f>
        <v/>
      </c>
      <c r="T51" t="str">
        <f>IFERROR(_xlfn.XLOOKUP(B51,Client_List!$A$4:$A$200,Client_List!$U$4:$U$200,""),"")</f>
        <v/>
      </c>
      <c r="U51" t="str">
        <f>IFERROR(IF(S51="","",IF(_xlfn.XLOOKUP(B51,Client_List!$A$4:$A$200,Client_List!$W$4:$W$200,999)&lt;=24,"LIVE",IF(_xlfn.XLOOKUP(B51,Client_List!$A$4:$A$200,Client_List!$W$4:$W$200,999)&lt;=72,"STALE","OLD"))),"")</f>
        <v/>
      </c>
    </row>
    <row r="52" spans="1:21" x14ac:dyDescent="0.2">
      <c r="A52">
        <v>47</v>
      </c>
      <c r="B52">
        <v>7053</v>
      </c>
      <c r="C52" t="s">
        <v>229</v>
      </c>
      <c r="D52" t="s">
        <v>51</v>
      </c>
      <c r="E52" t="str">
        <f>IFERROR(VLOOKUP(C52,Client_List!$B:$K,4,0)&amp;", "&amp;VLOOKUP(C52,Client_List!$B:$K,5,0)&amp;" AZ","")</f>
        <v>1415 N Mill Ave, Tempe AZ</v>
      </c>
      <c r="F52" t="str">
        <f>IFERROR(VLOOKUP(C52,Client_List!$B:$K,7,0)&amp;", "&amp;VLOOKUP(C52,Client_List!$B:$K,8,0),"")</f>
        <v>33.4448659, -111.9479603</v>
      </c>
      <c r="G52">
        <f>IFERROR(VLOOKUP(C52,Client_List!$B:$K,9,0),"")</f>
        <v>350</v>
      </c>
      <c r="H52" t="str">
        <f>IFERROR(LOOKUP(2,1/((Delivery_Log!$B$4:$B$4998=B52)*(ISNUMBER(Delivery_Log!$J$4:$J$4998))*(Delivery_Log!$J$4:$J$4998&gt;0)),Delivery_Log!$J$4:$J$4998),"")</f>
        <v/>
      </c>
      <c r="I52" t="str">
        <f>IFERROR(VLOOKUP(C52,Client_List!$B:$K,10,0),"")</f>
        <v>CANOLA OIL</v>
      </c>
      <c r="J52">
        <f>IFERROR(_xlfn.MAXIFS(Delivery_Log!$A$4:$A$4998,Delivery_Log!$B$4:$B$4998,B52),"—")</f>
        <v>46141</v>
      </c>
      <c r="K52">
        <f t="shared" ca="1" si="6"/>
        <v>7</v>
      </c>
      <c r="L52" t="str">
        <f t="shared" ca="1" si="7"/>
        <v/>
      </c>
      <c r="M52" t="str">
        <f t="shared" ca="1" si="8"/>
        <v/>
      </c>
      <c r="N52" t="str">
        <f t="shared" ca="1" si="9"/>
        <v/>
      </c>
      <c r="O52" t="e">
        <f t="shared" ca="1" si="10"/>
        <v>#VALUE!</v>
      </c>
      <c r="P52" t="str">
        <f t="shared" ca="1" si="11"/>
        <v>—</v>
      </c>
      <c r="Q52">
        <f>COUNTIFS(Delivery_Log!$B$4:$B$5998,B52,Delivery_Log!$A$4:$A$5998,"&gt;="&amp;$Q$2)</f>
        <v>14</v>
      </c>
      <c r="S52" t="str">
        <f>IFERROR(_xlfn.XLOOKUP(B52,Client_List!$A$4:$A$200,Client_List!$S$4:$S$200,""),"")</f>
        <v/>
      </c>
      <c r="T52" t="str">
        <f>IFERROR(_xlfn.XLOOKUP(B52,Client_List!$A$4:$A$200,Client_List!$U$4:$U$200,""),"")</f>
        <v/>
      </c>
      <c r="U52" t="str">
        <f>IFERROR(IF(S52="","",IF(_xlfn.XLOOKUP(B52,Client_List!$A$4:$A$200,Client_List!$W$4:$W$200,999)&lt;=24,"LIVE",IF(_xlfn.XLOOKUP(B52,Client_List!$A$4:$A$200,Client_List!$W$4:$W$200,999)&lt;=72,"STALE","OLD"))),"")</f>
        <v/>
      </c>
    </row>
    <row r="53" spans="1:21" x14ac:dyDescent="0.2">
      <c r="A53">
        <v>48</v>
      </c>
      <c r="B53">
        <v>7052</v>
      </c>
      <c r="C53" t="s">
        <v>232</v>
      </c>
      <c r="D53" t="s">
        <v>51</v>
      </c>
      <c r="E53" t="str">
        <f>IFERROR(VLOOKUP(C53,Client_List!$B:$K,4,0)&amp;", "&amp;VLOOKUP(C53,Client_List!$B:$K,5,0)&amp;" AZ","")</f>
        <v>6100 S Kings Ranch Road, Gold Canyon AZ</v>
      </c>
      <c r="F53" t="str">
        <f>IFERROR(VLOOKUP(C53,Client_List!$B:$K,7,0)&amp;", "&amp;VLOOKUP(C53,Client_List!$B:$K,8,0),"")</f>
        <v>33.3619519, -111.4451022</v>
      </c>
      <c r="G53">
        <f>IFERROR(VLOOKUP(C53,Client_List!$B:$K,9,0),"")</f>
        <v>350</v>
      </c>
      <c r="H53" t="str">
        <f>IFERROR(LOOKUP(2,1/((Delivery_Log!$B$4:$B$4998=B53)*(ISNUMBER(Delivery_Log!$J$4:$J$4998))*(Delivery_Log!$J$4:$J$4998&gt;0)),Delivery_Log!$J$4:$J$4998),"")</f>
        <v/>
      </c>
      <c r="I53" t="str">
        <f>IFERROR(VLOOKUP(C53,Client_List!$B:$K,10,0),"")</f>
        <v>CANOLA OIL</v>
      </c>
      <c r="J53">
        <f>IFERROR(_xlfn.MAXIFS(Delivery_Log!$A$4:$A$4998,Delivery_Log!$B$4:$B$4998,B53),"—")</f>
        <v>46144</v>
      </c>
      <c r="K53">
        <f t="shared" ca="1" si="6"/>
        <v>4</v>
      </c>
      <c r="L53" t="str">
        <f t="shared" ca="1" si="7"/>
        <v/>
      </c>
      <c r="M53" t="str">
        <f t="shared" ca="1" si="8"/>
        <v/>
      </c>
      <c r="N53" t="str">
        <f t="shared" ca="1" si="9"/>
        <v/>
      </c>
      <c r="O53" t="e">
        <f t="shared" ca="1" si="10"/>
        <v>#VALUE!</v>
      </c>
      <c r="P53" t="str">
        <f t="shared" ca="1" si="11"/>
        <v>—</v>
      </c>
      <c r="Q53">
        <f>COUNTIFS(Delivery_Log!$B$4:$B$5998,B53,Delivery_Log!$A$4:$A$5998,"&gt;="&amp;$Q$2)</f>
        <v>12</v>
      </c>
      <c r="S53" t="str">
        <f>IFERROR(_xlfn.XLOOKUP(B53,Client_List!$A$4:$A$200,Client_List!$S$4:$S$200,""),"")</f>
        <v/>
      </c>
      <c r="T53" t="str">
        <f>IFERROR(_xlfn.XLOOKUP(B53,Client_List!$A$4:$A$200,Client_List!$U$4:$U$200,""),"")</f>
        <v/>
      </c>
      <c r="U53" t="str">
        <f>IFERROR(IF(S53="","",IF(_xlfn.XLOOKUP(B53,Client_List!$A$4:$A$200,Client_List!$W$4:$W$200,999)&lt;=24,"LIVE",IF(_xlfn.XLOOKUP(B53,Client_List!$A$4:$A$200,Client_List!$W$4:$W$200,999)&lt;=72,"STALE","OLD"))),"")</f>
        <v/>
      </c>
    </row>
    <row r="54" spans="1:21" x14ac:dyDescent="0.2">
      <c r="A54">
        <v>49</v>
      </c>
      <c r="B54">
        <v>8031</v>
      </c>
      <c r="C54" t="s">
        <v>236</v>
      </c>
      <c r="D54" t="s">
        <v>51</v>
      </c>
      <c r="E54" t="str">
        <f>IFERROR(VLOOKUP(C54,Client_List!$B:$K,4,0)&amp;", "&amp;VLOOKUP(C54,Client_List!$B:$K,5,0)&amp;" AZ","")</f>
        <v>6895 E Cave Creek Rd, Cave Creek AZ</v>
      </c>
      <c r="F54" t="str">
        <f>IFERROR(VLOOKUP(C54,Client_List!$B:$K,7,0)&amp;", "&amp;VLOOKUP(C54,Client_List!$B:$K,8,0),"")</f>
        <v>33.8301513, -111.9329416</v>
      </c>
      <c r="G54">
        <f>IFERROR(VLOOKUP(C54,Client_List!$B:$K,9,0),"")</f>
        <v>1050</v>
      </c>
      <c r="H54" t="str">
        <f>IFERROR(LOOKUP(2,1/((Delivery_Log!$B$4:$B$4998=B54)*(ISNUMBER(Delivery_Log!$J$4:$J$4998))*(Delivery_Log!$J$4:$J$4998&gt;0)),Delivery_Log!$J$4:$J$4998),"")</f>
        <v/>
      </c>
      <c r="I54" t="str">
        <f>IFERROR(VLOOKUP(C54,Client_List!$B:$K,10,0),"")</f>
        <v>FRYERS CHOICE BLEND</v>
      </c>
      <c r="J54">
        <f>IFERROR(_xlfn.MAXIFS(Delivery_Log!$A$4:$A$4998,Delivery_Log!$B$4:$B$4998,B54),"—")</f>
        <v>46140</v>
      </c>
      <c r="K54">
        <f t="shared" ca="1" si="6"/>
        <v>8</v>
      </c>
      <c r="L54" t="str">
        <f t="shared" ca="1" si="7"/>
        <v/>
      </c>
      <c r="M54" t="str">
        <f t="shared" ca="1" si="8"/>
        <v/>
      </c>
      <c r="N54" t="str">
        <f t="shared" ca="1" si="9"/>
        <v/>
      </c>
      <c r="O54" t="e">
        <f t="shared" ca="1" si="10"/>
        <v>#VALUE!</v>
      </c>
      <c r="P54" t="str">
        <f t="shared" ca="1" si="11"/>
        <v>—</v>
      </c>
      <c r="Q54">
        <f>COUNTIFS(Delivery_Log!$B$4:$B$5998,B54,Delivery_Log!$A$4:$A$5998,"&gt;="&amp;$Q$2)</f>
        <v>24</v>
      </c>
      <c r="S54" t="str">
        <f>IFERROR(_xlfn.XLOOKUP(B54,Client_List!$A$4:$A$200,Client_List!$S$4:$S$200,""),"")</f>
        <v/>
      </c>
      <c r="T54" t="str">
        <f>IFERROR(_xlfn.XLOOKUP(B54,Client_List!$A$4:$A$200,Client_List!$U$4:$U$200,""),"")</f>
        <v/>
      </c>
      <c r="U54" t="str">
        <f>IFERROR(IF(S54="","",IF(_xlfn.XLOOKUP(B54,Client_List!$A$4:$A$200,Client_List!$W$4:$W$200,999)&lt;=24,"LIVE",IF(_xlfn.XLOOKUP(B54,Client_List!$A$4:$A$200,Client_List!$W$4:$W$200,999)&lt;=72,"STALE","OLD"))),"")</f>
        <v/>
      </c>
    </row>
    <row r="55" spans="1:21" x14ac:dyDescent="0.2">
      <c r="A55">
        <v>50</v>
      </c>
      <c r="B55">
        <v>8034</v>
      </c>
      <c r="C55" t="s">
        <v>240</v>
      </c>
      <c r="D55" t="s">
        <v>51</v>
      </c>
      <c r="E55" t="str">
        <f>IFERROR(VLOOKUP(C55,Client_List!$B:$K,4,0)&amp;", "&amp;VLOOKUP(C55,Client_List!$B:$K,5,0)&amp;" AZ","")</f>
        <v>6738 E Cave Creek Rd, Cave Creek AZ</v>
      </c>
      <c r="F55" t="str">
        <f>IFERROR(VLOOKUP(C55,Client_List!$B:$K,7,0)&amp;", "&amp;VLOOKUP(C55,Client_List!$B:$K,8,0),"")</f>
        <v>33.8332965, -111.9352951</v>
      </c>
      <c r="G55">
        <f>IFERROR(VLOOKUP(C55,Client_List!$B:$K,9,0),"")</f>
        <v>900</v>
      </c>
      <c r="H55" t="str">
        <f>IFERROR(LOOKUP(2,1/((Delivery_Log!$B$4:$B$4998=B55)*(ISNUMBER(Delivery_Log!$J$4:$J$4998))*(Delivery_Log!$J$4:$J$4998&gt;0)),Delivery_Log!$J$4:$J$4998),"")</f>
        <v/>
      </c>
      <c r="I55" t="str">
        <f>IFERROR(VLOOKUP(C55,Client_List!$B:$K,10,0),"")</f>
        <v>FRYERS CHOICE BLEND</v>
      </c>
      <c r="J55">
        <f>IFERROR(_xlfn.MAXIFS(Delivery_Log!$A$4:$A$4998,Delivery_Log!$B$4:$B$4998,B55),"—")</f>
        <v>46135</v>
      </c>
      <c r="K55">
        <f t="shared" ca="1" si="6"/>
        <v>13</v>
      </c>
      <c r="L55" t="str">
        <f t="shared" ca="1" si="7"/>
        <v/>
      </c>
      <c r="M55" t="str">
        <f t="shared" ca="1" si="8"/>
        <v/>
      </c>
      <c r="N55" t="str">
        <f t="shared" ca="1" si="9"/>
        <v/>
      </c>
      <c r="O55" t="e">
        <f t="shared" ca="1" si="10"/>
        <v>#VALUE!</v>
      </c>
      <c r="P55" t="str">
        <f t="shared" ca="1" si="11"/>
        <v>—</v>
      </c>
      <c r="Q55">
        <f>COUNTIFS(Delivery_Log!$B$4:$B$5998,B55,Delivery_Log!$A$4:$A$5998,"&gt;="&amp;$Q$2)</f>
        <v>14</v>
      </c>
      <c r="S55" t="str">
        <f>IFERROR(_xlfn.XLOOKUP(B55,Client_List!$A$4:$A$200,Client_List!$S$4:$S$200,""),"")</f>
        <v/>
      </c>
      <c r="T55" t="str">
        <f>IFERROR(_xlfn.XLOOKUP(B55,Client_List!$A$4:$A$200,Client_List!$U$4:$U$200,""),"")</f>
        <v/>
      </c>
      <c r="U55" t="str">
        <f>IFERROR(IF(S55="","",IF(_xlfn.XLOOKUP(B55,Client_List!$A$4:$A$200,Client_List!$W$4:$W$200,999)&lt;=24,"LIVE",IF(_xlfn.XLOOKUP(B55,Client_List!$A$4:$A$200,Client_List!$W$4:$W$200,999)&lt;=72,"STALE","OLD"))),"")</f>
        <v/>
      </c>
    </row>
    <row r="56" spans="1:21" x14ac:dyDescent="0.2">
      <c r="A56">
        <v>51</v>
      </c>
      <c r="B56">
        <v>8005</v>
      </c>
      <c r="C56" t="s">
        <v>243</v>
      </c>
      <c r="D56" t="s">
        <v>51</v>
      </c>
      <c r="E56" t="str">
        <f>IFERROR(VLOOKUP(C56,Client_List!$B:$K,4,0)&amp;", "&amp;VLOOKUP(C56,Client_List!$B:$K,5,0)&amp;" AZ","")</f>
        <v>1760 W Chandler Blvd, Chandler AZ</v>
      </c>
      <c r="F56" t="str">
        <f>IFERROR(VLOOKUP(C56,Client_List!$B:$K,7,0)&amp;", "&amp;VLOOKUP(C56,Client_List!$B:$K,8,0),"")</f>
        <v>33.3066421, -111.8728202</v>
      </c>
      <c r="G56">
        <f>IFERROR(VLOOKUP(C56,Client_List!$B:$K,9,0),"")</f>
        <v>950</v>
      </c>
      <c r="H56" t="str">
        <f>IFERROR(LOOKUP(2,1/((Delivery_Log!$B$4:$B$4998=B56)*(ISNUMBER(Delivery_Log!$J$4:$J$4998))*(Delivery_Log!$J$4:$J$4998&gt;0)),Delivery_Log!$J$4:$J$4998),"")</f>
        <v/>
      </c>
      <c r="I56" t="str">
        <f>IFERROR(VLOOKUP(C56,Client_List!$B:$K,10,0),"")</f>
        <v>CANOLA OIL</v>
      </c>
      <c r="J56">
        <f>IFERROR(_xlfn.MAXIFS(Delivery_Log!$A$4:$A$4998,Delivery_Log!$B$4:$B$4998,B56),"—")</f>
        <v>46127</v>
      </c>
      <c r="K56">
        <f t="shared" ca="1" si="6"/>
        <v>21</v>
      </c>
      <c r="L56" t="str">
        <f t="shared" ca="1" si="7"/>
        <v/>
      </c>
      <c r="M56" t="str">
        <f t="shared" ca="1" si="8"/>
        <v/>
      </c>
      <c r="N56" t="str">
        <f t="shared" ca="1" si="9"/>
        <v/>
      </c>
      <c r="O56" t="e">
        <f t="shared" ca="1" si="10"/>
        <v>#VALUE!</v>
      </c>
      <c r="P56" t="str">
        <f t="shared" ca="1" si="11"/>
        <v>—</v>
      </c>
      <c r="Q56">
        <f>COUNTIFS(Delivery_Log!$B$4:$B$5998,B56,Delivery_Log!$A$4:$A$5998,"&gt;="&amp;$Q$2)</f>
        <v>5</v>
      </c>
      <c r="S56" t="str">
        <f>IFERROR(_xlfn.XLOOKUP(B56,Client_List!$A$4:$A$200,Client_List!$S$4:$S$200,""),"")</f>
        <v/>
      </c>
      <c r="T56" t="str">
        <f>IFERROR(_xlfn.XLOOKUP(B56,Client_List!$A$4:$A$200,Client_List!$U$4:$U$200,""),"")</f>
        <v/>
      </c>
      <c r="U56" t="str">
        <f>IFERROR(IF(S56="","",IF(_xlfn.XLOOKUP(B56,Client_List!$A$4:$A$200,Client_List!$W$4:$W$200,999)&lt;=24,"LIVE",IF(_xlfn.XLOOKUP(B56,Client_List!$A$4:$A$200,Client_List!$W$4:$W$200,999)&lt;=72,"STALE","OLD"))),"")</f>
        <v/>
      </c>
    </row>
    <row r="57" spans="1:21" x14ac:dyDescent="0.2">
      <c r="A57">
        <v>52</v>
      </c>
      <c r="B57">
        <v>10001</v>
      </c>
      <c r="C57" t="s">
        <v>246</v>
      </c>
      <c r="D57" t="s">
        <v>51</v>
      </c>
      <c r="E57" t="str">
        <f>IFERROR(VLOOKUP(C57,Client_List!$B:$K,4,0)&amp;", "&amp;VLOOKUP(C57,Client_List!$B:$K,5,0)&amp;" AZ","")</f>
        <v>JALAPENO'S INFERNO BISTRO, Scottsdale AZ</v>
      </c>
      <c r="F57" t="str">
        <f>IFERROR(VLOOKUP(C57,Client_List!$B:$K,7,0)&amp;", "&amp;VLOOKUP(C57,Client_List!$B:$K,8,0),"")</f>
        <v>33.7006784, -111.9234223</v>
      </c>
      <c r="G57">
        <f>IFERROR(VLOOKUP(C57,Client_List!$B:$K,9,0),"")</f>
        <v>950</v>
      </c>
      <c r="H57" t="str">
        <f>IFERROR(LOOKUP(2,1/((Delivery_Log!$B$4:$B$4998=B57)*(ISNUMBER(Delivery_Log!$J$4:$J$4998))*(Delivery_Log!$J$4:$J$4998&gt;0)),Delivery_Log!$J$4:$J$4998),"")</f>
        <v/>
      </c>
      <c r="I57" t="str">
        <f>IFERROR(VLOOKUP(C57,Client_List!$B:$K,10,0),"")</f>
        <v>FRYERS CHOICE BLEND</v>
      </c>
      <c r="J57">
        <f>IFERROR(_xlfn.MAXIFS(Delivery_Log!$A$4:$A$4998,Delivery_Log!$B$4:$B$4998,B57),"—")</f>
        <v>46143</v>
      </c>
      <c r="K57">
        <f t="shared" ca="1" si="6"/>
        <v>5</v>
      </c>
      <c r="L57" t="str">
        <f t="shared" ca="1" si="7"/>
        <v/>
      </c>
      <c r="M57" t="str">
        <f t="shared" ca="1" si="8"/>
        <v/>
      </c>
      <c r="N57" t="str">
        <f t="shared" ca="1" si="9"/>
        <v/>
      </c>
      <c r="O57" t="e">
        <f t="shared" ca="1" si="10"/>
        <v>#VALUE!</v>
      </c>
      <c r="P57" t="str">
        <f t="shared" ca="1" si="11"/>
        <v>—</v>
      </c>
      <c r="Q57">
        <f>COUNTIFS(Delivery_Log!$B$4:$B$5998,B57,Delivery_Log!$A$4:$A$5998,"&gt;="&amp;$Q$2)</f>
        <v>14</v>
      </c>
      <c r="S57" t="str">
        <f>IFERROR(_xlfn.XLOOKUP(B57,Client_List!$A$4:$A$200,Client_List!$S$4:$S$200,""),"")</f>
        <v/>
      </c>
      <c r="T57" t="str">
        <f>IFERROR(_xlfn.XLOOKUP(B57,Client_List!$A$4:$A$200,Client_List!$U$4:$U$200,""),"")</f>
        <v/>
      </c>
      <c r="U57" t="str">
        <f>IFERROR(IF(S57="","",IF(_xlfn.XLOOKUP(B57,Client_List!$A$4:$A$200,Client_List!$W$4:$W$200,999)&lt;=24,"LIVE",IF(_xlfn.XLOOKUP(B57,Client_List!$A$4:$A$200,Client_List!$W$4:$W$200,999)&lt;=72,"STALE","OLD"))),"")</f>
        <v/>
      </c>
    </row>
    <row r="58" spans="1:21" x14ac:dyDescent="0.2">
      <c r="A58">
        <v>53</v>
      </c>
      <c r="B58">
        <v>10011</v>
      </c>
      <c r="C58" t="s">
        <v>250</v>
      </c>
      <c r="D58" t="s">
        <v>51</v>
      </c>
      <c r="E58" t="str">
        <f>IFERROR(VLOOKUP(C58,Client_List!$B:$K,4,0)&amp;", "&amp;VLOOKUP(C58,Client_List!$B:$K,5,0)&amp;" AZ","")</f>
        <v>9611 W CAMELBACK, STE 101, PHOENIX AZ</v>
      </c>
      <c r="F58" t="str">
        <f>IFERROR(VLOOKUP(C58,Client_List!$B:$K,7,0)&amp;", "&amp;VLOOKUP(C58,Client_List!$B:$K,8,0),"")</f>
        <v>33.5075938, -112.2663063</v>
      </c>
      <c r="G58">
        <f>IFERROR(VLOOKUP(C58,Client_List!$B:$K,9,0),"")</f>
        <v>620</v>
      </c>
      <c r="H58" t="str">
        <f>IFERROR(LOOKUP(2,1/((Delivery_Log!$B$4:$B$4998=B58)*(ISNUMBER(Delivery_Log!$J$4:$J$4998))*(Delivery_Log!$J$4:$J$4998&gt;0)),Delivery_Log!$J$4:$J$4998),"")</f>
        <v/>
      </c>
      <c r="I58" t="str">
        <f>IFERROR(VLOOKUP(C58,Client_List!$B:$K,10,0),"")</f>
        <v>FRYERS CHOICE BLEND</v>
      </c>
      <c r="J58">
        <f>IFERROR(_xlfn.MAXIFS(Delivery_Log!$A$4:$A$4998,Delivery_Log!$B$4:$B$4998,B58),"—")</f>
        <v>46136</v>
      </c>
      <c r="K58">
        <f t="shared" ca="1" si="6"/>
        <v>12</v>
      </c>
      <c r="L58" t="str">
        <f t="shared" ca="1" si="7"/>
        <v/>
      </c>
      <c r="M58" t="str">
        <f t="shared" ca="1" si="8"/>
        <v/>
      </c>
      <c r="N58" t="str">
        <f t="shared" ca="1" si="9"/>
        <v/>
      </c>
      <c r="O58" t="e">
        <f t="shared" ca="1" si="10"/>
        <v>#VALUE!</v>
      </c>
      <c r="P58" t="str">
        <f t="shared" ca="1" si="11"/>
        <v>—</v>
      </c>
      <c r="Q58">
        <f>COUNTIFS(Delivery_Log!$B$4:$B$5998,B58,Delivery_Log!$A$4:$A$5998,"&gt;="&amp;$Q$2)</f>
        <v>4</v>
      </c>
      <c r="S58" t="str">
        <f>IFERROR(_xlfn.XLOOKUP(B58,Client_List!$A$4:$A$200,Client_List!$S$4:$S$200,""),"")</f>
        <v/>
      </c>
      <c r="T58" t="str">
        <f>IFERROR(_xlfn.XLOOKUP(B58,Client_List!$A$4:$A$200,Client_List!$U$4:$U$200,""),"")</f>
        <v/>
      </c>
      <c r="U58" t="str">
        <f>IFERROR(IF(S58="","",IF(_xlfn.XLOOKUP(B58,Client_List!$A$4:$A$200,Client_List!$W$4:$W$200,999)&lt;=24,"LIVE",IF(_xlfn.XLOOKUP(B58,Client_List!$A$4:$A$200,Client_List!$W$4:$W$200,999)&lt;=72,"STALE","OLD"))),"")</f>
        <v/>
      </c>
    </row>
    <row r="59" spans="1:21" x14ac:dyDescent="0.2">
      <c r="A59">
        <v>54</v>
      </c>
      <c r="B59">
        <v>11005</v>
      </c>
      <c r="C59" t="s">
        <v>252</v>
      </c>
      <c r="D59" t="s">
        <v>51</v>
      </c>
      <c r="E59" t="str">
        <f>IFERROR(VLOOKUP(C59,Client_List!$B:$K,4,0)&amp;", "&amp;VLOOKUP(C59,Client_List!$B:$K,5,0)&amp;" AZ","")</f>
        <v>6 E Route 66, Flagstaff AZ</v>
      </c>
      <c r="F59" t="str">
        <f>IFERROR(VLOOKUP(C59,Client_List!$B:$K,7,0)&amp;", "&amp;VLOOKUP(C59,Client_List!$B:$K,8,0),"")</f>
        <v>35.1976805, -111.648815</v>
      </c>
      <c r="G59">
        <f>IFERROR(VLOOKUP(C59,Client_List!$B:$K,9,0),"")</f>
        <v>950</v>
      </c>
      <c r="H59" t="str">
        <f>IFERROR(LOOKUP(2,1/((Delivery_Log!$B$4:$B$4998=B59)*(ISNUMBER(Delivery_Log!$J$4:$J$4998))*(Delivery_Log!$J$4:$J$4998&gt;0)),Delivery_Log!$J$4:$J$4998),"")</f>
        <v/>
      </c>
      <c r="I59" t="str">
        <f>IFERROR(VLOOKUP(C59,Client_List!$B:$K,10,0),"")</f>
        <v>CANOLA OIL</v>
      </c>
      <c r="J59">
        <f>IFERROR(_xlfn.MAXIFS(Delivery_Log!$A$4:$A$4998,Delivery_Log!$B$4:$B$4998,B59),"—")</f>
        <v>46144</v>
      </c>
      <c r="K59">
        <f t="shared" ca="1" si="6"/>
        <v>4</v>
      </c>
      <c r="L59" t="str">
        <f t="shared" ca="1" si="7"/>
        <v/>
      </c>
      <c r="M59" t="str">
        <f t="shared" ca="1" si="8"/>
        <v/>
      </c>
      <c r="N59" t="str">
        <f t="shared" ca="1" si="9"/>
        <v/>
      </c>
      <c r="O59" t="e">
        <f t="shared" ca="1" si="10"/>
        <v>#VALUE!</v>
      </c>
      <c r="P59" t="str">
        <f t="shared" ca="1" si="11"/>
        <v>—</v>
      </c>
      <c r="Q59">
        <f>COUNTIFS(Delivery_Log!$B$4:$B$5998,B59,Delivery_Log!$A$4:$A$5998,"&gt;="&amp;$Q$2)</f>
        <v>9</v>
      </c>
      <c r="S59" t="str">
        <f>IFERROR(_xlfn.XLOOKUP(B59,Client_List!$A$4:$A$200,Client_List!$S$4:$S$200,""),"")</f>
        <v/>
      </c>
      <c r="T59" t="str">
        <f>IFERROR(_xlfn.XLOOKUP(B59,Client_List!$A$4:$A$200,Client_List!$U$4:$U$200,""),"")</f>
        <v/>
      </c>
      <c r="U59" t="str">
        <f>IFERROR(IF(S59="","",IF(_xlfn.XLOOKUP(B59,Client_List!$A$4:$A$200,Client_List!$W$4:$W$200,999)&lt;=24,"LIVE",IF(_xlfn.XLOOKUP(B59,Client_List!$A$4:$A$200,Client_List!$W$4:$W$200,999)&lt;=72,"STALE","OLD"))),"")</f>
        <v/>
      </c>
    </row>
    <row r="60" spans="1:21" x14ac:dyDescent="0.2">
      <c r="A60">
        <v>55</v>
      </c>
      <c r="B60">
        <v>11014</v>
      </c>
      <c r="C60" t="s">
        <v>256</v>
      </c>
      <c r="D60" t="s">
        <v>51</v>
      </c>
      <c r="E60" t="str">
        <f>IFERROR(VLOOKUP(C60,Client_List!$B:$K,4,0)&amp;", "&amp;VLOOKUP(C60,Client_List!$B:$K,5,0)&amp;" AZ","")</f>
        <v>4935 W Glendale, Glendale AZ</v>
      </c>
      <c r="F60" t="str">
        <f>IFERROR(VLOOKUP(C60,Client_List!$B:$K,7,0)&amp;", "&amp;VLOOKUP(C60,Client_List!$B:$K,8,0),"")</f>
        <v>33.5379629, -112.165954</v>
      </c>
      <c r="G60">
        <f>IFERROR(VLOOKUP(C60,Client_List!$B:$K,9,0),"")</f>
        <v>350</v>
      </c>
      <c r="H60" t="str">
        <f>IFERROR(LOOKUP(2,1/((Delivery_Log!$B$4:$B$4998=B60)*(ISNUMBER(Delivery_Log!$J$4:$J$4998))*(Delivery_Log!$J$4:$J$4998&gt;0)),Delivery_Log!$J$4:$J$4998),"")</f>
        <v/>
      </c>
      <c r="I60" t="str">
        <f>IFERROR(VLOOKUP(C60,Client_List!$B:$K,10,0),"")</f>
        <v>CANOLA OIL</v>
      </c>
      <c r="J60">
        <f>IFERROR(_xlfn.MAXIFS(Delivery_Log!$A$4:$A$4998,Delivery_Log!$B$4:$B$4998,B60),"—")</f>
        <v>46134</v>
      </c>
      <c r="K60">
        <f t="shared" ca="1" si="6"/>
        <v>14</v>
      </c>
      <c r="L60" t="str">
        <f t="shared" ca="1" si="7"/>
        <v/>
      </c>
      <c r="M60" t="str">
        <f t="shared" ca="1" si="8"/>
        <v/>
      </c>
      <c r="N60" t="str">
        <f t="shared" ca="1" si="9"/>
        <v/>
      </c>
      <c r="O60" t="e">
        <f t="shared" ca="1" si="10"/>
        <v>#VALUE!</v>
      </c>
      <c r="P60" t="str">
        <f t="shared" ca="1" si="11"/>
        <v>—</v>
      </c>
      <c r="Q60">
        <f>COUNTIFS(Delivery_Log!$B$4:$B$5998,B60,Delivery_Log!$A$4:$A$5998,"&gt;="&amp;$Q$2)</f>
        <v>4</v>
      </c>
      <c r="S60" t="str">
        <f>IFERROR(_xlfn.XLOOKUP(B60,Client_List!$A$4:$A$200,Client_List!$S$4:$S$200,""),"")</f>
        <v/>
      </c>
      <c r="T60" t="str">
        <f>IFERROR(_xlfn.XLOOKUP(B60,Client_List!$A$4:$A$200,Client_List!$U$4:$U$200,""),"")</f>
        <v/>
      </c>
      <c r="U60" t="str">
        <f>IFERROR(IF(S60="","",IF(_xlfn.XLOOKUP(B60,Client_List!$A$4:$A$200,Client_List!$W$4:$W$200,999)&lt;=24,"LIVE",IF(_xlfn.XLOOKUP(B60,Client_List!$A$4:$A$200,Client_List!$W$4:$W$200,999)&lt;=72,"STALE","OLD"))),"")</f>
        <v/>
      </c>
    </row>
    <row r="61" spans="1:21" x14ac:dyDescent="0.2">
      <c r="A61">
        <v>56</v>
      </c>
      <c r="B61">
        <v>11013</v>
      </c>
      <c r="C61" t="s">
        <v>258</v>
      </c>
      <c r="D61" t="s">
        <v>51</v>
      </c>
      <c r="E61" t="str">
        <f>IFERROR(VLOOKUP(C61,Client_List!$B:$K,4,0)&amp;", "&amp;VLOOKUP(C61,Client_List!$B:$K,5,0)&amp;" AZ","")</f>
        <v>14850 N Northsight Blvd, Scottsdale AZ</v>
      </c>
      <c r="F61" t="str">
        <f>IFERROR(VLOOKUP(C61,Client_List!$B:$K,7,0)&amp;", "&amp;VLOOKUP(C61,Client_List!$B:$K,8,0),"")</f>
        <v>33.6202368, -111.8981626</v>
      </c>
      <c r="G61">
        <f>IFERROR(VLOOKUP(C61,Client_List!$B:$K,9,0),"")</f>
        <v>1050</v>
      </c>
      <c r="H61" t="str">
        <f>IFERROR(LOOKUP(2,1/((Delivery_Log!$B$4:$B$4998=B61)*(ISNUMBER(Delivery_Log!$J$4:$J$4998))*(Delivery_Log!$J$4:$J$4998&gt;0)),Delivery_Log!$J$4:$J$4998),"")</f>
        <v/>
      </c>
      <c r="I61" t="str">
        <f>IFERROR(VLOOKUP(C61,Client_List!$B:$K,10,0),"")</f>
        <v>CANOLA OIL</v>
      </c>
      <c r="J61">
        <f>IFERROR(_xlfn.MAXIFS(Delivery_Log!$A$4:$A$4998,Delivery_Log!$B$4:$B$4998,B61),"—")</f>
        <v>46135</v>
      </c>
      <c r="K61">
        <f t="shared" ca="1" si="6"/>
        <v>13</v>
      </c>
      <c r="L61" t="str">
        <f t="shared" ca="1" si="7"/>
        <v/>
      </c>
      <c r="M61" t="str">
        <f t="shared" ca="1" si="8"/>
        <v/>
      </c>
      <c r="N61" t="str">
        <f t="shared" ca="1" si="9"/>
        <v/>
      </c>
      <c r="O61" t="e">
        <f t="shared" ca="1" si="10"/>
        <v>#VALUE!</v>
      </c>
      <c r="P61" t="str">
        <f t="shared" ca="1" si="11"/>
        <v>—</v>
      </c>
      <c r="Q61">
        <f>COUNTIFS(Delivery_Log!$B$4:$B$5998,B61,Delivery_Log!$A$4:$A$5998,"&gt;="&amp;$Q$2)</f>
        <v>9</v>
      </c>
      <c r="S61" t="str">
        <f>IFERROR(_xlfn.XLOOKUP(B61,Client_List!$A$4:$A$200,Client_List!$S$4:$S$200,""),"")</f>
        <v/>
      </c>
      <c r="T61" t="str">
        <f>IFERROR(_xlfn.XLOOKUP(B61,Client_List!$A$4:$A$200,Client_List!$U$4:$U$200,""),"")</f>
        <v/>
      </c>
      <c r="U61" t="str">
        <f>IFERROR(IF(S61="","",IF(_xlfn.XLOOKUP(B61,Client_List!$A$4:$A$200,Client_List!$W$4:$W$200,999)&lt;=24,"LIVE",IF(_xlfn.XLOOKUP(B61,Client_List!$A$4:$A$200,Client_List!$W$4:$W$200,999)&lt;=72,"STALE","OLD"))),"")</f>
        <v/>
      </c>
    </row>
    <row r="62" spans="1:21" x14ac:dyDescent="0.2">
      <c r="A62">
        <v>57</v>
      </c>
      <c r="B62">
        <v>11016</v>
      </c>
      <c r="C62" t="s">
        <v>261</v>
      </c>
      <c r="D62" t="s">
        <v>51</v>
      </c>
      <c r="E62" t="str">
        <f>IFERROR(VLOOKUP(C62,Client_List!$B:$K,4,0)&amp;", "&amp;VLOOKUP(C62,Client_List!$B:$K,5,0)&amp;" AZ","")</f>
        <v>3501 WEST PEORIA AVE, PHOENIX AZ</v>
      </c>
      <c r="F62" t="str">
        <f>IFERROR(VLOOKUP(C62,Client_List!$B:$K,7,0)&amp;", "&amp;VLOOKUP(C62,Client_List!$B:$K,8,0),"")</f>
        <v>33.5816763, -112.1345451</v>
      </c>
      <c r="G62">
        <f>IFERROR(VLOOKUP(C62,Client_List!$B:$K,9,0),"")</f>
        <v>350</v>
      </c>
      <c r="H62" t="str">
        <f>IFERROR(LOOKUP(2,1/((Delivery_Log!$B$4:$B$4998=B62)*(ISNUMBER(Delivery_Log!$J$4:$J$4998))*(Delivery_Log!$J$4:$J$4998&gt;0)),Delivery_Log!$J$4:$J$4998),"")</f>
        <v/>
      </c>
      <c r="I62" t="str">
        <f>IFERROR(VLOOKUP(C62,Client_List!$B:$K,10,0),"")</f>
        <v>CANOLA OIL</v>
      </c>
      <c r="J62">
        <f>IFERROR(_xlfn.MAXIFS(Delivery_Log!$A$4:$A$4998,Delivery_Log!$B$4:$B$4998,B62),"—")</f>
        <v>46110</v>
      </c>
      <c r="K62">
        <f t="shared" ca="1" si="6"/>
        <v>38</v>
      </c>
      <c r="L62" t="str">
        <f t="shared" ca="1" si="7"/>
        <v/>
      </c>
      <c r="M62" t="str">
        <f t="shared" ca="1" si="8"/>
        <v/>
      </c>
      <c r="N62" t="str">
        <f t="shared" ca="1" si="9"/>
        <v/>
      </c>
      <c r="O62" t="e">
        <f t="shared" ca="1" si="10"/>
        <v>#VALUE!</v>
      </c>
      <c r="P62" t="str">
        <f t="shared" ca="1" si="11"/>
        <v>—</v>
      </c>
      <c r="Q62">
        <f>COUNTIFS(Delivery_Log!$B$4:$B$5998,B62,Delivery_Log!$A$4:$A$5998,"&gt;="&amp;$Q$2)</f>
        <v>2</v>
      </c>
      <c r="S62" t="str">
        <f>IFERROR(_xlfn.XLOOKUP(B62,Client_List!$A$4:$A$200,Client_List!$S$4:$S$200,""),"")</f>
        <v/>
      </c>
      <c r="T62" t="str">
        <f>IFERROR(_xlfn.XLOOKUP(B62,Client_List!$A$4:$A$200,Client_List!$U$4:$U$200,""),"")</f>
        <v/>
      </c>
      <c r="U62" t="str">
        <f>IFERROR(IF(S62="","",IF(_xlfn.XLOOKUP(B62,Client_List!$A$4:$A$200,Client_List!$W$4:$W$200,999)&lt;=24,"LIVE",IF(_xlfn.XLOOKUP(B62,Client_List!$A$4:$A$200,Client_List!$W$4:$W$200,999)&lt;=72,"STALE","OLD"))),"")</f>
        <v/>
      </c>
    </row>
    <row r="63" spans="1:21" x14ac:dyDescent="0.2">
      <c r="A63">
        <v>58</v>
      </c>
      <c r="B63">
        <v>12053</v>
      </c>
      <c r="C63" t="s">
        <v>264</v>
      </c>
      <c r="D63" t="s">
        <v>51</v>
      </c>
      <c r="E63" t="str">
        <f>IFERROR(VLOOKUP(C63,Client_List!$B:$K,4,0)&amp;", "&amp;VLOOKUP(C63,Client_List!$B:$K,5,0)&amp;" AZ","")</f>
        <v>7707 W MC 85, Buckeye AZ</v>
      </c>
      <c r="F63" t="str">
        <f>IFERROR(VLOOKUP(C63,Client_List!$B:$K,7,0)&amp;", "&amp;VLOOKUP(C63,Client_List!$B:$K,8,0),"")</f>
        <v>33.3762374, -112.5716842</v>
      </c>
      <c r="G63">
        <f>IFERROR(VLOOKUP(C63,Client_List!$B:$K,9,0),"")</f>
        <v>1050</v>
      </c>
      <c r="H63" t="str">
        <f>IFERROR(LOOKUP(2,1/((Delivery_Log!$B$4:$B$4998=B63)*(ISNUMBER(Delivery_Log!$J$4:$J$4998))*(Delivery_Log!$J$4:$J$4998&gt;0)),Delivery_Log!$J$4:$J$4998),"")</f>
        <v/>
      </c>
      <c r="I63" t="str">
        <f>IFERROR(VLOOKUP(C63,Client_List!$B:$K,10,0),"")</f>
        <v>FRYERS CHOICE BLEND</v>
      </c>
      <c r="J63">
        <f>IFERROR(_xlfn.MAXIFS(Delivery_Log!$A$4:$A$4998,Delivery_Log!$B$4:$B$4998,B63),"—")</f>
        <v>46077</v>
      </c>
      <c r="K63">
        <f t="shared" ca="1" si="6"/>
        <v>71</v>
      </c>
      <c r="L63" t="str">
        <f t="shared" ca="1" si="7"/>
        <v/>
      </c>
      <c r="M63" t="str">
        <f t="shared" ca="1" si="8"/>
        <v/>
      </c>
      <c r="N63" t="str">
        <f t="shared" ca="1" si="9"/>
        <v/>
      </c>
      <c r="O63" t="e">
        <f t="shared" ca="1" si="10"/>
        <v>#VALUE!</v>
      </c>
      <c r="P63" t="str">
        <f t="shared" ca="1" si="11"/>
        <v>—</v>
      </c>
      <c r="Q63">
        <f>COUNTIFS(Delivery_Log!$B$4:$B$5998,B63,Delivery_Log!$A$4:$A$5998,"&gt;="&amp;$Q$2)</f>
        <v>1</v>
      </c>
      <c r="R63" t="s">
        <v>648</v>
      </c>
      <c r="S63" t="str">
        <f>IFERROR(_xlfn.XLOOKUP(B63,Client_List!$A$4:$A$200,Client_List!$S$4:$S$200,""),"")</f>
        <v/>
      </c>
      <c r="T63" t="str">
        <f>IFERROR(_xlfn.XLOOKUP(B63,Client_List!$A$4:$A$200,Client_List!$U$4:$U$200,""),"")</f>
        <v/>
      </c>
      <c r="U63" t="str">
        <f>IFERROR(IF(S63="","",IF(_xlfn.XLOOKUP(B63,Client_List!$A$4:$A$200,Client_List!$W$4:$W$200,999)&lt;=24,"LIVE",IF(_xlfn.XLOOKUP(B63,Client_List!$A$4:$A$200,Client_List!$W$4:$W$200,999)&lt;=72,"STALE","OLD"))),"")</f>
        <v/>
      </c>
    </row>
    <row r="64" spans="1:21" x14ac:dyDescent="0.2">
      <c r="A64">
        <v>59</v>
      </c>
      <c r="B64">
        <v>2010</v>
      </c>
      <c r="C64" t="s">
        <v>267</v>
      </c>
      <c r="D64" t="s">
        <v>72</v>
      </c>
      <c r="E64" t="str">
        <f>IFERROR(VLOOKUP(C64,Client_List!$B:$K,4,0)&amp;", "&amp;VLOOKUP(C64,Client_List!$B:$K,5,0)&amp;" AZ","")</f>
        <v>LIBERTY TAVERN, Phoenix AZ</v>
      </c>
      <c r="F64" t="str">
        <f>IFERROR(VLOOKUP(C64,Client_List!$B:$K,7,0)&amp;", "&amp;VLOOKUP(C64,Client_List!$B:$K,8,0),"")</f>
        <v>33.5830283, -112.0516727</v>
      </c>
      <c r="G64">
        <f>IFERROR(VLOOKUP(C64,Client_List!$B:$K,9,0),"")</f>
        <v>500</v>
      </c>
      <c r="H64" t="str">
        <f>IFERROR(LOOKUP(2,1/((Delivery_Log!$B$4:$B$4998=B64)*(ISNUMBER(Delivery_Log!$J$4:$J$4998))*(Delivery_Log!$J$4:$J$4998&gt;0)),Delivery_Log!$J$4:$J$4998),"")</f>
        <v/>
      </c>
      <c r="I64" t="str">
        <f>IFERROR(VLOOKUP(C64,Client_List!$B:$K,10,0),"")</f>
        <v>CANOLA OIL</v>
      </c>
      <c r="J64">
        <f>IFERROR(_xlfn.MAXIFS(Delivery_Log!$A$4:$A$4998,Delivery_Log!$B$4:$B$4998,B64),"—")</f>
        <v>46027</v>
      </c>
      <c r="K64">
        <f t="shared" ca="1" si="6"/>
        <v>121</v>
      </c>
      <c r="L64" t="str">
        <f t="shared" ca="1" si="7"/>
        <v/>
      </c>
      <c r="M64" t="str">
        <f t="shared" ca="1" si="8"/>
        <v/>
      </c>
      <c r="N64" t="str">
        <f t="shared" ca="1" si="9"/>
        <v/>
      </c>
      <c r="O64" t="e">
        <f t="shared" ca="1" si="10"/>
        <v>#VALUE!</v>
      </c>
      <c r="P64" t="str">
        <f t="shared" ca="1" si="11"/>
        <v>—</v>
      </c>
      <c r="Q64">
        <f>COUNTIFS(Delivery_Log!$B$4:$B$5998,B64,Delivery_Log!$A$4:$A$5998,"&gt;="&amp;$Q$2)</f>
        <v>1</v>
      </c>
      <c r="S64" t="str">
        <f>IFERROR(_xlfn.XLOOKUP(B64,Client_List!$A$4:$A$200,Client_List!$S$4:$S$200,""),"")</f>
        <v/>
      </c>
      <c r="T64" t="str">
        <f>IFERROR(_xlfn.XLOOKUP(B64,Client_List!$A$4:$A$200,Client_List!$U$4:$U$200,""),"")</f>
        <v/>
      </c>
      <c r="U64" t="str">
        <f>IFERROR(IF(S64="","",IF(_xlfn.XLOOKUP(B64,Client_List!$A$4:$A$200,Client_List!$W$4:$W$200,999)&lt;=24,"LIVE",IF(_xlfn.XLOOKUP(B64,Client_List!$A$4:$A$200,Client_List!$W$4:$W$200,999)&lt;=72,"STALE","OLD"))),"")</f>
        <v/>
      </c>
    </row>
    <row r="65" spans="1:21" x14ac:dyDescent="0.2">
      <c r="A65">
        <v>60</v>
      </c>
      <c r="B65">
        <v>12055</v>
      </c>
      <c r="C65" t="s">
        <v>269</v>
      </c>
      <c r="D65" t="s">
        <v>72</v>
      </c>
      <c r="E65" t="str">
        <f>IFERROR(VLOOKUP(C65,Client_List!$B:$K,4,0)&amp;", "&amp;VLOOKUP(C65,Client_List!$B:$K,5,0)&amp;" AZ","")</f>
        <v>8525 N CENTRAL AVE, PHOENIX AZ</v>
      </c>
      <c r="F65" t="str">
        <f>IFERROR(VLOOKUP(C65,Client_List!$B:$K,7,0)&amp;", "&amp;VLOOKUP(C65,Client_List!$B:$K,8,0),"")</f>
        <v>33.5612603, -112.0736725</v>
      </c>
      <c r="G65">
        <f>IFERROR(VLOOKUP(C65,Client_List!$B:$K,9,0),"")</f>
        <v>1050</v>
      </c>
      <c r="H65" t="str">
        <f>IFERROR(LOOKUP(2,1/((Delivery_Log!$B$4:$B$4998=B65)*(ISNUMBER(Delivery_Log!$J$4:$J$4998))*(Delivery_Log!$J$4:$J$4998&gt;0)),Delivery_Log!$J$4:$J$4998),"")</f>
        <v/>
      </c>
      <c r="I65" t="str">
        <f>IFERROR(VLOOKUP(C65,Client_List!$B:$K,10,0),"")</f>
        <v>CANOLA OIL</v>
      </c>
      <c r="J65">
        <f>IFERROR(_xlfn.MAXIFS(Delivery_Log!$A$4:$A$4998,Delivery_Log!$B$4:$B$4998,B65),"—")</f>
        <v>46143</v>
      </c>
      <c r="K65">
        <f t="shared" ca="1" si="6"/>
        <v>5</v>
      </c>
      <c r="L65" t="str">
        <f t="shared" ca="1" si="7"/>
        <v/>
      </c>
      <c r="M65" t="str">
        <f t="shared" ca="1" si="8"/>
        <v/>
      </c>
      <c r="N65" t="str">
        <f t="shared" ca="1" si="9"/>
        <v/>
      </c>
      <c r="O65" t="e">
        <f t="shared" ca="1" si="10"/>
        <v>#VALUE!</v>
      </c>
      <c r="P65" t="str">
        <f t="shared" ca="1" si="11"/>
        <v>—</v>
      </c>
      <c r="Q65">
        <f>COUNTIFS(Delivery_Log!$B$4:$B$5998,B65,Delivery_Log!$A$4:$A$5998,"&gt;="&amp;$Q$2)</f>
        <v>9</v>
      </c>
      <c r="S65" t="str">
        <f>IFERROR(_xlfn.XLOOKUP(B65,Client_List!$A$4:$A$200,Client_List!$S$4:$S$200,""),"")</f>
        <v/>
      </c>
      <c r="T65" t="str">
        <f>IFERROR(_xlfn.XLOOKUP(B65,Client_List!$A$4:$A$200,Client_List!$U$4:$U$200,""),"")</f>
        <v/>
      </c>
      <c r="U65" t="str">
        <f>IFERROR(IF(S65="","",IF(_xlfn.XLOOKUP(B65,Client_List!$A$4:$A$200,Client_List!$W$4:$W$200,999)&lt;=24,"LIVE",IF(_xlfn.XLOOKUP(B65,Client_List!$A$4:$A$200,Client_List!$W$4:$W$200,999)&lt;=72,"STALE","OLD"))),"")</f>
        <v/>
      </c>
    </row>
    <row r="66" spans="1:21" x14ac:dyDescent="0.2">
      <c r="A66">
        <v>61</v>
      </c>
      <c r="B66">
        <v>12048</v>
      </c>
      <c r="C66" t="s">
        <v>272</v>
      </c>
      <c r="D66" t="s">
        <v>51</v>
      </c>
      <c r="E66" t="str">
        <f>IFERROR(VLOOKUP(C66,Client_List!$B:$K,4,0)&amp;", "&amp;VLOOKUP(C66,Client_List!$B:$K,5,0)&amp;" AZ","")</f>
        <v>20751 N Pima Rd, Scottsdale AZ</v>
      </c>
      <c r="F66" t="str">
        <f>IFERROR(VLOOKUP(C66,Client_List!$B:$K,7,0)&amp;", "&amp;VLOOKUP(C66,Client_List!$B:$K,8,0),"")</f>
        <v>33.6755199, -111.8883288</v>
      </c>
      <c r="G66">
        <f>IFERROR(VLOOKUP(C66,Client_List!$B:$K,9,0),"")</f>
        <v>1050</v>
      </c>
      <c r="H66" t="str">
        <f>IFERROR(LOOKUP(2,1/((Delivery_Log!$B$4:$B$4998=B66)*(ISNUMBER(Delivery_Log!$J$4:$J$4998))*(Delivery_Log!$J$4:$J$4998&gt;0)),Delivery_Log!$J$4:$J$4998),"")</f>
        <v/>
      </c>
      <c r="I66" t="str">
        <f>IFERROR(VLOOKUP(C66,Client_List!$B:$K,10,0),"")</f>
        <v>CANOLA OIL</v>
      </c>
      <c r="J66">
        <f>IFERROR(_xlfn.MAXIFS(Delivery_Log!$A$4:$A$4998,Delivery_Log!$B$4:$B$4998,B66),"—")</f>
        <v>46143</v>
      </c>
      <c r="K66">
        <f t="shared" ca="1" si="6"/>
        <v>5</v>
      </c>
      <c r="L66" t="str">
        <f t="shared" ca="1" si="7"/>
        <v/>
      </c>
      <c r="M66" t="str">
        <f t="shared" ca="1" si="8"/>
        <v/>
      </c>
      <c r="N66" t="str">
        <f t="shared" ca="1" si="9"/>
        <v/>
      </c>
      <c r="O66" t="e">
        <f t="shared" ca="1" si="10"/>
        <v>#VALUE!</v>
      </c>
      <c r="P66" t="str">
        <f t="shared" ca="1" si="11"/>
        <v>—</v>
      </c>
      <c r="Q66">
        <f>COUNTIFS(Delivery_Log!$B$4:$B$5998,B66,Delivery_Log!$A$4:$A$5998,"&gt;="&amp;$Q$2)</f>
        <v>9</v>
      </c>
      <c r="S66" t="str">
        <f>IFERROR(_xlfn.XLOOKUP(B66,Client_List!$A$4:$A$200,Client_List!$S$4:$S$200,""),"")</f>
        <v/>
      </c>
      <c r="T66" t="str">
        <f>IFERROR(_xlfn.XLOOKUP(B66,Client_List!$A$4:$A$200,Client_List!$U$4:$U$200,""),"")</f>
        <v/>
      </c>
      <c r="U66" t="str">
        <f>IFERROR(IF(S66="","",IF(_xlfn.XLOOKUP(B66,Client_List!$A$4:$A$200,Client_List!$W$4:$W$200,999)&lt;=24,"LIVE",IF(_xlfn.XLOOKUP(B66,Client_List!$A$4:$A$200,Client_List!$W$4:$W$200,999)&lt;=72,"STALE","OLD"))),"")</f>
        <v/>
      </c>
    </row>
    <row r="67" spans="1:21" x14ac:dyDescent="0.2">
      <c r="A67">
        <v>62</v>
      </c>
      <c r="B67">
        <v>12025</v>
      </c>
      <c r="C67" t="s">
        <v>275</v>
      </c>
      <c r="D67" t="s">
        <v>51</v>
      </c>
      <c r="E67" t="str">
        <f>IFERROR(VLOOKUP(C67,Client_List!$B:$K,4,0)&amp;", "&amp;VLOOKUP(C67,Client_List!$B:$K,5,0)&amp;" AZ","")</f>
        <v>14950 N NORTHSIGHT BLVD, SCOTTSDALE AZ</v>
      </c>
      <c r="F67" t="str">
        <f>IFERROR(VLOOKUP(C67,Client_List!$B:$K,7,0)&amp;", "&amp;VLOOKUP(C67,Client_List!$B:$K,8,0),"")</f>
        <v>33.6216275, -111.8977823</v>
      </c>
      <c r="G67">
        <f>IFERROR(VLOOKUP(C67,Client_List!$B:$K,9,0),"")</f>
        <v>620</v>
      </c>
      <c r="H67" t="str">
        <f>IFERROR(LOOKUP(2,1/((Delivery_Log!$B$4:$B$4998=B67)*(ISNUMBER(Delivery_Log!$J$4:$J$4998))*(Delivery_Log!$J$4:$J$4998&gt;0)),Delivery_Log!$J$4:$J$4998),"")</f>
        <v/>
      </c>
      <c r="I67" t="str">
        <f>IFERROR(VLOOKUP(C67,Client_List!$B:$K,10,0),"")</f>
        <v>FRYERS CHOICE BLEND</v>
      </c>
      <c r="J67">
        <f>IFERROR(_xlfn.MAXIFS(Delivery_Log!$A$4:$A$4998,Delivery_Log!$B$4:$B$4998,B67),"—")</f>
        <v>46143</v>
      </c>
      <c r="K67">
        <f t="shared" ca="1" si="6"/>
        <v>5</v>
      </c>
      <c r="L67" t="str">
        <f t="shared" ca="1" si="7"/>
        <v/>
      </c>
      <c r="M67" t="str">
        <f t="shared" ca="1" si="8"/>
        <v/>
      </c>
      <c r="N67" t="str">
        <f t="shared" ca="1" si="9"/>
        <v/>
      </c>
      <c r="O67" t="e">
        <f t="shared" ca="1" si="10"/>
        <v>#VALUE!</v>
      </c>
      <c r="P67" t="str">
        <f t="shared" ca="1" si="11"/>
        <v>—</v>
      </c>
      <c r="Q67">
        <f>COUNTIFS(Delivery_Log!$B$4:$B$5998,B67,Delivery_Log!$A$4:$A$5998,"&gt;="&amp;$Q$2)</f>
        <v>9</v>
      </c>
      <c r="S67" t="str">
        <f>IFERROR(_xlfn.XLOOKUP(B67,Client_List!$A$4:$A$200,Client_List!$S$4:$S$200,""),"")</f>
        <v/>
      </c>
      <c r="T67" t="str">
        <f>IFERROR(_xlfn.XLOOKUP(B67,Client_List!$A$4:$A$200,Client_List!$U$4:$U$200,""),"")</f>
        <v/>
      </c>
      <c r="U67" t="str">
        <f>IFERROR(IF(S67="","",IF(_xlfn.XLOOKUP(B67,Client_List!$A$4:$A$200,Client_List!$W$4:$W$200,999)&lt;=24,"LIVE",IF(_xlfn.XLOOKUP(B67,Client_List!$A$4:$A$200,Client_List!$W$4:$W$200,999)&lt;=72,"STALE","OLD"))),"")</f>
        <v/>
      </c>
    </row>
    <row r="68" spans="1:21" x14ac:dyDescent="0.2">
      <c r="A68">
        <v>63</v>
      </c>
      <c r="B68">
        <v>12050</v>
      </c>
      <c r="C68" t="s">
        <v>278</v>
      </c>
      <c r="D68" t="s">
        <v>72</v>
      </c>
      <c r="E68" t="str">
        <f>IFERROR(VLOOKUP(C68,Client_List!$B:$K,4,0)&amp;", "&amp;VLOOKUP(C68,Client_List!$B:$K,5,0)&amp;" AZ","")</f>
        <v>6260 S 35TH AVE, PHOENIX AZ</v>
      </c>
      <c r="F68" t="str">
        <f>IFERROR(VLOOKUP(C68,Client_List!$B:$K,7,0)&amp;", "&amp;VLOOKUP(C68,Client_List!$B:$K,8,0),"")</f>
        <v>33.3893903, -112.1342691</v>
      </c>
      <c r="G68">
        <f>IFERROR(VLOOKUP(C68,Client_List!$B:$K,9,0),"")</f>
        <v>1050</v>
      </c>
      <c r="H68" t="str">
        <f>IFERROR(LOOKUP(2,1/((Delivery_Log!$B$4:$B$4998=B68)*(ISNUMBER(Delivery_Log!$J$4:$J$4998))*(Delivery_Log!$J$4:$J$4998&gt;0)),Delivery_Log!$J$4:$J$4998),"")</f>
        <v/>
      </c>
      <c r="I68" t="str">
        <f>IFERROR(VLOOKUP(C68,Client_List!$B:$K,10,0),"")</f>
        <v>CANOLA OIL</v>
      </c>
      <c r="J68">
        <f>IFERROR(_xlfn.MAXIFS(Delivery_Log!$A$4:$A$4998,Delivery_Log!$B$4:$B$4998,B68),"—")</f>
        <v>46141</v>
      </c>
      <c r="K68">
        <f t="shared" ca="1" si="6"/>
        <v>7</v>
      </c>
      <c r="L68" t="str">
        <f t="shared" ca="1" si="7"/>
        <v/>
      </c>
      <c r="M68" t="str">
        <f t="shared" ca="1" si="8"/>
        <v/>
      </c>
      <c r="N68" t="str">
        <f t="shared" ca="1" si="9"/>
        <v/>
      </c>
      <c r="O68" t="e">
        <f t="shared" ca="1" si="10"/>
        <v>#VALUE!</v>
      </c>
      <c r="P68" t="str">
        <f t="shared" ca="1" si="11"/>
        <v>—</v>
      </c>
      <c r="Q68">
        <f>COUNTIFS(Delivery_Log!$B$4:$B$5998,B68,Delivery_Log!$A$4:$A$5998,"&gt;="&amp;$Q$2)</f>
        <v>7</v>
      </c>
      <c r="S68" t="str">
        <f>IFERROR(_xlfn.XLOOKUP(B68,Client_List!$A$4:$A$200,Client_List!$S$4:$S$200,""),"")</f>
        <v/>
      </c>
      <c r="T68" t="str">
        <f>IFERROR(_xlfn.XLOOKUP(B68,Client_List!$A$4:$A$200,Client_List!$U$4:$U$200,""),"")</f>
        <v/>
      </c>
      <c r="U68" t="str">
        <f>IFERROR(IF(S68="","",IF(_xlfn.XLOOKUP(B68,Client_List!$A$4:$A$200,Client_List!$W$4:$W$200,999)&lt;=24,"LIVE",IF(_xlfn.XLOOKUP(B68,Client_List!$A$4:$A$200,Client_List!$W$4:$W$200,999)&lt;=72,"STALE","OLD"))),"")</f>
        <v/>
      </c>
    </row>
    <row r="69" spans="1:21" x14ac:dyDescent="0.2">
      <c r="A69">
        <v>64</v>
      </c>
      <c r="B69">
        <v>12051</v>
      </c>
      <c r="C69" t="s">
        <v>281</v>
      </c>
      <c r="D69" t="s">
        <v>38</v>
      </c>
      <c r="E69" t="str">
        <f>IFERROR(VLOOKUP(C69,Client_List!$B:$K,4,0)&amp;", "&amp;VLOOKUP(C69,Client_List!$B:$K,5,0)&amp;" AZ","")</f>
        <v>7625 W LOWER BUCKEYE RD, PHOENIX AZ</v>
      </c>
      <c r="F69" t="str">
        <f>IFERROR(VLOOKUP(C69,Client_List!$B:$K,7,0)&amp;", "&amp;VLOOKUP(C69,Client_List!$B:$K,8,0),"")</f>
        <v>33.4207294, -112.2242321</v>
      </c>
      <c r="G69">
        <f>IFERROR(VLOOKUP(C69,Client_List!$B:$K,9,0),"")</f>
        <v>1050</v>
      </c>
      <c r="H69" t="str">
        <f>IFERROR(LOOKUP(2,1/((Delivery_Log!$B$4:$B$4998=B69)*(ISNUMBER(Delivery_Log!$J$4:$J$4998))*(Delivery_Log!$J$4:$J$4998&gt;0)),Delivery_Log!$J$4:$J$4998),"")</f>
        <v/>
      </c>
      <c r="I69" t="str">
        <f>IFERROR(VLOOKUP(C69,Client_List!$B:$K,10,0),"")</f>
        <v>CANOLA OIL</v>
      </c>
      <c r="J69">
        <f>IFERROR(_xlfn.MAXIFS(Delivery_Log!$A$4:$A$4998,Delivery_Log!$B$4:$B$4998,B69),"—")</f>
        <v>46136</v>
      </c>
      <c r="K69">
        <f t="shared" ca="1" si="6"/>
        <v>12</v>
      </c>
      <c r="L69" t="str">
        <f t="shared" ca="1" si="7"/>
        <v/>
      </c>
      <c r="M69" t="str">
        <f t="shared" ca="1" si="8"/>
        <v/>
      </c>
      <c r="N69" t="str">
        <f t="shared" ca="1" si="9"/>
        <v/>
      </c>
      <c r="O69" t="e">
        <f t="shared" ca="1" si="10"/>
        <v>#VALUE!</v>
      </c>
      <c r="P69" t="str">
        <f t="shared" ca="1" si="11"/>
        <v>—</v>
      </c>
      <c r="Q69">
        <f>COUNTIFS(Delivery_Log!$B$4:$B$5998,B69,Delivery_Log!$A$4:$A$5998,"&gt;="&amp;$Q$2)</f>
        <v>6</v>
      </c>
      <c r="S69" t="str">
        <f>IFERROR(_xlfn.XLOOKUP(B69,Client_List!$A$4:$A$200,Client_List!$S$4:$S$200,""),"")</f>
        <v/>
      </c>
      <c r="T69" t="str">
        <f>IFERROR(_xlfn.XLOOKUP(B69,Client_List!$A$4:$A$200,Client_List!$U$4:$U$200,""),"")</f>
        <v/>
      </c>
      <c r="U69" t="str">
        <f>IFERROR(IF(S69="","",IF(_xlfn.XLOOKUP(B69,Client_List!$A$4:$A$200,Client_List!$W$4:$W$200,999)&lt;=24,"LIVE",IF(_xlfn.XLOOKUP(B69,Client_List!$A$4:$A$200,Client_List!$W$4:$W$200,999)&lt;=72,"STALE","OLD"))),"")</f>
        <v/>
      </c>
    </row>
    <row r="70" spans="1:21" x14ac:dyDescent="0.2">
      <c r="A70">
        <v>65</v>
      </c>
      <c r="B70">
        <v>12009</v>
      </c>
      <c r="C70" t="s">
        <v>285</v>
      </c>
      <c r="D70" t="s">
        <v>38</v>
      </c>
      <c r="E70" t="str">
        <f>IFERROR(VLOOKUP(C70,Client_List!$B:$K,4,0)&amp;", "&amp;VLOOKUP(C70,Client_List!$B:$K,5,0)&amp;" AZ","")</f>
        <v>7415 W Thomas Rd, Phoenix AZ</v>
      </c>
      <c r="F70" t="str">
        <f>IFERROR(VLOOKUP(C70,Client_List!$B:$K,7,0)&amp;", "&amp;VLOOKUP(C70,Client_List!$B:$K,8,0),"")</f>
        <v>33.4796805, -112.219328</v>
      </c>
      <c r="G70">
        <f>IFERROR(VLOOKUP(C70,Client_List!$B:$K,9,0),"")</f>
        <v>700</v>
      </c>
      <c r="H70" t="str">
        <f>IFERROR(LOOKUP(2,1/((Delivery_Log!$B$4:$B$4998=B70)*(ISNUMBER(Delivery_Log!$J$4:$J$4998))*(Delivery_Log!$J$4:$J$4998&gt;0)),Delivery_Log!$J$4:$J$4998),"")</f>
        <v/>
      </c>
      <c r="I70" t="str">
        <f>IFERROR(VLOOKUP(C70,Client_List!$B:$K,10,0),"")</f>
        <v>CANOLA OIL</v>
      </c>
      <c r="J70">
        <f>IFERROR(_xlfn.MAXIFS(Delivery_Log!$A$4:$A$4998,Delivery_Log!$B$4:$B$4998,B70),"—")</f>
        <v>46142</v>
      </c>
      <c r="K70">
        <f t="shared" ref="K70:K101" ca="1" si="12">IFERROR(IF(J70="—","",TODAY()-J70),"")</f>
        <v>6</v>
      </c>
      <c r="L70" t="str">
        <f t="shared" ref="L70:L101" ca="1" si="13">IFERROR(IF(OR(K70="",H70=""),"",MAX(G70*0.03,G70-K70*H70)),"")</f>
        <v/>
      </c>
      <c r="M70" t="str">
        <f t="shared" ref="M70:M101" ca="1" si="14">IFERROR(IF(L70="","",G70-L70),"")</f>
        <v/>
      </c>
      <c r="N70" t="str">
        <f t="shared" ref="N70:N101" ca="1" si="15">IFERROR(IF(OR(L70="",H70=""),"",MIN(21,MAX(0,(L70-G70*$C$2)/H70))),"")</f>
        <v/>
      </c>
      <c r="O70" t="e">
        <f t="shared" ref="O70:O101" ca="1" si="16">TODAY()+ROUNDUP(N70,0)</f>
        <v>#VALUE!</v>
      </c>
      <c r="P70" t="str">
        <f t="shared" ref="P70:P101" ca="1" si="17">IFERROR(IF(N70="","—",IF(N70&lt;=$E$2,"YES","—")),"—")</f>
        <v>—</v>
      </c>
      <c r="Q70">
        <f>COUNTIFS(Delivery_Log!$B$4:$B$5998,B70,Delivery_Log!$A$4:$A$5998,"&gt;="&amp;$Q$2)</f>
        <v>5</v>
      </c>
      <c r="S70" t="str">
        <f>IFERROR(_xlfn.XLOOKUP(B70,Client_List!$A$4:$A$200,Client_List!$S$4:$S$200,""),"")</f>
        <v/>
      </c>
      <c r="T70" t="str">
        <f>IFERROR(_xlfn.XLOOKUP(B70,Client_List!$A$4:$A$200,Client_List!$U$4:$U$200,""),"")</f>
        <v/>
      </c>
      <c r="U70" t="str">
        <f>IFERROR(IF(S70="","",IF(_xlfn.XLOOKUP(B70,Client_List!$A$4:$A$200,Client_List!$W$4:$W$200,999)&lt;=24,"LIVE",IF(_xlfn.XLOOKUP(B70,Client_List!$A$4:$A$200,Client_List!$W$4:$W$200,999)&lt;=72,"STALE","OLD"))),"")</f>
        <v/>
      </c>
    </row>
    <row r="71" spans="1:21" x14ac:dyDescent="0.2">
      <c r="A71">
        <v>66</v>
      </c>
      <c r="B71">
        <v>13057</v>
      </c>
      <c r="C71" t="s">
        <v>288</v>
      </c>
      <c r="D71" t="s">
        <v>51</v>
      </c>
      <c r="E71" t="str">
        <f>IFERROR(VLOOKUP(C71,Client_List!$B:$K,4,0)&amp;", "&amp;VLOOKUP(C71,Client_List!$B:$K,5,0)&amp;" AZ","")</f>
        <v>4210 S Arizona Ave, Chandler AZ</v>
      </c>
      <c r="F71" t="str">
        <f>IFERROR(VLOOKUP(C71,Client_List!$B:$K,7,0)&amp;", "&amp;VLOOKUP(C71,Client_List!$B:$K,8,0),"")</f>
        <v>33.245573, -111.842597</v>
      </c>
      <c r="G71">
        <f>IFERROR(VLOOKUP(C71,Client_List!$B:$K,9,0),"")</f>
        <v>950</v>
      </c>
      <c r="H71" t="str">
        <f>IFERROR(LOOKUP(2,1/((Delivery_Log!$B$4:$B$4998=B71)*(ISNUMBER(Delivery_Log!$J$4:$J$4998))*(Delivery_Log!$J$4:$J$4998&gt;0)),Delivery_Log!$J$4:$J$4998),"")</f>
        <v/>
      </c>
      <c r="I71" t="str">
        <f>IFERROR(VLOOKUP(C71,Client_List!$B:$K,10,0),"")</f>
        <v>CANOLA OIL</v>
      </c>
      <c r="J71">
        <f>IFERROR(_xlfn.MAXIFS(Delivery_Log!$A$4:$A$4998,Delivery_Log!$B$4:$B$4998,B71),"—")</f>
        <v>46142</v>
      </c>
      <c r="K71">
        <f t="shared" ca="1" si="12"/>
        <v>6</v>
      </c>
      <c r="L71" t="str">
        <f t="shared" ca="1" si="13"/>
        <v/>
      </c>
      <c r="M71" t="str">
        <f t="shared" ca="1" si="14"/>
        <v/>
      </c>
      <c r="N71" t="str">
        <f t="shared" ca="1" si="15"/>
        <v/>
      </c>
      <c r="O71" t="e">
        <f t="shared" ca="1" si="16"/>
        <v>#VALUE!</v>
      </c>
      <c r="P71" t="str">
        <f t="shared" ca="1" si="17"/>
        <v>—</v>
      </c>
      <c r="Q71">
        <f>COUNTIFS(Delivery_Log!$B$4:$B$5998,B71,Delivery_Log!$A$4:$A$5998,"&gt;="&amp;$Q$2)</f>
        <v>9</v>
      </c>
      <c r="S71" t="str">
        <f>IFERROR(_xlfn.XLOOKUP(B71,Client_List!$A$4:$A$200,Client_List!$S$4:$S$200,""),"")</f>
        <v/>
      </c>
      <c r="T71" t="str">
        <f>IFERROR(_xlfn.XLOOKUP(B71,Client_List!$A$4:$A$200,Client_List!$U$4:$U$200,""),"")</f>
        <v/>
      </c>
      <c r="U71" t="str">
        <f>IFERROR(IF(S71="","",IF(_xlfn.XLOOKUP(B71,Client_List!$A$4:$A$200,Client_List!$W$4:$W$200,999)&lt;=24,"LIVE",IF(_xlfn.XLOOKUP(B71,Client_List!$A$4:$A$200,Client_List!$W$4:$W$200,999)&lt;=72,"STALE","OLD"))),"")</f>
        <v/>
      </c>
    </row>
    <row r="72" spans="1:21" x14ac:dyDescent="0.2">
      <c r="A72">
        <v>67</v>
      </c>
      <c r="B72">
        <v>13069</v>
      </c>
      <c r="C72" t="s">
        <v>290</v>
      </c>
      <c r="D72" t="s">
        <v>72</v>
      </c>
      <c r="E72" t="str">
        <f>IFERROR(VLOOKUP(C72,Client_List!$B:$K,4,0)&amp;", "&amp;VLOOKUP(C72,Client_List!$B:$K,5,0)&amp;" AZ","")</f>
        <v>3131 E Shea Blvd, Phoenix AZ</v>
      </c>
      <c r="F72" t="str">
        <f>IFERROR(VLOOKUP(C72,Client_List!$B:$K,7,0)&amp;", "&amp;VLOOKUP(C72,Client_List!$B:$K,8,0),"")</f>
        <v>33.582157, -112.0140438</v>
      </c>
      <c r="G72">
        <f>IFERROR(VLOOKUP(C72,Client_List!$B:$K,9,0),"")</f>
        <v>900</v>
      </c>
      <c r="H72" t="str">
        <f>IFERROR(LOOKUP(2,1/((Delivery_Log!$B$4:$B$4998=B72)*(ISNUMBER(Delivery_Log!$J$4:$J$4998))*(Delivery_Log!$J$4:$J$4998&gt;0)),Delivery_Log!$J$4:$J$4998),"")</f>
        <v/>
      </c>
      <c r="I72" t="str">
        <f>IFERROR(VLOOKUP(C72,Client_List!$B:$K,10,0),"")</f>
        <v>CANOLA OIL</v>
      </c>
      <c r="J72">
        <f>IFERROR(_xlfn.MAXIFS(Delivery_Log!$A$4:$A$4998,Delivery_Log!$B$4:$B$4998,B72),"—")</f>
        <v>46140</v>
      </c>
      <c r="K72">
        <f t="shared" ca="1" si="12"/>
        <v>8</v>
      </c>
      <c r="L72" t="str">
        <f t="shared" ca="1" si="13"/>
        <v/>
      </c>
      <c r="M72" t="str">
        <f t="shared" ca="1" si="14"/>
        <v/>
      </c>
      <c r="N72" t="str">
        <f t="shared" ca="1" si="15"/>
        <v/>
      </c>
      <c r="O72" t="e">
        <f t="shared" ca="1" si="16"/>
        <v>#VALUE!</v>
      </c>
      <c r="P72" t="str">
        <f t="shared" ca="1" si="17"/>
        <v>—</v>
      </c>
      <c r="Q72">
        <f>COUNTIFS(Delivery_Log!$B$4:$B$5998,B72,Delivery_Log!$A$4:$A$5998,"&gt;="&amp;$Q$2)</f>
        <v>5</v>
      </c>
      <c r="S72" t="str">
        <f>IFERROR(_xlfn.XLOOKUP(B72,Client_List!$A$4:$A$200,Client_List!$S$4:$S$200,""),"")</f>
        <v/>
      </c>
      <c r="T72" t="str">
        <f>IFERROR(_xlfn.XLOOKUP(B72,Client_List!$A$4:$A$200,Client_List!$U$4:$U$200,""),"")</f>
        <v/>
      </c>
      <c r="U72" t="str">
        <f>IFERROR(IF(S72="","",IF(_xlfn.XLOOKUP(B72,Client_List!$A$4:$A$200,Client_List!$W$4:$W$200,999)&lt;=24,"LIVE",IF(_xlfn.XLOOKUP(B72,Client_List!$A$4:$A$200,Client_List!$W$4:$W$200,999)&lt;=72,"STALE","OLD"))),"")</f>
        <v/>
      </c>
    </row>
    <row r="73" spans="1:21" x14ac:dyDescent="0.2">
      <c r="A73">
        <v>68</v>
      </c>
      <c r="B73">
        <v>13012</v>
      </c>
      <c r="C73" t="s">
        <v>292</v>
      </c>
      <c r="D73" t="s">
        <v>63</v>
      </c>
      <c r="E73" t="str">
        <f>IFERROR(VLOOKUP(C73,Client_List!$B:$K,4,0)&amp;", "&amp;VLOOKUP(C73,Client_List!$B:$K,5,0)&amp;" AZ","")</f>
        <v>MANUEL MCDOWELL, Goodyear AZ</v>
      </c>
      <c r="F73" t="str">
        <f>IFERROR(VLOOKUP(C73,Client_List!$B:$K,7,0)&amp;", "&amp;VLOOKUP(C73,Client_List!$B:$K,8,0),"")</f>
        <v>33.4630917, -112.3456586</v>
      </c>
      <c r="G73">
        <f>IFERROR(VLOOKUP(C73,Client_List!$B:$K,9,0),"")</f>
        <v>950</v>
      </c>
      <c r="H73" t="str">
        <f>IFERROR(LOOKUP(2,1/((Delivery_Log!$B$4:$B$4998=B73)*(ISNUMBER(Delivery_Log!$J$4:$J$4998))*(Delivery_Log!$J$4:$J$4998&gt;0)),Delivery_Log!$J$4:$J$4998),"")</f>
        <v/>
      </c>
      <c r="I73" t="str">
        <f>IFERROR(VLOOKUP(C73,Client_List!$B:$K,10,0),"")</f>
        <v>CANOLA OIL</v>
      </c>
      <c r="J73">
        <f>IFERROR(_xlfn.MAXIFS(Delivery_Log!$A$4:$A$4998,Delivery_Log!$B$4:$B$4998,B73),"—")</f>
        <v>46144</v>
      </c>
      <c r="K73">
        <f t="shared" ca="1" si="12"/>
        <v>4</v>
      </c>
      <c r="L73" t="str">
        <f t="shared" ca="1" si="13"/>
        <v/>
      </c>
      <c r="M73" t="str">
        <f t="shared" ca="1" si="14"/>
        <v/>
      </c>
      <c r="N73" t="str">
        <f t="shared" ca="1" si="15"/>
        <v/>
      </c>
      <c r="O73" t="e">
        <f t="shared" ca="1" si="16"/>
        <v>#VALUE!</v>
      </c>
      <c r="P73" t="str">
        <f t="shared" ca="1" si="17"/>
        <v>—</v>
      </c>
      <c r="Q73">
        <f>COUNTIFS(Delivery_Log!$B$4:$B$5998,B73,Delivery_Log!$A$4:$A$5998,"&gt;="&amp;$Q$2)</f>
        <v>13</v>
      </c>
      <c r="S73" t="str">
        <f>IFERROR(_xlfn.XLOOKUP(B73,Client_List!$A$4:$A$200,Client_List!$S$4:$S$200,""),"")</f>
        <v/>
      </c>
      <c r="T73" t="str">
        <f>IFERROR(_xlfn.XLOOKUP(B73,Client_List!$A$4:$A$200,Client_List!$U$4:$U$200,""),"")</f>
        <v/>
      </c>
      <c r="U73" t="str">
        <f>IFERROR(IF(S73="","",IF(_xlfn.XLOOKUP(B73,Client_List!$A$4:$A$200,Client_List!$W$4:$W$200,999)&lt;=24,"LIVE",IF(_xlfn.XLOOKUP(B73,Client_List!$A$4:$A$200,Client_List!$W$4:$W$200,999)&lt;=72,"STALE","OLD"))),"")</f>
        <v/>
      </c>
    </row>
    <row r="74" spans="1:21" x14ac:dyDescent="0.2">
      <c r="A74">
        <v>69</v>
      </c>
      <c r="B74">
        <v>13011</v>
      </c>
      <c r="C74" t="s">
        <v>295</v>
      </c>
      <c r="D74" t="s">
        <v>72</v>
      </c>
      <c r="E74" t="str">
        <f>IFERROR(VLOOKUP(C74,Client_List!$B:$K,4,0)&amp;", "&amp;VLOOKUP(C74,Client_List!$B:$K,5,0)&amp;" AZ","")</f>
        <v>2820 E Indian School Rd, Phoenix AZ</v>
      </c>
      <c r="F74" t="str">
        <f>IFERROR(VLOOKUP(C74,Client_List!$B:$K,7,0)&amp;", "&amp;VLOOKUP(C74,Client_List!$B:$K,8,0),"")</f>
        <v>33.4953188, -112.0207629</v>
      </c>
      <c r="G74">
        <f>IFERROR(VLOOKUP(C74,Client_List!$B:$K,9,0),"")</f>
        <v>1000</v>
      </c>
      <c r="H74" t="str">
        <f>IFERROR(LOOKUP(2,1/((Delivery_Log!$B$4:$B$4998=B74)*(ISNUMBER(Delivery_Log!$J$4:$J$4998))*(Delivery_Log!$J$4:$J$4998&gt;0)),Delivery_Log!$J$4:$J$4998),"")</f>
        <v/>
      </c>
      <c r="I74" t="str">
        <f>IFERROR(VLOOKUP(C74,Client_List!$B:$K,10,0),"")</f>
        <v>CANOLA OIL</v>
      </c>
      <c r="J74">
        <f>IFERROR(_xlfn.MAXIFS(Delivery_Log!$A$4:$A$4998,Delivery_Log!$B$4:$B$4998,B74),"—")</f>
        <v>46136</v>
      </c>
      <c r="K74">
        <f t="shared" ca="1" si="12"/>
        <v>12</v>
      </c>
      <c r="L74" t="str">
        <f t="shared" ca="1" si="13"/>
        <v/>
      </c>
      <c r="M74" t="str">
        <f t="shared" ca="1" si="14"/>
        <v/>
      </c>
      <c r="N74" t="str">
        <f t="shared" ca="1" si="15"/>
        <v/>
      </c>
      <c r="O74" t="e">
        <f t="shared" ca="1" si="16"/>
        <v>#VALUE!</v>
      </c>
      <c r="P74" t="str">
        <f t="shared" ca="1" si="17"/>
        <v>—</v>
      </c>
      <c r="Q74">
        <f>COUNTIFS(Delivery_Log!$B$4:$B$5998,B74,Delivery_Log!$A$4:$A$5998,"&gt;="&amp;$Q$2)</f>
        <v>8</v>
      </c>
      <c r="S74" t="str">
        <f>IFERROR(_xlfn.XLOOKUP(B74,Client_List!$A$4:$A$200,Client_List!$S$4:$S$200,""),"")</f>
        <v/>
      </c>
      <c r="T74" t="str">
        <f>IFERROR(_xlfn.XLOOKUP(B74,Client_List!$A$4:$A$200,Client_List!$U$4:$U$200,""),"")</f>
        <v/>
      </c>
      <c r="U74" t="str">
        <f>IFERROR(IF(S74="","",IF(_xlfn.XLOOKUP(B74,Client_List!$A$4:$A$200,Client_List!$W$4:$W$200,999)&lt;=24,"LIVE",IF(_xlfn.XLOOKUP(B74,Client_List!$A$4:$A$200,Client_List!$W$4:$W$200,999)&lt;=72,"STALE","OLD"))),"")</f>
        <v/>
      </c>
    </row>
    <row r="75" spans="1:21" x14ac:dyDescent="0.2">
      <c r="A75">
        <v>70</v>
      </c>
      <c r="B75">
        <v>13009</v>
      </c>
      <c r="C75" t="s">
        <v>298</v>
      </c>
      <c r="D75" t="s">
        <v>72</v>
      </c>
      <c r="E75" t="str">
        <f>IFERROR(VLOOKUP(C75,Client_List!$B:$K,4,0)&amp;", "&amp;VLOOKUP(C75,Client_List!$B:$K,5,0)&amp;" AZ","")</f>
        <v>MANUEL BELL, PHOENIX AZ</v>
      </c>
      <c r="F75" t="str">
        <f>IFERROR(VLOOKUP(C75,Client_List!$B:$K,7,0)&amp;", "&amp;VLOOKUP(C75,Client_List!$B:$K,8,0),"")</f>
        <v>33.6397742, -112.0877381</v>
      </c>
      <c r="G75">
        <f>IFERROR(VLOOKUP(C75,Client_List!$B:$K,9,0),"")</f>
        <v>1050</v>
      </c>
      <c r="H75" t="str">
        <f>IFERROR(LOOKUP(2,1/((Delivery_Log!$B$4:$B$4998=B75)*(ISNUMBER(Delivery_Log!$J$4:$J$4998))*(Delivery_Log!$J$4:$J$4998&gt;0)),Delivery_Log!$J$4:$J$4998),"")</f>
        <v/>
      </c>
      <c r="I75" t="str">
        <f>IFERROR(VLOOKUP(C75,Client_List!$B:$K,10,0),"")</f>
        <v>CANOLA OIL</v>
      </c>
      <c r="J75">
        <f>IFERROR(_xlfn.MAXIFS(Delivery_Log!$A$4:$A$4998,Delivery_Log!$B$4:$B$4998,B75),"—")</f>
        <v>46141</v>
      </c>
      <c r="K75">
        <f t="shared" ca="1" si="12"/>
        <v>7</v>
      </c>
      <c r="L75" t="str">
        <f t="shared" ca="1" si="13"/>
        <v/>
      </c>
      <c r="M75" t="str">
        <f t="shared" ca="1" si="14"/>
        <v/>
      </c>
      <c r="N75" t="str">
        <f t="shared" ca="1" si="15"/>
        <v/>
      </c>
      <c r="O75" t="e">
        <f t="shared" ca="1" si="16"/>
        <v>#VALUE!</v>
      </c>
      <c r="P75" t="str">
        <f t="shared" ca="1" si="17"/>
        <v>—</v>
      </c>
      <c r="Q75">
        <f>COUNTIFS(Delivery_Log!$B$4:$B$5998,B75,Delivery_Log!$A$4:$A$5998,"&gt;="&amp;$Q$2)</f>
        <v>13</v>
      </c>
      <c r="S75" t="str">
        <f>IFERROR(_xlfn.XLOOKUP(B75,Client_List!$A$4:$A$200,Client_List!$S$4:$S$200,""),"")</f>
        <v/>
      </c>
      <c r="T75" t="str">
        <f>IFERROR(_xlfn.XLOOKUP(B75,Client_List!$A$4:$A$200,Client_List!$U$4:$U$200,""),"")</f>
        <v/>
      </c>
      <c r="U75" t="str">
        <f>IFERROR(IF(S75="","",IF(_xlfn.XLOOKUP(B75,Client_List!$A$4:$A$200,Client_List!$W$4:$W$200,999)&lt;=24,"LIVE",IF(_xlfn.XLOOKUP(B75,Client_List!$A$4:$A$200,Client_List!$W$4:$W$200,999)&lt;=72,"STALE","OLD"))),"")</f>
        <v/>
      </c>
    </row>
    <row r="76" spans="1:21" x14ac:dyDescent="0.2">
      <c r="A76">
        <v>71</v>
      </c>
      <c r="B76">
        <v>13015</v>
      </c>
      <c r="C76" t="s">
        <v>301</v>
      </c>
      <c r="D76" t="s">
        <v>51</v>
      </c>
      <c r="E76" t="str">
        <f>IFERROR(VLOOKUP(C76,Client_List!$B:$K,4,0)&amp;", "&amp;VLOOKUP(C76,Client_List!$B:$K,5,0)&amp;" AZ","")</f>
        <v>2350 E Southern Ave, Tempe AZ</v>
      </c>
      <c r="F76" t="str">
        <f>IFERROR(VLOOKUP(C76,Client_List!$B:$K,7,0)&amp;", "&amp;VLOOKUP(C76,Client_List!$B:$K,8,0),"")</f>
        <v>33.393508, -111.8882568</v>
      </c>
      <c r="G76">
        <f>IFERROR(VLOOKUP(C76,Client_List!$B:$K,9,0),"")</f>
        <v>950</v>
      </c>
      <c r="H76" t="str">
        <f>IFERROR(LOOKUP(2,1/((Delivery_Log!$B$4:$B$4998=B76)*(ISNUMBER(Delivery_Log!$J$4:$J$4998))*(Delivery_Log!$J$4:$J$4998&gt;0)),Delivery_Log!$J$4:$J$4998),"")</f>
        <v/>
      </c>
      <c r="I76" t="str">
        <f>IFERROR(VLOOKUP(C76,Client_List!$B:$K,10,0),"")</f>
        <v>CANOLA OIL</v>
      </c>
      <c r="J76">
        <f>IFERROR(_xlfn.MAXIFS(Delivery_Log!$A$4:$A$4998,Delivery_Log!$B$4:$B$4998,B76),"—")</f>
        <v>46144</v>
      </c>
      <c r="K76">
        <f t="shared" ca="1" si="12"/>
        <v>4</v>
      </c>
      <c r="L76" t="str">
        <f t="shared" ca="1" si="13"/>
        <v/>
      </c>
      <c r="M76" t="str">
        <f t="shared" ca="1" si="14"/>
        <v/>
      </c>
      <c r="N76" t="str">
        <f t="shared" ca="1" si="15"/>
        <v/>
      </c>
      <c r="O76" t="e">
        <f t="shared" ca="1" si="16"/>
        <v>#VALUE!</v>
      </c>
      <c r="P76" t="str">
        <f t="shared" ca="1" si="17"/>
        <v>—</v>
      </c>
      <c r="Q76">
        <f>COUNTIFS(Delivery_Log!$B$4:$B$5998,B76,Delivery_Log!$A$4:$A$5998,"&gt;="&amp;$Q$2)</f>
        <v>14</v>
      </c>
      <c r="S76" t="str">
        <f>IFERROR(_xlfn.XLOOKUP(B76,Client_List!$A$4:$A$200,Client_List!$S$4:$S$200,""),"")</f>
        <v/>
      </c>
      <c r="T76" t="str">
        <f>IFERROR(_xlfn.XLOOKUP(B76,Client_List!$A$4:$A$200,Client_List!$U$4:$U$200,""),"")</f>
        <v/>
      </c>
      <c r="U76" t="str">
        <f>IFERROR(IF(S76="","",IF(_xlfn.XLOOKUP(B76,Client_List!$A$4:$A$200,Client_List!$W$4:$W$200,999)&lt;=24,"LIVE",IF(_xlfn.XLOOKUP(B76,Client_List!$A$4:$A$200,Client_List!$W$4:$W$200,999)&lt;=72,"STALE","OLD"))),"")</f>
        <v/>
      </c>
    </row>
    <row r="77" spans="1:21" x14ac:dyDescent="0.2">
      <c r="A77">
        <v>72</v>
      </c>
      <c r="B77">
        <v>13014</v>
      </c>
      <c r="C77" t="s">
        <v>304</v>
      </c>
      <c r="D77" t="s">
        <v>51</v>
      </c>
      <c r="E77" t="str">
        <f>IFERROR(VLOOKUP(C77,Client_List!$B:$K,4,0)&amp;", "&amp;VLOOKUP(C77,Client_List!$B:$K,5,0)&amp;" AZ","")</f>
        <v>8809 E Mountain View Rd, Scottsdale AZ</v>
      </c>
      <c r="F77" t="str">
        <f>IFERROR(VLOOKUP(C77,Client_List!$B:$K,7,0)&amp;", "&amp;VLOOKUP(C77,Client_List!$B:$K,8,0),"")</f>
        <v>33.5750337, -111.8882476</v>
      </c>
      <c r="G77">
        <f>IFERROR(VLOOKUP(C77,Client_List!$B:$K,9,0),"")</f>
        <v>900</v>
      </c>
      <c r="H77" t="str">
        <f>IFERROR(LOOKUP(2,1/((Delivery_Log!$B$4:$B$4998=B77)*(ISNUMBER(Delivery_Log!$J$4:$J$4998))*(Delivery_Log!$J$4:$J$4998&gt;0)),Delivery_Log!$J$4:$J$4998),"")</f>
        <v/>
      </c>
      <c r="I77" t="str">
        <f>IFERROR(VLOOKUP(C77,Client_List!$B:$K,10,0),"")</f>
        <v>CANOLA OIL</v>
      </c>
      <c r="J77">
        <f>IFERROR(_xlfn.MAXIFS(Delivery_Log!$A$4:$A$4998,Delivery_Log!$B$4:$B$4998,B77),"—")</f>
        <v>46137</v>
      </c>
      <c r="K77">
        <f t="shared" ca="1" si="12"/>
        <v>11</v>
      </c>
      <c r="L77" t="str">
        <f t="shared" ca="1" si="13"/>
        <v/>
      </c>
      <c r="M77" t="str">
        <f t="shared" ca="1" si="14"/>
        <v/>
      </c>
      <c r="N77" t="str">
        <f t="shared" ca="1" si="15"/>
        <v/>
      </c>
      <c r="O77" t="e">
        <f t="shared" ca="1" si="16"/>
        <v>#VALUE!</v>
      </c>
      <c r="P77" t="str">
        <f t="shared" ca="1" si="17"/>
        <v>—</v>
      </c>
      <c r="Q77">
        <f>COUNTIFS(Delivery_Log!$B$4:$B$5998,B77,Delivery_Log!$A$4:$A$5998,"&gt;="&amp;$Q$2)</f>
        <v>8</v>
      </c>
      <c r="S77" t="str">
        <f>IFERROR(_xlfn.XLOOKUP(B77,Client_List!$A$4:$A$200,Client_List!$S$4:$S$200,""),"")</f>
        <v/>
      </c>
      <c r="T77" t="str">
        <f>IFERROR(_xlfn.XLOOKUP(B77,Client_List!$A$4:$A$200,Client_List!$U$4:$U$200,""),"")</f>
        <v/>
      </c>
      <c r="U77" t="str">
        <f>IFERROR(IF(S77="","",IF(_xlfn.XLOOKUP(B77,Client_List!$A$4:$A$200,Client_List!$W$4:$W$200,999)&lt;=24,"LIVE",IF(_xlfn.XLOOKUP(B77,Client_List!$A$4:$A$200,Client_List!$W$4:$W$200,999)&lt;=72,"STALE","OLD"))),"")</f>
        <v/>
      </c>
    </row>
    <row r="78" spans="1:21" x14ac:dyDescent="0.2">
      <c r="A78">
        <v>73</v>
      </c>
      <c r="B78">
        <v>13013</v>
      </c>
      <c r="C78" t="s">
        <v>307</v>
      </c>
      <c r="D78" t="s">
        <v>38</v>
      </c>
      <c r="E78" t="str">
        <f>IFERROR(VLOOKUP(C78,Client_List!$B:$K,4,0)&amp;", "&amp;VLOOKUP(C78,Client_List!$B:$K,5,0)&amp;" AZ","")</f>
        <v>MANUEL PEORIA, GLENDALE AZ</v>
      </c>
      <c r="F78" t="str">
        <f>IFERROR(VLOOKUP(C78,Client_List!$B:$K,7,0)&amp;", "&amp;VLOOKUP(C78,Client_List!$B:$K,8,0),"")</f>
        <v>33.5822996, -112.1807082</v>
      </c>
      <c r="G78">
        <f>IFERROR(VLOOKUP(C78,Client_List!$B:$K,9,0),"")</f>
        <v>1050</v>
      </c>
      <c r="H78" t="str">
        <f>IFERROR(LOOKUP(2,1/((Delivery_Log!$B$4:$B$4998=B78)*(ISNUMBER(Delivery_Log!$J$4:$J$4998))*(Delivery_Log!$J$4:$J$4998&gt;0)),Delivery_Log!$J$4:$J$4998),"")</f>
        <v/>
      </c>
      <c r="I78" t="str">
        <f>IFERROR(VLOOKUP(C78,Client_List!$B:$K,10,0),"")</f>
        <v>CANOLA OIL</v>
      </c>
      <c r="J78">
        <f>IFERROR(_xlfn.MAXIFS(Delivery_Log!$A$4:$A$4998,Delivery_Log!$B$4:$B$4998,B78),"—")</f>
        <v>46141</v>
      </c>
      <c r="K78">
        <f t="shared" ca="1" si="12"/>
        <v>7</v>
      </c>
      <c r="L78" t="str">
        <f t="shared" ca="1" si="13"/>
        <v/>
      </c>
      <c r="M78" t="str">
        <f t="shared" ca="1" si="14"/>
        <v/>
      </c>
      <c r="N78" t="str">
        <f t="shared" ca="1" si="15"/>
        <v/>
      </c>
      <c r="O78" t="e">
        <f t="shared" ca="1" si="16"/>
        <v>#VALUE!</v>
      </c>
      <c r="P78" t="str">
        <f t="shared" ca="1" si="17"/>
        <v>—</v>
      </c>
      <c r="Q78">
        <f>COUNTIFS(Delivery_Log!$B$4:$B$5998,B78,Delivery_Log!$A$4:$A$5998,"&gt;="&amp;$Q$2)</f>
        <v>18</v>
      </c>
      <c r="S78" t="str">
        <f>IFERROR(_xlfn.XLOOKUP(B78,Client_List!$A$4:$A$200,Client_List!$S$4:$S$200,""),"")</f>
        <v/>
      </c>
      <c r="T78" t="str">
        <f>IFERROR(_xlfn.XLOOKUP(B78,Client_List!$A$4:$A$200,Client_List!$U$4:$U$200,""),"")</f>
        <v/>
      </c>
      <c r="U78" t="str">
        <f>IFERROR(IF(S78="","",IF(_xlfn.XLOOKUP(B78,Client_List!$A$4:$A$200,Client_List!$W$4:$W$200,999)&lt;=24,"LIVE",IF(_xlfn.XLOOKUP(B78,Client_List!$A$4:$A$200,Client_List!$W$4:$W$200,999)&lt;=72,"STALE","OLD"))),"")</f>
        <v/>
      </c>
    </row>
    <row r="79" spans="1:21" x14ac:dyDescent="0.2">
      <c r="A79">
        <v>74</v>
      </c>
      <c r="B79">
        <v>13086</v>
      </c>
      <c r="C79" t="s">
        <v>310</v>
      </c>
      <c r="D79" t="s">
        <v>51</v>
      </c>
      <c r="E79" t="str">
        <f>IFERROR(VLOOKUP(C79,Client_List!$B:$K,4,0)&amp;", "&amp;VLOOKUP(C79,Client_List!$B:$K,5,0)&amp;" AZ","")</f>
        <v>15257 N Scottsdale Rd, Scottsdale AZ</v>
      </c>
      <c r="F79" t="str">
        <f>IFERROR(VLOOKUP(C79,Client_List!$B:$K,7,0)&amp;", "&amp;VLOOKUP(C79,Client_List!$B:$K,8,0),"")</f>
        <v>33.6246658, -111.9241166</v>
      </c>
      <c r="G79">
        <f>IFERROR(VLOOKUP(C79,Client_List!$B:$K,9,0),"")</f>
        <v>350</v>
      </c>
      <c r="H79" t="str">
        <f>IFERROR(LOOKUP(2,1/((Delivery_Log!$B$4:$B$4998=B79)*(ISNUMBER(Delivery_Log!$J$4:$J$4998))*(Delivery_Log!$J$4:$J$4998&gt;0)),Delivery_Log!$J$4:$J$4998),"")</f>
        <v/>
      </c>
      <c r="I79" t="str">
        <f>IFERROR(VLOOKUP(C79,Client_List!$B:$K,10,0),"")</f>
        <v>CANOLA OIL</v>
      </c>
      <c r="J79">
        <f>IFERROR(_xlfn.MAXIFS(Delivery_Log!$A$4:$A$4998,Delivery_Log!$B$4:$B$4998,B79),"—")</f>
        <v>46141</v>
      </c>
      <c r="K79">
        <f t="shared" ca="1" si="12"/>
        <v>7</v>
      </c>
      <c r="L79" t="str">
        <f t="shared" ca="1" si="13"/>
        <v/>
      </c>
      <c r="M79" t="str">
        <f t="shared" ca="1" si="14"/>
        <v/>
      </c>
      <c r="N79" t="str">
        <f t="shared" ca="1" si="15"/>
        <v/>
      </c>
      <c r="O79" t="e">
        <f t="shared" ca="1" si="16"/>
        <v>#VALUE!</v>
      </c>
      <c r="P79" t="str">
        <f t="shared" ca="1" si="17"/>
        <v>—</v>
      </c>
      <c r="Q79">
        <f>COUNTIFS(Delivery_Log!$B$4:$B$5998,B79,Delivery_Log!$A$4:$A$5998,"&gt;="&amp;$Q$2)</f>
        <v>4</v>
      </c>
      <c r="S79" t="str">
        <f>IFERROR(_xlfn.XLOOKUP(B79,Client_List!$A$4:$A$200,Client_List!$S$4:$S$200,""),"")</f>
        <v/>
      </c>
      <c r="T79" t="str">
        <f>IFERROR(_xlfn.XLOOKUP(B79,Client_List!$A$4:$A$200,Client_List!$U$4:$U$200,""),"")</f>
        <v/>
      </c>
      <c r="U79" t="str">
        <f>IFERROR(IF(S79="","",IF(_xlfn.XLOOKUP(B79,Client_List!$A$4:$A$200,Client_List!$W$4:$W$200,999)&lt;=24,"LIVE",IF(_xlfn.XLOOKUP(B79,Client_List!$A$4:$A$200,Client_List!$W$4:$W$200,999)&lt;=72,"STALE","OLD"))),"")</f>
        <v/>
      </c>
    </row>
    <row r="80" spans="1:21" x14ac:dyDescent="0.2">
      <c r="A80">
        <v>75</v>
      </c>
      <c r="B80">
        <v>13061</v>
      </c>
      <c r="C80" t="s">
        <v>313</v>
      </c>
      <c r="D80" t="s">
        <v>51</v>
      </c>
      <c r="E80" t="str">
        <f>IFERROR(VLOOKUP(C80,Client_List!$B:$K,4,0)&amp;", "&amp;VLOOKUP(C80,Client_List!$B:$K,5,0)&amp;" AZ","")</f>
        <v>7033 E Cave Creek Rd, Cave Creek AZ</v>
      </c>
      <c r="F80" t="str">
        <f>IFERROR(VLOOKUP(C80,Client_List!$B:$K,7,0)&amp;", "&amp;VLOOKUP(C80,Client_List!$B:$K,8,0),"")</f>
        <v>33.829157, -111.9291688</v>
      </c>
      <c r="G80">
        <f>IFERROR(VLOOKUP(C80,Client_List!$B:$K,9,0),"")</f>
        <v>620</v>
      </c>
      <c r="H80" t="str">
        <f>IFERROR(LOOKUP(2,1/((Delivery_Log!$B$4:$B$4998=B80)*(ISNUMBER(Delivery_Log!$J$4:$J$4998))*(Delivery_Log!$J$4:$J$4998&gt;0)),Delivery_Log!$J$4:$J$4998),"")</f>
        <v/>
      </c>
      <c r="I80" t="str">
        <f>IFERROR(VLOOKUP(C80,Client_List!$B:$K,10,0),"")</f>
        <v>FRYERS CHOICE BLEND</v>
      </c>
      <c r="J80">
        <f>IFERROR(_xlfn.MAXIFS(Delivery_Log!$A$4:$A$4998,Delivery_Log!$B$4:$B$4998,B80),"—")</f>
        <v>46119</v>
      </c>
      <c r="K80">
        <f t="shared" ca="1" si="12"/>
        <v>29</v>
      </c>
      <c r="L80" t="str">
        <f t="shared" ca="1" si="13"/>
        <v/>
      </c>
      <c r="M80" t="str">
        <f t="shared" ca="1" si="14"/>
        <v/>
      </c>
      <c r="N80" t="str">
        <f t="shared" ca="1" si="15"/>
        <v/>
      </c>
      <c r="O80" t="e">
        <f t="shared" ca="1" si="16"/>
        <v>#VALUE!</v>
      </c>
      <c r="P80" t="str">
        <f t="shared" ca="1" si="17"/>
        <v>—</v>
      </c>
      <c r="Q80">
        <f>COUNTIFS(Delivery_Log!$B$4:$B$5998,B80,Delivery_Log!$A$4:$A$5998,"&gt;="&amp;$Q$2)</f>
        <v>6</v>
      </c>
      <c r="S80" t="str">
        <f>IFERROR(_xlfn.XLOOKUP(B80,Client_List!$A$4:$A$200,Client_List!$S$4:$S$200,""),"")</f>
        <v/>
      </c>
      <c r="T80" t="str">
        <f>IFERROR(_xlfn.XLOOKUP(B80,Client_List!$A$4:$A$200,Client_List!$U$4:$U$200,""),"")</f>
        <v/>
      </c>
      <c r="U80" t="str">
        <f>IFERROR(IF(S80="","",IF(_xlfn.XLOOKUP(B80,Client_List!$A$4:$A$200,Client_List!$W$4:$W$200,999)&lt;=24,"LIVE",IF(_xlfn.XLOOKUP(B80,Client_List!$A$4:$A$200,Client_List!$W$4:$W$200,999)&lt;=72,"STALE","OLD"))),"")</f>
        <v/>
      </c>
    </row>
    <row r="81" spans="1:21" x14ac:dyDescent="0.2">
      <c r="A81">
        <v>76</v>
      </c>
      <c r="B81">
        <v>2021</v>
      </c>
      <c r="C81" t="s">
        <v>316</v>
      </c>
      <c r="D81" t="s">
        <v>51</v>
      </c>
      <c r="E81" t="str">
        <f>IFERROR(VLOOKUP(C81,Client_List!$B:$K,4,0)&amp;", "&amp;VLOOKUP(C81,Client_List!$B:$K,5,0)&amp;" AZ","")</f>
        <v>980 E PECOS RD SUITE 5, CHANDLER AZ</v>
      </c>
      <c r="F81" t="str">
        <f>IFERROR(VLOOKUP(C81,Client_List!$B:$K,7,0)&amp;", "&amp;VLOOKUP(C81,Client_List!$B:$K,8,0),"")</f>
        <v>33.2931379, -111.8249626</v>
      </c>
      <c r="G81">
        <f>IFERROR(VLOOKUP(C81,Client_List!$B:$K,9,0),"")</f>
        <v>620</v>
      </c>
      <c r="H81" t="str">
        <f>IFERROR(LOOKUP(2,1/((Delivery_Log!$B$4:$B$4998=B81)*(ISNUMBER(Delivery_Log!$J$4:$J$4998))*(Delivery_Log!$J$4:$J$4998&gt;0)),Delivery_Log!$J$4:$J$4998),"")</f>
        <v/>
      </c>
      <c r="I81" t="str">
        <f>IFERROR(VLOOKUP(C81,Client_List!$B:$K,10,0),"")</f>
        <v>FRYERS CHOICE BLEND</v>
      </c>
      <c r="J81">
        <f>IFERROR(_xlfn.MAXIFS(Delivery_Log!$A$4:$A$4998,Delivery_Log!$B$4:$B$4998,B81),"—")</f>
        <v>46140</v>
      </c>
      <c r="K81">
        <f t="shared" ca="1" si="12"/>
        <v>8</v>
      </c>
      <c r="L81" t="str">
        <f t="shared" ca="1" si="13"/>
        <v/>
      </c>
      <c r="M81" t="str">
        <f t="shared" ca="1" si="14"/>
        <v/>
      </c>
      <c r="N81" t="str">
        <f t="shared" ca="1" si="15"/>
        <v/>
      </c>
      <c r="O81" t="e">
        <f t="shared" ca="1" si="16"/>
        <v>#VALUE!</v>
      </c>
      <c r="P81" t="str">
        <f t="shared" ca="1" si="17"/>
        <v>—</v>
      </c>
      <c r="Q81">
        <f>COUNTIFS(Delivery_Log!$B$4:$B$5998,B81,Delivery_Log!$A$4:$A$5998,"&gt;="&amp;$Q$2)</f>
        <v>10</v>
      </c>
      <c r="S81" t="str">
        <f>IFERROR(_xlfn.XLOOKUP(B81,Client_List!$A$4:$A$200,Client_List!$S$4:$S$200,""),"")</f>
        <v/>
      </c>
      <c r="T81" t="str">
        <f>IFERROR(_xlfn.XLOOKUP(B81,Client_List!$A$4:$A$200,Client_List!$U$4:$U$200,""),"")</f>
        <v/>
      </c>
      <c r="U81" t="str">
        <f>IFERROR(IF(S81="","",IF(_xlfn.XLOOKUP(B81,Client_List!$A$4:$A$200,Client_List!$W$4:$W$200,999)&lt;=24,"LIVE",IF(_xlfn.XLOOKUP(B81,Client_List!$A$4:$A$200,Client_List!$W$4:$W$200,999)&lt;=72,"STALE","OLD"))),"")</f>
        <v/>
      </c>
    </row>
    <row r="82" spans="1:21" x14ac:dyDescent="0.2">
      <c r="A82">
        <v>77</v>
      </c>
      <c r="B82">
        <v>14009</v>
      </c>
      <c r="C82" t="s">
        <v>318</v>
      </c>
      <c r="D82" t="s">
        <v>63</v>
      </c>
      <c r="E82" t="str">
        <f>IFERROR(VLOOKUP(C82,Client_List!$B:$K,4,0)&amp;", "&amp;VLOOKUP(C82,Client_List!$B:$K,5,0)&amp;" AZ","")</f>
        <v>735 N 114TH AVE, AVONDALE AZ</v>
      </c>
      <c r="F82" t="str">
        <f>IFERROR(VLOOKUP(C82,Client_List!$B:$K,7,0)&amp;", "&amp;VLOOKUP(C82,Client_List!$B:$K,8,0),"")</f>
        <v>33.4534557, -112.3049497</v>
      </c>
      <c r="G82">
        <f>IFERROR(VLOOKUP(C82,Client_List!$B:$K,9,0),"")</f>
        <v>1050</v>
      </c>
      <c r="H82" t="str">
        <f>IFERROR(LOOKUP(2,1/((Delivery_Log!$B$4:$B$4998=B82)*(ISNUMBER(Delivery_Log!$J$4:$J$4998))*(Delivery_Log!$J$4:$J$4998&gt;0)),Delivery_Log!$J$4:$J$4998),"")</f>
        <v/>
      </c>
      <c r="I82" t="str">
        <f>IFERROR(VLOOKUP(C82,Client_List!$B:$K,10,0),"")</f>
        <v>CANOLA OIL</v>
      </c>
      <c r="J82">
        <f>IFERROR(_xlfn.MAXIFS(Delivery_Log!$A$4:$A$4998,Delivery_Log!$B$4:$B$4998,B82),"—")</f>
        <v>46143</v>
      </c>
      <c r="K82">
        <f t="shared" ca="1" si="12"/>
        <v>5</v>
      </c>
      <c r="L82" t="str">
        <f t="shared" ca="1" si="13"/>
        <v/>
      </c>
      <c r="M82" t="str">
        <f t="shared" ca="1" si="14"/>
        <v/>
      </c>
      <c r="N82" t="str">
        <f t="shared" ca="1" si="15"/>
        <v/>
      </c>
      <c r="O82" t="e">
        <f t="shared" ca="1" si="16"/>
        <v>#VALUE!</v>
      </c>
      <c r="P82" t="str">
        <f t="shared" ca="1" si="17"/>
        <v>—</v>
      </c>
      <c r="Q82">
        <f>COUNTIFS(Delivery_Log!$B$4:$B$5998,B82,Delivery_Log!$A$4:$A$5998,"&gt;="&amp;$Q$2)</f>
        <v>5</v>
      </c>
      <c r="S82" t="str">
        <f>IFERROR(_xlfn.XLOOKUP(B82,Client_List!$A$4:$A$200,Client_List!$S$4:$S$200,""),"")</f>
        <v/>
      </c>
      <c r="T82" t="str">
        <f>IFERROR(_xlfn.XLOOKUP(B82,Client_List!$A$4:$A$200,Client_List!$U$4:$U$200,""),"")</f>
        <v/>
      </c>
      <c r="U82" t="str">
        <f>IFERROR(IF(S82="","",IF(_xlfn.XLOOKUP(B82,Client_List!$A$4:$A$200,Client_List!$W$4:$W$200,999)&lt;=24,"LIVE",IF(_xlfn.XLOOKUP(B82,Client_List!$A$4:$A$200,Client_List!$W$4:$W$200,999)&lt;=72,"STALE","OLD"))),"")</f>
        <v/>
      </c>
    </row>
    <row r="83" spans="1:21" x14ac:dyDescent="0.2">
      <c r="A83">
        <v>78</v>
      </c>
      <c r="B83">
        <v>14008</v>
      </c>
      <c r="C83" t="s">
        <v>323</v>
      </c>
      <c r="D83" t="s">
        <v>51</v>
      </c>
      <c r="E83" t="str">
        <f>IFERROR(VLOOKUP(C83,Client_List!$B:$K,4,0)&amp;", "&amp;VLOOKUP(C83,Client_List!$B:$K,5,0)&amp;" AZ","")</f>
        <v>140 S. LINDON LN, TEMPE AZ</v>
      </c>
      <c r="F83" t="str">
        <f>IFERROR(VLOOKUP(C83,Client_List!$B:$K,7,0)&amp;", "&amp;VLOOKUP(C83,Client_List!$B:$K,8,0),"")</f>
        <v>33.428746, -111.965056</v>
      </c>
      <c r="G83">
        <f>IFERROR(VLOOKUP(C83,Client_List!$B:$K,9,0),"")</f>
        <v>2000</v>
      </c>
      <c r="H83" t="str">
        <f>IFERROR(LOOKUP(2,1/((Delivery_Log!$B$4:$B$4998=B83)*(ISNUMBER(Delivery_Log!$J$4:$J$4998))*(Delivery_Log!$J$4:$J$4998&gt;0)),Delivery_Log!$J$4:$J$4998),"")</f>
        <v/>
      </c>
      <c r="I83" t="str">
        <f>IFERROR(VLOOKUP(C83,Client_List!$B:$K,10,0),"")</f>
        <v>CANOLA OIL</v>
      </c>
      <c r="J83">
        <f>IFERROR(_xlfn.MAXIFS(Delivery_Log!$A$4:$A$4998,Delivery_Log!$B$4:$B$4998,B83),"—")</f>
        <v>46130</v>
      </c>
      <c r="K83">
        <f t="shared" ca="1" si="12"/>
        <v>18</v>
      </c>
      <c r="L83" t="str">
        <f t="shared" ca="1" si="13"/>
        <v/>
      </c>
      <c r="M83" t="str">
        <f t="shared" ca="1" si="14"/>
        <v/>
      </c>
      <c r="N83" t="str">
        <f t="shared" ca="1" si="15"/>
        <v/>
      </c>
      <c r="O83" t="e">
        <f t="shared" ca="1" si="16"/>
        <v>#VALUE!</v>
      </c>
      <c r="P83" t="str">
        <f t="shared" ca="1" si="17"/>
        <v>—</v>
      </c>
      <c r="Q83">
        <f>COUNTIFS(Delivery_Log!$B$4:$B$5998,B83,Delivery_Log!$A$4:$A$5998,"&gt;="&amp;$Q$2)</f>
        <v>7</v>
      </c>
      <c r="S83" t="str">
        <f>IFERROR(_xlfn.XLOOKUP(B83,Client_List!$A$4:$A$200,Client_List!$S$4:$S$200,""),"")</f>
        <v/>
      </c>
      <c r="T83" t="str">
        <f>IFERROR(_xlfn.XLOOKUP(B83,Client_List!$A$4:$A$200,Client_List!$U$4:$U$200,""),"")</f>
        <v/>
      </c>
      <c r="U83" t="str">
        <f>IFERROR(IF(S83="","",IF(_xlfn.XLOOKUP(B83,Client_List!$A$4:$A$200,Client_List!$W$4:$W$200,999)&lt;=24,"LIVE",IF(_xlfn.XLOOKUP(B83,Client_List!$A$4:$A$200,Client_List!$W$4:$W$200,999)&lt;=72,"STALE","OLD"))),"")</f>
        <v/>
      </c>
    </row>
    <row r="84" spans="1:21" x14ac:dyDescent="0.2">
      <c r="A84">
        <v>79</v>
      </c>
      <c r="B84">
        <v>15000</v>
      </c>
      <c r="C84" t="s">
        <v>326</v>
      </c>
      <c r="D84" t="s">
        <v>51</v>
      </c>
      <c r="E84" t="str">
        <f>IFERROR(VLOOKUP(C84,Client_List!$B:$K,4,0)&amp;", "&amp;VLOOKUP(C84,Client_List!$B:$K,5,0)&amp;" AZ","")</f>
        <v>4900 E Indian School Rd, Phoenix AZ</v>
      </c>
      <c r="F84" t="str">
        <f>IFERROR(VLOOKUP(C84,Client_List!$B:$K,7,0)&amp;", "&amp;VLOOKUP(C84,Client_List!$B:$K,8,0),"")</f>
        <v>33.4950076, -111.9758635</v>
      </c>
      <c r="G84">
        <f>IFERROR(VLOOKUP(C84,Client_List!$B:$K,9,0),"")</f>
        <v>1050</v>
      </c>
      <c r="H84" t="str">
        <f>IFERROR(LOOKUP(2,1/((Delivery_Log!$B$4:$B$4998=B84)*(ISNUMBER(Delivery_Log!$J$4:$J$4998))*(Delivery_Log!$J$4:$J$4998&gt;0)),Delivery_Log!$J$4:$J$4998),"")</f>
        <v/>
      </c>
      <c r="I84" t="str">
        <f>IFERROR(VLOOKUP(C84,Client_List!$B:$K,10,0),"")</f>
        <v>CANOLA OIL</v>
      </c>
      <c r="J84">
        <f>IFERROR(_xlfn.MAXIFS(Delivery_Log!$A$4:$A$4998,Delivery_Log!$B$4:$B$4998,B84),"—")</f>
        <v>46144</v>
      </c>
      <c r="K84">
        <f t="shared" ca="1" si="12"/>
        <v>4</v>
      </c>
      <c r="L84" t="str">
        <f t="shared" ca="1" si="13"/>
        <v/>
      </c>
      <c r="M84" t="str">
        <f t="shared" ca="1" si="14"/>
        <v/>
      </c>
      <c r="N84" t="str">
        <f t="shared" ca="1" si="15"/>
        <v/>
      </c>
      <c r="O84" t="e">
        <f t="shared" ca="1" si="16"/>
        <v>#VALUE!</v>
      </c>
      <c r="P84" t="str">
        <f t="shared" ca="1" si="17"/>
        <v>—</v>
      </c>
      <c r="Q84">
        <f>COUNTIFS(Delivery_Log!$B$4:$B$5998,B84,Delivery_Log!$A$4:$A$5998,"&gt;="&amp;$Q$2)</f>
        <v>12</v>
      </c>
      <c r="S84" t="str">
        <f>IFERROR(_xlfn.XLOOKUP(B84,Client_List!$A$4:$A$200,Client_List!$S$4:$S$200,""),"")</f>
        <v/>
      </c>
      <c r="T84" t="str">
        <f>IFERROR(_xlfn.XLOOKUP(B84,Client_List!$A$4:$A$200,Client_List!$U$4:$U$200,""),"")</f>
        <v/>
      </c>
      <c r="U84" t="str">
        <f>IFERROR(IF(S84="","",IF(_xlfn.XLOOKUP(B84,Client_List!$A$4:$A$200,Client_List!$W$4:$W$200,999)&lt;=24,"LIVE",IF(_xlfn.XLOOKUP(B84,Client_List!$A$4:$A$200,Client_List!$W$4:$W$200,999)&lt;=72,"STALE","OLD"))),"")</f>
        <v/>
      </c>
    </row>
    <row r="85" spans="1:21" x14ac:dyDescent="0.2">
      <c r="A85">
        <v>80</v>
      </c>
      <c r="B85">
        <v>15035</v>
      </c>
      <c r="C85" t="s">
        <v>329</v>
      </c>
      <c r="D85" t="s">
        <v>81</v>
      </c>
      <c r="E85" t="str">
        <f>IFERROR(VLOOKUP(C85,Client_List!$B:$K,4,0)&amp;", "&amp;VLOOKUP(C85,Client_List!$B:$K,5,0)&amp;" AZ","")</f>
        <v>OHSO GILBERT, Gilbert AZ</v>
      </c>
      <c r="F85" t="str">
        <f>IFERROR(VLOOKUP(C85,Client_List!$B:$K,7,0)&amp;", "&amp;VLOOKUP(C85,Client_List!$B:$K,8,0),"")</f>
        <v>33.3562109, -111.7893894</v>
      </c>
      <c r="G85">
        <f>IFERROR(VLOOKUP(C85,Client_List!$B:$K,9,0),"")</f>
        <v>1800</v>
      </c>
      <c r="H85" t="str">
        <f>IFERROR(LOOKUP(2,1/((Delivery_Log!$B$4:$B$4998=B85)*(ISNUMBER(Delivery_Log!$J$4:$J$4998))*(Delivery_Log!$J$4:$J$4998&gt;0)),Delivery_Log!$J$4:$J$4998),"")</f>
        <v/>
      </c>
      <c r="I85" t="str">
        <f>IFERROR(VLOOKUP(C85,Client_List!$B:$K,10,0),"")</f>
        <v>CANOLA OIL</v>
      </c>
      <c r="J85">
        <f>IFERROR(_xlfn.MAXIFS(Delivery_Log!$A$4:$A$4998,Delivery_Log!$B$4:$B$4998,B85),"—")</f>
        <v>46141</v>
      </c>
      <c r="K85">
        <f t="shared" ca="1" si="12"/>
        <v>7</v>
      </c>
      <c r="L85" t="str">
        <f t="shared" ca="1" si="13"/>
        <v/>
      </c>
      <c r="M85" t="str">
        <f t="shared" ca="1" si="14"/>
        <v/>
      </c>
      <c r="N85" t="str">
        <f t="shared" ca="1" si="15"/>
        <v/>
      </c>
      <c r="O85" t="e">
        <f t="shared" ca="1" si="16"/>
        <v>#VALUE!</v>
      </c>
      <c r="P85" t="str">
        <f t="shared" ca="1" si="17"/>
        <v>—</v>
      </c>
      <c r="Q85">
        <f>COUNTIFS(Delivery_Log!$B$4:$B$5998,B85,Delivery_Log!$A$4:$A$5998,"&gt;="&amp;$Q$2)</f>
        <v>15</v>
      </c>
      <c r="S85" t="str">
        <f>IFERROR(_xlfn.XLOOKUP(B85,Client_List!$A$4:$A$200,Client_List!$S$4:$S$200,""),"")</f>
        <v/>
      </c>
      <c r="T85" t="str">
        <f>IFERROR(_xlfn.XLOOKUP(B85,Client_List!$A$4:$A$200,Client_List!$U$4:$U$200,""),"")</f>
        <v/>
      </c>
      <c r="U85" t="str">
        <f>IFERROR(IF(S85="","",IF(_xlfn.XLOOKUP(B85,Client_List!$A$4:$A$200,Client_List!$W$4:$W$200,999)&lt;=24,"LIVE",IF(_xlfn.XLOOKUP(B85,Client_List!$A$4:$A$200,Client_List!$W$4:$W$200,999)&lt;=72,"STALE","OLD"))),"")</f>
        <v/>
      </c>
    </row>
    <row r="86" spans="1:21" x14ac:dyDescent="0.2">
      <c r="A86">
        <v>81</v>
      </c>
      <c r="B86">
        <v>15001</v>
      </c>
      <c r="C86" t="s">
        <v>332</v>
      </c>
      <c r="D86" t="s">
        <v>51</v>
      </c>
      <c r="E86" t="str">
        <f>IFERROR(VLOOKUP(C86,Client_List!$B:$K,4,0)&amp;", "&amp;VLOOKUP(C86,Client_List!$B:$K,5,0)&amp;" AZ","")</f>
        <v>15681 N Hayden Rd Ste 112, Scottsdale AZ</v>
      </c>
      <c r="F86" t="str">
        <f>IFERROR(VLOOKUP(C86,Client_List!$B:$K,7,0)&amp;", "&amp;VLOOKUP(C86,Client_List!$B:$K,8,0),"")</f>
        <v>33.6278655, -111.8934385</v>
      </c>
      <c r="G86">
        <f>IFERROR(VLOOKUP(C86,Client_List!$B:$K,9,0),"")</f>
        <v>1050</v>
      </c>
      <c r="H86" t="str">
        <f>IFERROR(LOOKUP(2,1/((Delivery_Log!$B$4:$B$4998=B86)*(ISNUMBER(Delivery_Log!$J$4:$J$4998))*(Delivery_Log!$J$4:$J$4998&gt;0)),Delivery_Log!$J$4:$J$4998),"")</f>
        <v/>
      </c>
      <c r="I86" t="str">
        <f>IFERROR(VLOOKUP(C86,Client_List!$B:$K,10,0),"")</f>
        <v>CANOLA OIL</v>
      </c>
      <c r="J86">
        <f>IFERROR(_xlfn.MAXIFS(Delivery_Log!$A$4:$A$4998,Delivery_Log!$B$4:$B$4998,B86),"—")</f>
        <v>46141</v>
      </c>
      <c r="K86">
        <f t="shared" ca="1" si="12"/>
        <v>7</v>
      </c>
      <c r="L86" t="str">
        <f t="shared" ca="1" si="13"/>
        <v/>
      </c>
      <c r="M86" t="str">
        <f t="shared" ca="1" si="14"/>
        <v/>
      </c>
      <c r="N86" t="str">
        <f t="shared" ca="1" si="15"/>
        <v/>
      </c>
      <c r="O86" t="e">
        <f t="shared" ca="1" si="16"/>
        <v>#VALUE!</v>
      </c>
      <c r="P86" t="str">
        <f t="shared" ca="1" si="17"/>
        <v>—</v>
      </c>
      <c r="Q86">
        <f>COUNTIFS(Delivery_Log!$B$4:$B$5998,B86,Delivery_Log!$A$4:$A$5998,"&gt;="&amp;$Q$2)</f>
        <v>11</v>
      </c>
      <c r="S86" t="str">
        <f>IFERROR(_xlfn.XLOOKUP(B86,Client_List!$A$4:$A$200,Client_List!$S$4:$S$200,""),"")</f>
        <v/>
      </c>
      <c r="T86" t="str">
        <f>IFERROR(_xlfn.XLOOKUP(B86,Client_List!$A$4:$A$200,Client_List!$U$4:$U$200,""),"")</f>
        <v/>
      </c>
      <c r="U86" t="str">
        <f>IFERROR(IF(S86="","",IF(_xlfn.XLOOKUP(B86,Client_List!$A$4:$A$200,Client_List!$W$4:$W$200,999)&lt;=24,"LIVE",IF(_xlfn.XLOOKUP(B86,Client_List!$A$4:$A$200,Client_List!$W$4:$W$200,999)&lt;=72,"STALE","OLD"))),"")</f>
        <v/>
      </c>
    </row>
    <row r="87" spans="1:21" x14ac:dyDescent="0.2">
      <c r="A87">
        <v>82</v>
      </c>
      <c r="B87">
        <v>15007</v>
      </c>
      <c r="C87" t="s">
        <v>335</v>
      </c>
      <c r="D87" t="s">
        <v>51</v>
      </c>
      <c r="E87" t="str">
        <f>IFERROR(VLOOKUP(C87,Client_List!$B:$K,4,0)&amp;", "&amp;VLOOKUP(C87,Client_List!$B:$K,5,0)&amp;" AZ","")</f>
        <v>10810 N Tatum Blvd Ste 126, Phoenix AZ</v>
      </c>
      <c r="F87" t="str">
        <f>IFERROR(VLOOKUP(C87,Client_List!$B:$K,7,0)&amp;", "&amp;VLOOKUP(C87,Client_List!$B:$K,8,0),"")</f>
        <v>33.5841627, -111.9795489</v>
      </c>
      <c r="G87">
        <f>IFERROR(VLOOKUP(C87,Client_List!$B:$K,9,0),"")</f>
        <v>1050</v>
      </c>
      <c r="H87" t="str">
        <f>IFERROR(LOOKUP(2,1/((Delivery_Log!$B$4:$B$4998=B87)*(ISNUMBER(Delivery_Log!$J$4:$J$4998))*(Delivery_Log!$J$4:$J$4998&gt;0)),Delivery_Log!$J$4:$J$4998),"")</f>
        <v/>
      </c>
      <c r="I87" t="str">
        <f>IFERROR(VLOOKUP(C87,Client_List!$B:$K,10,0),"")</f>
        <v>CANOLA OIL</v>
      </c>
      <c r="J87">
        <f>IFERROR(_xlfn.MAXIFS(Delivery_Log!$A$4:$A$4998,Delivery_Log!$B$4:$B$4998,B87),"—")</f>
        <v>46142</v>
      </c>
      <c r="K87">
        <f t="shared" ca="1" si="12"/>
        <v>6</v>
      </c>
      <c r="L87" t="str">
        <f t="shared" ca="1" si="13"/>
        <v/>
      </c>
      <c r="M87" t="str">
        <f t="shared" ca="1" si="14"/>
        <v/>
      </c>
      <c r="N87" t="str">
        <f t="shared" ca="1" si="15"/>
        <v/>
      </c>
      <c r="O87" t="e">
        <f t="shared" ca="1" si="16"/>
        <v>#VALUE!</v>
      </c>
      <c r="P87" t="str">
        <f t="shared" ca="1" si="17"/>
        <v>—</v>
      </c>
      <c r="Q87">
        <f>COUNTIFS(Delivery_Log!$B$4:$B$5998,B87,Delivery_Log!$A$4:$A$5998,"&gt;="&amp;$Q$2)</f>
        <v>10</v>
      </c>
      <c r="S87" t="str">
        <f>IFERROR(_xlfn.XLOOKUP(B87,Client_List!$A$4:$A$200,Client_List!$S$4:$S$200,""),"")</f>
        <v/>
      </c>
      <c r="T87" t="str">
        <f>IFERROR(_xlfn.XLOOKUP(B87,Client_List!$A$4:$A$200,Client_List!$U$4:$U$200,""),"")</f>
        <v/>
      </c>
      <c r="U87" t="str">
        <f>IFERROR(IF(S87="","",IF(_xlfn.XLOOKUP(B87,Client_List!$A$4:$A$200,Client_List!$W$4:$W$200,999)&lt;=24,"LIVE",IF(_xlfn.XLOOKUP(B87,Client_List!$A$4:$A$200,Client_List!$W$4:$W$200,999)&lt;=72,"STALE","OLD"))),"")</f>
        <v/>
      </c>
    </row>
    <row r="88" spans="1:21" x14ac:dyDescent="0.2">
      <c r="A88">
        <v>83</v>
      </c>
      <c r="B88">
        <v>15041</v>
      </c>
      <c r="C88" t="s">
        <v>338</v>
      </c>
      <c r="D88" t="s">
        <v>51</v>
      </c>
      <c r="E88" t="str">
        <f>IFERROR(VLOOKUP(C88,Client_List!$B:$K,4,0)&amp;", "&amp;VLOOKUP(C88,Client_List!$B:$K,5,0)&amp;" AZ","")</f>
        <v>OREGANO, SCOTTSDALE AZ</v>
      </c>
      <c r="F88" t="str">
        <f>IFERROR(VLOOKUP(C88,Client_List!$B:$K,7,0)&amp;", "&amp;VLOOKUP(C88,Client_List!$B:$K,8,0),"")</f>
        <v>33.6271678, -111.8915414</v>
      </c>
      <c r="G88">
        <f>IFERROR(VLOOKUP(C88,Client_List!$B:$K,9,0),"")</f>
        <v>630</v>
      </c>
      <c r="H88" t="str">
        <f>IFERROR(LOOKUP(2,1/((Delivery_Log!$B$4:$B$4998=B88)*(ISNUMBER(Delivery_Log!$J$4:$J$4998))*(Delivery_Log!$J$4:$J$4998&gt;0)),Delivery_Log!$J$4:$J$4998),"")</f>
        <v/>
      </c>
      <c r="I88" t="str">
        <f>IFERROR(VLOOKUP(C88,Client_List!$B:$K,10,0),"")</f>
        <v>CANOLA OIL</v>
      </c>
      <c r="J88">
        <f>IFERROR(_xlfn.MAXIFS(Delivery_Log!$A$4:$A$4998,Delivery_Log!$B$4:$B$4998,B88),"—")</f>
        <v>46129</v>
      </c>
      <c r="K88">
        <f t="shared" ca="1" si="12"/>
        <v>19</v>
      </c>
      <c r="L88" t="str">
        <f t="shared" ca="1" si="13"/>
        <v/>
      </c>
      <c r="M88" t="str">
        <f t="shared" ca="1" si="14"/>
        <v/>
      </c>
      <c r="N88" t="str">
        <f t="shared" ca="1" si="15"/>
        <v/>
      </c>
      <c r="O88" t="e">
        <f t="shared" ca="1" si="16"/>
        <v>#VALUE!</v>
      </c>
      <c r="P88" t="str">
        <f t="shared" ca="1" si="17"/>
        <v>—</v>
      </c>
      <c r="Q88">
        <f>COUNTIFS(Delivery_Log!$B$4:$B$5998,B88,Delivery_Log!$A$4:$A$5998,"&gt;="&amp;$Q$2)</f>
        <v>5</v>
      </c>
      <c r="S88" t="str">
        <f>IFERROR(_xlfn.XLOOKUP(B88,Client_List!$A$4:$A$200,Client_List!$S$4:$S$200,""),"")</f>
        <v/>
      </c>
      <c r="T88" t="str">
        <f>IFERROR(_xlfn.XLOOKUP(B88,Client_List!$A$4:$A$200,Client_List!$U$4:$U$200,""),"")</f>
        <v/>
      </c>
      <c r="U88" t="str">
        <f>IFERROR(IF(S88="","",IF(_xlfn.XLOOKUP(B88,Client_List!$A$4:$A$200,Client_List!$W$4:$W$200,999)&lt;=24,"LIVE",IF(_xlfn.XLOOKUP(B88,Client_List!$A$4:$A$200,Client_List!$W$4:$W$200,999)&lt;=72,"STALE","OLD"))),"")</f>
        <v/>
      </c>
    </row>
    <row r="89" spans="1:21" x14ac:dyDescent="0.2">
      <c r="A89">
        <v>84</v>
      </c>
      <c r="B89">
        <v>15003</v>
      </c>
      <c r="C89" t="s">
        <v>340</v>
      </c>
      <c r="D89" t="s">
        <v>38</v>
      </c>
      <c r="E89" t="str">
        <f>IFERROR(VLOOKUP(C89,Client_List!$B:$K,4,0)&amp;", "&amp;VLOOKUP(C89,Client_List!$B:$K,5,0)&amp;" AZ","")</f>
        <v>6738 W Bell Rd, Glendale AZ</v>
      </c>
      <c r="F89" t="str">
        <f>IFERROR(VLOOKUP(C89,Client_List!$B:$K,7,0)&amp;", "&amp;VLOOKUP(C89,Client_List!$B:$K,8,0),"")</f>
        <v>33.6387785, -112.2042015</v>
      </c>
      <c r="G89">
        <f>IFERROR(VLOOKUP(C89,Client_List!$B:$K,9,0),"")</f>
        <v>1050</v>
      </c>
      <c r="H89" t="str">
        <f>IFERROR(LOOKUP(2,1/((Delivery_Log!$B$4:$B$4998=B89)*(ISNUMBER(Delivery_Log!$J$4:$J$4998))*(Delivery_Log!$J$4:$J$4998&gt;0)),Delivery_Log!$J$4:$J$4998),"")</f>
        <v/>
      </c>
      <c r="I89" t="str">
        <f>IFERROR(VLOOKUP(C89,Client_List!$B:$K,10,0),"")</f>
        <v>CANOLA OIL</v>
      </c>
      <c r="J89">
        <f>IFERROR(_xlfn.MAXIFS(Delivery_Log!$A$4:$A$4998,Delivery_Log!$B$4:$B$4998,B89),"—")</f>
        <v>46135</v>
      </c>
      <c r="K89">
        <f t="shared" ca="1" si="12"/>
        <v>13</v>
      </c>
      <c r="L89" t="str">
        <f t="shared" ca="1" si="13"/>
        <v/>
      </c>
      <c r="M89" t="str">
        <f t="shared" ca="1" si="14"/>
        <v/>
      </c>
      <c r="N89" t="str">
        <f t="shared" ca="1" si="15"/>
        <v/>
      </c>
      <c r="O89" t="e">
        <f t="shared" ca="1" si="16"/>
        <v>#VALUE!</v>
      </c>
      <c r="P89" t="str">
        <f t="shared" ca="1" si="17"/>
        <v>—</v>
      </c>
      <c r="Q89">
        <f>COUNTIFS(Delivery_Log!$B$4:$B$5998,B89,Delivery_Log!$A$4:$A$5998,"&gt;="&amp;$Q$2)</f>
        <v>3</v>
      </c>
      <c r="S89" t="str">
        <f>IFERROR(_xlfn.XLOOKUP(B89,Client_List!$A$4:$A$200,Client_List!$S$4:$S$200,""),"")</f>
        <v/>
      </c>
      <c r="T89" t="str">
        <f>IFERROR(_xlfn.XLOOKUP(B89,Client_List!$A$4:$A$200,Client_List!$U$4:$U$200,""),"")</f>
        <v/>
      </c>
      <c r="U89" t="str">
        <f>IFERROR(IF(S89="","",IF(_xlfn.XLOOKUP(B89,Client_List!$A$4:$A$200,Client_List!$W$4:$W$200,999)&lt;=24,"LIVE",IF(_xlfn.XLOOKUP(B89,Client_List!$A$4:$A$200,Client_List!$W$4:$W$200,999)&lt;=72,"STALE","OLD"))),"")</f>
        <v/>
      </c>
    </row>
    <row r="90" spans="1:21" x14ac:dyDescent="0.2">
      <c r="A90">
        <v>85</v>
      </c>
      <c r="B90">
        <v>15016</v>
      </c>
      <c r="C90" t="s">
        <v>343</v>
      </c>
      <c r="D90" t="s">
        <v>63</v>
      </c>
      <c r="E90" t="str">
        <f>IFERROR(VLOOKUP(C90,Client_List!$B:$K,4,0)&amp;", "&amp;VLOOKUP(C90,Client_List!$B:$K,5,0)&amp;" AZ","")</f>
        <v>16914 W Bell Rd, Surprise AZ</v>
      </c>
      <c r="F90" t="str">
        <f>IFERROR(VLOOKUP(C90,Client_List!$B:$K,7,0)&amp;", "&amp;VLOOKUP(C90,Client_List!$B:$K,8,0),"")</f>
        <v>33.6394027, -112.4230688</v>
      </c>
      <c r="G90">
        <f>IFERROR(VLOOKUP(C90,Client_List!$B:$K,9,0),"")</f>
        <v>630</v>
      </c>
      <c r="H90" t="str">
        <f>IFERROR(LOOKUP(2,1/((Delivery_Log!$B$4:$B$4998=B90)*(ISNUMBER(Delivery_Log!$J$4:$J$4998))*(Delivery_Log!$J$4:$J$4998&gt;0)),Delivery_Log!$J$4:$J$4998),"")</f>
        <v/>
      </c>
      <c r="I90" t="str">
        <f>IFERROR(VLOOKUP(C90,Client_List!$B:$K,10,0),"")</f>
        <v>CANOLA OIL</v>
      </c>
      <c r="J90">
        <f>IFERROR(_xlfn.MAXIFS(Delivery_Log!$A$4:$A$4998,Delivery_Log!$B$4:$B$4998,B90),"—")</f>
        <v>46136</v>
      </c>
      <c r="K90">
        <f t="shared" ca="1" si="12"/>
        <v>12</v>
      </c>
      <c r="L90" t="str">
        <f t="shared" ca="1" si="13"/>
        <v/>
      </c>
      <c r="M90" t="str">
        <f t="shared" ca="1" si="14"/>
        <v/>
      </c>
      <c r="N90" t="str">
        <f t="shared" ca="1" si="15"/>
        <v/>
      </c>
      <c r="O90" t="e">
        <f t="shared" ca="1" si="16"/>
        <v>#VALUE!</v>
      </c>
      <c r="P90" t="str">
        <f t="shared" ca="1" si="17"/>
        <v>—</v>
      </c>
      <c r="Q90">
        <f>COUNTIFS(Delivery_Log!$B$4:$B$5998,B90,Delivery_Log!$A$4:$A$5998,"&gt;="&amp;$Q$2)</f>
        <v>8</v>
      </c>
      <c r="S90" t="str">
        <f>IFERROR(_xlfn.XLOOKUP(B90,Client_List!$A$4:$A$200,Client_List!$S$4:$S$200,""),"")</f>
        <v/>
      </c>
      <c r="T90" t="str">
        <f>IFERROR(_xlfn.XLOOKUP(B90,Client_List!$A$4:$A$200,Client_List!$U$4:$U$200,""),"")</f>
        <v/>
      </c>
      <c r="U90" t="str">
        <f>IFERROR(IF(S90="","",IF(_xlfn.XLOOKUP(B90,Client_List!$A$4:$A$200,Client_List!$W$4:$W$200,999)&lt;=24,"LIVE",IF(_xlfn.XLOOKUP(B90,Client_List!$A$4:$A$200,Client_List!$W$4:$W$200,999)&lt;=72,"STALE","OLD"))),"")</f>
        <v/>
      </c>
    </row>
    <row r="91" spans="1:21" x14ac:dyDescent="0.2">
      <c r="A91">
        <v>86</v>
      </c>
      <c r="B91">
        <v>15020</v>
      </c>
      <c r="C91" t="s">
        <v>346</v>
      </c>
      <c r="D91" t="s">
        <v>72</v>
      </c>
      <c r="E91" t="str">
        <f>IFERROR(VLOOKUP(C91,Client_List!$B:$K,4,0)&amp;", "&amp;VLOOKUP(C91,Client_List!$B:$K,5,0)&amp;" AZ","")</f>
        <v>1008 E Camelback Rd, Phoenix AZ</v>
      </c>
      <c r="F91" t="str">
        <f>IFERROR(VLOOKUP(C91,Client_List!$B:$K,7,0)&amp;", "&amp;VLOOKUP(C91,Client_List!$B:$K,8,0),"")</f>
        <v>33.5094888, -112.0602469</v>
      </c>
      <c r="G91">
        <f>IFERROR(VLOOKUP(C91,Client_List!$B:$K,9,0),"")</f>
        <v>450</v>
      </c>
      <c r="H91" t="str">
        <f>IFERROR(LOOKUP(2,1/((Delivery_Log!$B$4:$B$4998=B91)*(ISNUMBER(Delivery_Log!$J$4:$J$4998))*(Delivery_Log!$J$4:$J$4998&gt;0)),Delivery_Log!$J$4:$J$4998),"")</f>
        <v/>
      </c>
      <c r="I91" t="str">
        <f>IFERROR(VLOOKUP(C91,Client_List!$B:$K,10,0),"")</f>
        <v>CANOLA OIL</v>
      </c>
      <c r="J91">
        <f>IFERROR(_xlfn.MAXIFS(Delivery_Log!$A$4:$A$4998,Delivery_Log!$B$4:$B$4998,B91),"—")</f>
        <v>46129</v>
      </c>
      <c r="K91">
        <f t="shared" ca="1" si="12"/>
        <v>19</v>
      </c>
      <c r="L91" t="str">
        <f t="shared" ca="1" si="13"/>
        <v/>
      </c>
      <c r="M91" t="str">
        <f t="shared" ca="1" si="14"/>
        <v/>
      </c>
      <c r="N91" t="str">
        <f t="shared" ca="1" si="15"/>
        <v/>
      </c>
      <c r="O91" t="e">
        <f t="shared" ca="1" si="16"/>
        <v>#VALUE!</v>
      </c>
      <c r="P91" t="str">
        <f t="shared" ca="1" si="17"/>
        <v>—</v>
      </c>
      <c r="Q91">
        <f>COUNTIFS(Delivery_Log!$B$4:$B$5998,B91,Delivery_Log!$A$4:$A$5998,"&gt;="&amp;$Q$2)</f>
        <v>8</v>
      </c>
      <c r="S91" t="str">
        <f>IFERROR(_xlfn.XLOOKUP(B91,Client_List!$A$4:$A$200,Client_List!$S$4:$S$200,""),"")</f>
        <v/>
      </c>
      <c r="T91" t="str">
        <f>IFERROR(_xlfn.XLOOKUP(B91,Client_List!$A$4:$A$200,Client_List!$U$4:$U$200,""),"")</f>
        <v/>
      </c>
      <c r="U91" t="str">
        <f>IFERROR(IF(S91="","",IF(_xlfn.XLOOKUP(B91,Client_List!$A$4:$A$200,Client_List!$W$4:$W$200,999)&lt;=24,"LIVE",IF(_xlfn.XLOOKUP(B91,Client_List!$A$4:$A$200,Client_List!$W$4:$W$200,999)&lt;=72,"STALE","OLD"))),"")</f>
        <v/>
      </c>
    </row>
    <row r="92" spans="1:21" x14ac:dyDescent="0.2">
      <c r="A92">
        <v>87</v>
      </c>
      <c r="B92">
        <v>15026</v>
      </c>
      <c r="C92" t="s">
        <v>349</v>
      </c>
      <c r="D92" t="s">
        <v>51</v>
      </c>
      <c r="E92" t="str">
        <f>IFERROR(VLOOKUP(C92,Client_List!$B:$K,4,0)&amp;", "&amp;VLOOKUP(C92,Client_List!$B:$K,5,0)&amp;" AZ","")</f>
        <v>4602 E Cactus Rd, Phoenix AZ</v>
      </c>
      <c r="F92" t="str">
        <f>IFERROR(VLOOKUP(C92,Client_List!$B:$K,7,0)&amp;", "&amp;VLOOKUP(C92,Client_List!$B:$K,8,0),"")</f>
        <v>33.5996701, -111.9823088</v>
      </c>
      <c r="G92">
        <f>IFERROR(VLOOKUP(C92,Client_List!$B:$K,9,0),"")</f>
        <v>630</v>
      </c>
      <c r="H92" t="str">
        <f>IFERROR(LOOKUP(2,1/((Delivery_Log!$B$4:$B$4998=B92)*(ISNUMBER(Delivery_Log!$J$4:$J$4998))*(Delivery_Log!$J$4:$J$4998&gt;0)),Delivery_Log!$J$4:$J$4998),"")</f>
        <v/>
      </c>
      <c r="I92" t="str">
        <f>IFERROR(VLOOKUP(C92,Client_List!$B:$K,10,0),"")</f>
        <v>CANOLA OIL</v>
      </c>
      <c r="J92">
        <f>IFERROR(_xlfn.MAXIFS(Delivery_Log!$A$4:$A$4998,Delivery_Log!$B$4:$B$4998,B92),"—")</f>
        <v>46133</v>
      </c>
      <c r="K92">
        <f t="shared" ca="1" si="12"/>
        <v>15</v>
      </c>
      <c r="L92" t="str">
        <f t="shared" ca="1" si="13"/>
        <v/>
      </c>
      <c r="M92" t="str">
        <f t="shared" ca="1" si="14"/>
        <v/>
      </c>
      <c r="N92" t="str">
        <f t="shared" ca="1" si="15"/>
        <v/>
      </c>
      <c r="O92" t="e">
        <f t="shared" ca="1" si="16"/>
        <v>#VALUE!</v>
      </c>
      <c r="P92" t="str">
        <f t="shared" ca="1" si="17"/>
        <v>—</v>
      </c>
      <c r="Q92">
        <f>COUNTIFS(Delivery_Log!$B$4:$B$5998,B92,Delivery_Log!$A$4:$A$5998,"&gt;="&amp;$Q$2)</f>
        <v>5</v>
      </c>
      <c r="S92" t="str">
        <f>IFERROR(_xlfn.XLOOKUP(B92,Client_List!$A$4:$A$200,Client_List!$S$4:$S$200,""),"")</f>
        <v/>
      </c>
      <c r="T92" t="str">
        <f>IFERROR(_xlfn.XLOOKUP(B92,Client_List!$A$4:$A$200,Client_List!$U$4:$U$200,""),"")</f>
        <v/>
      </c>
      <c r="U92" t="str">
        <f>IFERROR(IF(S92="","",IF(_xlfn.XLOOKUP(B92,Client_List!$A$4:$A$200,Client_List!$W$4:$W$200,999)&lt;=24,"LIVE",IF(_xlfn.XLOOKUP(B92,Client_List!$A$4:$A$200,Client_List!$W$4:$W$200,999)&lt;=72,"STALE","OLD"))),"")</f>
        <v/>
      </c>
    </row>
    <row r="93" spans="1:21" x14ac:dyDescent="0.2">
      <c r="A93">
        <v>88</v>
      </c>
      <c r="B93">
        <v>15002</v>
      </c>
      <c r="C93" t="s">
        <v>352</v>
      </c>
      <c r="D93" t="s">
        <v>51</v>
      </c>
      <c r="E93" t="str">
        <f>IFERROR(VLOOKUP(C93,Client_List!$B:$K,4,0)&amp;", "&amp;VLOOKUP(C93,Client_List!$B:$K,5,0)&amp;" AZ","")</f>
        <v>37645 N Cave Creek Rd, Cave Creek AZ</v>
      </c>
      <c r="F93" t="str">
        <f>IFERROR(VLOOKUP(C93,Client_List!$B:$K,7,0)&amp;", "&amp;VLOOKUP(C93,Client_List!$B:$K,8,0),"")</f>
        <v>33.8279162, -111.9546909</v>
      </c>
      <c r="G93">
        <f>IFERROR(VLOOKUP(C93,Client_List!$B:$K,9,0),"")</f>
        <v>480</v>
      </c>
      <c r="H93" t="str">
        <f>IFERROR(LOOKUP(2,1/((Delivery_Log!$B$4:$B$4998=B93)*(ISNUMBER(Delivery_Log!$J$4:$J$4998))*(Delivery_Log!$J$4:$J$4998&gt;0)),Delivery_Log!$J$4:$J$4998),"")</f>
        <v/>
      </c>
      <c r="I93" t="str">
        <f>IFERROR(VLOOKUP(C93,Client_List!$B:$K,10,0),"")</f>
        <v>CANOLA OIL</v>
      </c>
      <c r="J93">
        <f>IFERROR(_xlfn.MAXIFS(Delivery_Log!$A$4:$A$4998,Delivery_Log!$B$4:$B$4998,B93),"—")</f>
        <v>46127</v>
      </c>
      <c r="K93">
        <f t="shared" ca="1" si="12"/>
        <v>21</v>
      </c>
      <c r="L93" t="str">
        <f t="shared" ca="1" si="13"/>
        <v/>
      </c>
      <c r="M93" t="str">
        <f t="shared" ca="1" si="14"/>
        <v/>
      </c>
      <c r="N93" t="str">
        <f t="shared" ca="1" si="15"/>
        <v/>
      </c>
      <c r="O93" t="e">
        <f t="shared" ca="1" si="16"/>
        <v>#VALUE!</v>
      </c>
      <c r="P93" t="str">
        <f t="shared" ca="1" si="17"/>
        <v>—</v>
      </c>
      <c r="Q93">
        <f>COUNTIFS(Delivery_Log!$B$4:$B$5998,B93,Delivery_Log!$A$4:$A$5998,"&gt;="&amp;$Q$2)</f>
        <v>8</v>
      </c>
      <c r="S93" t="str">
        <f>IFERROR(_xlfn.XLOOKUP(B93,Client_List!$A$4:$A$200,Client_List!$S$4:$S$200,""),"")</f>
        <v/>
      </c>
      <c r="T93" t="str">
        <f>IFERROR(_xlfn.XLOOKUP(B93,Client_List!$A$4:$A$200,Client_List!$U$4:$U$200,""),"")</f>
        <v/>
      </c>
      <c r="U93" t="str">
        <f>IFERROR(IF(S93="","",IF(_xlfn.XLOOKUP(B93,Client_List!$A$4:$A$200,Client_List!$W$4:$W$200,999)&lt;=24,"LIVE",IF(_xlfn.XLOOKUP(B93,Client_List!$A$4:$A$200,Client_List!$W$4:$W$200,999)&lt;=72,"STALE","OLD"))),"")</f>
        <v/>
      </c>
    </row>
    <row r="94" spans="1:21" x14ac:dyDescent="0.2">
      <c r="A94">
        <v>89</v>
      </c>
      <c r="B94">
        <v>15025</v>
      </c>
      <c r="C94" t="s">
        <v>355</v>
      </c>
      <c r="D94" t="s">
        <v>51</v>
      </c>
      <c r="E94" t="str">
        <f>IFERROR(VLOOKUP(C94,Client_List!$B:$K,4,0)&amp;", "&amp;VLOOKUP(C94,Client_List!$B:$K,5,0)&amp;" AZ","")</f>
        <v>1475 W Elliot Rd, Tempe AZ</v>
      </c>
      <c r="F94" t="str">
        <f>IFERROR(VLOOKUP(C94,Client_List!$B:$K,7,0)&amp;", "&amp;VLOOKUP(C94,Client_List!$B:$K,8,0),"")</f>
        <v>33.3486534, -111.9626165</v>
      </c>
      <c r="G94">
        <f>IFERROR(VLOOKUP(C94,Client_List!$B:$K,9,0),"")</f>
        <v>630</v>
      </c>
      <c r="H94" t="str">
        <f>IFERROR(LOOKUP(2,1/((Delivery_Log!$B$4:$B$4998=B94)*(ISNUMBER(Delivery_Log!$J$4:$J$4998))*(Delivery_Log!$J$4:$J$4998&gt;0)),Delivery_Log!$J$4:$J$4998),"")</f>
        <v/>
      </c>
      <c r="I94" t="str">
        <f>IFERROR(VLOOKUP(C94,Client_List!$B:$K,10,0),"")</f>
        <v>CANOLA OIL</v>
      </c>
      <c r="J94">
        <f>IFERROR(_xlfn.MAXIFS(Delivery_Log!$A$4:$A$4998,Delivery_Log!$B$4:$B$4998,B94),"—")</f>
        <v>46127</v>
      </c>
      <c r="K94">
        <f t="shared" ca="1" si="12"/>
        <v>21</v>
      </c>
      <c r="L94" t="str">
        <f t="shared" ca="1" si="13"/>
        <v/>
      </c>
      <c r="M94" t="str">
        <f t="shared" ca="1" si="14"/>
        <v/>
      </c>
      <c r="N94" t="str">
        <f t="shared" ca="1" si="15"/>
        <v/>
      </c>
      <c r="O94" t="e">
        <f t="shared" ca="1" si="16"/>
        <v>#VALUE!</v>
      </c>
      <c r="P94" t="str">
        <f t="shared" ca="1" si="17"/>
        <v>—</v>
      </c>
      <c r="Q94">
        <f>COUNTIFS(Delivery_Log!$B$4:$B$5998,B94,Delivery_Log!$A$4:$A$5998,"&gt;="&amp;$Q$2)</f>
        <v>7</v>
      </c>
      <c r="S94" t="str">
        <f>IFERROR(_xlfn.XLOOKUP(B94,Client_List!$A$4:$A$200,Client_List!$S$4:$S$200,""),"")</f>
        <v/>
      </c>
      <c r="T94" t="str">
        <f>IFERROR(_xlfn.XLOOKUP(B94,Client_List!$A$4:$A$200,Client_List!$U$4:$U$200,""),"")</f>
        <v/>
      </c>
      <c r="U94" t="str">
        <f>IFERROR(IF(S94="","",IF(_xlfn.XLOOKUP(B94,Client_List!$A$4:$A$200,Client_List!$W$4:$W$200,999)&lt;=24,"LIVE",IF(_xlfn.XLOOKUP(B94,Client_List!$A$4:$A$200,Client_List!$W$4:$W$200,999)&lt;=72,"STALE","OLD"))),"")</f>
        <v/>
      </c>
    </row>
    <row r="95" spans="1:21" x14ac:dyDescent="0.2">
      <c r="A95">
        <v>90</v>
      </c>
      <c r="B95">
        <v>15024</v>
      </c>
      <c r="C95" t="s">
        <v>358</v>
      </c>
      <c r="D95" t="s">
        <v>81</v>
      </c>
      <c r="E95" t="str">
        <f>IFERROR(VLOOKUP(C95,Client_List!$B:$K,4,0)&amp;", "&amp;VLOOKUP(C95,Client_List!$B:$K,5,0)&amp;" AZ","")</f>
        <v>328 N Gilbert Rd, Gilbert AZ</v>
      </c>
      <c r="F95" t="str">
        <f>IFERROR(VLOOKUP(C95,Client_List!$B:$K,7,0)&amp;", "&amp;VLOOKUP(C95,Client_List!$B:$K,8,0),"")</f>
        <v>33.3558556, -111.7899633</v>
      </c>
      <c r="G95">
        <f>IFERROR(VLOOKUP(C95,Client_List!$B:$K,9,0),"")</f>
        <v>450</v>
      </c>
      <c r="H95" t="str">
        <f>IFERROR(LOOKUP(2,1/((Delivery_Log!$B$4:$B$4998=B95)*(ISNUMBER(Delivery_Log!$J$4:$J$4998))*(Delivery_Log!$J$4:$J$4998&gt;0)),Delivery_Log!$J$4:$J$4998),"")</f>
        <v/>
      </c>
      <c r="I95" t="str">
        <f>IFERROR(VLOOKUP(C95,Client_List!$B:$K,10,0),"")</f>
        <v>CANOLA OIL</v>
      </c>
      <c r="J95">
        <f>IFERROR(_xlfn.MAXIFS(Delivery_Log!$A$4:$A$4998,Delivery_Log!$B$4:$B$4998,B95),"—")</f>
        <v>46135</v>
      </c>
      <c r="K95">
        <f t="shared" ca="1" si="12"/>
        <v>13</v>
      </c>
      <c r="L95" t="str">
        <f t="shared" ca="1" si="13"/>
        <v/>
      </c>
      <c r="M95" t="str">
        <f t="shared" ca="1" si="14"/>
        <v/>
      </c>
      <c r="N95" t="str">
        <f t="shared" ca="1" si="15"/>
        <v/>
      </c>
      <c r="O95" t="e">
        <f t="shared" ca="1" si="16"/>
        <v>#VALUE!</v>
      </c>
      <c r="P95" t="str">
        <f t="shared" ca="1" si="17"/>
        <v>—</v>
      </c>
      <c r="Q95">
        <f>COUNTIFS(Delivery_Log!$B$4:$B$5998,B95,Delivery_Log!$A$4:$A$5998,"&gt;="&amp;$Q$2)</f>
        <v>8</v>
      </c>
      <c r="S95" t="str">
        <f>IFERROR(_xlfn.XLOOKUP(B95,Client_List!$A$4:$A$200,Client_List!$S$4:$S$200,""),"")</f>
        <v/>
      </c>
      <c r="T95" t="str">
        <f>IFERROR(_xlfn.XLOOKUP(B95,Client_List!$A$4:$A$200,Client_List!$U$4:$U$200,""),"")</f>
        <v/>
      </c>
      <c r="U95" t="str">
        <f>IFERROR(IF(S95="","",IF(_xlfn.XLOOKUP(B95,Client_List!$A$4:$A$200,Client_List!$W$4:$W$200,999)&lt;=24,"LIVE",IF(_xlfn.XLOOKUP(B95,Client_List!$A$4:$A$200,Client_List!$W$4:$W$200,999)&lt;=72,"STALE","OLD"))),"")</f>
        <v/>
      </c>
    </row>
    <row r="96" spans="1:21" x14ac:dyDescent="0.2">
      <c r="A96">
        <v>91</v>
      </c>
      <c r="B96">
        <v>15027</v>
      </c>
      <c r="C96" t="s">
        <v>361</v>
      </c>
      <c r="D96" t="s">
        <v>51</v>
      </c>
      <c r="E96" t="str">
        <f>IFERROR(VLOOKUP(C96,Client_List!$B:$K,4,0)&amp;", "&amp;VLOOKUP(C96,Client_List!$B:$K,5,0)&amp;" AZ","")</f>
        <v>1960 W Germann Rd Ste 5 Bldg G, Chandler AZ</v>
      </c>
      <c r="F96" t="str">
        <f>IFERROR(VLOOKUP(C96,Client_List!$B:$K,7,0)&amp;", "&amp;VLOOKUP(C96,Client_List!$B:$K,8,0),"")</f>
        <v>33.2777465, -111.8756684</v>
      </c>
      <c r="G96">
        <f>IFERROR(VLOOKUP(C96,Client_List!$B:$K,9,0),"")</f>
        <v>660</v>
      </c>
      <c r="H96" t="str">
        <f>IFERROR(LOOKUP(2,1/((Delivery_Log!$B$4:$B$4998=B96)*(ISNUMBER(Delivery_Log!$J$4:$J$4998))*(Delivery_Log!$J$4:$J$4998&gt;0)),Delivery_Log!$J$4:$J$4998),"")</f>
        <v/>
      </c>
      <c r="I96" t="str">
        <f>IFERROR(VLOOKUP(C96,Client_List!$B:$K,10,0),"")</f>
        <v>CANOLA OIL</v>
      </c>
      <c r="J96">
        <f>IFERROR(_xlfn.MAXIFS(Delivery_Log!$A$4:$A$4998,Delivery_Log!$B$4:$B$4998,B96),"—")</f>
        <v>46144</v>
      </c>
      <c r="K96">
        <f t="shared" ca="1" si="12"/>
        <v>4</v>
      </c>
      <c r="L96" t="str">
        <f t="shared" ca="1" si="13"/>
        <v/>
      </c>
      <c r="M96" t="str">
        <f t="shared" ca="1" si="14"/>
        <v/>
      </c>
      <c r="N96" t="str">
        <f t="shared" ca="1" si="15"/>
        <v/>
      </c>
      <c r="O96" t="e">
        <f t="shared" ca="1" si="16"/>
        <v>#VALUE!</v>
      </c>
      <c r="P96" t="str">
        <f t="shared" ca="1" si="17"/>
        <v>—</v>
      </c>
      <c r="Q96">
        <f>COUNTIFS(Delivery_Log!$B$4:$B$5998,B96,Delivery_Log!$A$4:$A$5998,"&gt;="&amp;$Q$2)</f>
        <v>6</v>
      </c>
      <c r="S96" t="str">
        <f>IFERROR(_xlfn.XLOOKUP(B96,Client_List!$A$4:$A$200,Client_List!$S$4:$S$200,""),"")</f>
        <v/>
      </c>
      <c r="T96" t="str">
        <f>IFERROR(_xlfn.XLOOKUP(B96,Client_List!$A$4:$A$200,Client_List!$U$4:$U$200,""),"")</f>
        <v/>
      </c>
      <c r="U96" t="str">
        <f>IFERROR(IF(S96="","",IF(_xlfn.XLOOKUP(B96,Client_List!$A$4:$A$200,Client_List!$W$4:$W$200,999)&lt;=24,"LIVE",IF(_xlfn.XLOOKUP(B96,Client_List!$A$4:$A$200,Client_List!$W$4:$W$200,999)&lt;=72,"STALE","OLD"))),"")</f>
        <v/>
      </c>
    </row>
    <row r="97" spans="1:21" x14ac:dyDescent="0.2">
      <c r="A97">
        <v>92</v>
      </c>
      <c r="C97" t="s">
        <v>337</v>
      </c>
      <c r="D97" t="s">
        <v>51</v>
      </c>
      <c r="E97" t="str">
        <f>IFERROR(VLOOKUP(C97,Client_List!$B:$K,4,0)&amp;", "&amp;VLOOKUP(C97,Client_List!$B:$K,5,0)&amp;" AZ","")</f>
        <v/>
      </c>
      <c r="F97" t="str">
        <f>IFERROR(VLOOKUP(C97,Client_List!$B:$K,7,0)&amp;", "&amp;VLOOKUP(C97,Client_List!$B:$K,8,0),"")</f>
        <v/>
      </c>
      <c r="G97" t="str">
        <f>IFERROR(VLOOKUP(C97,Client_List!$B:$K,9,0),"")</f>
        <v/>
      </c>
      <c r="H97" t="str">
        <f>IFERROR(LOOKUP(2,1/((Delivery_Log!$B$4:$B$4998=B97)*(Delivery_Log!$J$4:$J$4998&gt;0)),Delivery_Log!$J$4:$J$4998),"")</f>
        <v/>
      </c>
      <c r="I97" t="str">
        <f>IFERROR(VLOOKUP(C97,Client_List!$B:$K,10,0),"")</f>
        <v/>
      </c>
      <c r="J97">
        <f>IFERROR(_xlfn.MAXIFS(Delivery_Log!$A$4:$A$4998,Delivery_Log!$B$4:$B$4998,C97),"—")</f>
        <v>0</v>
      </c>
      <c r="K97">
        <f t="shared" ca="1" si="12"/>
        <v>46148</v>
      </c>
      <c r="L97" t="str">
        <f t="shared" ca="1" si="13"/>
        <v/>
      </c>
      <c r="M97" t="str">
        <f t="shared" ca="1" si="14"/>
        <v/>
      </c>
      <c r="N97" t="str">
        <f t="shared" ca="1" si="15"/>
        <v/>
      </c>
      <c r="O97" t="e">
        <f t="shared" ca="1" si="16"/>
        <v>#VALUE!</v>
      </c>
      <c r="P97" t="str">
        <f t="shared" ca="1" si="17"/>
        <v>—</v>
      </c>
      <c r="Q97">
        <f>COUNTIFS(Delivery_Log!$B$4:$B$5998,"="&amp;C97,Delivery_Log!$A$4:$A$5998,"&gt;="&amp;$Q$2)</f>
        <v>0</v>
      </c>
      <c r="S97">
        <f>IFERROR(_xlfn.XLOOKUP(B97,Client_List!$A$4:$A$200,Client_List!$S$4:$S$200,""),"")</f>
        <v>825.94074998567567</v>
      </c>
      <c r="T97" t="str">
        <f>IFERROR(_xlfn.XLOOKUP(B97,Client_List!$A$4:$A$200,Client_List!$U$4:$U$200,""),"")</f>
        <v>2026-05-06T11:00:42Z</v>
      </c>
      <c r="U97" t="str">
        <f ca="1">IFERROR(IF(S97="","",IF(_xlfn.XLOOKUP(B97,Client_List!$A$4:$A$200,Client_List!$W$4:$W$200,999)&lt;=24,"LIVE",IF(_xlfn.XLOOKUP(B97,Client_List!$A$4:$A$200,Client_List!$W$4:$W$200,999)&lt;=72,"STALE","OLD"))),"")</f>
        <v>OLD</v>
      </c>
    </row>
    <row r="98" spans="1:21" x14ac:dyDescent="0.2">
      <c r="A98">
        <v>93</v>
      </c>
      <c r="B98">
        <v>15005</v>
      </c>
      <c r="C98" t="s">
        <v>364</v>
      </c>
      <c r="D98" t="s">
        <v>63</v>
      </c>
      <c r="E98" t="str">
        <f>IFERROR(VLOOKUP(C98,Client_List!$B:$K,4,0)&amp;", "&amp;VLOOKUP(C98,Client_List!$B:$K,5,0)&amp;" AZ","")</f>
        <v>15280 W Mcdowell Rd, Goodyear AZ</v>
      </c>
      <c r="F98" t="str">
        <f>IFERROR(VLOOKUP(C98,Client_List!$B:$K,7,0)&amp;", "&amp;VLOOKUP(C98,Client_List!$B:$K,8,0),"")</f>
        <v>33.4649405, -112.3879295</v>
      </c>
      <c r="G98">
        <f>IFERROR(VLOOKUP(C98,Client_List!$B:$K,9,0),"")</f>
        <v>660</v>
      </c>
      <c r="H98" t="str">
        <f>IFERROR(LOOKUP(2,1/((Delivery_Log!$B$4:$B$4998=B98)*(ISNUMBER(Delivery_Log!$J$4:$J$4998))*(Delivery_Log!$J$4:$J$4998&gt;0)),Delivery_Log!$J$4:$J$4998),"")</f>
        <v/>
      </c>
      <c r="I98" t="str">
        <f>IFERROR(VLOOKUP(C98,Client_List!$B:$K,10,0),"")</f>
        <v>CANOLA OIL</v>
      </c>
      <c r="J98">
        <f>IFERROR(_xlfn.MAXIFS(Delivery_Log!$A$4:$A$4998,Delivery_Log!$B$4:$B$4998,B98),"—")</f>
        <v>46143</v>
      </c>
      <c r="K98">
        <f t="shared" ca="1" si="12"/>
        <v>5</v>
      </c>
      <c r="L98" t="str">
        <f t="shared" ca="1" si="13"/>
        <v/>
      </c>
      <c r="M98" t="str">
        <f t="shared" ca="1" si="14"/>
        <v/>
      </c>
      <c r="N98" t="str">
        <f t="shared" ca="1" si="15"/>
        <v/>
      </c>
      <c r="O98" t="e">
        <f t="shared" ca="1" si="16"/>
        <v>#VALUE!</v>
      </c>
      <c r="P98" t="str">
        <f t="shared" ca="1" si="17"/>
        <v>—</v>
      </c>
      <c r="Q98">
        <f>COUNTIFS(Delivery_Log!$B$4:$B$5998,B98,Delivery_Log!$A$4:$A$5998,"&gt;="&amp;$Q$2)</f>
        <v>10</v>
      </c>
      <c r="S98" t="str">
        <f>IFERROR(_xlfn.XLOOKUP(B98,Client_List!$A$4:$A$200,Client_List!$S$4:$S$200,""),"")</f>
        <v/>
      </c>
      <c r="T98" t="str">
        <f>IFERROR(_xlfn.XLOOKUP(B98,Client_List!$A$4:$A$200,Client_List!$U$4:$U$200,""),"")</f>
        <v/>
      </c>
      <c r="U98" t="str">
        <f>IFERROR(IF(S98="","",IF(_xlfn.XLOOKUP(B98,Client_List!$A$4:$A$200,Client_List!$W$4:$W$200,999)&lt;=24,"LIVE",IF(_xlfn.XLOOKUP(B98,Client_List!$A$4:$A$200,Client_List!$W$4:$W$200,999)&lt;=72,"STALE","OLD"))),"")</f>
        <v/>
      </c>
    </row>
    <row r="99" spans="1:21" x14ac:dyDescent="0.2">
      <c r="A99">
        <v>94</v>
      </c>
      <c r="B99">
        <v>15009</v>
      </c>
      <c r="C99" t="s">
        <v>367</v>
      </c>
      <c r="D99" t="s">
        <v>81</v>
      </c>
      <c r="E99" t="str">
        <f>IFERROR(VLOOKUP(C99,Client_List!$B:$K,4,0)&amp;", "&amp;VLOOKUP(C99,Client_List!$B:$K,5,0)&amp;" AZ","")</f>
        <v>20677 E Maya Rd, Queen Creek AZ</v>
      </c>
      <c r="F99" t="str">
        <f>IFERROR(VLOOKUP(C99,Client_List!$B:$K,7,0)&amp;", "&amp;VLOOKUP(C99,Client_List!$B:$K,8,0),"")</f>
        <v>33.2536776, -111.6372362</v>
      </c>
      <c r="G99">
        <f>IFERROR(VLOOKUP(C99,Client_List!$B:$K,9,0),"")</f>
        <v>500</v>
      </c>
      <c r="H99" t="str">
        <f>IFERROR(LOOKUP(2,1/((Delivery_Log!$B$4:$B$4998=B99)*(ISNUMBER(Delivery_Log!$J$4:$J$4998))*(Delivery_Log!$J$4:$J$4998&gt;0)),Delivery_Log!$J$4:$J$4998),"")</f>
        <v/>
      </c>
      <c r="I99" t="str">
        <f>IFERROR(VLOOKUP(C99,Client_List!$B:$K,10,0),"")</f>
        <v>CANOLA OIL</v>
      </c>
      <c r="J99">
        <f>IFERROR(_xlfn.MAXIFS(Delivery_Log!$A$4:$A$4998,Delivery_Log!$B$4:$B$4998,B99),"—")</f>
        <v>46144</v>
      </c>
      <c r="K99">
        <f t="shared" ca="1" si="12"/>
        <v>4</v>
      </c>
      <c r="L99" t="str">
        <f t="shared" ca="1" si="13"/>
        <v/>
      </c>
      <c r="M99" t="str">
        <f t="shared" ca="1" si="14"/>
        <v/>
      </c>
      <c r="N99" t="str">
        <f t="shared" ca="1" si="15"/>
        <v/>
      </c>
      <c r="O99" t="e">
        <f t="shared" ca="1" si="16"/>
        <v>#VALUE!</v>
      </c>
      <c r="P99" t="str">
        <f t="shared" ca="1" si="17"/>
        <v>—</v>
      </c>
      <c r="Q99">
        <f>COUNTIFS(Delivery_Log!$B$4:$B$5998,B99,Delivery_Log!$A$4:$A$5998,"&gt;="&amp;$Q$2)</f>
        <v>13</v>
      </c>
      <c r="S99" t="str">
        <f>IFERROR(_xlfn.XLOOKUP(B99,Client_List!$A$4:$A$200,Client_List!$S$4:$S$200,""),"")</f>
        <v/>
      </c>
      <c r="T99" t="str">
        <f>IFERROR(_xlfn.XLOOKUP(B99,Client_List!$A$4:$A$200,Client_List!$U$4:$U$200,""),"")</f>
        <v/>
      </c>
      <c r="U99" t="str">
        <f>IFERROR(IF(S99="","",IF(_xlfn.XLOOKUP(B99,Client_List!$A$4:$A$200,Client_List!$W$4:$W$200,999)&lt;=24,"LIVE",IF(_xlfn.XLOOKUP(B99,Client_List!$A$4:$A$200,Client_List!$W$4:$W$200,999)&lt;=72,"STALE","OLD"))),"")</f>
        <v/>
      </c>
    </row>
    <row r="100" spans="1:21" x14ac:dyDescent="0.2">
      <c r="A100">
        <v>95</v>
      </c>
      <c r="B100">
        <v>15023</v>
      </c>
      <c r="C100" t="s">
        <v>371</v>
      </c>
      <c r="D100" t="s">
        <v>51</v>
      </c>
      <c r="E100" t="str">
        <f>IFERROR(VLOOKUP(C100,Client_List!$B:$K,4,0)&amp;", "&amp;VLOOKUP(C100,Client_List!$B:$K,5,0)&amp;" AZ","")</f>
        <v>OREGANO MESA, Mesa AZ</v>
      </c>
      <c r="F100" t="str">
        <f>IFERROR(VLOOKUP(C100,Client_List!$B:$K,7,0)&amp;", "&amp;VLOOKUP(C100,Client_List!$B:$K,8,0),"")</f>
        <v>33.3939399, -111.8750816</v>
      </c>
      <c r="G100">
        <f>IFERROR(VLOOKUP(C100,Client_List!$B:$K,9,0),"")</f>
        <v>630</v>
      </c>
      <c r="H100" t="str">
        <f>IFERROR(LOOKUP(2,1/((Delivery_Log!$B$4:$B$4998=B100)*(ISNUMBER(Delivery_Log!$J$4:$J$4998))*(Delivery_Log!$J$4:$J$4998&gt;0)),Delivery_Log!$J$4:$J$4998),"")</f>
        <v/>
      </c>
      <c r="I100" t="str">
        <f>IFERROR(VLOOKUP(C100,Client_List!$B:$K,10,0),"")</f>
        <v>CANOLA OIL</v>
      </c>
      <c r="J100">
        <f>IFERROR(_xlfn.MAXIFS(Delivery_Log!$A$4:$A$4998,Delivery_Log!$B$4:$B$4998,B100),"—")</f>
        <v>46126</v>
      </c>
      <c r="K100">
        <f t="shared" ca="1" si="12"/>
        <v>22</v>
      </c>
      <c r="L100" t="str">
        <f t="shared" ca="1" si="13"/>
        <v/>
      </c>
      <c r="M100" t="str">
        <f t="shared" ca="1" si="14"/>
        <v/>
      </c>
      <c r="N100" t="str">
        <f t="shared" ca="1" si="15"/>
        <v/>
      </c>
      <c r="O100" t="e">
        <f t="shared" ca="1" si="16"/>
        <v>#VALUE!</v>
      </c>
      <c r="P100" t="str">
        <f t="shared" ca="1" si="17"/>
        <v>—</v>
      </c>
      <c r="Q100">
        <f>COUNTIFS(Delivery_Log!$B$4:$B$5998,B100,Delivery_Log!$A$4:$A$5998,"&gt;="&amp;$Q$2)</f>
        <v>6</v>
      </c>
      <c r="S100" t="str">
        <f>IFERROR(_xlfn.XLOOKUP(B100,Client_List!$A$4:$A$200,Client_List!$S$4:$S$200,""),"")</f>
        <v/>
      </c>
      <c r="T100" t="str">
        <f>IFERROR(_xlfn.XLOOKUP(B100,Client_List!$A$4:$A$200,Client_List!$U$4:$U$200,""),"")</f>
        <v/>
      </c>
      <c r="U100" t="str">
        <f>IFERROR(IF(S100="","",IF(_xlfn.XLOOKUP(B100,Client_List!$A$4:$A$200,Client_List!$W$4:$W$200,999)&lt;=24,"LIVE",IF(_xlfn.XLOOKUP(B100,Client_List!$A$4:$A$200,Client_List!$W$4:$W$200,999)&lt;=72,"STALE","OLD"))),"")</f>
        <v/>
      </c>
    </row>
    <row r="101" spans="1:21" x14ac:dyDescent="0.2">
      <c r="A101">
        <v>96</v>
      </c>
      <c r="B101">
        <v>15015</v>
      </c>
      <c r="C101" t="s">
        <v>374</v>
      </c>
      <c r="D101" t="s">
        <v>81</v>
      </c>
      <c r="E101" t="str">
        <f>IFERROR(VLOOKUP(C101,Client_List!$B:$K,4,0)&amp;", "&amp;VLOOKUP(C101,Client_List!$B:$K,5,0)&amp;" AZ","")</f>
        <v>6821 E Superstition Springs Blvd, Mesa AZ</v>
      </c>
      <c r="F101" t="str">
        <f>IFERROR(VLOOKUP(C101,Client_List!$B:$K,7,0)&amp;", "&amp;VLOOKUP(C101,Client_List!$B:$K,8,0),"")</f>
        <v>33.3832198, -111.6838148</v>
      </c>
      <c r="G101">
        <f>IFERROR(VLOOKUP(C101,Client_List!$B:$K,9,0),"")</f>
        <v>500</v>
      </c>
      <c r="H101" t="str">
        <f>IFERROR(LOOKUP(2,1/((Delivery_Log!$B$4:$B$4998=B101)*(ISNUMBER(Delivery_Log!$J$4:$J$4998))*(Delivery_Log!$J$4:$J$4998&gt;0)),Delivery_Log!$J$4:$J$4998),"")</f>
        <v/>
      </c>
      <c r="I101" t="str">
        <f>IFERROR(VLOOKUP(C101,Client_List!$B:$K,10,0),"")</f>
        <v>CANOLA OIL</v>
      </c>
      <c r="J101">
        <f>IFERROR(_xlfn.MAXIFS(Delivery_Log!$A$4:$A$4998,Delivery_Log!$B$4:$B$4998,B101),"—")</f>
        <v>46135</v>
      </c>
      <c r="K101">
        <f t="shared" ca="1" si="12"/>
        <v>13</v>
      </c>
      <c r="L101" t="str">
        <f t="shared" ca="1" si="13"/>
        <v/>
      </c>
      <c r="M101" t="str">
        <f t="shared" ca="1" si="14"/>
        <v/>
      </c>
      <c r="N101" t="str">
        <f t="shared" ca="1" si="15"/>
        <v/>
      </c>
      <c r="O101" t="e">
        <f t="shared" ca="1" si="16"/>
        <v>#VALUE!</v>
      </c>
      <c r="P101" t="str">
        <f t="shared" ca="1" si="17"/>
        <v>—</v>
      </c>
      <c r="Q101">
        <f>COUNTIFS(Delivery_Log!$B$4:$B$5998,B101,Delivery_Log!$A$4:$A$5998,"&gt;="&amp;$Q$2)</f>
        <v>10</v>
      </c>
      <c r="S101" t="str">
        <f>IFERROR(_xlfn.XLOOKUP(B101,Client_List!$A$4:$A$200,Client_List!$S$4:$S$200,""),"")</f>
        <v/>
      </c>
      <c r="T101" t="str">
        <f>IFERROR(_xlfn.XLOOKUP(B101,Client_List!$A$4:$A$200,Client_List!$U$4:$U$200,""),"")</f>
        <v/>
      </c>
      <c r="U101" t="str">
        <f>IFERROR(IF(S101="","",IF(_xlfn.XLOOKUP(B101,Client_List!$A$4:$A$200,Client_List!$W$4:$W$200,999)&lt;=24,"LIVE",IF(_xlfn.XLOOKUP(B101,Client_List!$A$4:$A$200,Client_List!$W$4:$W$200,999)&lt;=72,"STALE","OLD"))),"")</f>
        <v/>
      </c>
    </row>
    <row r="102" spans="1:21" x14ac:dyDescent="0.2">
      <c r="A102">
        <v>97</v>
      </c>
      <c r="B102">
        <v>15018</v>
      </c>
      <c r="C102" t="s">
        <v>376</v>
      </c>
      <c r="D102" t="s">
        <v>51</v>
      </c>
      <c r="E102" t="str">
        <f>IFERROR(VLOOKUP(C102,Client_List!$B:$K,4,0)&amp;", "&amp;VLOOKUP(C102,Client_List!$B:$K,5,0)&amp;" AZ","")</f>
        <v>3102 N Scottsdale Rd, Scottsdale AZ</v>
      </c>
      <c r="F102" t="str">
        <f>IFERROR(VLOOKUP(C102,Client_List!$B:$K,7,0)&amp;", "&amp;VLOOKUP(C102,Client_List!$B:$K,8,0),"")</f>
        <v>33.4832852, -111.9267136</v>
      </c>
      <c r="G102">
        <f>IFERROR(VLOOKUP(C102,Client_List!$B:$K,9,0),"")</f>
        <v>660</v>
      </c>
      <c r="H102" t="str">
        <f>IFERROR(LOOKUP(2,1/((Delivery_Log!$B$4:$B$4998=B102)*(ISNUMBER(Delivery_Log!$J$4:$J$4998))*(Delivery_Log!$J$4:$J$4998&gt;0)),Delivery_Log!$J$4:$J$4998),"")</f>
        <v/>
      </c>
      <c r="I102" t="str">
        <f>IFERROR(VLOOKUP(C102,Client_List!$B:$K,10,0),"")</f>
        <v>CANOLA OIL</v>
      </c>
      <c r="J102">
        <f>IFERROR(_xlfn.MAXIFS(Delivery_Log!$A$4:$A$4998,Delivery_Log!$B$4:$B$4998,B102),"—")</f>
        <v>46133</v>
      </c>
      <c r="K102">
        <f t="shared" ref="K102:K133" ca="1" si="18">IFERROR(IF(J102="—","",TODAY()-J102),"")</f>
        <v>15</v>
      </c>
      <c r="L102" t="str">
        <f t="shared" ref="L102:L133" ca="1" si="19">IFERROR(IF(OR(K102="",H102=""),"",MAX(G102*0.03,G102-K102*H102)),"")</f>
        <v/>
      </c>
      <c r="M102" t="str">
        <f t="shared" ref="M102:M133" ca="1" si="20">IFERROR(IF(L102="","",G102-L102),"")</f>
        <v/>
      </c>
      <c r="N102" t="str">
        <f t="shared" ref="N102:N133" ca="1" si="21">IFERROR(IF(OR(L102="",H102=""),"",MIN(21,MAX(0,(L102-G102*$C$2)/H102))),"")</f>
        <v/>
      </c>
      <c r="O102" t="e">
        <f t="shared" ref="O102:O133" ca="1" si="22">TODAY()+ROUNDUP(N102,0)</f>
        <v>#VALUE!</v>
      </c>
      <c r="P102" t="str">
        <f t="shared" ref="P102:P133" ca="1" si="23">IFERROR(IF(N102="","—",IF(N102&lt;=$E$2,"YES","—")),"—")</f>
        <v>—</v>
      </c>
      <c r="Q102">
        <f>COUNTIFS(Delivery_Log!$B$4:$B$5998,B102,Delivery_Log!$A$4:$A$5998,"&gt;="&amp;$Q$2)</f>
        <v>8</v>
      </c>
      <c r="S102" t="str">
        <f>IFERROR(_xlfn.XLOOKUP(B102,Client_List!$A$4:$A$200,Client_List!$S$4:$S$200,""),"")</f>
        <v/>
      </c>
      <c r="T102" t="str">
        <f>IFERROR(_xlfn.XLOOKUP(B102,Client_List!$A$4:$A$200,Client_List!$U$4:$U$200,""),"")</f>
        <v/>
      </c>
      <c r="U102" t="str">
        <f>IFERROR(IF(S102="","",IF(_xlfn.XLOOKUP(B102,Client_List!$A$4:$A$200,Client_List!$W$4:$W$200,999)&lt;=24,"LIVE",IF(_xlfn.XLOOKUP(B102,Client_List!$A$4:$A$200,Client_List!$W$4:$W$200,999)&lt;=72,"STALE","OLD"))),"")</f>
        <v/>
      </c>
    </row>
    <row r="103" spans="1:21" x14ac:dyDescent="0.2">
      <c r="A103">
        <v>98</v>
      </c>
      <c r="B103">
        <v>15051</v>
      </c>
      <c r="C103" t="s">
        <v>379</v>
      </c>
      <c r="D103" t="s">
        <v>81</v>
      </c>
      <c r="E103" t="str">
        <f>IFERROR(VLOOKUP(C103,Client_List!$B:$K,4,0)&amp;", "&amp;VLOOKUP(C103,Client_List!$B:$K,5,0)&amp;" AZ","")</f>
        <v>2472 S Recker Rd, Gilbert AZ</v>
      </c>
      <c r="F103" t="str">
        <f>IFERROR(VLOOKUP(C103,Client_List!$B:$K,7,0)&amp;", "&amp;VLOOKUP(C103,Client_List!$B:$K,8,0),"")</f>
        <v>33.3061366, -111.7047128</v>
      </c>
      <c r="G103">
        <f>IFERROR(VLOOKUP(C103,Client_List!$B:$K,9,0),"")</f>
        <v>350</v>
      </c>
      <c r="H103" t="str">
        <f>IFERROR(LOOKUP(2,1/((Delivery_Log!$B$4:$B$4998=B103)*(ISNUMBER(Delivery_Log!$J$4:$J$4998))*(Delivery_Log!$J$4:$J$4998&gt;0)),Delivery_Log!$J$4:$J$4998),"")</f>
        <v/>
      </c>
      <c r="I103" t="str">
        <f>IFERROR(VLOOKUP(C103,Client_List!$B:$K,10,0),"")</f>
        <v>CANOLA OIL</v>
      </c>
      <c r="J103">
        <f>IFERROR(_xlfn.MAXIFS(Delivery_Log!$A$4:$A$4998,Delivery_Log!$B$4:$B$4998,B103),"—")</f>
        <v>46144</v>
      </c>
      <c r="K103">
        <f t="shared" ca="1" si="18"/>
        <v>4</v>
      </c>
      <c r="L103" t="str">
        <f t="shared" ca="1" si="19"/>
        <v/>
      </c>
      <c r="M103" t="str">
        <f t="shared" ca="1" si="20"/>
        <v/>
      </c>
      <c r="N103" t="str">
        <f t="shared" ca="1" si="21"/>
        <v/>
      </c>
      <c r="O103" t="e">
        <f t="shared" ca="1" si="22"/>
        <v>#VALUE!</v>
      </c>
      <c r="P103" t="str">
        <f t="shared" ca="1" si="23"/>
        <v>—</v>
      </c>
      <c r="Q103">
        <f>COUNTIFS(Delivery_Log!$B$4:$B$5998,B103,Delivery_Log!$A$4:$A$5998,"&gt;="&amp;$Q$2)</f>
        <v>12</v>
      </c>
      <c r="S103" t="str">
        <f>IFERROR(_xlfn.XLOOKUP(B103,Client_List!$A$4:$A$200,Client_List!$S$4:$S$200,""),"")</f>
        <v/>
      </c>
      <c r="T103" t="str">
        <f>IFERROR(_xlfn.XLOOKUP(B103,Client_List!$A$4:$A$200,Client_List!$U$4:$U$200,""),"")</f>
        <v/>
      </c>
      <c r="U103" t="str">
        <f>IFERROR(IF(S103="","",IF(_xlfn.XLOOKUP(B103,Client_List!$A$4:$A$200,Client_List!$W$4:$W$200,999)&lt;=24,"LIVE",IF(_xlfn.XLOOKUP(B103,Client_List!$A$4:$A$200,Client_List!$W$4:$W$200,999)&lt;=72,"STALE","OLD"))),"")</f>
        <v/>
      </c>
    </row>
    <row r="104" spans="1:21" x14ac:dyDescent="0.2">
      <c r="A104">
        <v>99</v>
      </c>
      <c r="B104">
        <v>16006</v>
      </c>
      <c r="C104" t="s">
        <v>382</v>
      </c>
      <c r="D104" t="s">
        <v>51</v>
      </c>
      <c r="E104" t="str">
        <f>IFERROR(VLOOKUP(C104,Client_List!$B:$K,4,0)&amp;", "&amp;VLOOKUP(C104,Client_List!$B:$K,5,0)&amp;" AZ","")</f>
        <v>PETE'S 44TH ST, Phoenix AZ</v>
      </c>
      <c r="F104" t="str">
        <f>IFERROR(VLOOKUP(C104,Client_List!$B:$K,7,0)&amp;", "&amp;VLOOKUP(C104,Client_List!$B:$K,8,0),"")</f>
        <v>33.4957209, -111.9866128</v>
      </c>
      <c r="G104">
        <f>IFERROR(VLOOKUP(C104,Client_List!$B:$K,9,0),"")</f>
        <v>950</v>
      </c>
      <c r="H104" t="str">
        <f>IFERROR(LOOKUP(2,1/((Delivery_Log!$B$4:$B$4998=B104)*(ISNUMBER(Delivery_Log!$J$4:$J$4998))*(Delivery_Log!$J$4:$J$4998&gt;0)),Delivery_Log!$J$4:$J$4998),"")</f>
        <v/>
      </c>
      <c r="I104" t="str">
        <f>IFERROR(VLOOKUP(C104,Client_List!$B:$K,10,0),"")</f>
        <v>FRYERS CHOICE BLEND</v>
      </c>
      <c r="J104">
        <f>IFERROR(_xlfn.MAXIFS(Delivery_Log!$A$4:$A$4998,Delivery_Log!$B$4:$B$4998,B104),"—")</f>
        <v>46133</v>
      </c>
      <c r="K104">
        <f t="shared" ca="1" si="18"/>
        <v>15</v>
      </c>
      <c r="L104" t="str">
        <f t="shared" ca="1" si="19"/>
        <v/>
      </c>
      <c r="M104" t="str">
        <f t="shared" ca="1" si="20"/>
        <v/>
      </c>
      <c r="N104" t="str">
        <f t="shared" ca="1" si="21"/>
        <v/>
      </c>
      <c r="O104" t="e">
        <f t="shared" ca="1" si="22"/>
        <v>#VALUE!</v>
      </c>
      <c r="P104" t="str">
        <f t="shared" ca="1" si="23"/>
        <v>—</v>
      </c>
      <c r="Q104">
        <f>COUNTIFS(Delivery_Log!$B$4:$B$5998,B104,Delivery_Log!$A$4:$A$5998,"&gt;="&amp;$Q$2)</f>
        <v>11</v>
      </c>
      <c r="S104" t="str">
        <f>IFERROR(_xlfn.XLOOKUP(B104,Client_List!$A$4:$A$200,Client_List!$S$4:$S$200,""),"")</f>
        <v/>
      </c>
      <c r="T104" t="str">
        <f>IFERROR(_xlfn.XLOOKUP(B104,Client_List!$A$4:$A$200,Client_List!$U$4:$U$200,""),"")</f>
        <v/>
      </c>
      <c r="U104" t="str">
        <f>IFERROR(IF(S104="","",IF(_xlfn.XLOOKUP(B104,Client_List!$A$4:$A$200,Client_List!$W$4:$W$200,999)&lt;=24,"LIVE",IF(_xlfn.XLOOKUP(B104,Client_List!$A$4:$A$200,Client_List!$W$4:$W$200,999)&lt;=72,"STALE","OLD"))),"")</f>
        <v/>
      </c>
    </row>
    <row r="105" spans="1:21" x14ac:dyDescent="0.2">
      <c r="A105">
        <v>100</v>
      </c>
      <c r="B105">
        <v>16007</v>
      </c>
      <c r="C105" t="s">
        <v>386</v>
      </c>
      <c r="D105" t="s">
        <v>51</v>
      </c>
      <c r="E105" t="str">
        <f>IFERROR(VLOOKUP(C105,Client_List!$B:$K,4,0)&amp;", "&amp;VLOOKUP(C105,Client_List!$B:$K,5,0)&amp;" AZ","")</f>
        <v>1017 E Apache Blvd, Tempe AZ</v>
      </c>
      <c r="F105" t="str">
        <f>IFERROR(VLOOKUP(C105,Client_List!$B:$K,7,0)&amp;", "&amp;VLOOKUP(C105,Client_List!$B:$K,8,0),"")</f>
        <v>33.4144315, -111.9237294</v>
      </c>
      <c r="G105">
        <f>IFERROR(VLOOKUP(C105,Client_List!$B:$K,9,0),"")</f>
        <v>950</v>
      </c>
      <c r="H105" t="str">
        <f>IFERROR(LOOKUP(2,1/((Delivery_Log!$B$4:$B$4998=B105)*(ISNUMBER(Delivery_Log!$J$4:$J$4998))*(Delivery_Log!$J$4:$J$4998&gt;0)),Delivery_Log!$J$4:$J$4998),"")</f>
        <v/>
      </c>
      <c r="I105" t="str">
        <f>IFERROR(VLOOKUP(C105,Client_List!$B:$K,10,0),"")</f>
        <v>FRYERS CHOICE BLEND</v>
      </c>
      <c r="J105">
        <f>IFERROR(_xlfn.MAXIFS(Delivery_Log!$A$4:$A$4998,Delivery_Log!$B$4:$B$4998,B105),"—")</f>
        <v>46144</v>
      </c>
      <c r="K105">
        <f t="shared" ca="1" si="18"/>
        <v>4</v>
      </c>
      <c r="L105" t="str">
        <f t="shared" ca="1" si="19"/>
        <v/>
      </c>
      <c r="M105" t="str">
        <f t="shared" ca="1" si="20"/>
        <v/>
      </c>
      <c r="N105" t="str">
        <f t="shared" ca="1" si="21"/>
        <v/>
      </c>
      <c r="O105" t="e">
        <f t="shared" ca="1" si="22"/>
        <v>#VALUE!</v>
      </c>
      <c r="P105" t="str">
        <f t="shared" ca="1" si="23"/>
        <v>—</v>
      </c>
      <c r="Q105">
        <f>COUNTIFS(Delivery_Log!$B$4:$B$5998,B105,Delivery_Log!$A$4:$A$5998,"&gt;="&amp;$Q$2)</f>
        <v>11</v>
      </c>
      <c r="S105" t="str">
        <f>IFERROR(_xlfn.XLOOKUP(B105,Client_List!$A$4:$A$200,Client_List!$S$4:$S$200,""),"")</f>
        <v/>
      </c>
      <c r="T105" t="str">
        <f>IFERROR(_xlfn.XLOOKUP(B105,Client_List!$A$4:$A$200,Client_List!$U$4:$U$200,""),"")</f>
        <v/>
      </c>
      <c r="U105" t="str">
        <f>IFERROR(IF(S105="","",IF(_xlfn.XLOOKUP(B105,Client_List!$A$4:$A$200,Client_List!$W$4:$W$200,999)&lt;=24,"LIVE",IF(_xlfn.XLOOKUP(B105,Client_List!$A$4:$A$200,Client_List!$W$4:$W$200,999)&lt;=72,"STALE","OLD"))),"")</f>
        <v/>
      </c>
    </row>
    <row r="106" spans="1:21" x14ac:dyDescent="0.2">
      <c r="A106">
        <v>101</v>
      </c>
      <c r="B106">
        <v>16004</v>
      </c>
      <c r="C106" t="s">
        <v>390</v>
      </c>
      <c r="D106" t="s">
        <v>72</v>
      </c>
      <c r="E106" t="str">
        <f>IFERROR(VLOOKUP(C106,Client_List!$B:$K,4,0)&amp;", "&amp;VLOOKUP(C106,Client_List!$B:$K,5,0)&amp;" AZ","")</f>
        <v>PETE'S BUCKEYE, Phoenix AZ</v>
      </c>
      <c r="F106" t="str">
        <f>IFERROR(VLOOKUP(C106,Client_List!$B:$K,7,0)&amp;", "&amp;VLOOKUP(C106,Client_List!$B:$K,8,0),"")</f>
        <v>33.4364984, -112.0584386</v>
      </c>
      <c r="G106">
        <f>IFERROR(VLOOKUP(C106,Client_List!$B:$K,9,0),"")</f>
        <v>950</v>
      </c>
      <c r="H106" t="str">
        <f>IFERROR(LOOKUP(2,1/((Delivery_Log!$B$4:$B$4998=B106)*(ISNUMBER(Delivery_Log!$J$4:$J$4998))*(Delivery_Log!$J$4:$J$4998&gt;0)),Delivery_Log!$J$4:$J$4998),"")</f>
        <v/>
      </c>
      <c r="I106" t="str">
        <f>IFERROR(VLOOKUP(C106,Client_List!$B:$K,10,0),"")</f>
        <v>FRYERS CHOICE BLEND</v>
      </c>
      <c r="J106">
        <f>IFERROR(_xlfn.MAXIFS(Delivery_Log!$A$4:$A$4998,Delivery_Log!$B$4:$B$4998,B106),"—")</f>
        <v>46141</v>
      </c>
      <c r="K106">
        <f t="shared" ca="1" si="18"/>
        <v>7</v>
      </c>
      <c r="L106" t="str">
        <f t="shared" ca="1" si="19"/>
        <v/>
      </c>
      <c r="M106" t="str">
        <f t="shared" ca="1" si="20"/>
        <v/>
      </c>
      <c r="N106" t="str">
        <f t="shared" ca="1" si="21"/>
        <v/>
      </c>
      <c r="O106" t="e">
        <f t="shared" ca="1" si="22"/>
        <v>#VALUE!</v>
      </c>
      <c r="P106" t="str">
        <f t="shared" ca="1" si="23"/>
        <v>—</v>
      </c>
      <c r="Q106">
        <f>COUNTIFS(Delivery_Log!$B$4:$B$5998,B106,Delivery_Log!$A$4:$A$5998,"&gt;="&amp;$Q$2)</f>
        <v>13</v>
      </c>
      <c r="S106" t="str">
        <f>IFERROR(_xlfn.XLOOKUP(B106,Client_List!$A$4:$A$200,Client_List!$S$4:$S$200,""),"")</f>
        <v/>
      </c>
      <c r="T106" t="str">
        <f>IFERROR(_xlfn.XLOOKUP(B106,Client_List!$A$4:$A$200,Client_List!$U$4:$U$200,""),"")</f>
        <v/>
      </c>
      <c r="U106" t="str">
        <f>IFERROR(IF(S106="","",IF(_xlfn.XLOOKUP(B106,Client_List!$A$4:$A$200,Client_List!$W$4:$W$200,999)&lt;=24,"LIVE",IF(_xlfn.XLOOKUP(B106,Client_List!$A$4:$A$200,Client_List!$W$4:$W$200,999)&lt;=72,"STALE","OLD"))),"")</f>
        <v/>
      </c>
    </row>
    <row r="107" spans="1:21" x14ac:dyDescent="0.2">
      <c r="A107">
        <v>102</v>
      </c>
      <c r="B107">
        <v>16003</v>
      </c>
      <c r="C107" t="s">
        <v>394</v>
      </c>
      <c r="D107" t="s">
        <v>72</v>
      </c>
      <c r="E107" t="str">
        <f>IFERROR(VLOOKUP(C107,Client_List!$B:$K,4,0)&amp;", "&amp;VLOOKUP(C107,Client_List!$B:$K,5,0)&amp;" AZ","")</f>
        <v>PETE'S CENTRAL, Phoenix AZ</v>
      </c>
      <c r="F107" t="str">
        <f>IFERROR(VLOOKUP(C107,Client_List!$B:$K,7,0)&amp;", "&amp;VLOOKUP(C107,Client_List!$B:$K,8,0),"")</f>
        <v>33.4108063, -112.073633</v>
      </c>
      <c r="G107">
        <f>IFERROR(VLOOKUP(C107,Client_List!$B:$K,9,0),"")</f>
        <v>950</v>
      </c>
      <c r="H107" t="str">
        <f>IFERROR(LOOKUP(2,1/((Delivery_Log!$B$4:$B$4998=B107)*(ISNUMBER(Delivery_Log!$J$4:$J$4998))*(Delivery_Log!$J$4:$J$4998&gt;0)),Delivery_Log!$J$4:$J$4998),"")</f>
        <v/>
      </c>
      <c r="I107" t="str">
        <f>IFERROR(VLOOKUP(C107,Client_List!$B:$K,10,0),"")</f>
        <v>FRYERS CHOICE BLEND</v>
      </c>
      <c r="J107">
        <f>IFERROR(_xlfn.MAXIFS(Delivery_Log!$A$4:$A$4998,Delivery_Log!$B$4:$B$4998,B107),"—")</f>
        <v>46143</v>
      </c>
      <c r="K107">
        <f t="shared" ca="1" si="18"/>
        <v>5</v>
      </c>
      <c r="L107" t="str">
        <f t="shared" ca="1" si="19"/>
        <v/>
      </c>
      <c r="M107" t="str">
        <f t="shared" ca="1" si="20"/>
        <v/>
      </c>
      <c r="N107" t="str">
        <f t="shared" ca="1" si="21"/>
        <v/>
      </c>
      <c r="O107" t="e">
        <f t="shared" ca="1" si="22"/>
        <v>#VALUE!</v>
      </c>
      <c r="P107" t="str">
        <f t="shared" ca="1" si="23"/>
        <v>—</v>
      </c>
      <c r="Q107">
        <f>COUNTIFS(Delivery_Log!$B$4:$B$5998,B107,Delivery_Log!$A$4:$A$5998,"&gt;="&amp;$Q$2)</f>
        <v>11</v>
      </c>
      <c r="S107" t="str">
        <f>IFERROR(_xlfn.XLOOKUP(B107,Client_List!$A$4:$A$200,Client_List!$S$4:$S$200,""),"")</f>
        <v/>
      </c>
      <c r="T107" t="str">
        <f>IFERROR(_xlfn.XLOOKUP(B107,Client_List!$A$4:$A$200,Client_List!$U$4:$U$200,""),"")</f>
        <v/>
      </c>
      <c r="U107" t="str">
        <f>IFERROR(IF(S107="","",IF(_xlfn.XLOOKUP(B107,Client_List!$A$4:$A$200,Client_List!$W$4:$W$200,999)&lt;=24,"LIVE",IF(_xlfn.XLOOKUP(B107,Client_List!$A$4:$A$200,Client_List!$W$4:$W$200,999)&lt;=72,"STALE","OLD"))),"")</f>
        <v/>
      </c>
    </row>
    <row r="108" spans="1:21" x14ac:dyDescent="0.2">
      <c r="A108">
        <v>103</v>
      </c>
      <c r="B108">
        <v>16008</v>
      </c>
      <c r="C108" t="s">
        <v>398</v>
      </c>
      <c r="D108" t="s">
        <v>38</v>
      </c>
      <c r="E108" t="str">
        <f>IFERROR(VLOOKUP(C108,Client_List!$B:$K,4,0)&amp;", "&amp;VLOOKUP(C108,Client_List!$B:$K,5,0)&amp;" AZ","")</f>
        <v>5516 W Glendale Ave, Glendale AZ</v>
      </c>
      <c r="F108" t="str">
        <f>IFERROR(VLOOKUP(C108,Client_List!$B:$K,7,0)&amp;", "&amp;VLOOKUP(C108,Client_List!$B:$K,8,0),"")</f>
        <v>33.5387591, -112.1783937</v>
      </c>
      <c r="G108">
        <f>IFERROR(VLOOKUP(C108,Client_List!$B:$K,9,0),"")</f>
        <v>950</v>
      </c>
      <c r="H108" t="str">
        <f>IFERROR(LOOKUP(2,1/((Delivery_Log!$B$4:$B$4998=B108)*(ISNUMBER(Delivery_Log!$J$4:$J$4998))*(Delivery_Log!$J$4:$J$4998&gt;0)),Delivery_Log!$J$4:$J$4998),"")</f>
        <v/>
      </c>
      <c r="I108" t="str">
        <f>IFERROR(VLOOKUP(C108,Client_List!$B:$K,10,0),"")</f>
        <v>FRYERS CHOICE BLEND</v>
      </c>
      <c r="J108">
        <f>IFERROR(_xlfn.MAXIFS(Delivery_Log!$A$4:$A$4998,Delivery_Log!$B$4:$B$4998,B108),"—")</f>
        <v>46141</v>
      </c>
      <c r="K108">
        <f t="shared" ca="1" si="18"/>
        <v>7</v>
      </c>
      <c r="L108" t="str">
        <f t="shared" ca="1" si="19"/>
        <v/>
      </c>
      <c r="M108" t="str">
        <f t="shared" ca="1" si="20"/>
        <v/>
      </c>
      <c r="N108" t="str">
        <f t="shared" ca="1" si="21"/>
        <v/>
      </c>
      <c r="O108" t="e">
        <f t="shared" ca="1" si="22"/>
        <v>#VALUE!</v>
      </c>
      <c r="P108" t="str">
        <f t="shared" ca="1" si="23"/>
        <v>—</v>
      </c>
      <c r="Q108">
        <f>COUNTIFS(Delivery_Log!$B$4:$B$5998,B108,Delivery_Log!$A$4:$A$5998,"&gt;="&amp;$Q$2)</f>
        <v>19</v>
      </c>
      <c r="S108" t="str">
        <f>IFERROR(_xlfn.XLOOKUP(B108,Client_List!$A$4:$A$200,Client_List!$S$4:$S$200,""),"")</f>
        <v/>
      </c>
      <c r="T108" t="str">
        <f>IFERROR(_xlfn.XLOOKUP(B108,Client_List!$A$4:$A$200,Client_List!$U$4:$U$200,""),"")</f>
        <v/>
      </c>
      <c r="U108" t="str">
        <f>IFERROR(IF(S108="","",IF(_xlfn.XLOOKUP(B108,Client_List!$A$4:$A$200,Client_List!$W$4:$W$200,999)&lt;=24,"LIVE",IF(_xlfn.XLOOKUP(B108,Client_List!$A$4:$A$200,Client_List!$W$4:$W$200,999)&lt;=72,"STALE","OLD"))),"")</f>
        <v/>
      </c>
    </row>
    <row r="109" spans="1:21" x14ac:dyDescent="0.2">
      <c r="A109">
        <v>104</v>
      </c>
      <c r="B109">
        <v>16009</v>
      </c>
      <c r="C109" t="s">
        <v>402</v>
      </c>
      <c r="D109" t="s">
        <v>51</v>
      </c>
      <c r="E109" t="str">
        <f>IFERROR(VLOOKUP(C109,Client_List!$B:$K,4,0)&amp;", "&amp;VLOOKUP(C109,Client_List!$B:$K,5,0)&amp;" AZ","")</f>
        <v>22 S Mesa Dr, Mesa AZ</v>
      </c>
      <c r="F109" t="str">
        <f>IFERROR(VLOOKUP(C109,Client_List!$B:$K,7,0)&amp;", "&amp;VLOOKUP(C109,Client_List!$B:$K,8,0),"")</f>
        <v>33.4144184, -111.8233194</v>
      </c>
      <c r="G109">
        <f>IFERROR(VLOOKUP(C109,Client_List!$B:$K,9,0),"")</f>
        <v>1950</v>
      </c>
      <c r="H109" t="str">
        <f>IFERROR(LOOKUP(2,1/((Delivery_Log!$B$4:$B$4998=B109)*(ISNUMBER(Delivery_Log!$J$4:$J$4998))*(Delivery_Log!$J$4:$J$4998&gt;0)),Delivery_Log!$J$4:$J$4998),"")</f>
        <v/>
      </c>
      <c r="I109" t="str">
        <f>IFERROR(VLOOKUP(C109,Client_List!$B:$K,10,0),"")</f>
        <v>FRYERS CHOICE BLEND</v>
      </c>
      <c r="J109">
        <f>IFERROR(_xlfn.MAXIFS(Delivery_Log!$A$4:$A$4998,Delivery_Log!$B$4:$B$4998,B109),"—")</f>
        <v>46141</v>
      </c>
      <c r="K109">
        <f t="shared" ca="1" si="18"/>
        <v>7</v>
      </c>
      <c r="L109" t="str">
        <f t="shared" ca="1" si="19"/>
        <v/>
      </c>
      <c r="M109" t="str">
        <f t="shared" ca="1" si="20"/>
        <v/>
      </c>
      <c r="N109" t="str">
        <f t="shared" ca="1" si="21"/>
        <v/>
      </c>
      <c r="O109" t="e">
        <f t="shared" ca="1" si="22"/>
        <v>#VALUE!</v>
      </c>
      <c r="P109" t="str">
        <f t="shared" ca="1" si="23"/>
        <v>—</v>
      </c>
      <c r="Q109">
        <f>COUNTIFS(Delivery_Log!$B$4:$B$5998,B109,Delivery_Log!$A$4:$A$5998,"&gt;="&amp;$Q$2)</f>
        <v>12</v>
      </c>
      <c r="S109" t="str">
        <f>IFERROR(_xlfn.XLOOKUP(B109,Client_List!$A$4:$A$200,Client_List!$S$4:$S$200,""),"")</f>
        <v/>
      </c>
      <c r="T109" t="str">
        <f>IFERROR(_xlfn.XLOOKUP(B109,Client_List!$A$4:$A$200,Client_List!$U$4:$U$200,""),"")</f>
        <v/>
      </c>
      <c r="U109" t="str">
        <f>IFERROR(IF(S109="","",IF(_xlfn.XLOOKUP(B109,Client_List!$A$4:$A$200,Client_List!$W$4:$W$200,999)&lt;=24,"LIVE",IF(_xlfn.XLOOKUP(B109,Client_List!$A$4:$A$200,Client_List!$W$4:$W$200,999)&lt;=72,"STALE","OLD"))),"")</f>
        <v/>
      </c>
    </row>
    <row r="110" spans="1:21" x14ac:dyDescent="0.2">
      <c r="A110">
        <v>105</v>
      </c>
      <c r="B110">
        <v>16010</v>
      </c>
      <c r="C110" t="s">
        <v>405</v>
      </c>
      <c r="D110" t="s">
        <v>38</v>
      </c>
      <c r="E110" t="str">
        <f>IFERROR(VLOOKUP(C110,Client_List!$B:$K,4,0)&amp;", "&amp;VLOOKUP(C110,Client_List!$B:$K,5,0)&amp;" AZ","")</f>
        <v>9309 W Van Buren St, Tolleson AZ</v>
      </c>
      <c r="F110" t="str">
        <f>IFERROR(VLOOKUP(C110,Client_List!$B:$K,7,0)&amp;", "&amp;VLOOKUP(C110,Client_List!$B:$K,8,0),"")</f>
        <v>33.4500619, -112.2603308</v>
      </c>
      <c r="G110">
        <f>IFERROR(VLOOKUP(C110,Client_List!$B:$K,9,0),"")</f>
        <v>1950</v>
      </c>
      <c r="H110" t="str">
        <f>IFERROR(LOOKUP(2,1/((Delivery_Log!$B$4:$B$4998=B110)*(ISNUMBER(Delivery_Log!$J$4:$J$4998))*(Delivery_Log!$J$4:$J$4998&gt;0)),Delivery_Log!$J$4:$J$4998),"")</f>
        <v/>
      </c>
      <c r="I110" t="str">
        <f>IFERROR(VLOOKUP(C110,Client_List!$B:$K,10,0),"")</f>
        <v>FRYERS CHOICE BLEND</v>
      </c>
      <c r="J110">
        <f>IFERROR(_xlfn.MAXIFS(Delivery_Log!$A$4:$A$4998,Delivery_Log!$B$4:$B$4998,B110),"—")</f>
        <v>46144</v>
      </c>
      <c r="K110">
        <f t="shared" ca="1" si="18"/>
        <v>4</v>
      </c>
      <c r="L110" t="str">
        <f t="shared" ca="1" si="19"/>
        <v/>
      </c>
      <c r="M110" t="str">
        <f t="shared" ca="1" si="20"/>
        <v/>
      </c>
      <c r="N110" t="str">
        <f t="shared" ca="1" si="21"/>
        <v/>
      </c>
      <c r="O110" t="e">
        <f t="shared" ca="1" si="22"/>
        <v>#VALUE!</v>
      </c>
      <c r="P110" t="str">
        <f t="shared" ca="1" si="23"/>
        <v>—</v>
      </c>
      <c r="Q110">
        <f>COUNTIFS(Delivery_Log!$B$4:$B$5998,B110,Delivery_Log!$A$4:$A$5998,"&gt;="&amp;$Q$2)</f>
        <v>13</v>
      </c>
      <c r="S110" t="str">
        <f>IFERROR(_xlfn.XLOOKUP(B110,Client_List!$A$4:$A$200,Client_List!$S$4:$S$200,""),"")</f>
        <v/>
      </c>
      <c r="T110" t="str">
        <f>IFERROR(_xlfn.XLOOKUP(B110,Client_List!$A$4:$A$200,Client_List!$U$4:$U$200,""),"")</f>
        <v/>
      </c>
      <c r="U110" t="str">
        <f>IFERROR(IF(S110="","",IF(_xlfn.XLOOKUP(B110,Client_List!$A$4:$A$200,Client_List!$W$4:$W$200,999)&lt;=24,"LIVE",IF(_xlfn.XLOOKUP(B110,Client_List!$A$4:$A$200,Client_List!$W$4:$W$200,999)&lt;=72,"STALE","OLD"))),"")</f>
        <v/>
      </c>
    </row>
    <row r="111" spans="1:21" x14ac:dyDescent="0.2">
      <c r="A111">
        <v>106</v>
      </c>
      <c r="B111">
        <v>16005</v>
      </c>
      <c r="C111" t="s">
        <v>410</v>
      </c>
      <c r="D111" t="s">
        <v>72</v>
      </c>
      <c r="E111" t="str">
        <f>IFERROR(VLOOKUP(C111,Client_List!$B:$K,4,0)&amp;", "&amp;VLOOKUP(C111,Client_List!$B:$K,5,0)&amp;" AZ","")</f>
        <v>PETE'S 26TH, Phoenix AZ</v>
      </c>
      <c r="F111" t="str">
        <f>IFERROR(VLOOKUP(C111,Client_List!$B:$K,7,0)&amp;", "&amp;VLOOKUP(C111,Client_List!$B:$K,8,0),"")</f>
        <v>33.4513748, -112.1165443</v>
      </c>
      <c r="G111">
        <f>IFERROR(VLOOKUP(C111,Client_List!$B:$K,9,0),"")</f>
        <v>950</v>
      </c>
      <c r="H111" t="str">
        <f>IFERROR(LOOKUP(2,1/((Delivery_Log!$B$4:$B$4998=B111)*(ISNUMBER(Delivery_Log!$J$4:$J$4998))*(Delivery_Log!$J$4:$J$4998&gt;0)),Delivery_Log!$J$4:$J$4998),"")</f>
        <v/>
      </c>
      <c r="I111" t="str">
        <f>IFERROR(VLOOKUP(C111,Client_List!$B:$K,10,0),"")</f>
        <v>FRYERS CHOICE BLEND</v>
      </c>
      <c r="J111">
        <f>IFERROR(_xlfn.MAXIFS(Delivery_Log!$A$4:$A$4998,Delivery_Log!$B$4:$B$4998,B111),"—")</f>
        <v>46143</v>
      </c>
      <c r="K111">
        <f t="shared" ca="1" si="18"/>
        <v>5</v>
      </c>
      <c r="L111" t="str">
        <f t="shared" ca="1" si="19"/>
        <v/>
      </c>
      <c r="M111" t="str">
        <f t="shared" ca="1" si="20"/>
        <v/>
      </c>
      <c r="N111" t="str">
        <f t="shared" ca="1" si="21"/>
        <v/>
      </c>
      <c r="O111" t="e">
        <f t="shared" ca="1" si="22"/>
        <v>#VALUE!</v>
      </c>
      <c r="P111" t="str">
        <f t="shared" ca="1" si="23"/>
        <v>—</v>
      </c>
      <c r="Q111">
        <f>COUNTIFS(Delivery_Log!$B$4:$B$5998,B111,Delivery_Log!$A$4:$A$5998,"&gt;="&amp;$Q$2)</f>
        <v>17</v>
      </c>
      <c r="S111" t="str">
        <f>IFERROR(_xlfn.XLOOKUP(B111,Client_List!$A$4:$A$200,Client_List!$S$4:$S$200,""),"")</f>
        <v/>
      </c>
      <c r="T111" t="str">
        <f>IFERROR(_xlfn.XLOOKUP(B111,Client_List!$A$4:$A$200,Client_List!$U$4:$U$200,""),"")</f>
        <v/>
      </c>
      <c r="U111" t="str">
        <f>IFERROR(IF(S111="","",IF(_xlfn.XLOOKUP(B111,Client_List!$A$4:$A$200,Client_List!$W$4:$W$200,999)&lt;=24,"LIVE",IF(_xlfn.XLOOKUP(B111,Client_List!$A$4:$A$200,Client_List!$W$4:$W$200,999)&lt;=72,"STALE","OLD"))),"")</f>
        <v/>
      </c>
    </row>
    <row r="112" spans="1:21" x14ac:dyDescent="0.2">
      <c r="A112">
        <v>107</v>
      </c>
      <c r="B112">
        <v>16019</v>
      </c>
      <c r="C112" t="s">
        <v>414</v>
      </c>
      <c r="D112" t="s">
        <v>51</v>
      </c>
      <c r="E112" t="str">
        <f>IFERROR(VLOOKUP(C112,Client_List!$B:$K,4,0)&amp;", "&amp;VLOOKUP(C112,Client_List!$B:$K,5,0)&amp;" AZ","")</f>
        <v>200 S Arizona Ave, Chandler AZ</v>
      </c>
      <c r="F112" t="str">
        <f>IFERROR(VLOOKUP(C112,Client_List!$B:$K,7,0)&amp;", "&amp;VLOOKUP(C112,Client_List!$B:$K,8,0),"")</f>
        <v>33.3004503, -111.841744</v>
      </c>
      <c r="G112">
        <f>IFERROR(VLOOKUP(C112,Client_List!$B:$K,9,0),"")</f>
        <v>950</v>
      </c>
      <c r="H112" t="str">
        <f>IFERROR(LOOKUP(2,1/((Delivery_Log!$B$4:$B$4998=B112)*(ISNUMBER(Delivery_Log!$J$4:$J$4998))*(Delivery_Log!$J$4:$J$4998&gt;0)),Delivery_Log!$J$4:$J$4998),"")</f>
        <v/>
      </c>
      <c r="I112" t="str">
        <f>IFERROR(VLOOKUP(C112,Client_List!$B:$K,10,0),"")</f>
        <v>FRYERS CHOICE BLEND</v>
      </c>
      <c r="J112">
        <f>IFERROR(_xlfn.MAXIFS(Delivery_Log!$A$4:$A$4998,Delivery_Log!$B$4:$B$4998,B112),"—")</f>
        <v>46137</v>
      </c>
      <c r="K112">
        <f t="shared" ca="1" si="18"/>
        <v>11</v>
      </c>
      <c r="L112" t="str">
        <f t="shared" ca="1" si="19"/>
        <v/>
      </c>
      <c r="M112" t="str">
        <f t="shared" ca="1" si="20"/>
        <v/>
      </c>
      <c r="N112" t="str">
        <f t="shared" ca="1" si="21"/>
        <v/>
      </c>
      <c r="O112" t="e">
        <f t="shared" ca="1" si="22"/>
        <v>#VALUE!</v>
      </c>
      <c r="P112" t="str">
        <f t="shared" ca="1" si="23"/>
        <v>—</v>
      </c>
      <c r="Q112">
        <f>COUNTIFS(Delivery_Log!$B$4:$B$5998,B112,Delivery_Log!$A$4:$A$5998,"&gt;="&amp;$Q$2)</f>
        <v>8</v>
      </c>
      <c r="S112" t="str">
        <f>IFERROR(_xlfn.XLOOKUP(B112,Client_List!$A$4:$A$200,Client_List!$S$4:$S$200,""),"")</f>
        <v/>
      </c>
      <c r="T112" t="str">
        <f>IFERROR(_xlfn.XLOOKUP(B112,Client_List!$A$4:$A$200,Client_List!$U$4:$U$200,""),"")</f>
        <v/>
      </c>
      <c r="U112" t="str">
        <f>IFERROR(IF(S112="","",IF(_xlfn.XLOOKUP(B112,Client_List!$A$4:$A$200,Client_List!$W$4:$W$200,999)&lt;=24,"LIVE",IF(_xlfn.XLOOKUP(B112,Client_List!$A$4:$A$200,Client_List!$W$4:$W$200,999)&lt;=72,"STALE","OLD"))),"")</f>
        <v/>
      </c>
    </row>
    <row r="113" spans="1:21" x14ac:dyDescent="0.2">
      <c r="A113">
        <v>108</v>
      </c>
      <c r="B113">
        <v>16018</v>
      </c>
      <c r="C113" t="s">
        <v>416</v>
      </c>
      <c r="D113" t="s">
        <v>81</v>
      </c>
      <c r="E113" t="str">
        <f>IFERROR(VLOOKUP(C113,Client_List!$B:$K,4,0)&amp;", "&amp;VLOOKUP(C113,Client_List!$B:$K,5,0)&amp;" AZ","")</f>
        <v>PIRATES MESA, Mesa AZ</v>
      </c>
      <c r="F113" t="str">
        <f>IFERROR(VLOOKUP(C113,Client_List!$B:$K,7,0)&amp;", "&amp;VLOOKUP(C113,Client_List!$B:$K,8,0),"")</f>
        <v>33.4237382, -111.7705505</v>
      </c>
      <c r="G113">
        <f>IFERROR(VLOOKUP(C113,Client_List!$B:$K,9,0),"")</f>
        <v>950</v>
      </c>
      <c r="H113" t="str">
        <f>IFERROR(LOOKUP(2,1/((Delivery_Log!$B$4:$B$4998=B113)*(ISNUMBER(Delivery_Log!$J$4:$J$4998))*(Delivery_Log!$J$4:$J$4998&gt;0)),Delivery_Log!$J$4:$J$4998),"")</f>
        <v/>
      </c>
      <c r="I113" t="str">
        <f>IFERROR(VLOOKUP(C113,Client_List!$B:$K,10,0),"")</f>
        <v>FRYERS CHOICE BLEND</v>
      </c>
      <c r="J113">
        <f>IFERROR(_xlfn.MAXIFS(Delivery_Log!$A$4:$A$4998,Delivery_Log!$B$4:$B$4998,B113),"—")</f>
        <v>46133</v>
      </c>
      <c r="K113">
        <f t="shared" ca="1" si="18"/>
        <v>15</v>
      </c>
      <c r="L113" t="str">
        <f t="shared" ca="1" si="19"/>
        <v/>
      </c>
      <c r="M113" t="str">
        <f t="shared" ca="1" si="20"/>
        <v/>
      </c>
      <c r="N113" t="str">
        <f t="shared" ca="1" si="21"/>
        <v/>
      </c>
      <c r="O113" t="e">
        <f t="shared" ca="1" si="22"/>
        <v>#VALUE!</v>
      </c>
      <c r="P113" t="str">
        <f t="shared" ca="1" si="23"/>
        <v>—</v>
      </c>
      <c r="Q113">
        <f>COUNTIFS(Delivery_Log!$B$4:$B$5998,B113,Delivery_Log!$A$4:$A$5998,"&gt;="&amp;$Q$2)</f>
        <v>6</v>
      </c>
      <c r="S113" t="str">
        <f>IFERROR(_xlfn.XLOOKUP(B113,Client_List!$A$4:$A$200,Client_List!$S$4:$S$200,""),"")</f>
        <v/>
      </c>
      <c r="T113" t="str">
        <f>IFERROR(_xlfn.XLOOKUP(B113,Client_List!$A$4:$A$200,Client_List!$U$4:$U$200,""),"")</f>
        <v/>
      </c>
      <c r="U113" t="str">
        <f>IFERROR(IF(S113="","",IF(_xlfn.XLOOKUP(B113,Client_List!$A$4:$A$200,Client_List!$W$4:$W$200,999)&lt;=24,"LIVE",IF(_xlfn.XLOOKUP(B113,Client_List!$A$4:$A$200,Client_List!$W$4:$W$200,999)&lt;=72,"STALE","OLD"))),"")</f>
        <v/>
      </c>
    </row>
    <row r="114" spans="1:21" x14ac:dyDescent="0.2">
      <c r="A114">
        <v>109</v>
      </c>
      <c r="B114">
        <v>16015</v>
      </c>
      <c r="C114" t="s">
        <v>419</v>
      </c>
      <c r="D114" t="s">
        <v>38</v>
      </c>
      <c r="E114" t="str">
        <f>IFERROR(VLOOKUP(C114,Client_List!$B:$K,4,0)&amp;", "&amp;VLOOKUP(C114,Client_List!$B:$K,5,0)&amp;" AZ","")</f>
        <v>17037 N 59Th Ave, Glendale AZ</v>
      </c>
      <c r="F114" t="str">
        <f>IFERROR(VLOOKUP(C114,Client_List!$B:$K,7,0)&amp;", "&amp;VLOOKUP(C114,Client_List!$B:$K,8,0),"")</f>
        <v>33.639794, -112.1860267</v>
      </c>
      <c r="G114">
        <f>IFERROR(VLOOKUP(C114,Client_List!$B:$K,9,0),"")</f>
        <v>1950</v>
      </c>
      <c r="H114" t="str">
        <f>IFERROR(LOOKUP(2,1/((Delivery_Log!$B$4:$B$4998=B114)*(ISNUMBER(Delivery_Log!$J$4:$J$4998))*(Delivery_Log!$J$4:$J$4998&gt;0)),Delivery_Log!$J$4:$J$4998),"")</f>
        <v/>
      </c>
      <c r="I114" t="str">
        <f>IFERROR(VLOOKUP(C114,Client_List!$B:$K,10,0),"")</f>
        <v>CANOLA OIL</v>
      </c>
      <c r="J114">
        <f>IFERROR(_xlfn.MAXIFS(Delivery_Log!$A$4:$A$4998,Delivery_Log!$B$4:$B$4998,B114),"—")</f>
        <v>46143</v>
      </c>
      <c r="K114">
        <f t="shared" ca="1" si="18"/>
        <v>5</v>
      </c>
      <c r="L114" t="str">
        <f t="shared" ca="1" si="19"/>
        <v/>
      </c>
      <c r="M114" t="str">
        <f t="shared" ca="1" si="20"/>
        <v/>
      </c>
      <c r="N114" t="str">
        <f t="shared" ca="1" si="21"/>
        <v/>
      </c>
      <c r="O114" t="e">
        <f t="shared" ca="1" si="22"/>
        <v>#VALUE!</v>
      </c>
      <c r="P114" t="str">
        <f t="shared" ca="1" si="23"/>
        <v>—</v>
      </c>
      <c r="Q114">
        <f>COUNTIFS(Delivery_Log!$B$4:$B$5998,B114,Delivery_Log!$A$4:$A$5998,"&gt;="&amp;$Q$2)</f>
        <v>14</v>
      </c>
      <c r="S114" t="str">
        <f>IFERROR(_xlfn.XLOOKUP(B114,Client_List!$A$4:$A$200,Client_List!$S$4:$S$200,""),"")</f>
        <v/>
      </c>
      <c r="T114" t="str">
        <f>IFERROR(_xlfn.XLOOKUP(B114,Client_List!$A$4:$A$200,Client_List!$U$4:$U$200,""),"")</f>
        <v/>
      </c>
      <c r="U114" t="str">
        <f>IFERROR(IF(S114="","",IF(_xlfn.XLOOKUP(B114,Client_List!$A$4:$A$200,Client_List!$W$4:$W$200,999)&lt;=24,"LIVE",IF(_xlfn.XLOOKUP(B114,Client_List!$A$4:$A$200,Client_List!$W$4:$W$200,999)&lt;=72,"STALE","OLD"))),"")</f>
        <v/>
      </c>
    </row>
    <row r="115" spans="1:21" x14ac:dyDescent="0.2">
      <c r="A115">
        <v>110</v>
      </c>
      <c r="B115">
        <v>16014</v>
      </c>
      <c r="C115" t="s">
        <v>422</v>
      </c>
      <c r="D115" t="s">
        <v>38</v>
      </c>
      <c r="E115" t="str">
        <f>IFERROR(VLOOKUP(C115,Client_List!$B:$K,4,0)&amp;", "&amp;VLOOKUP(C115,Client_List!$B:$K,5,0)&amp;" AZ","")</f>
        <v>6542 W Indian School Rd, Phoenix AZ</v>
      </c>
      <c r="F115" t="str">
        <f>IFERROR(VLOOKUP(C115,Client_List!$B:$K,7,0)&amp;", "&amp;VLOOKUP(C115,Client_List!$B:$K,8,0),"")</f>
        <v>33.4952768, -112.2021224</v>
      </c>
      <c r="G115">
        <f>IFERROR(VLOOKUP(C115,Client_List!$B:$K,9,0),"")</f>
        <v>1950</v>
      </c>
      <c r="H115" t="str">
        <f>IFERROR(LOOKUP(2,1/((Delivery_Log!$B$4:$B$4998=B115)*(ISNUMBER(Delivery_Log!$J$4:$J$4998))*(Delivery_Log!$J$4:$J$4998&gt;0)),Delivery_Log!$J$4:$J$4998),"")</f>
        <v/>
      </c>
      <c r="I115" t="str">
        <f>IFERROR(VLOOKUP(C115,Client_List!$B:$K,10,0),"")</f>
        <v>FRYERS CHOICE BLEND</v>
      </c>
      <c r="J115">
        <f>IFERROR(_xlfn.MAXIFS(Delivery_Log!$A$4:$A$4998,Delivery_Log!$B$4:$B$4998,B115),"—")</f>
        <v>46142</v>
      </c>
      <c r="K115">
        <f t="shared" ca="1" si="18"/>
        <v>6</v>
      </c>
      <c r="L115" t="str">
        <f t="shared" ca="1" si="19"/>
        <v/>
      </c>
      <c r="M115" t="str">
        <f t="shared" ca="1" si="20"/>
        <v/>
      </c>
      <c r="N115" t="str">
        <f t="shared" ca="1" si="21"/>
        <v/>
      </c>
      <c r="O115" t="e">
        <f t="shared" ca="1" si="22"/>
        <v>#VALUE!</v>
      </c>
      <c r="P115" t="str">
        <f t="shared" ca="1" si="23"/>
        <v>—</v>
      </c>
      <c r="Q115">
        <f>COUNTIFS(Delivery_Log!$B$4:$B$5998,B115,Delivery_Log!$A$4:$A$5998,"&gt;="&amp;$Q$2)</f>
        <v>10</v>
      </c>
      <c r="S115" t="str">
        <f>IFERROR(_xlfn.XLOOKUP(B115,Client_List!$A$4:$A$200,Client_List!$S$4:$S$200,""),"")</f>
        <v/>
      </c>
      <c r="T115" t="str">
        <f>IFERROR(_xlfn.XLOOKUP(B115,Client_List!$A$4:$A$200,Client_List!$U$4:$U$200,""),"")</f>
        <v/>
      </c>
      <c r="U115" t="str">
        <f>IFERROR(IF(S115="","",IF(_xlfn.XLOOKUP(B115,Client_List!$A$4:$A$200,Client_List!$W$4:$W$200,999)&lt;=24,"LIVE",IF(_xlfn.XLOOKUP(B115,Client_List!$A$4:$A$200,Client_List!$W$4:$W$200,999)&lt;=72,"STALE","OLD"))),"")</f>
        <v/>
      </c>
    </row>
    <row r="116" spans="1:21" x14ac:dyDescent="0.2">
      <c r="A116">
        <v>111</v>
      </c>
      <c r="B116">
        <v>18042</v>
      </c>
      <c r="C116" t="s">
        <v>425</v>
      </c>
      <c r="D116" t="s">
        <v>63</v>
      </c>
      <c r="E116" t="str">
        <f>IFERROR(VLOOKUP(C116,Client_List!$B:$K,4,0)&amp;", "&amp;VLOOKUP(C116,Client_List!$B:$K,5,0)&amp;" AZ","")</f>
        <v>111 E Wickenburg Way, Wickenburg AZ</v>
      </c>
      <c r="F116" t="str">
        <f>IFERROR(VLOOKUP(C116,Client_List!$B:$K,7,0)&amp;", "&amp;VLOOKUP(C116,Client_List!$B:$K,8,0),"")</f>
        <v>33.9689506, -112.7294813</v>
      </c>
      <c r="G116">
        <f>IFERROR(VLOOKUP(C116,Client_List!$B:$K,9,0),"")</f>
        <v>1950</v>
      </c>
      <c r="H116" t="str">
        <f>IFERROR(LOOKUP(2,1/((Delivery_Log!$B$4:$B$4998=B116)*(ISNUMBER(Delivery_Log!$J$4:$J$4998))*(Delivery_Log!$J$4:$J$4998&gt;0)),Delivery_Log!$J$4:$J$4998),"")</f>
        <v/>
      </c>
      <c r="I116" t="str">
        <f>IFERROR(VLOOKUP(C116,Client_List!$B:$K,10,0),"")</f>
        <v>CANOLA OIL</v>
      </c>
      <c r="J116">
        <f>IFERROR(_xlfn.MAXIFS(Delivery_Log!$A$4:$A$4998,Delivery_Log!$B$4:$B$4998,B116),"—")</f>
        <v>46136</v>
      </c>
      <c r="K116">
        <f t="shared" ca="1" si="18"/>
        <v>12</v>
      </c>
      <c r="L116" t="str">
        <f t="shared" ca="1" si="19"/>
        <v/>
      </c>
      <c r="M116" t="str">
        <f t="shared" ca="1" si="20"/>
        <v/>
      </c>
      <c r="N116" t="str">
        <f t="shared" ca="1" si="21"/>
        <v/>
      </c>
      <c r="O116" t="e">
        <f t="shared" ca="1" si="22"/>
        <v>#VALUE!</v>
      </c>
      <c r="P116" t="str">
        <f t="shared" ca="1" si="23"/>
        <v>—</v>
      </c>
      <c r="Q116">
        <f>COUNTIFS(Delivery_Log!$B$4:$B$5998,B116,Delivery_Log!$A$4:$A$5998,"&gt;="&amp;$Q$2)</f>
        <v>3</v>
      </c>
      <c r="S116" t="str">
        <f>IFERROR(_xlfn.XLOOKUP(B116,Client_List!$A$4:$A$200,Client_List!$S$4:$S$200,""),"")</f>
        <v/>
      </c>
      <c r="T116" t="str">
        <f>IFERROR(_xlfn.XLOOKUP(B116,Client_List!$A$4:$A$200,Client_List!$U$4:$U$200,""),"")</f>
        <v/>
      </c>
      <c r="U116" t="str">
        <f>IFERROR(IF(S116="","",IF(_xlfn.XLOOKUP(B116,Client_List!$A$4:$A$200,Client_List!$W$4:$W$200,999)&lt;=24,"LIVE",IF(_xlfn.XLOOKUP(B116,Client_List!$A$4:$A$200,Client_List!$W$4:$W$200,999)&lt;=72,"STALE","OLD"))),"")</f>
        <v/>
      </c>
    </row>
    <row r="117" spans="1:21" x14ac:dyDescent="0.2">
      <c r="A117">
        <v>112</v>
      </c>
      <c r="B117">
        <v>18004</v>
      </c>
      <c r="C117" t="s">
        <v>430</v>
      </c>
      <c r="D117" t="s">
        <v>81</v>
      </c>
      <c r="E117" t="str">
        <f>IFERROR(VLOOKUP(C117,Client_List!$B:$K,4,0)&amp;", "&amp;VLOOKUP(C117,Client_List!$B:$K,5,0)&amp;" AZ","")</f>
        <v>6740 E MCDOWELL RD, Mesa AZ</v>
      </c>
      <c r="F117" t="str">
        <f>IFERROR(VLOOKUP(C117,Client_List!$B:$K,7,0)&amp;", "&amp;VLOOKUP(C117,Client_List!$B:$K,8,0),"")</f>
        <v>33.4668211, -111.6850131</v>
      </c>
      <c r="G117">
        <f>IFERROR(VLOOKUP(C117,Client_List!$B:$K,9,0),"")</f>
        <v>660</v>
      </c>
      <c r="H117" t="str">
        <f>IFERROR(LOOKUP(2,1/((Delivery_Log!$B$4:$B$4998=B117)*(ISNUMBER(Delivery_Log!$J$4:$J$4998))*(Delivery_Log!$J$4:$J$4998&gt;0)),Delivery_Log!$J$4:$J$4998),"")</f>
        <v/>
      </c>
      <c r="I117" t="str">
        <f>IFERROR(VLOOKUP(C117,Client_List!$B:$K,10,0),"")</f>
        <v>CANOLA OIL</v>
      </c>
      <c r="J117">
        <f>IFERROR(_xlfn.MAXIFS(Delivery_Log!$A$4:$A$4998,Delivery_Log!$B$4:$B$4998,B117),"—")</f>
        <v>46140</v>
      </c>
      <c r="K117">
        <f t="shared" ca="1" si="18"/>
        <v>8</v>
      </c>
      <c r="L117" t="str">
        <f t="shared" ca="1" si="19"/>
        <v/>
      </c>
      <c r="M117" t="str">
        <f t="shared" ca="1" si="20"/>
        <v/>
      </c>
      <c r="N117" t="str">
        <f t="shared" ca="1" si="21"/>
        <v/>
      </c>
      <c r="O117" t="e">
        <f t="shared" ca="1" si="22"/>
        <v>#VALUE!</v>
      </c>
      <c r="P117" t="str">
        <f t="shared" ca="1" si="23"/>
        <v>—</v>
      </c>
      <c r="Q117">
        <f>COUNTIFS(Delivery_Log!$B$4:$B$5998,B117,Delivery_Log!$A$4:$A$5998,"&gt;="&amp;$Q$2)</f>
        <v>13</v>
      </c>
      <c r="S117" t="str">
        <f>IFERROR(_xlfn.XLOOKUP(B117,Client_List!$A$4:$A$200,Client_List!$S$4:$S$200,""),"")</f>
        <v/>
      </c>
      <c r="T117" t="str">
        <f>IFERROR(_xlfn.XLOOKUP(B117,Client_List!$A$4:$A$200,Client_List!$U$4:$U$200,""),"")</f>
        <v/>
      </c>
      <c r="U117" t="str">
        <f>IFERROR(IF(S117="","",IF(_xlfn.XLOOKUP(B117,Client_List!$A$4:$A$200,Client_List!$W$4:$W$200,999)&lt;=24,"LIVE",IF(_xlfn.XLOOKUP(B117,Client_List!$A$4:$A$200,Client_List!$W$4:$W$200,999)&lt;=72,"STALE","OLD"))),"")</f>
        <v/>
      </c>
    </row>
    <row r="118" spans="1:21" x14ac:dyDescent="0.2">
      <c r="A118">
        <v>113</v>
      </c>
      <c r="B118">
        <v>18031</v>
      </c>
      <c r="C118" t="s">
        <v>433</v>
      </c>
      <c r="D118" t="s">
        <v>72</v>
      </c>
      <c r="E118" t="str">
        <f>IFERROR(VLOOKUP(C118,Client_List!$B:$K,4,0)&amp;", "&amp;VLOOKUP(C118,Client_List!$B:$K,5,0)&amp;" AZ","")</f>
        <v>208 W SOUTHERN AVE, TEMPE AZ</v>
      </c>
      <c r="F118" t="str">
        <f>IFERROR(VLOOKUP(C118,Client_List!$B:$K,7,0)&amp;", "&amp;VLOOKUP(C118,Client_List!$B:$K,8,0),"")</f>
        <v>33.3934903, -111.9423309</v>
      </c>
      <c r="G118">
        <f>IFERROR(VLOOKUP(C118,Client_List!$B:$K,9,0),"")</f>
        <v>660</v>
      </c>
      <c r="H118" t="str">
        <f>IFERROR(LOOKUP(2,1/((Delivery_Log!$B$4:$B$4998=B118)*(ISNUMBER(Delivery_Log!$J$4:$J$4998))*(Delivery_Log!$J$4:$J$4998&gt;0)),Delivery_Log!$J$4:$J$4998),"")</f>
        <v/>
      </c>
      <c r="I118" t="str">
        <f>IFERROR(VLOOKUP(C118,Client_List!$B:$K,10,0),"")</f>
        <v>FRYERS CHOICE BLEND</v>
      </c>
      <c r="J118">
        <f>IFERROR(_xlfn.MAXIFS(Delivery_Log!$A$4:$A$4998,Delivery_Log!$B$4:$B$4998,B118),"—")</f>
        <v>46134</v>
      </c>
      <c r="K118">
        <f t="shared" ca="1" si="18"/>
        <v>14</v>
      </c>
      <c r="L118" t="str">
        <f t="shared" ca="1" si="19"/>
        <v/>
      </c>
      <c r="M118" t="str">
        <f t="shared" ca="1" si="20"/>
        <v/>
      </c>
      <c r="N118" t="str">
        <f t="shared" ca="1" si="21"/>
        <v/>
      </c>
      <c r="O118" t="e">
        <f t="shared" ca="1" si="22"/>
        <v>#VALUE!</v>
      </c>
      <c r="P118" t="str">
        <f t="shared" ca="1" si="23"/>
        <v>—</v>
      </c>
      <c r="Q118">
        <f>COUNTIFS(Delivery_Log!$B$4:$B$5998,B118,Delivery_Log!$A$4:$A$5998,"&gt;="&amp;$Q$2)</f>
        <v>6</v>
      </c>
      <c r="S118" t="str">
        <f>IFERROR(_xlfn.XLOOKUP(B118,Client_List!$A$4:$A$200,Client_List!$S$4:$S$200,""),"")</f>
        <v/>
      </c>
      <c r="T118" t="str">
        <f>IFERROR(_xlfn.XLOOKUP(B118,Client_List!$A$4:$A$200,Client_List!$U$4:$U$200,""),"")</f>
        <v/>
      </c>
      <c r="U118" t="str">
        <f>IFERROR(IF(S118="","",IF(_xlfn.XLOOKUP(B118,Client_List!$A$4:$A$200,Client_List!$W$4:$W$200,999)&lt;=24,"LIVE",IF(_xlfn.XLOOKUP(B118,Client_List!$A$4:$A$200,Client_List!$W$4:$W$200,999)&lt;=72,"STALE","OLD"))),"")</f>
        <v/>
      </c>
    </row>
    <row r="119" spans="1:21" x14ac:dyDescent="0.2">
      <c r="A119">
        <v>114</v>
      </c>
      <c r="B119">
        <v>18051</v>
      </c>
      <c r="C119" t="s">
        <v>435</v>
      </c>
      <c r="D119" t="s">
        <v>38</v>
      </c>
      <c r="E119" t="str">
        <f>IFERROR(VLOOKUP(C119,Client_List!$B:$K,4,0)&amp;", "&amp;VLOOKUP(C119,Client_List!$B:$K,5,0)&amp;" AZ","")</f>
        <v>8110 W UNION HILLS DR, GLENDALE AZ</v>
      </c>
      <c r="F119" t="str">
        <f>IFERROR(VLOOKUP(C119,Client_List!$B:$K,7,0)&amp;", "&amp;VLOOKUP(C119,Client_List!$B:$K,8,0),"")</f>
        <v>33.653518, -112.2336283</v>
      </c>
      <c r="G119">
        <f>IFERROR(VLOOKUP(C119,Client_List!$B:$K,9,0),"")</f>
        <v>1050</v>
      </c>
      <c r="H119" t="str">
        <f>IFERROR(LOOKUP(2,1/((Delivery_Log!$B$4:$B$4998=B119)*(ISNUMBER(Delivery_Log!$J$4:$J$4998))*(Delivery_Log!$J$4:$J$4998&gt;0)),Delivery_Log!$J$4:$J$4998),"")</f>
        <v/>
      </c>
      <c r="I119" t="str">
        <f>IFERROR(VLOOKUP(C119,Client_List!$B:$K,10,0),"")</f>
        <v>CANOLA OIL</v>
      </c>
      <c r="J119">
        <f>IFERROR(_xlfn.MAXIFS(Delivery_Log!$A$4:$A$4998,Delivery_Log!$B$4:$B$4998,B119),"—")</f>
        <v>46115</v>
      </c>
      <c r="K119">
        <f t="shared" ca="1" si="18"/>
        <v>33</v>
      </c>
      <c r="L119" t="str">
        <f t="shared" ca="1" si="19"/>
        <v/>
      </c>
      <c r="M119" t="str">
        <f t="shared" ca="1" si="20"/>
        <v/>
      </c>
      <c r="N119" t="str">
        <f t="shared" ca="1" si="21"/>
        <v/>
      </c>
      <c r="O119" t="e">
        <f t="shared" ca="1" si="22"/>
        <v>#VALUE!</v>
      </c>
      <c r="P119" t="str">
        <f t="shared" ca="1" si="23"/>
        <v>—</v>
      </c>
      <c r="Q119">
        <f>COUNTIFS(Delivery_Log!$B$4:$B$5998,B119,Delivery_Log!$A$4:$A$5998,"&gt;="&amp;$Q$2)</f>
        <v>3</v>
      </c>
      <c r="S119" t="str">
        <f>IFERROR(_xlfn.XLOOKUP(B119,Client_List!$A$4:$A$200,Client_List!$S$4:$S$200,""),"")</f>
        <v/>
      </c>
      <c r="T119" t="str">
        <f>IFERROR(_xlfn.XLOOKUP(B119,Client_List!$A$4:$A$200,Client_List!$U$4:$U$200,""),"")</f>
        <v/>
      </c>
      <c r="U119" t="str">
        <f>IFERROR(IF(S119="","",IF(_xlfn.XLOOKUP(B119,Client_List!$A$4:$A$200,Client_List!$W$4:$W$200,999)&lt;=24,"LIVE",IF(_xlfn.XLOOKUP(B119,Client_List!$A$4:$A$200,Client_List!$W$4:$W$200,999)&lt;=72,"STALE","OLD"))),"")</f>
        <v/>
      </c>
    </row>
    <row r="120" spans="1:21" x14ac:dyDescent="0.2">
      <c r="A120">
        <v>115</v>
      </c>
      <c r="B120">
        <v>18003</v>
      </c>
      <c r="C120" t="s">
        <v>438</v>
      </c>
      <c r="D120" t="s">
        <v>72</v>
      </c>
      <c r="E120" t="str">
        <f>IFERROR(VLOOKUP(C120,Client_List!$B:$K,4,0)&amp;", "&amp;VLOOKUP(C120,Client_List!$B:$K,5,0)&amp;" AZ","")</f>
        <v>3004 E Bell Rd, Phoenix AZ</v>
      </c>
      <c r="F120" t="str">
        <f>IFERROR(VLOOKUP(C120,Client_List!$B:$K,7,0)&amp;", "&amp;VLOOKUP(C120,Client_List!$B:$K,8,0),"")</f>
        <v>33.6410545, -112.0178642</v>
      </c>
      <c r="G120">
        <f>IFERROR(VLOOKUP(C120,Client_List!$B:$K,9,0),"")</f>
        <v>450</v>
      </c>
      <c r="H120" t="str">
        <f>IFERROR(LOOKUP(2,1/((Delivery_Log!$B$4:$B$4998=B120)*(ISNUMBER(Delivery_Log!$J$4:$J$4998))*(Delivery_Log!$J$4:$J$4998&gt;0)),Delivery_Log!$J$4:$J$4998),"")</f>
        <v/>
      </c>
      <c r="I120" t="str">
        <f>IFERROR(VLOOKUP(C120,Client_List!$B:$K,10,0),"")</f>
        <v>FRYERS CHOICE BLEND</v>
      </c>
      <c r="J120">
        <f>IFERROR(_xlfn.MAXIFS(Delivery_Log!$A$4:$A$4998,Delivery_Log!$B$4:$B$4998,B120),"—")</f>
        <v>46143</v>
      </c>
      <c r="K120">
        <f t="shared" ca="1" si="18"/>
        <v>5</v>
      </c>
      <c r="L120" t="str">
        <f t="shared" ca="1" si="19"/>
        <v/>
      </c>
      <c r="M120" t="str">
        <f t="shared" ca="1" si="20"/>
        <v/>
      </c>
      <c r="N120" t="str">
        <f t="shared" ca="1" si="21"/>
        <v/>
      </c>
      <c r="O120" t="e">
        <f t="shared" ca="1" si="22"/>
        <v>#VALUE!</v>
      </c>
      <c r="P120" t="str">
        <f t="shared" ca="1" si="23"/>
        <v>—</v>
      </c>
      <c r="Q120">
        <f>COUNTIFS(Delivery_Log!$B$4:$B$5998,B120,Delivery_Log!$A$4:$A$5998,"&gt;="&amp;$Q$2)</f>
        <v>16</v>
      </c>
      <c r="S120" t="str">
        <f>IFERROR(_xlfn.XLOOKUP(B120,Client_List!$A$4:$A$200,Client_List!$S$4:$S$200,""),"")</f>
        <v/>
      </c>
      <c r="T120" t="str">
        <f>IFERROR(_xlfn.XLOOKUP(B120,Client_List!$A$4:$A$200,Client_List!$U$4:$U$200,""),"")</f>
        <v/>
      </c>
      <c r="U120" t="str">
        <f>IFERROR(IF(S120="","",IF(_xlfn.XLOOKUP(B120,Client_List!$A$4:$A$200,Client_List!$W$4:$W$200,999)&lt;=24,"LIVE",IF(_xlfn.XLOOKUP(B120,Client_List!$A$4:$A$200,Client_List!$W$4:$W$200,999)&lt;=72,"STALE","OLD"))),"")</f>
        <v/>
      </c>
    </row>
    <row r="121" spans="1:21" x14ac:dyDescent="0.2">
      <c r="A121">
        <v>116</v>
      </c>
      <c r="B121">
        <v>18001</v>
      </c>
      <c r="C121" t="s">
        <v>441</v>
      </c>
      <c r="D121" t="s">
        <v>72</v>
      </c>
      <c r="E121" t="str">
        <f>IFERROR(VLOOKUP(C121,Client_List!$B:$K,4,0)&amp;", "&amp;VLOOKUP(C121,Client_List!$B:$K,5,0)&amp;" AZ","")</f>
        <v>RED DEVIL MCDOWELL, Phoenix AZ</v>
      </c>
      <c r="F121" t="str">
        <f>IFERROR(VLOOKUP(C121,Client_List!$B:$K,7,0)&amp;", "&amp;VLOOKUP(C121,Client_List!$B:$K,8,0),"")</f>
        <v>33.4660818, -112.0154762</v>
      </c>
      <c r="G121">
        <f>IFERROR(VLOOKUP(C121,Client_List!$B:$K,9,0),"")</f>
        <v>950</v>
      </c>
      <c r="H121" t="str">
        <f>IFERROR(LOOKUP(2,1/((Delivery_Log!$B$4:$B$4998=B121)*(ISNUMBER(Delivery_Log!$J$4:$J$4998))*(Delivery_Log!$J$4:$J$4998&gt;0)),Delivery_Log!$J$4:$J$4998),"")</f>
        <v/>
      </c>
      <c r="I121" t="str">
        <f>IFERROR(VLOOKUP(C121,Client_List!$B:$K,10,0),"")</f>
        <v>FRYERS CHOICE BLEND</v>
      </c>
      <c r="J121">
        <f>IFERROR(_xlfn.MAXIFS(Delivery_Log!$A$4:$A$4998,Delivery_Log!$B$4:$B$4998,B121),"—")</f>
        <v>46143</v>
      </c>
      <c r="K121">
        <f t="shared" ca="1" si="18"/>
        <v>5</v>
      </c>
      <c r="L121" t="str">
        <f t="shared" ca="1" si="19"/>
        <v/>
      </c>
      <c r="M121" t="str">
        <f t="shared" ca="1" si="20"/>
        <v/>
      </c>
      <c r="N121" t="str">
        <f t="shared" ca="1" si="21"/>
        <v/>
      </c>
      <c r="O121" t="e">
        <f t="shared" ca="1" si="22"/>
        <v>#VALUE!</v>
      </c>
      <c r="P121" t="str">
        <f t="shared" ca="1" si="23"/>
        <v>—</v>
      </c>
      <c r="Q121">
        <f>COUNTIFS(Delivery_Log!$B$4:$B$5998,B121,Delivery_Log!$A$4:$A$5998,"&gt;="&amp;$Q$2)</f>
        <v>15</v>
      </c>
      <c r="S121" t="str">
        <f>IFERROR(_xlfn.XLOOKUP(B121,Client_List!$A$4:$A$200,Client_List!$S$4:$S$200,""),"")</f>
        <v/>
      </c>
      <c r="T121" t="str">
        <f>IFERROR(_xlfn.XLOOKUP(B121,Client_List!$A$4:$A$200,Client_List!$U$4:$U$200,""),"")</f>
        <v/>
      </c>
      <c r="U121" t="str">
        <f>IFERROR(IF(S121="","",IF(_xlfn.XLOOKUP(B121,Client_List!$A$4:$A$200,Client_List!$W$4:$W$200,999)&lt;=24,"LIVE",IF(_xlfn.XLOOKUP(B121,Client_List!$A$4:$A$200,Client_List!$W$4:$W$200,999)&lt;=72,"STALE","OLD"))),"")</f>
        <v/>
      </c>
    </row>
    <row r="122" spans="1:21" x14ac:dyDescent="0.2">
      <c r="A122">
        <v>117</v>
      </c>
      <c r="B122">
        <v>18036</v>
      </c>
      <c r="C122" t="s">
        <v>444</v>
      </c>
      <c r="D122" t="s">
        <v>72</v>
      </c>
      <c r="E122" t="str">
        <f>IFERROR(VLOOKUP(C122,Client_List!$B:$K,4,0)&amp;", "&amp;VLOOKUP(C122,Client_List!$B:$K,5,0)&amp;" AZ","")</f>
        <v>47801 N Black Canyon Hwy, New River AZ</v>
      </c>
      <c r="F122" t="str">
        <f>IFERROR(VLOOKUP(C122,Client_List!$B:$K,7,0)&amp;", "&amp;VLOOKUP(C122,Client_List!$B:$K,8,0),"")</f>
        <v>33.9189372, -112.1401541</v>
      </c>
      <c r="G122">
        <f>IFERROR(VLOOKUP(C122,Client_List!$B:$K,9,0),"")</f>
        <v>1850</v>
      </c>
      <c r="H122" t="str">
        <f>IFERROR(LOOKUP(2,1/((Delivery_Log!$B$4:$B$4998=B122)*(ISNUMBER(Delivery_Log!$J$4:$J$4998))*(Delivery_Log!$J$4:$J$4998&gt;0)),Delivery_Log!$J$4:$J$4998),"")</f>
        <v/>
      </c>
      <c r="I122" t="str">
        <f>IFERROR(VLOOKUP(C122,Client_List!$B:$K,10,0),"")</f>
        <v>CANOLA OIL</v>
      </c>
      <c r="J122">
        <f>IFERROR(_xlfn.MAXIFS(Delivery_Log!$A$4:$A$4998,Delivery_Log!$B$4:$B$4998,B122),"—")</f>
        <v>46121</v>
      </c>
      <c r="K122">
        <f t="shared" ca="1" si="18"/>
        <v>27</v>
      </c>
      <c r="L122" t="str">
        <f t="shared" ca="1" si="19"/>
        <v/>
      </c>
      <c r="M122" t="str">
        <f t="shared" ca="1" si="20"/>
        <v/>
      </c>
      <c r="N122" t="str">
        <f t="shared" ca="1" si="21"/>
        <v/>
      </c>
      <c r="O122" t="e">
        <f t="shared" ca="1" si="22"/>
        <v>#VALUE!</v>
      </c>
      <c r="P122" t="str">
        <f t="shared" ca="1" si="23"/>
        <v>—</v>
      </c>
      <c r="Q122">
        <f>COUNTIFS(Delivery_Log!$B$4:$B$5998,B122,Delivery_Log!$A$4:$A$5998,"&gt;="&amp;$Q$2)</f>
        <v>6</v>
      </c>
      <c r="S122" t="str">
        <f>IFERROR(_xlfn.XLOOKUP(B122,Client_List!$A$4:$A$200,Client_List!$S$4:$S$200,""),"")</f>
        <v/>
      </c>
      <c r="T122" t="str">
        <f>IFERROR(_xlfn.XLOOKUP(B122,Client_List!$A$4:$A$200,Client_List!$U$4:$U$200,""),"")</f>
        <v/>
      </c>
      <c r="U122" t="str">
        <f>IFERROR(IF(S122="","",IF(_xlfn.XLOOKUP(B122,Client_List!$A$4:$A$200,Client_List!$W$4:$W$200,999)&lt;=24,"LIVE",IF(_xlfn.XLOOKUP(B122,Client_List!$A$4:$A$200,Client_List!$W$4:$W$200,999)&lt;=72,"STALE","OLD"))),"")</f>
        <v/>
      </c>
    </row>
    <row r="123" spans="1:21" x14ac:dyDescent="0.2">
      <c r="A123">
        <v>118</v>
      </c>
      <c r="B123">
        <v>18054</v>
      </c>
      <c r="C123" t="s">
        <v>449</v>
      </c>
      <c r="D123" t="s">
        <v>81</v>
      </c>
      <c r="E123" t="str">
        <f>IFERROR(VLOOKUP(C123,Client_List!$B:$K,4,0)&amp;", "&amp;VLOOKUP(C123,Client_List!$B:$K,5,0)&amp;" AZ","")</f>
        <v>285 NORTH APACHE TRAIL, APACHE JUNCTION AZ</v>
      </c>
      <c r="F123" t="str">
        <f>IFERROR(VLOOKUP(C123,Client_List!$B:$K,7,0)&amp;", "&amp;VLOOKUP(C123,Client_List!$B:$K,8,0),"")</f>
        <v>33.4174814, -111.5469768</v>
      </c>
      <c r="G123">
        <f>IFERROR(VLOOKUP(C123,Client_List!$B:$K,9,0),"")</f>
        <v>1050</v>
      </c>
      <c r="H123" t="str">
        <f>IFERROR(LOOKUP(2,1/((Delivery_Log!$B$4:$B$4998=B123)*(ISNUMBER(Delivery_Log!$J$4:$J$4998))*(Delivery_Log!$J$4:$J$4998&gt;0)),Delivery_Log!$J$4:$J$4998),"")</f>
        <v/>
      </c>
      <c r="I123" t="str">
        <f>IFERROR(VLOOKUP(C123,Client_List!$B:$K,10,0),"")</f>
        <v>CANOLA OIL</v>
      </c>
      <c r="J123">
        <f>IFERROR(_xlfn.MAXIFS(Delivery_Log!$A$4:$A$4998,Delivery_Log!$B$4:$B$4998,B123),"—")</f>
        <v>46130</v>
      </c>
      <c r="K123">
        <f t="shared" ca="1" si="18"/>
        <v>18</v>
      </c>
      <c r="L123" t="str">
        <f t="shared" ca="1" si="19"/>
        <v/>
      </c>
      <c r="M123" t="str">
        <f t="shared" ca="1" si="20"/>
        <v/>
      </c>
      <c r="N123" t="str">
        <f t="shared" ca="1" si="21"/>
        <v/>
      </c>
      <c r="O123" t="e">
        <f t="shared" ca="1" si="22"/>
        <v>#VALUE!</v>
      </c>
      <c r="P123" t="str">
        <f t="shared" ca="1" si="23"/>
        <v>—</v>
      </c>
      <c r="Q123">
        <f>COUNTIFS(Delivery_Log!$B$4:$B$5998,B123,Delivery_Log!$A$4:$A$5998,"&gt;="&amp;$Q$2)</f>
        <v>8</v>
      </c>
      <c r="S123" t="str">
        <f>IFERROR(_xlfn.XLOOKUP(B123,Client_List!$A$4:$A$200,Client_List!$S$4:$S$200,""),"")</f>
        <v/>
      </c>
      <c r="T123" t="str">
        <f>IFERROR(_xlfn.XLOOKUP(B123,Client_List!$A$4:$A$200,Client_List!$U$4:$U$200,""),"")</f>
        <v/>
      </c>
      <c r="U123" t="str">
        <f>IFERROR(IF(S123="","",IF(_xlfn.XLOOKUP(B123,Client_List!$A$4:$A$200,Client_List!$W$4:$W$200,999)&lt;=24,"LIVE",IF(_xlfn.XLOOKUP(B123,Client_List!$A$4:$A$200,Client_List!$W$4:$W$200,999)&lt;=72,"STALE","OLD"))),"")</f>
        <v/>
      </c>
    </row>
    <row r="124" spans="1:21" x14ac:dyDescent="0.2">
      <c r="A124">
        <v>119</v>
      </c>
      <c r="B124">
        <v>19022</v>
      </c>
      <c r="C124" t="s">
        <v>452</v>
      </c>
      <c r="D124" t="s">
        <v>63</v>
      </c>
      <c r="E124" t="str">
        <f>IFERROR(VLOOKUP(C124,Client_List!$B:$K,4,0)&amp;", "&amp;VLOOKUP(C124,Client_List!$B:$K,5,0)&amp;" AZ","")</f>
        <v>SADDLE MOUNTAIN, Goodyear AZ</v>
      </c>
      <c r="F124" t="str">
        <f>IFERROR(VLOOKUP(C124,Client_List!$B:$K,7,0)&amp;", "&amp;VLOOKUP(C124,Client_List!$B:$K,8,0),"")</f>
        <v>33.456409, -112.395652</v>
      </c>
      <c r="G124">
        <f>IFERROR(VLOOKUP(C124,Client_List!$B:$K,9,0),"")</f>
        <v>1100</v>
      </c>
      <c r="H124" t="str">
        <f>IFERROR(LOOKUP(2,1/((Delivery_Log!$B$4:$B$4998=B124)*(ISNUMBER(Delivery_Log!$J$4:$J$4998))*(Delivery_Log!$J$4:$J$4998&gt;0)),Delivery_Log!$J$4:$J$4998),"")</f>
        <v/>
      </c>
      <c r="I124" t="str">
        <f>IFERROR(VLOOKUP(C124,Client_List!$B:$K,10,0),"")</f>
        <v>FRYERS CHOICE BLEND</v>
      </c>
      <c r="J124">
        <f>IFERROR(_xlfn.MAXIFS(Delivery_Log!$A$4:$A$4998,Delivery_Log!$B$4:$B$4998,B124),"—")</f>
        <v>46136</v>
      </c>
      <c r="K124">
        <f t="shared" ca="1" si="18"/>
        <v>12</v>
      </c>
      <c r="L124" t="str">
        <f t="shared" ca="1" si="19"/>
        <v/>
      </c>
      <c r="M124" t="str">
        <f t="shared" ca="1" si="20"/>
        <v/>
      </c>
      <c r="N124" t="str">
        <f t="shared" ca="1" si="21"/>
        <v/>
      </c>
      <c r="O124" t="e">
        <f t="shared" ca="1" si="22"/>
        <v>#VALUE!</v>
      </c>
      <c r="P124" t="str">
        <f t="shared" ca="1" si="23"/>
        <v>—</v>
      </c>
      <c r="Q124">
        <f>COUNTIFS(Delivery_Log!$B$4:$B$5998,B124,Delivery_Log!$A$4:$A$5998,"&gt;="&amp;$Q$2)</f>
        <v>8</v>
      </c>
      <c r="S124" t="str">
        <f>IFERROR(_xlfn.XLOOKUP(B124,Client_List!$A$4:$A$200,Client_List!$S$4:$S$200,""),"")</f>
        <v/>
      </c>
      <c r="T124" t="str">
        <f>IFERROR(_xlfn.XLOOKUP(B124,Client_List!$A$4:$A$200,Client_List!$U$4:$U$200,""),"")</f>
        <v/>
      </c>
      <c r="U124" t="str">
        <f>IFERROR(IF(S124="","",IF(_xlfn.XLOOKUP(B124,Client_List!$A$4:$A$200,Client_List!$W$4:$W$200,999)&lt;=24,"LIVE",IF(_xlfn.XLOOKUP(B124,Client_List!$A$4:$A$200,Client_List!$W$4:$W$200,999)&lt;=72,"STALE","OLD"))),"")</f>
        <v/>
      </c>
    </row>
    <row r="125" spans="1:21" x14ac:dyDescent="0.2">
      <c r="A125">
        <v>120</v>
      </c>
      <c r="B125">
        <v>19080</v>
      </c>
      <c r="C125" t="s">
        <v>455</v>
      </c>
      <c r="D125" t="s">
        <v>38</v>
      </c>
      <c r="E125" t="str">
        <f>IFERROR(VLOOKUP(C125,Client_List!$B:$K,4,0)&amp;", "&amp;VLOOKUP(C125,Client_List!$B:$K,5,0)&amp;" AZ","")</f>
        <v>8278 W Lake Pleasant Pkwy, Peoria AZ</v>
      </c>
      <c r="F125" t="str">
        <f>IFERROR(VLOOKUP(C125,Client_List!$B:$K,7,0)&amp;", "&amp;VLOOKUP(C125,Client_List!$B:$K,8,0),"")</f>
        <v>33.6703621, -112.2383551</v>
      </c>
      <c r="G125">
        <f>IFERROR(VLOOKUP(C125,Client_List!$B:$K,9,0),"")</f>
        <v>620</v>
      </c>
      <c r="H125" t="str">
        <f>IFERROR(LOOKUP(2,1/((Delivery_Log!$B$4:$B$4998=B125)*(ISNUMBER(Delivery_Log!$J$4:$J$4998))*(Delivery_Log!$J$4:$J$4998&gt;0)),Delivery_Log!$J$4:$J$4998),"")</f>
        <v/>
      </c>
      <c r="I125" t="str">
        <f>IFERROR(VLOOKUP(C125,Client_List!$B:$K,10,0),"")</f>
        <v>CANOLA OIL</v>
      </c>
      <c r="J125">
        <f>IFERROR(_xlfn.MAXIFS(Delivery_Log!$A$4:$A$4998,Delivery_Log!$B$4:$B$4998,B125),"—")</f>
        <v>46143</v>
      </c>
      <c r="K125">
        <f t="shared" ca="1" si="18"/>
        <v>5</v>
      </c>
      <c r="L125" t="str">
        <f t="shared" ca="1" si="19"/>
        <v/>
      </c>
      <c r="M125" t="str">
        <f t="shared" ca="1" si="20"/>
        <v/>
      </c>
      <c r="N125" t="str">
        <f t="shared" ca="1" si="21"/>
        <v/>
      </c>
      <c r="O125" t="e">
        <f t="shared" ca="1" si="22"/>
        <v>#VALUE!</v>
      </c>
      <c r="P125" t="str">
        <f t="shared" ca="1" si="23"/>
        <v>—</v>
      </c>
      <c r="Q125">
        <f>COUNTIFS(Delivery_Log!$B$4:$B$5998,B125,Delivery_Log!$A$4:$A$5998,"&gt;="&amp;$Q$2)</f>
        <v>8</v>
      </c>
      <c r="S125" t="str">
        <f>IFERROR(_xlfn.XLOOKUP(B125,Client_List!$A$4:$A$200,Client_List!$S$4:$S$200,""),"")</f>
        <v/>
      </c>
      <c r="T125" t="str">
        <f>IFERROR(_xlfn.XLOOKUP(B125,Client_List!$A$4:$A$200,Client_List!$U$4:$U$200,""),"")</f>
        <v/>
      </c>
      <c r="U125" t="str">
        <f>IFERROR(IF(S125="","",IF(_xlfn.XLOOKUP(B125,Client_List!$A$4:$A$200,Client_List!$W$4:$W$200,999)&lt;=24,"LIVE",IF(_xlfn.XLOOKUP(B125,Client_List!$A$4:$A$200,Client_List!$W$4:$W$200,999)&lt;=72,"STALE","OLD"))),"")</f>
        <v/>
      </c>
    </row>
    <row r="126" spans="1:21" x14ac:dyDescent="0.2">
      <c r="A126">
        <v>121</v>
      </c>
      <c r="B126">
        <v>19081</v>
      </c>
      <c r="C126" t="s">
        <v>458</v>
      </c>
      <c r="D126" t="s">
        <v>72</v>
      </c>
      <c r="E126" t="str">
        <f>IFERROR(VLOOKUP(C126,Client_List!$B:$K,4,0)&amp;", "&amp;VLOOKUP(C126,Client_List!$B:$K,5,0)&amp;" AZ","")</f>
        <v>18631 N 19Th Ave, Phoenix AZ</v>
      </c>
      <c r="F126" t="str">
        <f>IFERROR(VLOOKUP(C126,Client_List!$B:$K,7,0)&amp;", "&amp;VLOOKUP(C126,Client_List!$B:$K,8,0),"")</f>
        <v>33.6559375, -112.0979379</v>
      </c>
      <c r="G126">
        <f>IFERROR(VLOOKUP(C126,Client_List!$B:$K,9,0),"")</f>
        <v>620</v>
      </c>
      <c r="H126" t="str">
        <f>IFERROR(LOOKUP(2,1/((Delivery_Log!$B$4:$B$4998=B126)*(ISNUMBER(Delivery_Log!$J$4:$J$4998))*(Delivery_Log!$J$4:$J$4998&gt;0)),Delivery_Log!$J$4:$J$4998),"")</f>
        <v/>
      </c>
      <c r="I126" t="str">
        <f>IFERROR(VLOOKUP(C126,Client_List!$B:$K,10,0),"")</f>
        <v>CANOLA OIL</v>
      </c>
      <c r="J126">
        <f>IFERROR(_xlfn.MAXIFS(Delivery_Log!$A$4:$A$4998,Delivery_Log!$B$4:$B$4998,B126),"—")</f>
        <v>46128</v>
      </c>
      <c r="K126">
        <f t="shared" ca="1" si="18"/>
        <v>20</v>
      </c>
      <c r="L126" t="str">
        <f t="shared" ca="1" si="19"/>
        <v/>
      </c>
      <c r="M126" t="str">
        <f t="shared" ca="1" si="20"/>
        <v/>
      </c>
      <c r="N126" t="str">
        <f t="shared" ca="1" si="21"/>
        <v/>
      </c>
      <c r="O126" t="e">
        <f t="shared" ca="1" si="22"/>
        <v>#VALUE!</v>
      </c>
      <c r="P126" t="str">
        <f t="shared" ca="1" si="23"/>
        <v>—</v>
      </c>
      <c r="Q126">
        <f>COUNTIFS(Delivery_Log!$B$4:$B$5998,B126,Delivery_Log!$A$4:$A$5998,"&gt;="&amp;$Q$2)</f>
        <v>8</v>
      </c>
      <c r="S126" t="str">
        <f>IFERROR(_xlfn.XLOOKUP(B126,Client_List!$A$4:$A$200,Client_List!$S$4:$S$200,""),"")</f>
        <v/>
      </c>
      <c r="T126" t="str">
        <f>IFERROR(_xlfn.XLOOKUP(B126,Client_List!$A$4:$A$200,Client_List!$U$4:$U$200,""),"")</f>
        <v/>
      </c>
      <c r="U126" t="str">
        <f>IFERROR(IF(S126="","",IF(_xlfn.XLOOKUP(B126,Client_List!$A$4:$A$200,Client_List!$W$4:$W$200,999)&lt;=24,"LIVE",IF(_xlfn.XLOOKUP(B126,Client_List!$A$4:$A$200,Client_List!$W$4:$W$200,999)&lt;=72,"STALE","OLD"))),"")</f>
        <v/>
      </c>
    </row>
    <row r="127" spans="1:21" x14ac:dyDescent="0.2">
      <c r="A127">
        <v>122</v>
      </c>
      <c r="B127">
        <v>19082</v>
      </c>
      <c r="C127" t="s">
        <v>461</v>
      </c>
      <c r="D127" t="s">
        <v>72</v>
      </c>
      <c r="E127" t="str">
        <f>IFERROR(VLOOKUP(C127,Client_List!$B:$K,4,0)&amp;", "&amp;VLOOKUP(C127,Client_List!$B:$K,5,0)&amp;" AZ","")</f>
        <v>4212 W Cactus Rd, Phoenix AZ</v>
      </c>
      <c r="F127" t="str">
        <f>IFERROR(VLOOKUP(C127,Client_List!$B:$K,7,0)&amp;", "&amp;VLOOKUP(C127,Client_List!$B:$K,8,0),"")</f>
        <v>33.5980529, -112.1509389</v>
      </c>
      <c r="G127">
        <f>IFERROR(VLOOKUP(C127,Client_List!$B:$K,9,0),"")</f>
        <v>620</v>
      </c>
      <c r="H127" t="str">
        <f>IFERROR(LOOKUP(2,1/((Delivery_Log!$B$4:$B$4998=B127)*(ISNUMBER(Delivery_Log!$J$4:$J$4998))*(Delivery_Log!$J$4:$J$4998&gt;0)),Delivery_Log!$J$4:$J$4998),"")</f>
        <v/>
      </c>
      <c r="I127" t="str">
        <f>IFERROR(VLOOKUP(C127,Client_List!$B:$K,10,0),"")</f>
        <v>CANOLA OIL</v>
      </c>
      <c r="J127">
        <f>IFERROR(_xlfn.MAXIFS(Delivery_Log!$A$4:$A$4998,Delivery_Log!$B$4:$B$4998,B127),"—")</f>
        <v>46142</v>
      </c>
      <c r="K127">
        <f t="shared" ca="1" si="18"/>
        <v>6</v>
      </c>
      <c r="L127" t="str">
        <f t="shared" ca="1" si="19"/>
        <v/>
      </c>
      <c r="M127" t="str">
        <f t="shared" ca="1" si="20"/>
        <v/>
      </c>
      <c r="N127" t="str">
        <f t="shared" ca="1" si="21"/>
        <v/>
      </c>
      <c r="O127" t="e">
        <f t="shared" ca="1" si="22"/>
        <v>#VALUE!</v>
      </c>
      <c r="P127" t="str">
        <f t="shared" ca="1" si="23"/>
        <v>—</v>
      </c>
      <c r="Q127">
        <f>COUNTIFS(Delivery_Log!$B$4:$B$5998,B127,Delivery_Log!$A$4:$A$5998,"&gt;="&amp;$Q$2)</f>
        <v>9</v>
      </c>
      <c r="S127" t="str">
        <f>IFERROR(_xlfn.XLOOKUP(B127,Client_List!$A$4:$A$200,Client_List!$S$4:$S$200,""),"")</f>
        <v/>
      </c>
      <c r="T127" t="str">
        <f>IFERROR(_xlfn.XLOOKUP(B127,Client_List!$A$4:$A$200,Client_List!$U$4:$U$200,""),"")</f>
        <v/>
      </c>
      <c r="U127" t="str">
        <f>IFERROR(IF(S127="","",IF(_xlfn.XLOOKUP(B127,Client_List!$A$4:$A$200,Client_List!$W$4:$W$200,999)&lt;=24,"LIVE",IF(_xlfn.XLOOKUP(B127,Client_List!$A$4:$A$200,Client_List!$W$4:$W$200,999)&lt;=72,"STALE","OLD"))),"")</f>
        <v/>
      </c>
    </row>
    <row r="128" spans="1:21" x14ac:dyDescent="0.2">
      <c r="A128">
        <v>123</v>
      </c>
      <c r="B128">
        <v>19089</v>
      </c>
      <c r="C128" t="s">
        <v>463</v>
      </c>
      <c r="D128" t="s">
        <v>72</v>
      </c>
      <c r="E128" t="str">
        <f>IFERROR(VLOOKUP(C128,Client_List!$B:$K,4,0)&amp;", "&amp;VLOOKUP(C128,Client_List!$B:$K,5,0)&amp;" AZ","")</f>
        <v>4372 W. Olive Ave, Glendale AZ</v>
      </c>
      <c r="F128" t="str">
        <f>IFERROR(VLOOKUP(C128,Client_List!$B:$K,7,0)&amp;", "&amp;VLOOKUP(C128,Client_List!$B:$K,8,0),"")</f>
        <v>33.5678887, -112.1538264</v>
      </c>
      <c r="G128">
        <f>IFERROR(VLOOKUP(C128,Client_List!$B:$K,9,0),"")</f>
        <v>350</v>
      </c>
      <c r="H128" t="str">
        <f>IFERROR(LOOKUP(2,1/((Delivery_Log!$B$4:$B$4998=B128)*(ISNUMBER(Delivery_Log!$J$4:$J$4998))*(Delivery_Log!$J$4:$J$4998&gt;0)),Delivery_Log!$J$4:$J$4998),"")</f>
        <v/>
      </c>
      <c r="I128" t="str">
        <f>IFERROR(VLOOKUP(C128,Client_List!$B:$K,10,0),"")</f>
        <v>CANOLA OIL</v>
      </c>
      <c r="J128">
        <f>IFERROR(_xlfn.MAXIFS(Delivery_Log!$A$4:$A$4998,Delivery_Log!$B$4:$B$4998,B128),"—")</f>
        <v>46141</v>
      </c>
      <c r="K128">
        <f t="shared" ca="1" si="18"/>
        <v>7</v>
      </c>
      <c r="L128" t="str">
        <f t="shared" ca="1" si="19"/>
        <v/>
      </c>
      <c r="M128" t="str">
        <f t="shared" ca="1" si="20"/>
        <v/>
      </c>
      <c r="N128" t="str">
        <f t="shared" ca="1" si="21"/>
        <v/>
      </c>
      <c r="O128" t="e">
        <f t="shared" ca="1" si="22"/>
        <v>#VALUE!</v>
      </c>
      <c r="P128" t="str">
        <f t="shared" ca="1" si="23"/>
        <v>—</v>
      </c>
      <c r="Q128">
        <f>COUNTIFS(Delivery_Log!$B$4:$B$5998,B128,Delivery_Log!$A$4:$A$5998,"&gt;="&amp;$Q$2)</f>
        <v>6</v>
      </c>
      <c r="S128" t="str">
        <f>IFERROR(_xlfn.XLOOKUP(B128,Client_List!$A$4:$A$200,Client_List!$S$4:$S$200,""),"")</f>
        <v/>
      </c>
      <c r="T128" t="str">
        <f>IFERROR(_xlfn.XLOOKUP(B128,Client_List!$A$4:$A$200,Client_List!$U$4:$U$200,""),"")</f>
        <v/>
      </c>
      <c r="U128" t="str">
        <f>IFERROR(IF(S128="","",IF(_xlfn.XLOOKUP(B128,Client_List!$A$4:$A$200,Client_List!$W$4:$W$200,999)&lt;=24,"LIVE",IF(_xlfn.XLOOKUP(B128,Client_List!$A$4:$A$200,Client_List!$W$4:$W$200,999)&lt;=72,"STALE","OLD"))),"")</f>
        <v/>
      </c>
    </row>
    <row r="129" spans="1:21" x14ac:dyDescent="0.2">
      <c r="A129">
        <v>124</v>
      </c>
      <c r="B129">
        <v>19107</v>
      </c>
      <c r="C129" t="s">
        <v>465</v>
      </c>
      <c r="D129" t="s">
        <v>72</v>
      </c>
      <c r="E129" t="str">
        <f>IFERROR(VLOOKUP(C129,Client_List!$B:$K,4,0)&amp;", "&amp;VLOOKUP(C129,Client_List!$B:$K,5,0)&amp;" AZ","")</f>
        <v>4522 North 26th Dr., Phoenix AZ</v>
      </c>
      <c r="F129" t="str">
        <f>IFERROR(VLOOKUP(C129,Client_List!$B:$K,7,0)&amp;", "&amp;VLOOKUP(C129,Client_List!$B:$K,8,0),"")</f>
        <v>33.502972, -112.116158</v>
      </c>
      <c r="G129">
        <f>IFERROR(VLOOKUP(C129,Client_List!$B:$K,9,0),"")</f>
        <v>450</v>
      </c>
      <c r="H129" t="str">
        <f>IFERROR(LOOKUP(2,1/((Delivery_Log!$B$4:$B$4998=B129)*(ISNUMBER(Delivery_Log!$J$4:$J$4998))*(Delivery_Log!$J$4:$J$4998&gt;0)),Delivery_Log!$J$4:$J$4998),"")</f>
        <v/>
      </c>
      <c r="I129" t="str">
        <f>IFERROR(VLOOKUP(C129,Client_List!$B:$K,10,0),"")</f>
        <v>CANOLA OIL</v>
      </c>
      <c r="J129">
        <f>IFERROR(_xlfn.MAXIFS(Delivery_Log!$A$4:$A$4998,Delivery_Log!$B$4:$B$4998,B129),"—")</f>
        <v>46048</v>
      </c>
      <c r="K129">
        <f t="shared" ca="1" si="18"/>
        <v>100</v>
      </c>
      <c r="L129" t="str">
        <f t="shared" ca="1" si="19"/>
        <v/>
      </c>
      <c r="M129" t="str">
        <f t="shared" ca="1" si="20"/>
        <v/>
      </c>
      <c r="N129" t="str">
        <f t="shared" ca="1" si="21"/>
        <v/>
      </c>
      <c r="O129" t="e">
        <f t="shared" ca="1" si="22"/>
        <v>#VALUE!</v>
      </c>
      <c r="P129" t="str">
        <f t="shared" ca="1" si="23"/>
        <v>—</v>
      </c>
      <c r="Q129">
        <f>COUNTIFS(Delivery_Log!$B$4:$B$5998,B129,Delivery_Log!$A$4:$A$5998,"&gt;="&amp;$Q$2)</f>
        <v>1</v>
      </c>
      <c r="S129" t="str">
        <f>IFERROR(_xlfn.XLOOKUP(B129,Client_List!$A$4:$A$200,Client_List!$S$4:$S$200,""),"")</f>
        <v/>
      </c>
      <c r="T129" t="str">
        <f>IFERROR(_xlfn.XLOOKUP(B129,Client_List!$A$4:$A$200,Client_List!$U$4:$U$200,""),"")</f>
        <v/>
      </c>
      <c r="U129" t="str">
        <f>IFERROR(IF(S129="","",IF(_xlfn.XLOOKUP(B129,Client_List!$A$4:$A$200,Client_List!$W$4:$W$200,999)&lt;=24,"LIVE",IF(_xlfn.XLOOKUP(B129,Client_List!$A$4:$A$200,Client_List!$W$4:$W$200,999)&lt;=72,"STALE","OLD"))),"")</f>
        <v/>
      </c>
    </row>
    <row r="130" spans="1:21" x14ac:dyDescent="0.2">
      <c r="A130">
        <v>125</v>
      </c>
      <c r="B130">
        <v>19110</v>
      </c>
      <c r="C130" t="s">
        <v>469</v>
      </c>
      <c r="D130" t="s">
        <v>51</v>
      </c>
      <c r="E130" t="str">
        <f>IFERROR(VLOOKUP(C130,Client_List!$B:$K,4,0)&amp;", "&amp;VLOOKUP(C130,Client_List!$B:$K,5,0)&amp;" AZ","")</f>
        <v>4312 N Brown Ave, Scottsdale AZ</v>
      </c>
      <c r="F130" t="str">
        <f>IFERROR(VLOOKUP(C130,Client_List!$B:$K,7,0)&amp;", "&amp;VLOOKUP(C130,Client_List!$B:$K,8,0),"")</f>
        <v>33.4987599, -111.9246156</v>
      </c>
      <c r="G130">
        <f>IFERROR(VLOOKUP(C130,Client_List!$B:$K,9,0),"")</f>
        <v>1500</v>
      </c>
      <c r="H130" t="str">
        <f>IFERROR(LOOKUP(2,1/((Delivery_Log!$B$4:$B$4998=B130)*(ISNUMBER(Delivery_Log!$J$4:$J$4998))*(Delivery_Log!$J$4:$J$4998&gt;0)),Delivery_Log!$J$4:$J$4998),"")</f>
        <v/>
      </c>
      <c r="I130" t="str">
        <f>IFERROR(VLOOKUP(C130,Client_List!$B:$K,10,0),"")</f>
        <v>CANOLA OIL</v>
      </c>
      <c r="J130">
        <f>IFERROR(_xlfn.MAXIFS(Delivery_Log!$A$4:$A$4998,Delivery_Log!$B$4:$B$4998,B130),"—")</f>
        <v>46136</v>
      </c>
      <c r="K130">
        <f t="shared" ca="1" si="18"/>
        <v>12</v>
      </c>
      <c r="L130" t="str">
        <f t="shared" ca="1" si="19"/>
        <v/>
      </c>
      <c r="M130" t="str">
        <f t="shared" ca="1" si="20"/>
        <v/>
      </c>
      <c r="N130" t="str">
        <f t="shared" ca="1" si="21"/>
        <v/>
      </c>
      <c r="O130" t="e">
        <f t="shared" ca="1" si="22"/>
        <v>#VALUE!</v>
      </c>
      <c r="P130" t="str">
        <f t="shared" ca="1" si="23"/>
        <v>—</v>
      </c>
      <c r="Q130">
        <f>COUNTIFS(Delivery_Log!$B$4:$B$5998,B130,Delivery_Log!$A$4:$A$5998,"&gt;="&amp;$Q$2)</f>
        <v>17</v>
      </c>
      <c r="S130" t="str">
        <f>IFERROR(_xlfn.XLOOKUP(B130,Client_List!$A$4:$A$200,Client_List!$S$4:$S$200,""),"")</f>
        <v/>
      </c>
      <c r="T130" t="str">
        <f>IFERROR(_xlfn.XLOOKUP(B130,Client_List!$A$4:$A$200,Client_List!$U$4:$U$200,""),"")</f>
        <v/>
      </c>
      <c r="U130" t="str">
        <f>IFERROR(IF(S130="","",IF(_xlfn.XLOOKUP(B130,Client_List!$A$4:$A$200,Client_List!$W$4:$W$200,999)&lt;=24,"LIVE",IF(_xlfn.XLOOKUP(B130,Client_List!$A$4:$A$200,Client_List!$W$4:$W$200,999)&lt;=72,"STALE","OLD"))),"")</f>
        <v/>
      </c>
    </row>
    <row r="131" spans="1:21" x14ac:dyDescent="0.2">
      <c r="A131">
        <v>126</v>
      </c>
      <c r="B131">
        <v>19119</v>
      </c>
      <c r="C131" t="s">
        <v>472</v>
      </c>
      <c r="D131" t="s">
        <v>51</v>
      </c>
      <c r="E131" t="str">
        <f>IFERROR(VLOOKUP(C131,Client_List!$B:$K,4,0)&amp;", "&amp;VLOOKUP(C131,Client_List!$B:$K,5,0)&amp;" AZ","")</f>
        <v>15111 N HAYDEN RD #120, SCOTTSDALE AZ</v>
      </c>
      <c r="F131" t="str">
        <f>IFERROR(VLOOKUP(C131,Client_List!$B:$K,7,0)&amp;", "&amp;VLOOKUP(C131,Client_List!$B:$K,8,0),"")</f>
        <v>33.622056, -111.904496</v>
      </c>
      <c r="G131">
        <f>IFERROR(VLOOKUP(C131,Client_List!$B:$K,9,0),"")</f>
        <v>480</v>
      </c>
      <c r="H131" t="str">
        <f>IFERROR(LOOKUP(2,1/((Delivery_Log!$B$4:$B$4998=B131)*(ISNUMBER(Delivery_Log!$J$4:$J$4998))*(Delivery_Log!$J$4:$J$4998&gt;0)),Delivery_Log!$J$4:$J$4998),"")</f>
        <v/>
      </c>
      <c r="I131" t="str">
        <f>IFERROR(VLOOKUP(C131,Client_List!$B:$K,10,0),"")</f>
        <v>FRYERS CHOICE BLEND</v>
      </c>
      <c r="J131">
        <f>IFERROR(_xlfn.MAXIFS(Delivery_Log!$A$4:$A$4998,Delivery_Log!$B$4:$B$4998,B131),"—")</f>
        <v>46119</v>
      </c>
      <c r="K131">
        <f t="shared" ca="1" si="18"/>
        <v>29</v>
      </c>
      <c r="L131" t="str">
        <f t="shared" ca="1" si="19"/>
        <v/>
      </c>
      <c r="M131" t="str">
        <f t="shared" ca="1" si="20"/>
        <v/>
      </c>
      <c r="N131" t="str">
        <f t="shared" ca="1" si="21"/>
        <v/>
      </c>
      <c r="O131" t="e">
        <f t="shared" ca="1" si="22"/>
        <v>#VALUE!</v>
      </c>
      <c r="P131" t="str">
        <f t="shared" ca="1" si="23"/>
        <v>—</v>
      </c>
      <c r="Q131">
        <f>COUNTIFS(Delivery_Log!$B$4:$B$5998,B131,Delivery_Log!$A$4:$A$5998,"&gt;="&amp;$Q$2)</f>
        <v>5</v>
      </c>
      <c r="S131" t="str">
        <f>IFERROR(_xlfn.XLOOKUP(B131,Client_List!$A$4:$A$200,Client_List!$S$4:$S$200,""),"")</f>
        <v/>
      </c>
      <c r="T131" t="str">
        <f>IFERROR(_xlfn.XLOOKUP(B131,Client_List!$A$4:$A$200,Client_List!$U$4:$U$200,""),"")</f>
        <v/>
      </c>
      <c r="U131" t="str">
        <f>IFERROR(IF(S131="","",IF(_xlfn.XLOOKUP(B131,Client_List!$A$4:$A$200,Client_List!$W$4:$W$200,999)&lt;=24,"LIVE",IF(_xlfn.XLOOKUP(B131,Client_List!$A$4:$A$200,Client_List!$W$4:$W$200,999)&lt;=72,"STALE","OLD"))),"")</f>
        <v/>
      </c>
    </row>
    <row r="132" spans="1:21" x14ac:dyDescent="0.2">
      <c r="A132">
        <v>127</v>
      </c>
      <c r="B132">
        <v>19031</v>
      </c>
      <c r="C132" t="s">
        <v>475</v>
      </c>
      <c r="D132" t="s">
        <v>63</v>
      </c>
      <c r="E132" t="str">
        <f>IFERROR(VLOOKUP(C132,Client_List!$B:$K,4,0)&amp;", "&amp;VLOOKUP(C132,Client_List!$B:$K,5,0)&amp;" AZ","")</f>
        <v>13823 W BELL RD, SUPRISE AZ</v>
      </c>
      <c r="F132" t="str">
        <f>IFERROR(VLOOKUP(C132,Client_List!$B:$K,7,0)&amp;", "&amp;VLOOKUP(C132,Client_List!$B:$K,8,0),"")</f>
        <v>33.6382448, -112.357798</v>
      </c>
      <c r="G132">
        <f>IFERROR(VLOOKUP(C132,Client_List!$B:$K,9,0),"")</f>
        <v>950</v>
      </c>
      <c r="H132" t="str">
        <f>IFERROR(LOOKUP(2,1/((Delivery_Log!$B$4:$B$4998=B132)*(ISNUMBER(Delivery_Log!$J$4:$J$4998))*(Delivery_Log!$J$4:$J$4998&gt;0)),Delivery_Log!$J$4:$J$4998),"")</f>
        <v/>
      </c>
      <c r="I132" t="str">
        <f>IFERROR(VLOOKUP(C132,Client_List!$B:$K,10,0),"")</f>
        <v>CANOLA OIL</v>
      </c>
      <c r="J132">
        <f>IFERROR(_xlfn.MAXIFS(Delivery_Log!$A$4:$A$4998,Delivery_Log!$B$4:$B$4998,B132),"—")</f>
        <v>46143</v>
      </c>
      <c r="K132">
        <f t="shared" ca="1" si="18"/>
        <v>5</v>
      </c>
      <c r="L132" t="str">
        <f t="shared" ca="1" si="19"/>
        <v/>
      </c>
      <c r="M132" t="str">
        <f t="shared" ca="1" si="20"/>
        <v/>
      </c>
      <c r="N132" t="str">
        <f t="shared" ca="1" si="21"/>
        <v/>
      </c>
      <c r="O132" t="e">
        <f t="shared" ca="1" si="22"/>
        <v>#VALUE!</v>
      </c>
      <c r="P132" t="str">
        <f t="shared" ca="1" si="23"/>
        <v>—</v>
      </c>
      <c r="Q132">
        <f>COUNTIFS(Delivery_Log!$B$4:$B$5998,B132,Delivery_Log!$A$4:$A$5998,"&gt;="&amp;$Q$2)</f>
        <v>10</v>
      </c>
      <c r="S132" t="str">
        <f>IFERROR(_xlfn.XLOOKUP(B132,Client_List!$A$4:$A$200,Client_List!$S$4:$S$200,""),"")</f>
        <v/>
      </c>
      <c r="T132" t="str">
        <f>IFERROR(_xlfn.XLOOKUP(B132,Client_List!$A$4:$A$200,Client_List!$U$4:$U$200,""),"")</f>
        <v/>
      </c>
      <c r="U132" t="str">
        <f>IFERROR(IF(S132="","",IF(_xlfn.XLOOKUP(B132,Client_List!$A$4:$A$200,Client_List!$W$4:$W$200,999)&lt;=24,"LIVE",IF(_xlfn.XLOOKUP(B132,Client_List!$A$4:$A$200,Client_List!$W$4:$W$200,999)&lt;=72,"STALE","OLD"))),"")</f>
        <v/>
      </c>
    </row>
    <row r="133" spans="1:21" x14ac:dyDescent="0.2">
      <c r="A133">
        <v>128</v>
      </c>
      <c r="B133">
        <v>19033</v>
      </c>
      <c r="C133" t="s">
        <v>480</v>
      </c>
      <c r="D133" t="s">
        <v>51</v>
      </c>
      <c r="E133" t="str">
        <f>IFERROR(VLOOKUP(C133,Client_List!$B:$K,4,0)&amp;", "&amp;VLOOKUP(C133,Client_List!$B:$K,5,0)&amp;" AZ","")</f>
        <v>15600 N Hayden Rd, Scottsdale AZ</v>
      </c>
      <c r="F133" t="str">
        <f>IFERROR(VLOOKUP(C133,Client_List!$B:$K,7,0)&amp;", "&amp;VLOOKUP(C133,Client_List!$B:$K,8,0),"")</f>
        <v>33.6281212, -111.8964059</v>
      </c>
      <c r="G133">
        <f>IFERROR(VLOOKUP(C133,Client_List!$B:$K,9,0),"")</f>
        <v>350</v>
      </c>
      <c r="H133" t="str">
        <f>IFERROR(LOOKUP(2,1/((Delivery_Log!$B$4:$B$4998=B133)*(ISNUMBER(Delivery_Log!$J$4:$J$4998))*(Delivery_Log!$J$4:$J$4998&gt;0)),Delivery_Log!$J$4:$J$4998),"")</f>
        <v/>
      </c>
      <c r="I133" t="str">
        <f>IFERROR(VLOOKUP(C133,Client_List!$B:$K,10,0),"")</f>
        <v>FRYERS CHOICE BLEND</v>
      </c>
      <c r="J133">
        <f>IFERROR(_xlfn.MAXIFS(Delivery_Log!$A$4:$A$4998,Delivery_Log!$B$4:$B$4998,B133),"—")</f>
        <v>46141</v>
      </c>
      <c r="K133">
        <f t="shared" ca="1" si="18"/>
        <v>7</v>
      </c>
      <c r="L133" t="str">
        <f t="shared" ca="1" si="19"/>
        <v/>
      </c>
      <c r="M133" t="str">
        <f t="shared" ca="1" si="20"/>
        <v/>
      </c>
      <c r="N133" t="str">
        <f t="shared" ca="1" si="21"/>
        <v/>
      </c>
      <c r="O133" t="e">
        <f t="shared" ca="1" si="22"/>
        <v>#VALUE!</v>
      </c>
      <c r="P133" t="str">
        <f t="shared" ca="1" si="23"/>
        <v>—</v>
      </c>
      <c r="Q133">
        <f>COUNTIFS(Delivery_Log!$B$4:$B$5998,B133,Delivery_Log!$A$4:$A$5998,"&gt;="&amp;$Q$2)</f>
        <v>12</v>
      </c>
      <c r="S133" t="str">
        <f>IFERROR(_xlfn.XLOOKUP(B133,Client_List!$A$4:$A$200,Client_List!$S$4:$S$200,""),"")</f>
        <v/>
      </c>
      <c r="T133" t="str">
        <f>IFERROR(_xlfn.XLOOKUP(B133,Client_List!$A$4:$A$200,Client_List!$U$4:$U$200,""),"")</f>
        <v/>
      </c>
      <c r="U133" t="str">
        <f>IFERROR(IF(S133="","",IF(_xlfn.XLOOKUP(B133,Client_List!$A$4:$A$200,Client_List!$W$4:$W$200,999)&lt;=24,"LIVE",IF(_xlfn.XLOOKUP(B133,Client_List!$A$4:$A$200,Client_List!$W$4:$W$200,999)&lt;=72,"STALE","OLD"))),"")</f>
        <v/>
      </c>
    </row>
    <row r="134" spans="1:21" x14ac:dyDescent="0.2">
      <c r="A134">
        <v>129</v>
      </c>
      <c r="B134">
        <v>19035</v>
      </c>
      <c r="C134" t="s">
        <v>482</v>
      </c>
      <c r="D134" t="s">
        <v>38</v>
      </c>
      <c r="E134" t="str">
        <f>IFERROR(VLOOKUP(C134,Client_List!$B:$K,4,0)&amp;", "&amp;VLOOKUP(C134,Client_List!$B:$K,5,0)&amp;" AZ","")</f>
        <v>6770 N SUNRISE BLVD G-100, GLENDALE AZ</v>
      </c>
      <c r="F134" t="str">
        <f>IFERROR(VLOOKUP(C134,Client_List!$B:$K,7,0)&amp;", "&amp;VLOOKUP(C134,Client_List!$B:$K,8,0),"")</f>
        <v>33.5339016, -112.260605</v>
      </c>
      <c r="G134">
        <f>IFERROR(VLOOKUP(C134,Client_List!$B:$K,9,0),"")</f>
        <v>350</v>
      </c>
      <c r="H134" t="str">
        <f>IFERROR(LOOKUP(2,1/((Delivery_Log!$B$4:$B$4998=B134)*(ISNUMBER(Delivery_Log!$J$4:$J$4998))*(Delivery_Log!$J$4:$J$4998&gt;0)),Delivery_Log!$J$4:$J$4998),"")</f>
        <v/>
      </c>
      <c r="I134" t="str">
        <f>IFERROR(VLOOKUP(C134,Client_List!$B:$K,10,0),"")</f>
        <v>CANOLA OIL</v>
      </c>
      <c r="J134">
        <f>IFERROR(_xlfn.MAXIFS(Delivery_Log!$A$4:$A$4998,Delivery_Log!$B$4:$B$4998,B134),"—")</f>
        <v>46140</v>
      </c>
      <c r="K134">
        <f t="shared" ref="K134:K165" ca="1" si="24">IFERROR(IF(J134="—","",TODAY()-J134),"")</f>
        <v>8</v>
      </c>
      <c r="L134" t="str">
        <f t="shared" ref="L134:L165" ca="1" si="25">IFERROR(IF(OR(K134="",H134=""),"",MAX(G134*0.03,G134-K134*H134)),"")</f>
        <v/>
      </c>
      <c r="M134" t="str">
        <f t="shared" ref="M134:M165" ca="1" si="26">IFERROR(IF(L134="","",G134-L134),"")</f>
        <v/>
      </c>
      <c r="N134" t="str">
        <f t="shared" ref="N134:N165" ca="1" si="27">IFERROR(IF(OR(L134="",H134=""),"",MIN(21,MAX(0,(L134-G134*$C$2)/H134))),"")</f>
        <v/>
      </c>
      <c r="O134" t="e">
        <f t="shared" ref="O134:O165" ca="1" si="28">TODAY()+ROUNDUP(N134,0)</f>
        <v>#VALUE!</v>
      </c>
      <c r="P134" t="str">
        <f t="shared" ref="P134:P165" ca="1" si="29">IFERROR(IF(N134="","—",IF(N134&lt;=$E$2,"YES","—")),"—")</f>
        <v>—</v>
      </c>
      <c r="Q134">
        <f>COUNTIFS(Delivery_Log!$B$4:$B$5998,B134,Delivery_Log!$A$4:$A$5998,"&gt;="&amp;$Q$2)</f>
        <v>13</v>
      </c>
      <c r="S134" t="str">
        <f>IFERROR(_xlfn.XLOOKUP(B134,Client_List!$A$4:$A$200,Client_List!$S$4:$S$200,""),"")</f>
        <v/>
      </c>
      <c r="T134" t="str">
        <f>IFERROR(_xlfn.XLOOKUP(B134,Client_List!$A$4:$A$200,Client_List!$U$4:$U$200,""),"")</f>
        <v/>
      </c>
      <c r="U134" t="str">
        <f>IFERROR(IF(S134="","",IF(_xlfn.XLOOKUP(B134,Client_List!$A$4:$A$200,Client_List!$W$4:$W$200,999)&lt;=24,"LIVE",IF(_xlfn.XLOOKUP(B134,Client_List!$A$4:$A$200,Client_List!$W$4:$W$200,999)&lt;=72,"STALE","OLD"))),"")</f>
        <v/>
      </c>
    </row>
    <row r="135" spans="1:21" x14ac:dyDescent="0.2">
      <c r="A135">
        <v>130</v>
      </c>
      <c r="B135" t="s">
        <v>649</v>
      </c>
      <c r="C135" t="s">
        <v>485</v>
      </c>
      <c r="D135" t="s">
        <v>72</v>
      </c>
      <c r="E135" t="str">
        <f>IFERROR(VLOOKUP(C135,Client_List!$B:$K,4,0)&amp;", "&amp;VLOOKUP(C135,Client_List!$B:$K,5,0)&amp;" AZ","")</f>
        <v>2530 W HAPPY VALLEY RD, PHOENIX AZ</v>
      </c>
      <c r="F135" t="str">
        <f>IFERROR(VLOOKUP(C135,Client_List!$B:$K,7,0)&amp;", "&amp;VLOOKUP(C135,Client_List!$B:$K,8,0),"")</f>
        <v>33.7152911, -112.1136426</v>
      </c>
      <c r="G135">
        <f>IFERROR(VLOOKUP(C135,Client_List!$B:$K,9,0),"")</f>
        <v>350</v>
      </c>
      <c r="H135" t="str">
        <f>IFERROR(LOOKUP(2,1/((Delivery_Log!$B$4:$B$4998=B135)*(ISNUMBER(Delivery_Log!$J$4:$J$4998))*(Delivery_Log!$J$4:$J$4998&gt;0)),Delivery_Log!$J$4:$J$4998),"")</f>
        <v/>
      </c>
      <c r="I135" t="str">
        <f>IFERROR(VLOOKUP(C135,Client_List!$B:$K,10,0),"")</f>
        <v>CANOLA OIL</v>
      </c>
      <c r="J135">
        <f>IFERROR(_xlfn.MAXIFS(Delivery_Log!$A$4:$A$4998,Delivery_Log!$B$4:$B$4998,B135),"—")</f>
        <v>46136</v>
      </c>
      <c r="K135">
        <f t="shared" ca="1" si="24"/>
        <v>12</v>
      </c>
      <c r="L135" t="str">
        <f t="shared" ca="1" si="25"/>
        <v/>
      </c>
      <c r="M135" t="str">
        <f t="shared" ca="1" si="26"/>
        <v/>
      </c>
      <c r="N135" t="str">
        <f t="shared" ca="1" si="27"/>
        <v/>
      </c>
      <c r="O135" t="e">
        <f t="shared" ca="1" si="28"/>
        <v>#VALUE!</v>
      </c>
      <c r="P135" t="str">
        <f t="shared" ca="1" si="29"/>
        <v>—</v>
      </c>
      <c r="Q135">
        <f>COUNTIFS(Delivery_Log!$B$4:$B$5998,B135,Delivery_Log!$A$4:$A$5998,"&gt;="&amp;$Q$2)</f>
        <v>13</v>
      </c>
      <c r="S135" t="str">
        <f>IFERROR(_xlfn.XLOOKUP(B135,Client_List!$A$4:$A$200,Client_List!$S$4:$S$200,""),"")</f>
        <v/>
      </c>
      <c r="T135" t="str">
        <f>IFERROR(_xlfn.XLOOKUP(B135,Client_List!$A$4:$A$200,Client_List!$U$4:$U$200,""),"")</f>
        <v/>
      </c>
      <c r="U135" t="str">
        <f>IFERROR(IF(S135="","",IF(_xlfn.XLOOKUP(B135,Client_List!$A$4:$A$200,Client_List!$W$4:$W$200,999)&lt;=24,"LIVE",IF(_xlfn.XLOOKUP(B135,Client_List!$A$4:$A$200,Client_List!$W$4:$W$200,999)&lt;=72,"STALE","OLD"))),"")</f>
        <v/>
      </c>
    </row>
    <row r="136" spans="1:21" x14ac:dyDescent="0.2">
      <c r="A136">
        <v>131</v>
      </c>
      <c r="B136">
        <v>19077</v>
      </c>
      <c r="C136" t="s">
        <v>488</v>
      </c>
      <c r="D136" t="s">
        <v>51</v>
      </c>
      <c r="E136" t="str">
        <f>IFERROR(VLOOKUP(C136,Client_List!$B:$K,4,0)&amp;", "&amp;VLOOKUP(C136,Client_List!$B:$K,5,0)&amp;" AZ","")</f>
        <v>15111 N Hayden Rd Ste 170, Scottsdale AZ</v>
      </c>
      <c r="F136" t="str">
        <f>IFERROR(VLOOKUP(C136,Client_List!$B:$K,7,0)&amp;", "&amp;VLOOKUP(C136,Client_List!$B:$K,8,0),"")</f>
        <v>33.62204, -111.9044144</v>
      </c>
      <c r="G136">
        <f>IFERROR(VLOOKUP(C136,Client_List!$B:$K,9,0),"")</f>
        <v>1050</v>
      </c>
      <c r="H136" t="str">
        <f>IFERROR(LOOKUP(2,1/((Delivery_Log!$B$4:$B$4998=B136)*(ISNUMBER(Delivery_Log!$J$4:$J$4998))*(Delivery_Log!$J$4:$J$4998&gt;0)),Delivery_Log!$J$4:$J$4998),"")</f>
        <v/>
      </c>
      <c r="I136" t="str">
        <f>IFERROR(VLOOKUP(C136,Client_List!$B:$K,10,0),"")</f>
        <v>FRYERS CHOICE BLEND</v>
      </c>
      <c r="J136">
        <f>IFERROR(_xlfn.MAXIFS(Delivery_Log!$A$4:$A$4998,Delivery_Log!$B$4:$B$4998,B136),"—")</f>
        <v>46141</v>
      </c>
      <c r="K136">
        <f t="shared" ca="1" si="24"/>
        <v>7</v>
      </c>
      <c r="L136" t="str">
        <f t="shared" ca="1" si="25"/>
        <v/>
      </c>
      <c r="M136" t="str">
        <f t="shared" ca="1" si="26"/>
        <v/>
      </c>
      <c r="N136" t="str">
        <f t="shared" ca="1" si="27"/>
        <v/>
      </c>
      <c r="O136" t="e">
        <f t="shared" ca="1" si="28"/>
        <v>#VALUE!</v>
      </c>
      <c r="P136" t="str">
        <f t="shared" ca="1" si="29"/>
        <v>—</v>
      </c>
      <c r="Q136">
        <f>COUNTIFS(Delivery_Log!$B$4:$B$5998,B136,Delivery_Log!$A$4:$A$5998,"&gt;="&amp;$Q$2)</f>
        <v>13</v>
      </c>
      <c r="S136" t="str">
        <f>IFERROR(_xlfn.XLOOKUP(B136,Client_List!$A$4:$A$200,Client_List!$S$4:$S$200,""),"")</f>
        <v/>
      </c>
      <c r="T136" t="str">
        <f>IFERROR(_xlfn.XLOOKUP(B136,Client_List!$A$4:$A$200,Client_List!$U$4:$U$200,""),"")</f>
        <v/>
      </c>
      <c r="U136" t="str">
        <f>IFERROR(IF(S136="","",IF(_xlfn.XLOOKUP(B136,Client_List!$A$4:$A$200,Client_List!$W$4:$W$200,999)&lt;=24,"LIVE",IF(_xlfn.XLOOKUP(B136,Client_List!$A$4:$A$200,Client_List!$W$4:$W$200,999)&lt;=72,"STALE","OLD"))),"")</f>
        <v/>
      </c>
    </row>
    <row r="137" spans="1:21" x14ac:dyDescent="0.2">
      <c r="A137">
        <v>132</v>
      </c>
      <c r="B137">
        <v>19117</v>
      </c>
      <c r="C137" t="s">
        <v>491</v>
      </c>
      <c r="D137" t="s">
        <v>72</v>
      </c>
      <c r="E137" t="str">
        <f>IFERROR(VLOOKUP(C137,Client_List!$B:$K,4,0)&amp;", "&amp;VLOOKUP(C137,Client_List!$B:$K,5,0)&amp;" AZ","")</f>
        <v>788 E BASELINE RD, TEMPE AZ</v>
      </c>
      <c r="F137" t="str">
        <f>IFERROR(VLOOKUP(C137,Client_List!$B:$K,7,0)&amp;", "&amp;VLOOKUP(C137,Client_List!$B:$K,8,0),"")</f>
        <v>33.3787189, -111.9301978</v>
      </c>
      <c r="G137">
        <f>IFERROR(VLOOKUP(C137,Client_List!$B:$K,9,0),"")</f>
        <v>500</v>
      </c>
      <c r="H137" t="str">
        <f>IFERROR(LOOKUP(2,1/((Delivery_Log!$B$4:$B$4998=B137)*(ISNUMBER(Delivery_Log!$J$4:$J$4998))*(Delivery_Log!$J$4:$J$4998&gt;0)),Delivery_Log!$J$4:$J$4998),"")</f>
        <v/>
      </c>
      <c r="I137" t="str">
        <f>IFERROR(VLOOKUP(C137,Client_List!$B:$K,10,0),"")</f>
        <v>FRYERS CHOICE BLEND</v>
      </c>
      <c r="J137">
        <f>IFERROR(_xlfn.MAXIFS(Delivery_Log!$A$4:$A$4998,Delivery_Log!$B$4:$B$4998,B137),"—")</f>
        <v>46119</v>
      </c>
      <c r="K137">
        <f t="shared" ca="1" si="24"/>
        <v>29</v>
      </c>
      <c r="L137" t="str">
        <f t="shared" ca="1" si="25"/>
        <v/>
      </c>
      <c r="M137" t="str">
        <f t="shared" ca="1" si="26"/>
        <v/>
      </c>
      <c r="N137" t="str">
        <f t="shared" ca="1" si="27"/>
        <v/>
      </c>
      <c r="O137" t="e">
        <f t="shared" ca="1" si="28"/>
        <v>#VALUE!</v>
      </c>
      <c r="P137" t="str">
        <f t="shared" ca="1" si="29"/>
        <v>—</v>
      </c>
      <c r="Q137">
        <f>COUNTIFS(Delivery_Log!$B$4:$B$5998,B137,Delivery_Log!$A$4:$A$5998,"&gt;="&amp;$Q$2)</f>
        <v>3</v>
      </c>
      <c r="S137">
        <f>IFERROR(_xlfn.XLOOKUP(B137,Client_List!$A$4:$A$200,Client_List!$S$4:$S$200,""),"")</f>
        <v>220.14309816133209</v>
      </c>
      <c r="T137" t="str">
        <f>IFERROR(_xlfn.XLOOKUP(B137,Client_List!$A$4:$A$200,Client_List!$U$4:$U$200,""),"")</f>
        <v>2026-05-06T11:00:29Z</v>
      </c>
      <c r="U137" t="str">
        <f ca="1">IFERROR(IF(S137="","",IF(_xlfn.XLOOKUP(B137,Client_List!$A$4:$A$200,Client_List!$W$4:$W$200,999)&lt;=24,"LIVE",IF(_xlfn.XLOOKUP(B137,Client_List!$A$4:$A$200,Client_List!$W$4:$W$200,999)&lt;=72,"STALE","OLD"))),"")</f>
        <v>OLD</v>
      </c>
    </row>
    <row r="138" spans="1:21" x14ac:dyDescent="0.2">
      <c r="A138">
        <v>133</v>
      </c>
      <c r="B138">
        <v>20081</v>
      </c>
      <c r="C138" t="s">
        <v>494</v>
      </c>
      <c r="D138" t="s">
        <v>72</v>
      </c>
      <c r="E138" t="str">
        <f>IFERROR(VLOOKUP(C138,Client_List!$B:$K,4,0)&amp;", "&amp;VLOOKUP(C138,Client_List!$B:$K,5,0)&amp;" AZ","")</f>
        <v>TACO GUILD, PHOENIX AZ</v>
      </c>
      <c r="F138" t="str">
        <f>IFERROR(VLOOKUP(C138,Client_List!$B:$K,7,0)&amp;", "&amp;VLOOKUP(C138,Client_List!$B:$K,8,0),"")</f>
        <v>33.4877599, -112.0656849</v>
      </c>
      <c r="G138">
        <f>IFERROR(VLOOKUP(C138,Client_List!$B:$K,9,0),"")</f>
        <v>1050</v>
      </c>
      <c r="H138" t="str">
        <f>IFERROR(LOOKUP(2,1/((Delivery_Log!$B$4:$B$4998=B138)*(ISNUMBER(Delivery_Log!$J$4:$J$4998))*(Delivery_Log!$J$4:$J$4998&gt;0)),Delivery_Log!$J$4:$J$4998),"")</f>
        <v/>
      </c>
      <c r="I138" t="str">
        <f>IFERROR(VLOOKUP(C138,Client_List!$B:$K,10,0),"")</f>
        <v>CANOLA OIL</v>
      </c>
      <c r="J138">
        <f>IFERROR(_xlfn.MAXIFS(Delivery_Log!$A$4:$A$4998,Delivery_Log!$B$4:$B$4998,B138),"—")</f>
        <v>46141</v>
      </c>
      <c r="K138">
        <f t="shared" ca="1" si="24"/>
        <v>7</v>
      </c>
      <c r="L138" t="str">
        <f t="shared" ca="1" si="25"/>
        <v/>
      </c>
      <c r="M138" t="str">
        <f t="shared" ca="1" si="26"/>
        <v/>
      </c>
      <c r="N138" t="str">
        <f t="shared" ca="1" si="27"/>
        <v/>
      </c>
      <c r="O138" t="e">
        <f t="shared" ca="1" si="28"/>
        <v>#VALUE!</v>
      </c>
      <c r="P138" t="str">
        <f t="shared" ca="1" si="29"/>
        <v>—</v>
      </c>
      <c r="Q138">
        <f>COUNTIFS(Delivery_Log!$B$4:$B$5998,B138,Delivery_Log!$A$4:$A$5998,"&gt;="&amp;$Q$2)</f>
        <v>9</v>
      </c>
      <c r="S138" t="str">
        <f>IFERROR(_xlfn.XLOOKUP(B138,Client_List!$A$4:$A$200,Client_List!$S$4:$S$200,""),"")</f>
        <v/>
      </c>
      <c r="T138" t="str">
        <f>IFERROR(_xlfn.XLOOKUP(B138,Client_List!$A$4:$A$200,Client_List!$U$4:$U$200,""),"")</f>
        <v/>
      </c>
      <c r="U138" t="str">
        <f>IFERROR(IF(S138="","",IF(_xlfn.XLOOKUP(B138,Client_List!$A$4:$A$200,Client_List!$W$4:$W$200,999)&lt;=24,"LIVE",IF(_xlfn.XLOOKUP(B138,Client_List!$A$4:$A$200,Client_List!$W$4:$W$200,999)&lt;=72,"STALE","OLD"))),"")</f>
        <v/>
      </c>
    </row>
    <row r="139" spans="1:21" x14ac:dyDescent="0.2">
      <c r="A139">
        <v>134</v>
      </c>
      <c r="B139">
        <v>20090</v>
      </c>
      <c r="C139" t="s">
        <v>496</v>
      </c>
      <c r="D139" t="s">
        <v>38</v>
      </c>
      <c r="E139" t="str">
        <f>IFERROR(VLOOKUP(C139,Client_List!$B:$K,4,0)&amp;", "&amp;VLOOKUP(C139,Client_List!$B:$K,5,0)&amp;" AZ","")</f>
        <v>10146 W LAKE PLEASANT PKWY, PEORIA AZ</v>
      </c>
      <c r="F139" t="str">
        <f>IFERROR(VLOOKUP(C139,Client_List!$B:$K,7,0)&amp;", "&amp;VLOOKUP(C139,Client_List!$B:$K,8,0),"")</f>
        <v>33.6783247, -112.2768177</v>
      </c>
      <c r="G139">
        <f>IFERROR(VLOOKUP(C139,Client_List!$B:$K,9,0),"")</f>
        <v>1050</v>
      </c>
      <c r="H139" t="str">
        <f>IFERROR(LOOKUP(2,1/((Delivery_Log!$B$4:$B$4998=B139)*(ISNUMBER(Delivery_Log!$J$4:$J$4998))*(Delivery_Log!$J$4:$J$4998&gt;0)),Delivery_Log!$J$4:$J$4998),"")</f>
        <v/>
      </c>
      <c r="I139" t="str">
        <f>IFERROR(VLOOKUP(C139,Client_List!$B:$K,10,0),"")</f>
        <v>CANOLA OIL</v>
      </c>
      <c r="J139">
        <f>IFERROR(_xlfn.MAXIFS(Delivery_Log!$A$4:$A$4998,Delivery_Log!$B$4:$B$4998,B139),"—")</f>
        <v>46130</v>
      </c>
      <c r="K139">
        <f t="shared" ca="1" si="24"/>
        <v>18</v>
      </c>
      <c r="L139" t="str">
        <f t="shared" ca="1" si="25"/>
        <v/>
      </c>
      <c r="M139" t="str">
        <f t="shared" ca="1" si="26"/>
        <v/>
      </c>
      <c r="N139" t="str">
        <f t="shared" ca="1" si="27"/>
        <v/>
      </c>
      <c r="O139" t="e">
        <f t="shared" ca="1" si="28"/>
        <v>#VALUE!</v>
      </c>
      <c r="P139" t="str">
        <f t="shared" ca="1" si="29"/>
        <v>—</v>
      </c>
      <c r="Q139">
        <f>COUNTIFS(Delivery_Log!$B$4:$B$5998,B139,Delivery_Log!$A$4:$A$5998,"&gt;="&amp;$Q$2)</f>
        <v>7</v>
      </c>
      <c r="S139" t="str">
        <f>IFERROR(_xlfn.XLOOKUP(B139,Client_List!$A$4:$A$200,Client_List!$S$4:$S$200,""),"")</f>
        <v/>
      </c>
      <c r="T139" t="str">
        <f>IFERROR(_xlfn.XLOOKUP(B139,Client_List!$A$4:$A$200,Client_List!$U$4:$U$200,""),"")</f>
        <v/>
      </c>
      <c r="U139" t="str">
        <f>IFERROR(IF(S139="","",IF(_xlfn.XLOOKUP(B139,Client_List!$A$4:$A$200,Client_List!$W$4:$W$200,999)&lt;=24,"LIVE",IF(_xlfn.XLOOKUP(B139,Client_List!$A$4:$A$200,Client_List!$W$4:$W$200,999)&lt;=72,"STALE","OLD"))),"")</f>
        <v/>
      </c>
    </row>
    <row r="140" spans="1:21" x14ac:dyDescent="0.2">
      <c r="A140">
        <v>135</v>
      </c>
      <c r="B140">
        <v>20091</v>
      </c>
      <c r="C140" t="s">
        <v>500</v>
      </c>
      <c r="D140" t="s">
        <v>63</v>
      </c>
      <c r="E140" t="str">
        <f>IFERROR(VLOOKUP(C140,Client_List!$B:$K,4,0)&amp;", "&amp;VLOOKUP(C140,Client_List!$B:$K,5,0)&amp;" AZ","")</f>
        <v>15529 W BELL RD, SURPRISE AZ</v>
      </c>
      <c r="F140" t="str">
        <f>IFERROR(VLOOKUP(C140,Client_List!$B:$K,7,0)&amp;", "&amp;VLOOKUP(C140,Client_List!$B:$K,8,0),"")</f>
        <v>33.636786, -112.3946409</v>
      </c>
      <c r="G140">
        <f>IFERROR(VLOOKUP(C140,Client_List!$B:$K,9,0),"")</f>
        <v>1050</v>
      </c>
      <c r="H140" t="str">
        <f>IFERROR(LOOKUP(2,1/((Delivery_Log!$B$4:$B$4998=B140)*(ISNUMBER(Delivery_Log!$J$4:$J$4998))*(Delivery_Log!$J$4:$J$4998&gt;0)),Delivery_Log!$J$4:$J$4998),"")</f>
        <v/>
      </c>
      <c r="I140" t="str">
        <f>IFERROR(VLOOKUP(C140,Client_List!$B:$K,10,0),"")</f>
        <v>CANOLA OIL</v>
      </c>
      <c r="J140">
        <f>IFERROR(_xlfn.MAXIFS(Delivery_Log!$A$4:$A$4998,Delivery_Log!$B$4:$B$4998,B140),"—")</f>
        <v>46143</v>
      </c>
      <c r="K140">
        <f t="shared" ca="1" si="24"/>
        <v>5</v>
      </c>
      <c r="L140" t="str">
        <f t="shared" ca="1" si="25"/>
        <v/>
      </c>
      <c r="M140" t="str">
        <f t="shared" ca="1" si="26"/>
        <v/>
      </c>
      <c r="N140" t="str">
        <f t="shared" ca="1" si="27"/>
        <v/>
      </c>
      <c r="O140" t="e">
        <f t="shared" ca="1" si="28"/>
        <v>#VALUE!</v>
      </c>
      <c r="P140" t="str">
        <f t="shared" ca="1" si="29"/>
        <v>—</v>
      </c>
      <c r="Q140">
        <f>COUNTIFS(Delivery_Log!$B$4:$B$5998,B140,Delivery_Log!$A$4:$A$5998,"&gt;="&amp;$Q$2)</f>
        <v>10</v>
      </c>
      <c r="S140" t="str">
        <f>IFERROR(_xlfn.XLOOKUP(B140,Client_List!$A$4:$A$200,Client_List!$S$4:$S$200,""),"")</f>
        <v/>
      </c>
      <c r="T140" t="str">
        <f>IFERROR(_xlfn.XLOOKUP(B140,Client_List!$A$4:$A$200,Client_List!$U$4:$U$200,""),"")</f>
        <v/>
      </c>
      <c r="U140" t="str">
        <f>IFERROR(IF(S140="","",IF(_xlfn.XLOOKUP(B140,Client_List!$A$4:$A$200,Client_List!$W$4:$W$200,999)&lt;=24,"LIVE",IF(_xlfn.XLOOKUP(B140,Client_List!$A$4:$A$200,Client_List!$W$4:$W$200,999)&lt;=72,"STALE","OLD"))),"")</f>
        <v/>
      </c>
    </row>
    <row r="141" spans="1:21" x14ac:dyDescent="0.2">
      <c r="A141">
        <v>136</v>
      </c>
      <c r="B141">
        <v>20092</v>
      </c>
      <c r="C141" t="s">
        <v>503</v>
      </c>
      <c r="D141" t="s">
        <v>63</v>
      </c>
      <c r="E141" t="str">
        <f>IFERROR(VLOOKUP(C141,Client_List!$B:$K,4,0)&amp;", "&amp;VLOOKUP(C141,Client_List!$B:$K,5,0)&amp;" AZ","")</f>
        <v>530 N ESTRELLA PKWY, GOODYEAR AZ</v>
      </c>
      <c r="F141" t="str">
        <f>IFERROR(VLOOKUP(C141,Client_List!$B:$K,7,0)&amp;", "&amp;VLOOKUP(C141,Client_List!$B:$K,8,0),"")</f>
        <v>33.4525673, -112.3939295</v>
      </c>
      <c r="G141">
        <f>IFERROR(VLOOKUP(C141,Client_List!$B:$K,9,0),"")</f>
        <v>1050</v>
      </c>
      <c r="H141" t="str">
        <f>IFERROR(LOOKUP(2,1/((Delivery_Log!$B$4:$B$4998=B141)*(ISNUMBER(Delivery_Log!$J$4:$J$4998))*(Delivery_Log!$J$4:$J$4998&gt;0)),Delivery_Log!$J$4:$J$4998),"")</f>
        <v/>
      </c>
      <c r="I141" t="str">
        <f>IFERROR(VLOOKUP(C141,Client_List!$B:$K,10,0),"")</f>
        <v>CANOLA OIL</v>
      </c>
      <c r="J141">
        <f>IFERROR(_xlfn.MAXIFS(Delivery_Log!$A$4:$A$4998,Delivery_Log!$B$4:$B$4998,B141),"—")</f>
        <v>46141</v>
      </c>
      <c r="K141">
        <f t="shared" ca="1" si="24"/>
        <v>7</v>
      </c>
      <c r="L141" t="str">
        <f t="shared" ca="1" si="25"/>
        <v/>
      </c>
      <c r="M141" t="str">
        <f t="shared" ca="1" si="26"/>
        <v/>
      </c>
      <c r="N141" t="str">
        <f t="shared" ca="1" si="27"/>
        <v/>
      </c>
      <c r="O141" t="e">
        <f t="shared" ca="1" si="28"/>
        <v>#VALUE!</v>
      </c>
      <c r="P141" t="str">
        <f t="shared" ca="1" si="29"/>
        <v>—</v>
      </c>
      <c r="Q141">
        <f>COUNTIFS(Delivery_Log!$B$4:$B$5998,B141,Delivery_Log!$A$4:$A$5998,"&gt;="&amp;$Q$2)</f>
        <v>8</v>
      </c>
      <c r="S141" t="str">
        <f>IFERROR(_xlfn.XLOOKUP(B141,Client_List!$A$4:$A$200,Client_List!$S$4:$S$200,""),"")</f>
        <v/>
      </c>
      <c r="T141" t="str">
        <f>IFERROR(_xlfn.XLOOKUP(B141,Client_List!$A$4:$A$200,Client_List!$U$4:$U$200,""),"")</f>
        <v/>
      </c>
      <c r="U141" t="str">
        <f>IFERROR(IF(S141="","",IF(_xlfn.XLOOKUP(B141,Client_List!$A$4:$A$200,Client_List!$W$4:$W$200,999)&lt;=24,"LIVE",IF(_xlfn.XLOOKUP(B141,Client_List!$A$4:$A$200,Client_List!$W$4:$W$200,999)&lt;=72,"STALE","OLD"))),"")</f>
        <v/>
      </c>
    </row>
    <row r="142" spans="1:21" x14ac:dyDescent="0.2">
      <c r="A142">
        <v>137</v>
      </c>
      <c r="B142">
        <v>20093</v>
      </c>
      <c r="C142" t="s">
        <v>506</v>
      </c>
      <c r="D142" t="s">
        <v>38</v>
      </c>
      <c r="E142" t="str">
        <f>IFERROR(VLOOKUP(C142,Client_List!$B:$K,4,0)&amp;", "&amp;VLOOKUP(C142,Client_List!$B:$K,5,0)&amp;" AZ","")</f>
        <v>5110 N DYSART RD, LITCHFIELD PARK AZ</v>
      </c>
      <c r="F142" t="str">
        <f>IFERROR(VLOOKUP(C142,Client_List!$B:$K,7,0)&amp;", "&amp;VLOOKUP(C142,Client_List!$B:$K,8,0),"")</f>
        <v>33.5093666, -112.342473</v>
      </c>
      <c r="G142">
        <f>IFERROR(VLOOKUP(C142,Client_List!$B:$K,9,0),"")</f>
        <v>1050</v>
      </c>
      <c r="H142" t="str">
        <f>IFERROR(LOOKUP(2,1/((Delivery_Log!$B$4:$B$4998=B142)*(ISNUMBER(Delivery_Log!$J$4:$J$4998))*(Delivery_Log!$J$4:$J$4998&gt;0)),Delivery_Log!$J$4:$J$4998),"")</f>
        <v/>
      </c>
      <c r="I142" t="str">
        <f>IFERROR(VLOOKUP(C142,Client_List!$B:$K,10,0),"")</f>
        <v>FRYERS CHOICE BLEND</v>
      </c>
      <c r="J142">
        <f>IFERROR(_xlfn.MAXIFS(Delivery_Log!$A$4:$A$4998,Delivery_Log!$B$4:$B$4998,B142),"—")</f>
        <v>46123</v>
      </c>
      <c r="K142">
        <f t="shared" ca="1" si="24"/>
        <v>25</v>
      </c>
      <c r="L142" t="str">
        <f t="shared" ca="1" si="25"/>
        <v/>
      </c>
      <c r="M142" t="str">
        <f t="shared" ca="1" si="26"/>
        <v/>
      </c>
      <c r="N142" t="str">
        <f t="shared" ca="1" si="27"/>
        <v/>
      </c>
      <c r="O142" t="e">
        <f t="shared" ca="1" si="28"/>
        <v>#VALUE!</v>
      </c>
      <c r="P142" t="str">
        <f t="shared" ca="1" si="29"/>
        <v>—</v>
      </c>
      <c r="Q142">
        <f>COUNTIFS(Delivery_Log!$B$4:$B$5998,B142,Delivery_Log!$A$4:$A$5998,"&gt;="&amp;$Q$2)</f>
        <v>7</v>
      </c>
      <c r="S142" t="str">
        <f>IFERROR(_xlfn.XLOOKUP(B142,Client_List!$A$4:$A$200,Client_List!$S$4:$S$200,""),"")</f>
        <v/>
      </c>
      <c r="T142" t="str">
        <f>IFERROR(_xlfn.XLOOKUP(B142,Client_List!$A$4:$A$200,Client_List!$U$4:$U$200,""),"")</f>
        <v/>
      </c>
      <c r="U142" t="str">
        <f>IFERROR(IF(S142="","",IF(_xlfn.XLOOKUP(B142,Client_List!$A$4:$A$200,Client_List!$W$4:$W$200,999)&lt;=24,"LIVE",IF(_xlfn.XLOOKUP(B142,Client_List!$A$4:$A$200,Client_List!$W$4:$W$200,999)&lt;=72,"STALE","OLD"))),"")</f>
        <v/>
      </c>
    </row>
    <row r="143" spans="1:21" x14ac:dyDescent="0.2">
      <c r="A143">
        <v>138</v>
      </c>
      <c r="B143">
        <v>20094</v>
      </c>
      <c r="C143" t="s">
        <v>510</v>
      </c>
      <c r="D143" t="s">
        <v>63</v>
      </c>
      <c r="E143" t="str">
        <f>IFERROR(VLOOKUP(C143,Client_List!$B:$K,4,0)&amp;", "&amp;VLOOKUP(C143,Client_List!$B:$K,5,0)&amp;" AZ","")</f>
        <v>457 S WATSON RD, BUCKEYE AZ</v>
      </c>
      <c r="F143" t="str">
        <f>IFERROR(VLOOKUP(C143,Client_List!$B:$K,7,0)&amp;", "&amp;VLOOKUP(C143,Client_List!$B:$K,8,0),"")</f>
        <v>33.442979, -112.5547635</v>
      </c>
      <c r="G143">
        <f>IFERROR(VLOOKUP(C143,Client_List!$B:$K,9,0),"")</f>
        <v>1050</v>
      </c>
      <c r="H143" t="str">
        <f>IFERROR(LOOKUP(2,1/((Delivery_Log!$B$4:$B$4998=B143)*(ISNUMBER(Delivery_Log!$J$4:$J$4998))*(Delivery_Log!$J$4:$J$4998&gt;0)),Delivery_Log!$J$4:$J$4998),"")</f>
        <v/>
      </c>
      <c r="I143" t="str">
        <f>IFERROR(VLOOKUP(C143,Client_List!$B:$K,10,0),"")</f>
        <v>CANOLA OIL</v>
      </c>
      <c r="J143">
        <f>IFERROR(_xlfn.MAXIFS(Delivery_Log!$A$4:$A$4998,Delivery_Log!$B$4:$B$4998,B143),"—")</f>
        <v>46136</v>
      </c>
      <c r="K143">
        <f t="shared" ca="1" si="24"/>
        <v>12</v>
      </c>
      <c r="L143" t="str">
        <f t="shared" ca="1" si="25"/>
        <v/>
      </c>
      <c r="M143" t="str">
        <f t="shared" ca="1" si="26"/>
        <v/>
      </c>
      <c r="N143" t="str">
        <f t="shared" ca="1" si="27"/>
        <v/>
      </c>
      <c r="O143" t="e">
        <f t="shared" ca="1" si="28"/>
        <v>#VALUE!</v>
      </c>
      <c r="P143" t="str">
        <f t="shared" ca="1" si="29"/>
        <v>—</v>
      </c>
      <c r="Q143">
        <f>COUNTIFS(Delivery_Log!$B$4:$B$5998,B143,Delivery_Log!$A$4:$A$5998,"&gt;="&amp;$Q$2)</f>
        <v>9</v>
      </c>
      <c r="S143" t="str">
        <f>IFERROR(_xlfn.XLOOKUP(B143,Client_List!$A$4:$A$200,Client_List!$S$4:$S$200,""),"")</f>
        <v/>
      </c>
      <c r="T143" t="str">
        <f>IFERROR(_xlfn.XLOOKUP(B143,Client_List!$A$4:$A$200,Client_List!$U$4:$U$200,""),"")</f>
        <v/>
      </c>
      <c r="U143" t="str">
        <f>IFERROR(IF(S143="","",IF(_xlfn.XLOOKUP(B143,Client_List!$A$4:$A$200,Client_List!$W$4:$W$200,999)&lt;=24,"LIVE",IF(_xlfn.XLOOKUP(B143,Client_List!$A$4:$A$200,Client_List!$W$4:$W$200,999)&lt;=72,"STALE","OLD"))),"")</f>
        <v/>
      </c>
    </row>
    <row r="144" spans="1:21" x14ac:dyDescent="0.2">
      <c r="A144">
        <v>139</v>
      </c>
      <c r="B144">
        <v>20095</v>
      </c>
      <c r="C144" t="s">
        <v>514</v>
      </c>
      <c r="D144" t="s">
        <v>51</v>
      </c>
      <c r="E144" t="str">
        <f>IFERROR(VLOOKUP(C144,Client_List!$B:$K,4,0)&amp;", "&amp;VLOOKUP(C144,Client_List!$B:$K,5,0)&amp;" AZ","")</f>
        <v>28234 N TATUM BLVD, CAVE CREEK AZ</v>
      </c>
      <c r="F144" t="str">
        <f>IFERROR(VLOOKUP(C144,Client_List!$B:$K,7,0)&amp;", "&amp;VLOOKUP(C144,Client_List!$B:$K,8,0),"")</f>
        <v>33.7422555, -111.9798691</v>
      </c>
      <c r="G144">
        <f>IFERROR(VLOOKUP(C144,Client_List!$B:$K,9,0),"")</f>
        <v>1050</v>
      </c>
      <c r="H144" t="str">
        <f>IFERROR(LOOKUP(2,1/((Delivery_Log!$B$4:$B$4998=B144)*(ISNUMBER(Delivery_Log!$J$4:$J$4998))*(Delivery_Log!$J$4:$J$4998&gt;0)),Delivery_Log!$J$4:$J$4998),"")</f>
        <v/>
      </c>
      <c r="I144" t="str">
        <f>IFERROR(VLOOKUP(C144,Client_List!$B:$K,10,0),"")</f>
        <v>CANOLA OIL</v>
      </c>
      <c r="J144">
        <f>IFERROR(_xlfn.MAXIFS(Delivery_Log!$A$4:$A$4998,Delivery_Log!$B$4:$B$4998,B144),"—")</f>
        <v>46141</v>
      </c>
      <c r="K144">
        <f t="shared" ca="1" si="24"/>
        <v>7</v>
      </c>
      <c r="L144" t="str">
        <f t="shared" ca="1" si="25"/>
        <v/>
      </c>
      <c r="M144" t="str">
        <f t="shared" ca="1" si="26"/>
        <v/>
      </c>
      <c r="N144" t="str">
        <f t="shared" ca="1" si="27"/>
        <v/>
      </c>
      <c r="O144" t="e">
        <f t="shared" ca="1" si="28"/>
        <v>#VALUE!</v>
      </c>
      <c r="P144" t="str">
        <f t="shared" ca="1" si="29"/>
        <v>—</v>
      </c>
      <c r="Q144">
        <f>COUNTIFS(Delivery_Log!$B$4:$B$5998,B144,Delivery_Log!$A$4:$A$5998,"&gt;="&amp;$Q$2)</f>
        <v>5</v>
      </c>
      <c r="S144" t="str">
        <f>IFERROR(_xlfn.XLOOKUP(B144,Client_List!$A$4:$A$200,Client_List!$S$4:$S$200,""),"")</f>
        <v/>
      </c>
      <c r="T144" t="str">
        <f>IFERROR(_xlfn.XLOOKUP(B144,Client_List!$A$4:$A$200,Client_List!$U$4:$U$200,""),"")</f>
        <v/>
      </c>
      <c r="U144" t="str">
        <f>IFERROR(IF(S144="","",IF(_xlfn.XLOOKUP(B144,Client_List!$A$4:$A$200,Client_List!$W$4:$W$200,999)&lt;=24,"LIVE",IF(_xlfn.XLOOKUP(B144,Client_List!$A$4:$A$200,Client_List!$W$4:$W$200,999)&lt;=72,"STALE","OLD"))),"")</f>
        <v/>
      </c>
    </row>
    <row r="145" spans="1:21" x14ac:dyDescent="0.2">
      <c r="A145">
        <v>140</v>
      </c>
      <c r="B145">
        <v>20098</v>
      </c>
      <c r="C145" t="s">
        <v>518</v>
      </c>
      <c r="D145" t="s">
        <v>51</v>
      </c>
      <c r="E145" t="str">
        <f>IFERROR(VLOOKUP(C145,Client_List!$B:$K,4,0)&amp;", "&amp;VLOOKUP(C145,Client_List!$B:$K,5,0)&amp;" AZ","")</f>
        <v>16880 N CAVE CREEK RD, PHOENIX AZ</v>
      </c>
      <c r="F145" t="str">
        <f>IFERROR(VLOOKUP(C145,Client_List!$B:$K,7,0)&amp;", "&amp;VLOOKUP(C145,Client_List!$B:$K,8,0),"")</f>
        <v>33.6402464, -112.0328493</v>
      </c>
      <c r="G145">
        <f>IFERROR(VLOOKUP(C145,Client_List!$B:$K,9,0),"")</f>
        <v>1050</v>
      </c>
      <c r="H145" t="str">
        <f>IFERROR(LOOKUP(2,1/((Delivery_Log!$B$4:$B$4998=B145)*(ISNUMBER(Delivery_Log!$J$4:$J$4998))*(Delivery_Log!$J$4:$J$4998&gt;0)),Delivery_Log!$J$4:$J$4998),"")</f>
        <v/>
      </c>
      <c r="I145" t="str">
        <f>IFERROR(VLOOKUP(C145,Client_List!$B:$K,10,0),"")</f>
        <v>CANOLA OIL</v>
      </c>
      <c r="J145">
        <f>IFERROR(_xlfn.MAXIFS(Delivery_Log!$A$4:$A$4998,Delivery_Log!$B$4:$B$4998,B145),"—")</f>
        <v>46130</v>
      </c>
      <c r="K145">
        <f t="shared" ca="1" si="24"/>
        <v>18</v>
      </c>
      <c r="L145" t="str">
        <f t="shared" ca="1" si="25"/>
        <v/>
      </c>
      <c r="M145" t="str">
        <f t="shared" ca="1" si="26"/>
        <v/>
      </c>
      <c r="N145" t="str">
        <f t="shared" ca="1" si="27"/>
        <v/>
      </c>
      <c r="O145" t="e">
        <f t="shared" ca="1" si="28"/>
        <v>#VALUE!</v>
      </c>
      <c r="P145" t="str">
        <f t="shared" ca="1" si="29"/>
        <v>—</v>
      </c>
      <c r="Q145">
        <f>COUNTIFS(Delivery_Log!$B$4:$B$5998,B145,Delivery_Log!$A$4:$A$5998,"&gt;="&amp;$Q$2)</f>
        <v>8</v>
      </c>
      <c r="S145" t="str">
        <f>IFERROR(_xlfn.XLOOKUP(B145,Client_List!$A$4:$A$200,Client_List!$S$4:$S$200,""),"")</f>
        <v/>
      </c>
      <c r="T145" t="str">
        <f>IFERROR(_xlfn.XLOOKUP(B145,Client_List!$A$4:$A$200,Client_List!$U$4:$U$200,""),"")</f>
        <v/>
      </c>
      <c r="U145" t="str">
        <f>IFERROR(IF(S145="","",IF(_xlfn.XLOOKUP(B145,Client_List!$A$4:$A$200,Client_List!$W$4:$W$200,999)&lt;=24,"LIVE",IF(_xlfn.XLOOKUP(B145,Client_List!$A$4:$A$200,Client_List!$W$4:$W$200,999)&lt;=72,"STALE","OLD"))),"")</f>
        <v/>
      </c>
    </row>
    <row r="146" spans="1:21" x14ac:dyDescent="0.2">
      <c r="A146">
        <v>141</v>
      </c>
      <c r="B146">
        <v>22006</v>
      </c>
      <c r="C146" t="s">
        <v>520</v>
      </c>
      <c r="D146" t="s">
        <v>63</v>
      </c>
      <c r="E146" t="str">
        <f>IFERROR(VLOOKUP(C146,Client_List!$B:$K,4,0)&amp;", "&amp;VLOOKUP(C146,Client_List!$B:$K,5,0)&amp;" AZ","")</f>
        <v>VENUE TAPROOM, Surprise AZ</v>
      </c>
      <c r="F146" t="str">
        <f>IFERROR(VLOOKUP(C146,Client_List!$B:$K,7,0)&amp;", "&amp;VLOOKUP(C146,Client_List!$B:$K,8,0),"")</f>
        <v>33.6082034, -112.3573367</v>
      </c>
      <c r="G146">
        <f>IFERROR(VLOOKUP(C146,Client_List!$B:$K,9,0),"")</f>
        <v>950</v>
      </c>
      <c r="H146" t="str">
        <f>IFERROR(LOOKUP(2,1/((Delivery_Log!$B$4:$B$4998=B146)*(ISNUMBER(Delivery_Log!$J$4:$J$4998))*(Delivery_Log!$J$4:$J$4998&gt;0)),Delivery_Log!$J$4:$J$4998),"")</f>
        <v/>
      </c>
      <c r="I146" t="str">
        <f>IFERROR(VLOOKUP(C146,Client_List!$B:$K,10,0),"")</f>
        <v>FRYERS CHOICE BLEND</v>
      </c>
      <c r="J146">
        <f>IFERROR(_xlfn.MAXIFS(Delivery_Log!$A$4:$A$4998,Delivery_Log!$B$4:$B$4998,B146),"—")</f>
        <v>46120</v>
      </c>
      <c r="K146">
        <f t="shared" ca="1" si="24"/>
        <v>28</v>
      </c>
      <c r="L146" t="str">
        <f t="shared" ca="1" si="25"/>
        <v/>
      </c>
      <c r="M146" t="str">
        <f t="shared" ca="1" si="26"/>
        <v/>
      </c>
      <c r="N146" t="str">
        <f t="shared" ca="1" si="27"/>
        <v/>
      </c>
      <c r="O146" t="e">
        <f t="shared" ca="1" si="28"/>
        <v>#VALUE!</v>
      </c>
      <c r="P146" t="str">
        <f t="shared" ca="1" si="29"/>
        <v>—</v>
      </c>
      <c r="Q146">
        <f>COUNTIFS(Delivery_Log!$B$4:$B$5998,B146,Delivery_Log!$A$4:$A$5998,"&gt;="&amp;$Q$2)</f>
        <v>5</v>
      </c>
      <c r="S146" t="str">
        <f>IFERROR(_xlfn.XLOOKUP(B146,Client_List!$A$4:$A$200,Client_List!$S$4:$S$200,""),"")</f>
        <v/>
      </c>
      <c r="T146" t="str">
        <f>IFERROR(_xlfn.XLOOKUP(B146,Client_List!$A$4:$A$200,Client_List!$U$4:$U$200,""),"")</f>
        <v/>
      </c>
      <c r="U146" t="str">
        <f>IFERROR(IF(S146="","",IF(_xlfn.XLOOKUP(B146,Client_List!$A$4:$A$200,Client_List!$W$4:$W$200,999)&lt;=24,"LIVE",IF(_xlfn.XLOOKUP(B146,Client_List!$A$4:$A$200,Client_List!$W$4:$W$200,999)&lt;=72,"STALE","OLD"))),"")</f>
        <v/>
      </c>
    </row>
    <row r="147" spans="1:21" x14ac:dyDescent="0.2">
      <c r="A147">
        <v>142</v>
      </c>
      <c r="B147">
        <v>20013</v>
      </c>
      <c r="C147" t="s">
        <v>523</v>
      </c>
      <c r="D147" t="s">
        <v>51</v>
      </c>
      <c r="E147" t="str">
        <f>IFERROR(VLOOKUP(C147,Client_List!$B:$K,4,0)&amp;", "&amp;VLOOKUP(C147,Client_List!$B:$K,5,0)&amp;" AZ","")</f>
        <v>7345 N Via Paseo Del Sur, Scottsdale AZ</v>
      </c>
      <c r="F147" t="str">
        <f>IFERROR(VLOOKUP(C147,Client_List!$B:$K,7,0)&amp;", "&amp;VLOOKUP(C147,Client_List!$B:$K,8,0),"")</f>
        <v>33.5430114, -111.9052496</v>
      </c>
      <c r="G147">
        <f>IFERROR(VLOOKUP(C147,Client_List!$B:$K,9,0),"")</f>
        <v>1050</v>
      </c>
      <c r="H147" t="str">
        <f>IFERROR(LOOKUP(2,1/((Delivery_Log!$B$4:$B$4998=B147)*(ISNUMBER(Delivery_Log!$J$4:$J$4998))*(Delivery_Log!$J$4:$J$4998&gt;0)),Delivery_Log!$J$4:$J$4998),"")</f>
        <v/>
      </c>
      <c r="I147" t="str">
        <f>IFERROR(VLOOKUP(C147,Client_List!$B:$K,10,0),"")</f>
        <v>CANOLA OIL</v>
      </c>
      <c r="J147">
        <f>IFERROR(_xlfn.MAXIFS(Delivery_Log!$A$4:$A$4998,Delivery_Log!$B$4:$B$4998,B147),"—")</f>
        <v>46125</v>
      </c>
      <c r="K147">
        <f t="shared" ca="1" si="24"/>
        <v>23</v>
      </c>
      <c r="L147" t="str">
        <f t="shared" ca="1" si="25"/>
        <v/>
      </c>
      <c r="M147" t="str">
        <f t="shared" ca="1" si="26"/>
        <v/>
      </c>
      <c r="N147" t="str">
        <f t="shared" ca="1" si="27"/>
        <v/>
      </c>
      <c r="O147" t="e">
        <f t="shared" ca="1" si="28"/>
        <v>#VALUE!</v>
      </c>
      <c r="P147" t="str">
        <f t="shared" ca="1" si="29"/>
        <v>—</v>
      </c>
      <c r="Q147">
        <f>COUNTIFS(Delivery_Log!$B$4:$B$5998,B147,Delivery_Log!$A$4:$A$5998,"&gt;="&amp;$Q$2)</f>
        <v>5</v>
      </c>
      <c r="S147" t="str">
        <f>IFERROR(_xlfn.XLOOKUP(B147,Client_List!$A$4:$A$200,Client_List!$S$4:$S$200,""),"")</f>
        <v/>
      </c>
      <c r="T147" t="str">
        <f>IFERROR(_xlfn.XLOOKUP(B147,Client_List!$A$4:$A$200,Client_List!$U$4:$U$200,""),"")</f>
        <v/>
      </c>
      <c r="U147" t="str">
        <f>IFERROR(IF(S147="","",IF(_xlfn.XLOOKUP(B147,Client_List!$A$4:$A$200,Client_List!$W$4:$W$200,999)&lt;=24,"LIVE",IF(_xlfn.XLOOKUP(B147,Client_List!$A$4:$A$200,Client_List!$W$4:$W$200,999)&lt;=72,"STALE","OLD"))),"")</f>
        <v/>
      </c>
    </row>
    <row r="148" spans="1:21" x14ac:dyDescent="0.2">
      <c r="A148">
        <v>143</v>
      </c>
      <c r="B148">
        <v>20014</v>
      </c>
      <c r="C148" t="s">
        <v>526</v>
      </c>
      <c r="D148" t="s">
        <v>63</v>
      </c>
      <c r="E148" t="str">
        <f>IFERROR(VLOOKUP(C148,Client_List!$B:$K,4,0)&amp;", "&amp;VLOOKUP(C148,Client_List!$B:$K,5,0)&amp;" AZ","")</f>
        <v>10300 South Miller Road, Buckeye AZ</v>
      </c>
      <c r="F148" t="str">
        <f>IFERROR(VLOOKUP(C148,Client_List!$B:$K,7,0)&amp;", "&amp;VLOOKUP(C148,Client_List!$B:$K,8,0),"")</f>
        <v>33.3539128, -112.5918433</v>
      </c>
      <c r="G148">
        <f>IFERROR(VLOOKUP(C148,Client_List!$B:$K,9,0),"")</f>
        <v>1050</v>
      </c>
      <c r="H148" t="str">
        <f>IFERROR(LOOKUP(2,1/((Delivery_Log!$B$4:$B$4998=B148)*(ISNUMBER(Delivery_Log!$J$4:$J$4998))*(Delivery_Log!$J$4:$J$4998&gt;0)),Delivery_Log!$J$4:$J$4998),"")</f>
        <v/>
      </c>
      <c r="I148" t="str">
        <f>IFERROR(VLOOKUP(C148,Client_List!$B:$K,10,0),"")</f>
        <v>CANOLA OIL</v>
      </c>
      <c r="J148">
        <f>IFERROR(_xlfn.MAXIFS(Delivery_Log!$A$4:$A$4998,Delivery_Log!$B$4:$B$4998,B148),"—")</f>
        <v>46136</v>
      </c>
      <c r="K148">
        <f t="shared" ca="1" si="24"/>
        <v>12</v>
      </c>
      <c r="L148" t="str">
        <f t="shared" ca="1" si="25"/>
        <v/>
      </c>
      <c r="M148" t="str">
        <f t="shared" ca="1" si="26"/>
        <v/>
      </c>
      <c r="N148" t="str">
        <f t="shared" ca="1" si="27"/>
        <v/>
      </c>
      <c r="O148" t="e">
        <f t="shared" ca="1" si="28"/>
        <v>#VALUE!</v>
      </c>
      <c r="P148" t="str">
        <f t="shared" ca="1" si="29"/>
        <v>—</v>
      </c>
      <c r="Q148">
        <f>COUNTIFS(Delivery_Log!$B$4:$B$5998,B148,Delivery_Log!$A$4:$A$5998,"&gt;="&amp;$Q$2)</f>
        <v>5</v>
      </c>
      <c r="S148" t="str">
        <f>IFERROR(_xlfn.XLOOKUP(B148,Client_List!$A$4:$A$200,Client_List!$S$4:$S$200,""),"")</f>
        <v/>
      </c>
      <c r="T148" t="str">
        <f>IFERROR(_xlfn.XLOOKUP(B148,Client_List!$A$4:$A$200,Client_List!$U$4:$U$200,""),"")</f>
        <v/>
      </c>
      <c r="U148" t="str">
        <f>IFERROR(IF(S148="","",IF(_xlfn.XLOOKUP(B148,Client_List!$A$4:$A$200,Client_List!$W$4:$W$200,999)&lt;=24,"LIVE",IF(_xlfn.XLOOKUP(B148,Client_List!$A$4:$A$200,Client_List!$W$4:$W$200,999)&lt;=72,"STALE","OLD"))),"")</f>
        <v/>
      </c>
    </row>
    <row r="149" spans="1:21" x14ac:dyDescent="0.2">
      <c r="A149">
        <v>144</v>
      </c>
      <c r="B149">
        <v>20019</v>
      </c>
      <c r="C149" t="s">
        <v>528</v>
      </c>
      <c r="D149" t="s">
        <v>38</v>
      </c>
      <c r="E149" t="str">
        <f>IFERROR(VLOOKUP(C149,Client_List!$B:$K,4,0)&amp;", "&amp;VLOOKUP(C149,Client_List!$B:$K,5,0)&amp;" AZ","")</f>
        <v>5171 W Bell Rd, Glendale AZ</v>
      </c>
      <c r="F149" t="str">
        <f>IFERROR(VLOOKUP(C149,Client_List!$B:$K,7,0)&amp;", "&amp;VLOOKUP(C149,Client_List!$B:$K,8,0),"")</f>
        <v>33.6386767, -112.1709561</v>
      </c>
      <c r="G149">
        <f>IFERROR(VLOOKUP(C149,Client_List!$B:$K,9,0),"")</f>
        <v>1050</v>
      </c>
      <c r="H149" t="str">
        <f>IFERROR(LOOKUP(2,1/((Delivery_Log!$B$4:$B$4998=B149)*(ISNUMBER(Delivery_Log!$J$4:$J$4998))*(Delivery_Log!$J$4:$J$4998&gt;0)),Delivery_Log!$J$4:$J$4998),"")</f>
        <v/>
      </c>
      <c r="I149" t="str">
        <f>IFERROR(VLOOKUP(C149,Client_List!$B:$K,10,0),"")</f>
        <v>CANOLA OIL</v>
      </c>
      <c r="J149">
        <f>IFERROR(_xlfn.MAXIFS(Delivery_Log!$A$4:$A$4998,Delivery_Log!$B$4:$B$4998,B149),"—")</f>
        <v>46115</v>
      </c>
      <c r="K149">
        <f t="shared" ca="1" si="24"/>
        <v>33</v>
      </c>
      <c r="L149" t="str">
        <f t="shared" ca="1" si="25"/>
        <v/>
      </c>
      <c r="M149" t="str">
        <f t="shared" ca="1" si="26"/>
        <v/>
      </c>
      <c r="N149" t="str">
        <f t="shared" ca="1" si="27"/>
        <v/>
      </c>
      <c r="O149" t="e">
        <f t="shared" ca="1" si="28"/>
        <v>#VALUE!</v>
      </c>
      <c r="P149" t="str">
        <f t="shared" ca="1" si="29"/>
        <v>—</v>
      </c>
      <c r="Q149">
        <f>COUNTIFS(Delivery_Log!$B$4:$B$5998,B149,Delivery_Log!$A$4:$A$5998,"&gt;="&amp;$Q$2)</f>
        <v>7</v>
      </c>
      <c r="S149" t="str">
        <f>IFERROR(_xlfn.XLOOKUP(B149,Client_List!$A$4:$A$200,Client_List!$S$4:$S$200,""),"")</f>
        <v/>
      </c>
      <c r="T149" t="str">
        <f>IFERROR(_xlfn.XLOOKUP(B149,Client_List!$A$4:$A$200,Client_List!$U$4:$U$200,""),"")</f>
        <v/>
      </c>
      <c r="U149" t="str">
        <f>IFERROR(IF(S149="","",IF(_xlfn.XLOOKUP(B149,Client_List!$A$4:$A$200,Client_List!$W$4:$W$200,999)&lt;=24,"LIVE",IF(_xlfn.XLOOKUP(B149,Client_List!$A$4:$A$200,Client_List!$W$4:$W$200,999)&lt;=72,"STALE","OLD"))),"")</f>
        <v/>
      </c>
    </row>
    <row r="150" spans="1:21" x14ac:dyDescent="0.2">
      <c r="A150">
        <v>145</v>
      </c>
      <c r="B150">
        <v>20021</v>
      </c>
      <c r="C150" t="s">
        <v>531</v>
      </c>
      <c r="D150" t="s">
        <v>81</v>
      </c>
      <c r="E150" t="str">
        <f>IFERROR(VLOOKUP(C150,Client_List!$B:$K,4,0)&amp;", "&amp;VLOOKUP(C150,Client_List!$B:$K,5,0)&amp;" AZ","")</f>
        <v>1744 S VAL VISTA DR, MESA AZ</v>
      </c>
      <c r="F150" t="str">
        <f>IFERROR(VLOOKUP(C150,Client_List!$B:$K,7,0)&amp;", "&amp;VLOOKUP(C150,Client_List!$B:$K,8,0),"")</f>
        <v>33.3833265, -111.7569014</v>
      </c>
      <c r="G150">
        <f>IFERROR(VLOOKUP(C150,Client_List!$B:$K,9,0),"")</f>
        <v>1050</v>
      </c>
      <c r="H150" t="str">
        <f>IFERROR(LOOKUP(2,1/((Delivery_Log!$B$4:$B$4998=B150)*(ISNUMBER(Delivery_Log!$J$4:$J$4998))*(Delivery_Log!$J$4:$J$4998&gt;0)),Delivery_Log!$J$4:$J$4998),"")</f>
        <v/>
      </c>
      <c r="I150" t="str">
        <f>IFERROR(VLOOKUP(C150,Client_List!$B:$K,10,0),"")</f>
        <v>CANOLA OIL</v>
      </c>
      <c r="J150">
        <f>IFERROR(_xlfn.MAXIFS(Delivery_Log!$A$4:$A$4998,Delivery_Log!$B$4:$B$4998,B150),"—")</f>
        <v>46133</v>
      </c>
      <c r="K150">
        <f t="shared" ca="1" si="24"/>
        <v>15</v>
      </c>
      <c r="L150" t="str">
        <f t="shared" ca="1" si="25"/>
        <v/>
      </c>
      <c r="M150" t="str">
        <f t="shared" ca="1" si="26"/>
        <v/>
      </c>
      <c r="N150" t="str">
        <f t="shared" ca="1" si="27"/>
        <v/>
      </c>
      <c r="O150" t="e">
        <f t="shared" ca="1" si="28"/>
        <v>#VALUE!</v>
      </c>
      <c r="P150" t="str">
        <f t="shared" ca="1" si="29"/>
        <v>—</v>
      </c>
      <c r="Q150">
        <f>COUNTIFS(Delivery_Log!$B$4:$B$5998,B150,Delivery_Log!$A$4:$A$5998,"&gt;="&amp;$Q$2)</f>
        <v>7</v>
      </c>
      <c r="S150" t="str">
        <f>IFERROR(_xlfn.XLOOKUP(B150,Client_List!$A$4:$A$200,Client_List!$S$4:$S$200,""),"")</f>
        <v/>
      </c>
      <c r="T150" t="str">
        <f>IFERROR(_xlfn.XLOOKUP(B150,Client_List!$A$4:$A$200,Client_List!$U$4:$U$200,""),"")</f>
        <v/>
      </c>
      <c r="U150" t="str">
        <f>IFERROR(IF(S150="","",IF(_xlfn.XLOOKUP(B150,Client_List!$A$4:$A$200,Client_List!$W$4:$W$200,999)&lt;=24,"LIVE",IF(_xlfn.XLOOKUP(B150,Client_List!$A$4:$A$200,Client_List!$W$4:$W$200,999)&lt;=72,"STALE","OLD"))),"")</f>
        <v/>
      </c>
    </row>
    <row r="151" spans="1:21" x14ac:dyDescent="0.2">
      <c r="A151">
        <v>146</v>
      </c>
      <c r="B151">
        <v>20088</v>
      </c>
      <c r="C151" t="s">
        <v>533</v>
      </c>
      <c r="D151" t="s">
        <v>51</v>
      </c>
      <c r="E151" t="str">
        <f>IFERROR(VLOOKUP(C151,Client_List!$B:$K,4,0)&amp;", "&amp;VLOOKUP(C151,Client_List!$B:$K,5,0)&amp;" AZ","")</f>
        <v>10199 E BELL RD, SCOTTSDALE AZ</v>
      </c>
      <c r="F151" t="str">
        <f>IFERROR(VLOOKUP(C151,Client_List!$B:$K,7,0)&amp;", "&amp;VLOOKUP(C151,Client_List!$B:$K,8,0),"")</f>
        <v>33.6395371, -111.8617453</v>
      </c>
      <c r="G151">
        <f>IFERROR(VLOOKUP(C151,Client_List!$B:$K,9,0),"")</f>
        <v>1050</v>
      </c>
      <c r="H151" t="str">
        <f>IFERROR(LOOKUP(2,1/((Delivery_Log!$B$4:$B$4998=B151)*(ISNUMBER(Delivery_Log!$J$4:$J$4998))*(Delivery_Log!$J$4:$J$4998&gt;0)),Delivery_Log!$J$4:$J$4998),"")</f>
        <v/>
      </c>
      <c r="I151" t="str">
        <f>IFERROR(VLOOKUP(C151,Client_List!$B:$K,10,0),"")</f>
        <v>CANOLA OIL</v>
      </c>
      <c r="J151">
        <f>IFERROR(_xlfn.MAXIFS(Delivery_Log!$A$4:$A$4998,Delivery_Log!$B$4:$B$4998,B151),"—")</f>
        <v>46140</v>
      </c>
      <c r="K151">
        <f t="shared" ca="1" si="24"/>
        <v>8</v>
      </c>
      <c r="L151" t="str">
        <f t="shared" ca="1" si="25"/>
        <v/>
      </c>
      <c r="M151" t="str">
        <f t="shared" ca="1" si="26"/>
        <v/>
      </c>
      <c r="N151" t="str">
        <f t="shared" ca="1" si="27"/>
        <v/>
      </c>
      <c r="O151" t="e">
        <f t="shared" ca="1" si="28"/>
        <v>#VALUE!</v>
      </c>
      <c r="P151" t="str">
        <f t="shared" ca="1" si="29"/>
        <v>—</v>
      </c>
      <c r="Q151">
        <f>COUNTIFS(Delivery_Log!$B$4:$B$5998,B151,Delivery_Log!$A$4:$A$5998,"&gt;="&amp;$Q$2)</f>
        <v>12</v>
      </c>
      <c r="S151" t="str">
        <f>IFERROR(_xlfn.XLOOKUP(B151,Client_List!$A$4:$A$200,Client_List!$S$4:$S$200,""),"")</f>
        <v/>
      </c>
      <c r="T151" t="str">
        <f>IFERROR(_xlfn.XLOOKUP(B151,Client_List!$A$4:$A$200,Client_List!$U$4:$U$200,""),"")</f>
        <v/>
      </c>
      <c r="U151" t="str">
        <f>IFERROR(IF(S151="","",IF(_xlfn.XLOOKUP(B151,Client_List!$A$4:$A$200,Client_List!$W$4:$W$200,999)&lt;=24,"LIVE",IF(_xlfn.XLOOKUP(B151,Client_List!$A$4:$A$200,Client_List!$W$4:$W$200,999)&lt;=72,"STALE","OLD"))),"")</f>
        <v/>
      </c>
    </row>
    <row r="152" spans="1:21" x14ac:dyDescent="0.2">
      <c r="A152">
        <v>147</v>
      </c>
      <c r="B152">
        <v>20033</v>
      </c>
      <c r="C152" t="s">
        <v>536</v>
      </c>
      <c r="D152" t="s">
        <v>51</v>
      </c>
      <c r="E152" t="str">
        <f>IFERROR(VLOOKUP(C152,Client_List!$B:$K,4,0)&amp;", "&amp;VLOOKUP(C152,Client_List!$B:$K,5,0)&amp;" AZ","")</f>
        <v>THE HERMOSA INN, Paradise Vly AZ</v>
      </c>
      <c r="F152" t="str">
        <f>IFERROR(VLOOKUP(C152,Client_List!$B:$K,7,0)&amp;", "&amp;VLOOKUP(C152,Client_List!$B:$K,8,0),"")</f>
        <v>33.5183357, -112.0049045</v>
      </c>
      <c r="G152">
        <f>IFERROR(VLOOKUP(C152,Client_List!$B:$K,9,0),"")</f>
        <v>1050</v>
      </c>
      <c r="H152" t="str">
        <f>IFERROR(LOOKUP(2,1/((Delivery_Log!$B$4:$B$4998=B152)*(ISNUMBER(Delivery_Log!$J$4:$J$4998))*(Delivery_Log!$J$4:$J$4998&gt;0)),Delivery_Log!$J$4:$J$4998),"")</f>
        <v/>
      </c>
      <c r="I152" t="str">
        <f>IFERROR(VLOOKUP(C152,Client_List!$B:$K,10,0),"")</f>
        <v>CANOLA OIL</v>
      </c>
      <c r="J152">
        <f>IFERROR(_xlfn.MAXIFS(Delivery_Log!$A$4:$A$4998,Delivery_Log!$B$4:$B$4998,B152),"—")</f>
        <v>46142</v>
      </c>
      <c r="K152">
        <f t="shared" ca="1" si="24"/>
        <v>6</v>
      </c>
      <c r="L152" t="str">
        <f t="shared" ca="1" si="25"/>
        <v/>
      </c>
      <c r="M152" t="str">
        <f t="shared" ca="1" si="26"/>
        <v/>
      </c>
      <c r="N152" t="str">
        <f t="shared" ca="1" si="27"/>
        <v/>
      </c>
      <c r="O152" t="e">
        <f t="shared" ca="1" si="28"/>
        <v>#VALUE!</v>
      </c>
      <c r="P152" t="str">
        <f t="shared" ca="1" si="29"/>
        <v>—</v>
      </c>
      <c r="Q152">
        <f>COUNTIFS(Delivery_Log!$B$4:$B$5998,B152,Delivery_Log!$A$4:$A$5998,"&gt;="&amp;$Q$2)</f>
        <v>6</v>
      </c>
      <c r="S152" t="str">
        <f>IFERROR(_xlfn.XLOOKUP(B152,Client_List!$A$4:$A$200,Client_List!$S$4:$S$200,""),"")</f>
        <v/>
      </c>
      <c r="T152" t="str">
        <f>IFERROR(_xlfn.XLOOKUP(B152,Client_List!$A$4:$A$200,Client_List!$U$4:$U$200,""),"")</f>
        <v/>
      </c>
      <c r="U152" t="str">
        <f>IFERROR(IF(S152="","",IF(_xlfn.XLOOKUP(B152,Client_List!$A$4:$A$200,Client_List!$W$4:$W$200,999)&lt;=24,"LIVE",IF(_xlfn.XLOOKUP(B152,Client_List!$A$4:$A$200,Client_List!$W$4:$W$200,999)&lt;=72,"STALE","OLD"))),"")</f>
        <v/>
      </c>
    </row>
    <row r="153" spans="1:21" x14ac:dyDescent="0.2">
      <c r="A153">
        <v>148</v>
      </c>
      <c r="B153">
        <v>20051</v>
      </c>
      <c r="C153" t="s">
        <v>540</v>
      </c>
      <c r="D153" t="s">
        <v>38</v>
      </c>
      <c r="E153" t="str">
        <f>IFERROR(VLOOKUP(C153,Client_List!$B:$K,4,0)&amp;", "&amp;VLOOKUP(C153,Client_List!$B:$K,5,0)&amp;" AZ","")</f>
        <v>TIM FINNEGANS, Glendale AZ</v>
      </c>
      <c r="F153" t="str">
        <f>IFERROR(VLOOKUP(C153,Client_List!$B:$K,7,0)&amp;", "&amp;VLOOKUP(C153,Client_List!$B:$K,8,0),"")</f>
        <v>33.6404709, -112.1860298</v>
      </c>
      <c r="G153">
        <f>IFERROR(VLOOKUP(C153,Client_List!$B:$K,9,0),"")</f>
        <v>300</v>
      </c>
      <c r="H153" t="str">
        <f>IFERROR(LOOKUP(2,1/((Delivery_Log!$B$4:$B$4998=B153)*(ISNUMBER(Delivery_Log!$J$4:$J$4998))*(Delivery_Log!$J$4:$J$4998&gt;0)),Delivery_Log!$J$4:$J$4998),"")</f>
        <v/>
      </c>
      <c r="I153" t="str">
        <f>IFERROR(VLOOKUP(C153,Client_List!$B:$K,10,0),"")</f>
        <v>FRYERS CHOICE BLEND</v>
      </c>
      <c r="J153">
        <f>IFERROR(_xlfn.MAXIFS(Delivery_Log!$A$4:$A$4998,Delivery_Log!$B$4:$B$4998,B153),"—")</f>
        <v>46143</v>
      </c>
      <c r="K153">
        <f t="shared" ca="1" si="24"/>
        <v>5</v>
      </c>
      <c r="L153" t="str">
        <f t="shared" ca="1" si="25"/>
        <v/>
      </c>
      <c r="M153" t="str">
        <f t="shared" ca="1" si="26"/>
        <v/>
      </c>
      <c r="N153" t="str">
        <f t="shared" ca="1" si="27"/>
        <v/>
      </c>
      <c r="O153" t="e">
        <f t="shared" ca="1" si="28"/>
        <v>#VALUE!</v>
      </c>
      <c r="P153" t="str">
        <f t="shared" ca="1" si="29"/>
        <v>—</v>
      </c>
      <c r="Q153">
        <f>COUNTIFS(Delivery_Log!$B$4:$B$5998,B153,Delivery_Log!$A$4:$A$5998,"&gt;="&amp;$Q$2)</f>
        <v>13</v>
      </c>
      <c r="S153" t="str">
        <f>IFERROR(_xlfn.XLOOKUP(B153,Client_List!$A$4:$A$200,Client_List!$S$4:$S$200,""),"")</f>
        <v/>
      </c>
      <c r="T153" t="str">
        <f>IFERROR(_xlfn.XLOOKUP(B153,Client_List!$A$4:$A$200,Client_List!$U$4:$U$200,""),"")</f>
        <v/>
      </c>
      <c r="U153" t="str">
        <f>IFERROR(IF(S153="","",IF(_xlfn.XLOOKUP(B153,Client_List!$A$4:$A$200,Client_List!$W$4:$W$200,999)&lt;=24,"LIVE",IF(_xlfn.XLOOKUP(B153,Client_List!$A$4:$A$200,Client_List!$W$4:$W$200,999)&lt;=72,"STALE","OLD"))),"")</f>
        <v/>
      </c>
    </row>
    <row r="154" spans="1:21" x14ac:dyDescent="0.2">
      <c r="A154">
        <v>149</v>
      </c>
      <c r="B154">
        <v>20077</v>
      </c>
      <c r="C154" t="s">
        <v>543</v>
      </c>
      <c r="D154" t="s">
        <v>51</v>
      </c>
      <c r="E154" t="str">
        <f>IFERROR(VLOOKUP(C154,Client_List!$B:$K,4,0)&amp;", "&amp;VLOOKUP(C154,Client_List!$B:$K,5,0)&amp;" AZ","")</f>
        <v>5736 E RANCHO MANANA BLVD, CAVE CREEK AZ</v>
      </c>
      <c r="F154" t="str">
        <f>IFERROR(VLOOKUP(C154,Client_List!$B:$K,7,0)&amp;", "&amp;VLOOKUP(C154,Client_List!$B:$K,8,0),"")</f>
        <v>33.8331529, -111.9561758</v>
      </c>
      <c r="G154">
        <f>IFERROR(VLOOKUP(C154,Client_List!$B:$K,9,0),"")</f>
        <v>630</v>
      </c>
      <c r="H154" t="str">
        <f>IFERROR(LOOKUP(2,1/((Delivery_Log!$B$4:$B$4998=B154)*(ISNUMBER(Delivery_Log!$J$4:$J$4998))*(Delivery_Log!$J$4:$J$4998&gt;0)),Delivery_Log!$J$4:$J$4998),"")</f>
        <v/>
      </c>
      <c r="I154" t="str">
        <f>IFERROR(VLOOKUP(C154,Client_List!$B:$K,10,0),"")</f>
        <v>FRYERS CHOICE BLEND</v>
      </c>
      <c r="J154">
        <f>IFERROR(_xlfn.MAXIFS(Delivery_Log!$A$4:$A$4998,Delivery_Log!$B$4:$B$4998,B154),"—")</f>
        <v>46140</v>
      </c>
      <c r="K154">
        <f t="shared" ca="1" si="24"/>
        <v>8</v>
      </c>
      <c r="L154" t="str">
        <f t="shared" ca="1" si="25"/>
        <v/>
      </c>
      <c r="M154" t="str">
        <f t="shared" ca="1" si="26"/>
        <v/>
      </c>
      <c r="N154" t="str">
        <f t="shared" ca="1" si="27"/>
        <v/>
      </c>
      <c r="O154" t="e">
        <f t="shared" ca="1" si="28"/>
        <v>#VALUE!</v>
      </c>
      <c r="P154" t="str">
        <f t="shared" ca="1" si="29"/>
        <v>—</v>
      </c>
      <c r="Q154">
        <f>COUNTIFS(Delivery_Log!$B$4:$B$5998,B154,Delivery_Log!$A$4:$A$5998,"&gt;="&amp;$Q$2)</f>
        <v>10</v>
      </c>
      <c r="S154" t="str">
        <f>IFERROR(_xlfn.XLOOKUP(B154,Client_List!$A$4:$A$200,Client_List!$S$4:$S$200,""),"")</f>
        <v/>
      </c>
      <c r="T154" t="str">
        <f>IFERROR(_xlfn.XLOOKUP(B154,Client_List!$A$4:$A$200,Client_List!$U$4:$U$200,""),"")</f>
        <v/>
      </c>
      <c r="U154" t="str">
        <f>IFERROR(IF(S154="","",IF(_xlfn.XLOOKUP(B154,Client_List!$A$4:$A$200,Client_List!$W$4:$W$200,999)&lt;=24,"LIVE",IF(_xlfn.XLOOKUP(B154,Client_List!$A$4:$A$200,Client_List!$W$4:$W$200,999)&lt;=72,"STALE","OLD"))),"")</f>
        <v/>
      </c>
    </row>
    <row r="155" spans="1:21" x14ac:dyDescent="0.2">
      <c r="A155">
        <v>150</v>
      </c>
      <c r="B155">
        <v>21001</v>
      </c>
      <c r="C155" t="s">
        <v>547</v>
      </c>
      <c r="D155" t="s">
        <v>38</v>
      </c>
      <c r="E155" t="str">
        <f>IFERROR(VLOOKUP(C155,Client_List!$B:$K,4,0)&amp;", "&amp;VLOOKUP(C155,Client_List!$B:$K,5,0)&amp;" AZ","")</f>
        <v>18913 N 83Rd Ave, Peoria AZ</v>
      </c>
      <c r="F155" t="str">
        <f>IFERROR(VLOOKUP(C155,Client_List!$B:$K,7,0)&amp;", "&amp;VLOOKUP(C155,Client_List!$B:$K,8,0),"")</f>
        <v>33.65575, -112.2370715</v>
      </c>
      <c r="G155">
        <f>IFERROR(VLOOKUP(C155,Client_List!$B:$K,9,0),"")</f>
        <v>1200</v>
      </c>
      <c r="H155" t="str">
        <f>IFERROR(LOOKUP(2,1/((Delivery_Log!$B$4:$B$4998=B155)*(ISNUMBER(Delivery_Log!$J$4:$J$4998))*(Delivery_Log!$J$4:$J$4998&gt;0)),Delivery_Log!$J$4:$J$4998),"")</f>
        <v/>
      </c>
      <c r="I155" t="str">
        <f>IFERROR(VLOOKUP(C155,Client_List!$B:$K,10,0),"")</f>
        <v>FRYERS CHOICE BLEND</v>
      </c>
      <c r="J155">
        <f>IFERROR(_xlfn.MAXIFS(Delivery_Log!$A$4:$A$4998,Delivery_Log!$B$4:$B$4998,B155),"—")</f>
        <v>46135</v>
      </c>
      <c r="K155">
        <f t="shared" ca="1" si="24"/>
        <v>13</v>
      </c>
      <c r="L155" t="str">
        <f t="shared" ca="1" si="25"/>
        <v/>
      </c>
      <c r="M155" t="str">
        <f t="shared" ca="1" si="26"/>
        <v/>
      </c>
      <c r="N155" t="str">
        <f t="shared" ca="1" si="27"/>
        <v/>
      </c>
      <c r="O155" t="e">
        <f t="shared" ca="1" si="28"/>
        <v>#VALUE!</v>
      </c>
      <c r="P155" t="str">
        <f t="shared" ca="1" si="29"/>
        <v>—</v>
      </c>
      <c r="Q155">
        <f>COUNTIFS(Delivery_Log!$B$4:$B$5998,B155,Delivery_Log!$A$4:$A$5998,"&gt;="&amp;$Q$2)</f>
        <v>8</v>
      </c>
      <c r="S155" t="str">
        <f>IFERROR(_xlfn.XLOOKUP(B155,Client_List!$A$4:$A$200,Client_List!$S$4:$S$200,""),"")</f>
        <v/>
      </c>
      <c r="T155" t="str">
        <f>IFERROR(_xlfn.XLOOKUP(B155,Client_List!$A$4:$A$200,Client_List!$U$4:$U$200,""),"")</f>
        <v/>
      </c>
      <c r="U155" t="str">
        <f>IFERROR(IF(S155="","",IF(_xlfn.XLOOKUP(B155,Client_List!$A$4:$A$200,Client_List!$W$4:$W$200,999)&lt;=24,"LIVE",IF(_xlfn.XLOOKUP(B155,Client_List!$A$4:$A$200,Client_List!$W$4:$W$200,999)&lt;=72,"STALE","OLD"))),"")</f>
        <v/>
      </c>
    </row>
    <row r="156" spans="1:21" x14ac:dyDescent="0.2">
      <c r="A156">
        <v>151</v>
      </c>
      <c r="B156">
        <v>21002</v>
      </c>
      <c r="C156" t="s">
        <v>550</v>
      </c>
      <c r="D156" t="s">
        <v>72</v>
      </c>
      <c r="E156" t="str">
        <f>IFERROR(VLOOKUP(C156,Client_List!$B:$K,4,0)&amp;", "&amp;VLOOKUP(C156,Client_List!$B:$K,5,0)&amp;" AZ","")</f>
        <v>3217 E Shea Blvd, Phoenix AZ</v>
      </c>
      <c r="F156" t="str">
        <f>IFERROR(VLOOKUP(C156,Client_List!$B:$K,7,0)&amp;", "&amp;VLOOKUP(C156,Client_List!$B:$K,8,0),"")</f>
        <v>33.5821122, -112.0121697</v>
      </c>
      <c r="G156">
        <f>IFERROR(VLOOKUP(C156,Client_List!$B:$K,9,0),"")</f>
        <v>1850</v>
      </c>
      <c r="H156" t="str">
        <f>IFERROR(LOOKUP(2,1/((Delivery_Log!$B$4:$B$4998=B156)*(ISNUMBER(Delivery_Log!$J$4:$J$4998))*(Delivery_Log!$J$4:$J$4998&gt;0)),Delivery_Log!$J$4:$J$4998),"")</f>
        <v/>
      </c>
      <c r="I156" t="str">
        <f>IFERROR(VLOOKUP(C156,Client_List!$B:$K,10,0),"")</f>
        <v>FRYERS CHOICE BLEND</v>
      </c>
      <c r="J156">
        <f>IFERROR(_xlfn.MAXIFS(Delivery_Log!$A$4:$A$4998,Delivery_Log!$B$4:$B$4998,B156),"—")</f>
        <v>46134</v>
      </c>
      <c r="K156">
        <f t="shared" ca="1" si="24"/>
        <v>14</v>
      </c>
      <c r="L156" t="str">
        <f t="shared" ca="1" si="25"/>
        <v/>
      </c>
      <c r="M156" t="str">
        <f t="shared" ca="1" si="26"/>
        <v/>
      </c>
      <c r="N156" t="str">
        <f t="shared" ca="1" si="27"/>
        <v/>
      </c>
      <c r="O156" t="e">
        <f t="shared" ca="1" si="28"/>
        <v>#VALUE!</v>
      </c>
      <c r="P156" t="str">
        <f t="shared" ca="1" si="29"/>
        <v>—</v>
      </c>
      <c r="Q156">
        <f>COUNTIFS(Delivery_Log!$B$4:$B$5998,B156,Delivery_Log!$A$4:$A$5998,"&gt;="&amp;$Q$2)</f>
        <v>4</v>
      </c>
      <c r="S156" t="str">
        <f>IFERROR(_xlfn.XLOOKUP(B156,Client_List!$A$4:$A$200,Client_List!$S$4:$S$200,""),"")</f>
        <v/>
      </c>
      <c r="T156" t="str">
        <f>IFERROR(_xlfn.XLOOKUP(B156,Client_List!$A$4:$A$200,Client_List!$U$4:$U$200,""),"")</f>
        <v/>
      </c>
      <c r="U156" t="str">
        <f>IFERROR(IF(S156="","",IF(_xlfn.XLOOKUP(B156,Client_List!$A$4:$A$200,Client_List!$W$4:$W$200,999)&lt;=24,"LIVE",IF(_xlfn.XLOOKUP(B156,Client_List!$A$4:$A$200,Client_List!$W$4:$W$200,999)&lt;=72,"STALE","OLD"))),"")</f>
        <v/>
      </c>
    </row>
    <row r="157" spans="1:21" x14ac:dyDescent="0.2">
      <c r="A157">
        <v>152</v>
      </c>
      <c r="B157">
        <v>20097</v>
      </c>
      <c r="C157" t="s">
        <v>552</v>
      </c>
      <c r="D157" t="s">
        <v>38</v>
      </c>
      <c r="E157" t="str">
        <f>IFERROR(VLOOKUP(C157,Client_List!$B:$K,4,0)&amp;", "&amp;VLOOKUP(C157,Client_List!$B:$K,5,0)&amp;" AZ","")</f>
        <v>9824 W NORTHERN AVE, PEORIA AZ</v>
      </c>
      <c r="F157" t="str">
        <f>IFERROR(VLOOKUP(C157,Client_List!$B:$K,7,0)&amp;", "&amp;VLOOKUP(C157,Client_List!$B:$K,8,0),"")</f>
        <v>33.5516186, -112.2709113</v>
      </c>
      <c r="G157">
        <f>IFERROR(VLOOKUP(C157,Client_List!$B:$K,9,0),"")</f>
        <v>1050</v>
      </c>
      <c r="H157" t="str">
        <f>IFERROR(LOOKUP(2,1/((Delivery_Log!$B$4:$B$4998=B157)*(ISNUMBER(Delivery_Log!$J$4:$J$4998))*(Delivery_Log!$J$4:$J$4998&gt;0)),Delivery_Log!$J$4:$J$4998),"")</f>
        <v/>
      </c>
      <c r="I157" t="str">
        <f>IFERROR(VLOOKUP(C157,Client_List!$B:$K,10,0),"")</f>
        <v>CANOLA OIL</v>
      </c>
      <c r="J157">
        <f>IFERROR(_xlfn.MAXIFS(Delivery_Log!$A$4:$A$4998,Delivery_Log!$B$4:$B$4998,B157),"—")</f>
        <v>46133</v>
      </c>
      <c r="K157">
        <f t="shared" ca="1" si="24"/>
        <v>15</v>
      </c>
      <c r="L157" t="str">
        <f t="shared" ca="1" si="25"/>
        <v/>
      </c>
      <c r="M157" t="str">
        <f t="shared" ca="1" si="26"/>
        <v/>
      </c>
      <c r="N157" t="str">
        <f t="shared" ca="1" si="27"/>
        <v/>
      </c>
      <c r="O157" t="e">
        <f t="shared" ca="1" si="28"/>
        <v>#VALUE!</v>
      </c>
      <c r="P157" t="str">
        <f t="shared" ca="1" si="29"/>
        <v>—</v>
      </c>
      <c r="Q157">
        <f>COUNTIFS(Delivery_Log!$B$4:$B$5998,B157,Delivery_Log!$A$4:$A$5998,"&gt;="&amp;$Q$2)</f>
        <v>9</v>
      </c>
      <c r="S157" t="str">
        <f>IFERROR(_xlfn.XLOOKUP(B157,Client_List!$A$4:$A$200,Client_List!$S$4:$S$200,""),"")</f>
        <v/>
      </c>
      <c r="T157" t="str">
        <f>IFERROR(_xlfn.XLOOKUP(B157,Client_List!$A$4:$A$200,Client_List!$U$4:$U$200,""),"")</f>
        <v/>
      </c>
      <c r="U157" t="str">
        <f>IFERROR(IF(S157="","",IF(_xlfn.XLOOKUP(B157,Client_List!$A$4:$A$200,Client_List!$W$4:$W$200,999)&lt;=24,"LIVE",IF(_xlfn.XLOOKUP(B157,Client_List!$A$4:$A$200,Client_List!$W$4:$W$200,999)&lt;=72,"STALE","OLD"))),"")</f>
        <v/>
      </c>
    </row>
    <row r="158" spans="1:21" x14ac:dyDescent="0.2">
      <c r="A158">
        <v>153</v>
      </c>
      <c r="B158">
        <v>1057</v>
      </c>
      <c r="C158" t="s">
        <v>555</v>
      </c>
      <c r="E158" t="str">
        <f>IFERROR(VLOOKUP(C158,Client_List!$B:$K,4,0)&amp;", "&amp;VLOOKUP(C158,Client_List!$B:$K,5,0)&amp;" AZ","")</f>
        <v>ANGRY CRAB TUCSON, TUCSON AZ</v>
      </c>
      <c r="F158" t="str">
        <f>IFERROR(VLOOKUP(C158,Client_List!$B:$K,7,0)&amp;", "&amp;VLOOKUP(C158,Client_List!$B:$K,8,0),"")</f>
        <v>32.2497944, -110.994047</v>
      </c>
      <c r="G158">
        <f>IFERROR(VLOOKUP(C158,Client_List!$B:$K,9,0),"")</f>
        <v>1000</v>
      </c>
      <c r="H158" t="str">
        <f>IFERROR(LOOKUP(2,1/((Delivery_Log!$B$4:$B$4998=B158)*(ISNUMBER(Delivery_Log!$J$4:$J$4998))*(Delivery_Log!$J$4:$J$4998&gt;0)),Delivery_Log!$J$4:$J$4998),"")</f>
        <v/>
      </c>
      <c r="I158" t="str">
        <f>IFERROR(VLOOKUP(C158,Client_List!$B:$K,10,0),"")</f>
        <v>FRYERS CHOICE BLEND</v>
      </c>
      <c r="J158">
        <f>IFERROR(_xlfn.MAXIFS(Delivery_Log!$A$4:$A$4998,Delivery_Log!$B$4:$B$4998,B158),"—")</f>
        <v>46137</v>
      </c>
      <c r="K158">
        <f t="shared" ca="1" si="24"/>
        <v>11</v>
      </c>
      <c r="L158" t="str">
        <f t="shared" ca="1" si="25"/>
        <v/>
      </c>
      <c r="M158" t="str">
        <f t="shared" ca="1" si="26"/>
        <v/>
      </c>
      <c r="N158" t="str">
        <f t="shared" ca="1" si="27"/>
        <v/>
      </c>
      <c r="O158" t="e">
        <f t="shared" ca="1" si="28"/>
        <v>#VALUE!</v>
      </c>
      <c r="P158" t="str">
        <f t="shared" ca="1" si="29"/>
        <v>—</v>
      </c>
      <c r="Q158">
        <f>COUNTIFS(Delivery_Log!$B$4:$B$5998,B158,Delivery_Log!$A$4:$A$5998,"&gt;="&amp;$Q$2)</f>
        <v>8</v>
      </c>
      <c r="S158" t="str">
        <f>IFERROR(_xlfn.XLOOKUP(B158,Client_List!$A$4:$A$200,Client_List!$S$4:$S$200,""),"")</f>
        <v/>
      </c>
      <c r="T158" t="str">
        <f>IFERROR(_xlfn.XLOOKUP(B158,Client_List!$A$4:$A$200,Client_List!$U$4:$U$200,""),"")</f>
        <v/>
      </c>
      <c r="U158" t="str">
        <f>IFERROR(IF(S158="","",IF(_xlfn.XLOOKUP(B158,Client_List!$A$4:$A$200,Client_List!$W$4:$W$200,999)&lt;=24,"LIVE",IF(_xlfn.XLOOKUP(B158,Client_List!$A$4:$A$200,Client_List!$W$4:$W$200,999)&lt;=72,"STALE","OLD"))),"")</f>
        <v/>
      </c>
    </row>
    <row r="159" spans="1:21" x14ac:dyDescent="0.2">
      <c r="A159">
        <v>154</v>
      </c>
      <c r="B159">
        <v>2016</v>
      </c>
      <c r="C159" t="s">
        <v>560</v>
      </c>
      <c r="E159" t="str">
        <f>IFERROR(VLOOKUP(C159,Client_List!$B:$K,4,0)&amp;", "&amp;VLOOKUP(C159,Client_List!$B:$K,5,0)&amp;" AZ","")</f>
        <v>15557 W BELL RD STE 405, SURPRISE AZ</v>
      </c>
      <c r="F159" t="str">
        <f>IFERROR(VLOOKUP(C159,Client_List!$B:$K,7,0)&amp;", "&amp;VLOOKUP(C159,Client_List!$B:$K,8,0),"")</f>
        <v>33.6370757, -112.3951187</v>
      </c>
      <c r="G159">
        <f>IFERROR(VLOOKUP(C159,Client_List!$B:$K,9,0),"")</f>
        <v>700</v>
      </c>
      <c r="H159" t="str">
        <f>IFERROR(LOOKUP(2,1/((Delivery_Log!$B$4:$B$4998=B159)*(ISNUMBER(Delivery_Log!$J$4:$J$4998))*(Delivery_Log!$J$4:$J$4998&gt;0)),Delivery_Log!$J$4:$J$4998),"")</f>
        <v/>
      </c>
      <c r="I159" t="str">
        <f>IFERROR(VLOOKUP(C159,Client_List!$B:$K,10,0),"")</f>
        <v>CANOLA OIL</v>
      </c>
      <c r="J159">
        <f>IFERROR(_xlfn.MAXIFS(Delivery_Log!$A$4:$A$4998,Delivery_Log!$B$4:$B$4998,B159),"—")</f>
        <v>46140</v>
      </c>
      <c r="K159">
        <f t="shared" ca="1" si="24"/>
        <v>8</v>
      </c>
      <c r="L159" t="str">
        <f t="shared" ca="1" si="25"/>
        <v/>
      </c>
      <c r="M159" t="str">
        <f t="shared" ca="1" si="26"/>
        <v/>
      </c>
      <c r="N159" t="str">
        <f t="shared" ca="1" si="27"/>
        <v/>
      </c>
      <c r="O159" t="e">
        <f t="shared" ca="1" si="28"/>
        <v>#VALUE!</v>
      </c>
      <c r="P159" t="str">
        <f t="shared" ca="1" si="29"/>
        <v>—</v>
      </c>
      <c r="Q159">
        <f>COUNTIFS(Delivery_Log!$B$4:$B$5998,B159,Delivery_Log!$A$4:$A$5998,"&gt;="&amp;$Q$2)</f>
        <v>16</v>
      </c>
      <c r="S159" t="str">
        <f>IFERROR(_xlfn.XLOOKUP(B159,Client_List!$A$4:$A$200,Client_List!$S$4:$S$200,""),"")</f>
        <v/>
      </c>
      <c r="T159" t="str">
        <f>IFERROR(_xlfn.XLOOKUP(B159,Client_List!$A$4:$A$200,Client_List!$U$4:$U$200,""),"")</f>
        <v/>
      </c>
      <c r="U159" t="str">
        <f>IFERROR(IF(S159="","",IF(_xlfn.XLOOKUP(B159,Client_List!$A$4:$A$200,Client_List!$W$4:$W$200,999)&lt;=24,"LIVE",IF(_xlfn.XLOOKUP(B159,Client_List!$A$4:$A$200,Client_List!$W$4:$W$200,999)&lt;=72,"STALE","OLD"))),"")</f>
        <v/>
      </c>
    </row>
    <row r="160" spans="1:21" x14ac:dyDescent="0.2">
      <c r="A160">
        <v>155</v>
      </c>
      <c r="B160">
        <v>3056</v>
      </c>
      <c r="C160" t="s">
        <v>563</v>
      </c>
      <c r="D160">
        <v>2</v>
      </c>
      <c r="E160" t="str">
        <f>IFERROR(VLOOKUP(C160,Client_List!$B:$K,4,0)&amp;", "&amp;VLOOKUP(C160,Client_List!$B:$K,5,0)&amp;" AZ","")</f>
        <v>19260 N WESTBROOK PKWY, PEORIA AZ</v>
      </c>
      <c r="F160" t="str">
        <f>IFERROR(VLOOKUP(C160,Client_List!$B:$K,7,0)&amp;", "&amp;VLOOKUP(C160,Client_List!$B:$K,8,0),"")</f>
        <v>33.6598773, -112.2659717</v>
      </c>
      <c r="G160">
        <f>IFERROR(VLOOKUP(C160,Client_List!$B:$K,9,0),"")</f>
        <v>350</v>
      </c>
      <c r="H160" t="str">
        <f>IFERROR(LOOKUP(2,1/((Delivery_Log!$B$4:$B$4998=B160)*(ISNUMBER(Delivery_Log!$J$4:$J$4998))*(Delivery_Log!$J$4:$J$4998&gt;0)),Delivery_Log!$J$4:$J$4998),"")</f>
        <v/>
      </c>
      <c r="I160" t="str">
        <f>IFERROR(VLOOKUP(C160,Client_List!$B:$K,10,0),"")</f>
        <v>CANOLA OIL</v>
      </c>
      <c r="J160">
        <f>IFERROR(_xlfn.MAXIFS(Delivery_Log!$A$4:$A$4998,Delivery_Log!$B$4:$B$4998,B160),"—")</f>
        <v>46135</v>
      </c>
      <c r="K160">
        <f t="shared" ca="1" si="24"/>
        <v>13</v>
      </c>
      <c r="L160" t="str">
        <f t="shared" ca="1" si="25"/>
        <v/>
      </c>
      <c r="M160" t="str">
        <f t="shared" ca="1" si="26"/>
        <v/>
      </c>
      <c r="N160" t="str">
        <f t="shared" ca="1" si="27"/>
        <v/>
      </c>
      <c r="O160" t="e">
        <f t="shared" ca="1" si="28"/>
        <v>#VALUE!</v>
      </c>
      <c r="P160" t="str">
        <f t="shared" ca="1" si="29"/>
        <v>—</v>
      </c>
      <c r="Q160">
        <f>COUNTIFS(Delivery_Log!$B$4:$B$5998,B160,Delivery_Log!$A$4:$A$5998,"&gt;="&amp;$Q$2)</f>
        <v>8</v>
      </c>
      <c r="S160" t="str">
        <f>IFERROR(_xlfn.XLOOKUP(B160,Client_List!$A$4:$A$200,Client_List!$S$4:$S$200,""),"")</f>
        <v/>
      </c>
      <c r="T160" t="str">
        <f>IFERROR(_xlfn.XLOOKUP(B160,Client_List!$A$4:$A$200,Client_List!$U$4:$U$200,""),"")</f>
        <v/>
      </c>
      <c r="U160" t="str">
        <f>IFERROR(IF(S160="","",IF(_xlfn.XLOOKUP(B160,Client_List!$A$4:$A$200,Client_List!$W$4:$W$200,999)&lt;=24,"LIVE",IF(_xlfn.XLOOKUP(B160,Client_List!$A$4:$A$200,Client_List!$W$4:$W$200,999)&lt;=72,"STALE","OLD"))),"")</f>
        <v/>
      </c>
    </row>
    <row r="161" spans="1:21" x14ac:dyDescent="0.2">
      <c r="A161">
        <v>156</v>
      </c>
      <c r="B161" t="s">
        <v>650</v>
      </c>
      <c r="C161" t="s">
        <v>566</v>
      </c>
      <c r="E161" t="str">
        <f>IFERROR(VLOOKUP(C161,Client_List!$B:$K,4,0)&amp;", "&amp;VLOOKUP(C161,Client_List!$B:$K,5,0)&amp;" AZ","")</f>
        <v>495 E WICKENBURG WAY, Wickenburg AZ</v>
      </c>
      <c r="F161" t="str">
        <f>IFERROR(VLOOKUP(C161,Client_List!$B:$K,7,0)&amp;", "&amp;VLOOKUP(C161,Client_List!$B:$K,8,0),"")</f>
        <v>33.9709542, -112.7222422</v>
      </c>
      <c r="G161">
        <f>IFERROR(VLOOKUP(C161,Client_List!$B:$K,9,0),"")</f>
        <v>950</v>
      </c>
      <c r="H161" t="str">
        <f>IFERROR(LOOKUP(2,1/((Delivery_Log!$B$4:$B$4998=B161)*(ISNUMBER(Delivery_Log!$J$4:$J$4998))*(Delivery_Log!$J$4:$J$4998&gt;0)),Delivery_Log!$J$4:$J$4998),"")</f>
        <v/>
      </c>
      <c r="I161" t="str">
        <f>IFERROR(VLOOKUP(C161,Client_List!$B:$K,10,0),"")</f>
        <v>CANOLA OIL</v>
      </c>
      <c r="J161">
        <f>IFERROR(_xlfn.MAXIFS(Delivery_Log!$A$4:$A$4998,Delivery_Log!$B$4:$B$4998,B161),"—")</f>
        <v>46136</v>
      </c>
      <c r="K161">
        <f t="shared" ca="1" si="24"/>
        <v>12</v>
      </c>
      <c r="L161" t="str">
        <f t="shared" ca="1" si="25"/>
        <v/>
      </c>
      <c r="M161" t="str">
        <f t="shared" ca="1" si="26"/>
        <v/>
      </c>
      <c r="N161" t="str">
        <f t="shared" ca="1" si="27"/>
        <v/>
      </c>
      <c r="O161" t="e">
        <f t="shared" ca="1" si="28"/>
        <v>#VALUE!</v>
      </c>
      <c r="P161" t="str">
        <f t="shared" ca="1" si="29"/>
        <v>—</v>
      </c>
      <c r="Q161">
        <f>COUNTIFS(Delivery_Log!$B$4:$B$5998,B161,Delivery_Log!$A$4:$A$5998,"&gt;="&amp;$Q$2)</f>
        <v>3</v>
      </c>
      <c r="S161" t="str">
        <f>IFERROR(_xlfn.XLOOKUP(B161,Client_List!$A$4:$A$200,Client_List!$S$4:$S$200,""),"")</f>
        <v/>
      </c>
      <c r="T161" t="str">
        <f>IFERROR(_xlfn.XLOOKUP(B161,Client_List!$A$4:$A$200,Client_List!$U$4:$U$200,""),"")</f>
        <v/>
      </c>
      <c r="U161" t="str">
        <f>IFERROR(IF(S161="","",IF(_xlfn.XLOOKUP(B161,Client_List!$A$4:$A$200,Client_List!$W$4:$W$200,999)&lt;=24,"LIVE",IF(_xlfn.XLOOKUP(B161,Client_List!$A$4:$A$200,Client_List!$W$4:$W$200,999)&lt;=72,"STALE","OLD"))),"")</f>
        <v/>
      </c>
    </row>
    <row r="162" spans="1:21" x14ac:dyDescent="0.2">
      <c r="A162">
        <v>157</v>
      </c>
      <c r="B162">
        <v>3083</v>
      </c>
      <c r="C162" t="s">
        <v>570</v>
      </c>
      <c r="E162" t="str">
        <f>IFERROR(VLOOKUP(C162,Client_List!$B:$K,4,0)&amp;", "&amp;VLOOKUP(C162,Client_List!$B:$K,5,0)&amp;" AZ","")</f>
        <v>25201 N WESTWING PKWY, PEORIA AZ</v>
      </c>
      <c r="F162" t="str">
        <f>IFERROR(VLOOKUP(C162,Client_List!$B:$K,7,0)&amp;", "&amp;VLOOKUP(C162,Client_List!$B:$K,8,0),"")</f>
        <v>33.7280456, -112.2428546</v>
      </c>
      <c r="G162">
        <f>IFERROR(VLOOKUP(C162,Client_List!$B:$K,9,0),"")</f>
        <v>350</v>
      </c>
      <c r="H162" t="str">
        <f>IFERROR(LOOKUP(2,1/((Delivery_Log!$B$4:$B$4998=B162)*(ISNUMBER(Delivery_Log!$J$4:$J$4998))*(Delivery_Log!$J$4:$J$4998&gt;0)),Delivery_Log!$J$4:$J$4998),"")</f>
        <v/>
      </c>
      <c r="I162" t="str">
        <f>IFERROR(VLOOKUP(C162,Client_List!$B:$K,10,0),"")</f>
        <v>CANOLA OIL</v>
      </c>
      <c r="J162">
        <f>IFERROR(_xlfn.MAXIFS(Delivery_Log!$A$4:$A$4998,Delivery_Log!$B$4:$B$4998,B162),"—")</f>
        <v>46114</v>
      </c>
      <c r="K162">
        <f t="shared" ca="1" si="24"/>
        <v>34</v>
      </c>
      <c r="L162" t="str">
        <f t="shared" ca="1" si="25"/>
        <v/>
      </c>
      <c r="M162" t="str">
        <f t="shared" ca="1" si="26"/>
        <v/>
      </c>
      <c r="N162" t="str">
        <f t="shared" ca="1" si="27"/>
        <v/>
      </c>
      <c r="O162" t="e">
        <f t="shared" ca="1" si="28"/>
        <v>#VALUE!</v>
      </c>
      <c r="P162" t="str">
        <f t="shared" ca="1" si="29"/>
        <v>—</v>
      </c>
      <c r="Q162">
        <f>COUNTIFS(Delivery_Log!$B$4:$B$5998,B162,Delivery_Log!$A$4:$A$5998,"&gt;="&amp;$Q$2)</f>
        <v>1</v>
      </c>
      <c r="S162" t="str">
        <f>IFERROR(_xlfn.XLOOKUP(B162,Client_List!$A$4:$A$200,Client_List!$S$4:$S$200,""),"")</f>
        <v/>
      </c>
      <c r="T162" t="str">
        <f>IFERROR(_xlfn.XLOOKUP(B162,Client_List!$A$4:$A$200,Client_List!$U$4:$U$200,""),"")</f>
        <v/>
      </c>
      <c r="U162" t="str">
        <f>IFERROR(IF(S162="","",IF(_xlfn.XLOOKUP(B162,Client_List!$A$4:$A$200,Client_List!$W$4:$W$200,999)&lt;=24,"LIVE",IF(_xlfn.XLOOKUP(B162,Client_List!$A$4:$A$200,Client_List!$W$4:$W$200,999)&lt;=72,"STALE","OLD"))),"")</f>
        <v/>
      </c>
    </row>
    <row r="163" spans="1:21" x14ac:dyDescent="0.2">
      <c r="A163">
        <v>158</v>
      </c>
      <c r="B163">
        <v>10012</v>
      </c>
      <c r="C163" t="s">
        <v>573</v>
      </c>
      <c r="E163" t="str">
        <f>IFERROR(VLOOKUP(C163,Client_List!$B:$K,4,0)&amp;", "&amp;VLOOKUP(C163,Client_List!$B:$K,5,0)&amp;" AZ","")</f>
        <v>2500 Interstate 10 Business Loop, SAN SIMON AZ</v>
      </c>
      <c r="F163" t="str">
        <f>IFERROR(VLOOKUP(C163,Client_List!$B:$K,7,0)&amp;", "&amp;VLOOKUP(C163,Client_List!$B:$K,8,0),"")</f>
        <v>32.2707468, -109.244125</v>
      </c>
      <c r="G163">
        <f>IFERROR(VLOOKUP(C163,Client_List!$B:$K,9,0),"")</f>
        <v>2500</v>
      </c>
      <c r="H163" t="str">
        <f>IFERROR(LOOKUP(2,1/((Delivery_Log!$B$4:$B$4998=B163)*(ISNUMBER(Delivery_Log!$J$4:$J$4998))*(Delivery_Log!$J$4:$J$4998&gt;0)),Delivery_Log!$J$4:$J$4998),"")</f>
        <v/>
      </c>
      <c r="I163" t="str">
        <f>IFERROR(VLOOKUP(C163,Client_List!$B:$K,10,0),"")</f>
        <v>CANOLA OIL</v>
      </c>
      <c r="J163">
        <f>IFERROR(_xlfn.MAXIFS(Delivery_Log!$A$4:$A$4998,Delivery_Log!$B$4:$B$4998,B163),"—")</f>
        <v>46122</v>
      </c>
      <c r="K163">
        <f t="shared" ca="1" si="24"/>
        <v>26</v>
      </c>
      <c r="L163" t="str">
        <f t="shared" ca="1" si="25"/>
        <v/>
      </c>
      <c r="M163" t="str">
        <f t="shared" ca="1" si="26"/>
        <v/>
      </c>
      <c r="N163" t="str">
        <f t="shared" ca="1" si="27"/>
        <v/>
      </c>
      <c r="O163" t="e">
        <f t="shared" ca="1" si="28"/>
        <v>#VALUE!</v>
      </c>
      <c r="P163" t="str">
        <f t="shared" ca="1" si="29"/>
        <v>—</v>
      </c>
      <c r="Q163">
        <f>COUNTIFS(Delivery_Log!$B$4:$B$5998,B163,Delivery_Log!$A$4:$A$5998,"&gt;="&amp;$Q$2)</f>
        <v>2</v>
      </c>
      <c r="S163" t="str">
        <f>IFERROR(_xlfn.XLOOKUP(B163,Client_List!$A$4:$A$200,Client_List!$S$4:$S$200,""),"")</f>
        <v/>
      </c>
      <c r="T163" t="str">
        <f>IFERROR(_xlfn.XLOOKUP(B163,Client_List!$A$4:$A$200,Client_List!$U$4:$U$200,""),"")</f>
        <v/>
      </c>
      <c r="U163" t="str">
        <f>IFERROR(IF(S163="","",IF(_xlfn.XLOOKUP(B163,Client_List!$A$4:$A$200,Client_List!$W$4:$W$200,999)&lt;=24,"LIVE",IF(_xlfn.XLOOKUP(B163,Client_List!$A$4:$A$200,Client_List!$W$4:$W$200,999)&lt;=72,"STALE","OLD"))),"")</f>
        <v/>
      </c>
    </row>
    <row r="164" spans="1:21" x14ac:dyDescent="0.2">
      <c r="A164">
        <v>159</v>
      </c>
      <c r="B164">
        <v>12021</v>
      </c>
      <c r="C164" t="s">
        <v>578</v>
      </c>
      <c r="E164" t="str">
        <f>IFERROR(VLOOKUP(C164,Client_List!$B:$K,4,0)&amp;", "&amp;VLOOKUP(C164,Client_List!$B:$K,5,0)&amp;" AZ","")</f>
        <v>106 N San Francisco St, Flagstaff AZ</v>
      </c>
      <c r="F164" t="str">
        <f>IFERROR(VLOOKUP(C164,Client_List!$B:$K,7,0)&amp;", "&amp;VLOOKUP(C164,Client_List!$B:$K,8,0),"")</f>
        <v>35.1984087, -111.6472392</v>
      </c>
      <c r="G164">
        <f>IFERROR(VLOOKUP(C164,Client_List!$B:$K,9,0),"")</f>
        <v>700</v>
      </c>
      <c r="H164" t="str">
        <f>IFERROR(LOOKUP(2,1/((Delivery_Log!$B$4:$B$4998=B164)*(ISNUMBER(Delivery_Log!$J$4:$J$4998))*(Delivery_Log!$J$4:$J$4998&gt;0)),Delivery_Log!$J$4:$J$4998),"")</f>
        <v/>
      </c>
      <c r="I164" t="str">
        <f>IFERROR(VLOOKUP(C164,Client_List!$B:$K,10,0),"")</f>
        <v>CANOLA OIL</v>
      </c>
      <c r="J164">
        <f>IFERROR(_xlfn.MAXIFS(Delivery_Log!$A$4:$A$4998,Delivery_Log!$B$4:$B$4998,B164),"—")</f>
        <v>46144</v>
      </c>
      <c r="K164">
        <f t="shared" ca="1" si="24"/>
        <v>4</v>
      </c>
      <c r="L164" t="str">
        <f t="shared" ca="1" si="25"/>
        <v/>
      </c>
      <c r="M164" t="str">
        <f t="shared" ca="1" si="26"/>
        <v/>
      </c>
      <c r="N164" t="str">
        <f t="shared" ca="1" si="27"/>
        <v/>
      </c>
      <c r="O164" t="e">
        <f t="shared" ca="1" si="28"/>
        <v>#VALUE!</v>
      </c>
      <c r="P164" t="str">
        <f t="shared" ca="1" si="29"/>
        <v>—</v>
      </c>
      <c r="Q164">
        <f>COUNTIFS(Delivery_Log!$B$4:$B$5998,B164,Delivery_Log!$A$4:$A$5998,"&gt;="&amp;$Q$2)</f>
        <v>9</v>
      </c>
      <c r="S164" t="str">
        <f>IFERROR(_xlfn.XLOOKUP(B164,Client_List!$A$4:$A$200,Client_List!$S$4:$S$200,""),"")</f>
        <v/>
      </c>
      <c r="T164" t="str">
        <f>IFERROR(_xlfn.XLOOKUP(B164,Client_List!$A$4:$A$200,Client_List!$U$4:$U$200,""),"")</f>
        <v/>
      </c>
      <c r="U164" t="str">
        <f>IFERROR(IF(S164="","",IF(_xlfn.XLOOKUP(B164,Client_List!$A$4:$A$200,Client_List!$W$4:$W$200,999)&lt;=24,"LIVE",IF(_xlfn.XLOOKUP(B164,Client_List!$A$4:$A$200,Client_List!$W$4:$W$200,999)&lt;=72,"STALE","OLD"))),"")</f>
        <v/>
      </c>
    </row>
    <row r="165" spans="1:21" x14ac:dyDescent="0.2">
      <c r="A165">
        <v>160</v>
      </c>
      <c r="B165">
        <v>12062</v>
      </c>
      <c r="C165" t="s">
        <v>582</v>
      </c>
      <c r="E165" t="str">
        <f>IFERROR(VLOOKUP(C165,Client_List!$B:$K,4,0)&amp;", "&amp;VLOOKUP(C165,Client_List!$B:$K,5,0)&amp;" AZ","")</f>
        <v>214 E. WESTERN AVE, AVONDALE AZ</v>
      </c>
      <c r="F165" t="str">
        <f>IFERROR(VLOOKUP(C165,Client_List!$B:$K,7,0)&amp;", "&amp;VLOOKUP(C165,Client_List!$B:$K,8,0),"")</f>
        <v>33.4355527, -112.3466337</v>
      </c>
      <c r="G165">
        <f>IFERROR(VLOOKUP(C165,Client_List!$B:$K,9,0),"")</f>
        <v>350</v>
      </c>
      <c r="H165" t="str">
        <f>IFERROR(LOOKUP(2,1/((Delivery_Log!$B$4:$B$4998=B165)*(ISNUMBER(Delivery_Log!$J$4:$J$4998))*(Delivery_Log!$J$4:$J$4998&gt;0)),Delivery_Log!$J$4:$J$4998),"")</f>
        <v/>
      </c>
      <c r="I165" t="str">
        <f>IFERROR(VLOOKUP(C165,Client_List!$B:$K,10,0),"")</f>
        <v>CANOLA OIL</v>
      </c>
      <c r="J165">
        <f>IFERROR(_xlfn.MAXIFS(Delivery_Log!$A$4:$A$4998,Delivery_Log!$B$4:$B$4998,B165),"—")</f>
        <v>46114</v>
      </c>
      <c r="K165">
        <f t="shared" ca="1" si="24"/>
        <v>34</v>
      </c>
      <c r="L165" t="str">
        <f t="shared" ca="1" si="25"/>
        <v/>
      </c>
      <c r="M165" t="str">
        <f t="shared" ca="1" si="26"/>
        <v/>
      </c>
      <c r="N165" t="str">
        <f t="shared" ca="1" si="27"/>
        <v/>
      </c>
      <c r="O165" t="e">
        <f t="shared" ca="1" si="28"/>
        <v>#VALUE!</v>
      </c>
      <c r="P165" t="str">
        <f t="shared" ca="1" si="29"/>
        <v>—</v>
      </c>
      <c r="Q165">
        <f>COUNTIFS(Delivery_Log!$B$4:$B$5998,B165,Delivery_Log!$A$4:$A$5998,"&gt;="&amp;$Q$2)</f>
        <v>1</v>
      </c>
      <c r="S165" t="str">
        <f>IFERROR(_xlfn.XLOOKUP(B165,Client_List!$A$4:$A$200,Client_List!$S$4:$S$200,""),"")</f>
        <v/>
      </c>
      <c r="T165" t="str">
        <f>IFERROR(_xlfn.XLOOKUP(B165,Client_List!$A$4:$A$200,Client_List!$U$4:$U$200,""),"")</f>
        <v/>
      </c>
      <c r="U165" t="str">
        <f>IFERROR(IF(S165="","",IF(_xlfn.XLOOKUP(B165,Client_List!$A$4:$A$200,Client_List!$W$4:$W$200,999)&lt;=24,"LIVE",IF(_xlfn.XLOOKUP(B165,Client_List!$A$4:$A$200,Client_List!$W$4:$W$200,999)&lt;=72,"STALE","OLD"))),"")</f>
        <v/>
      </c>
    </row>
    <row r="166" spans="1:21" x14ac:dyDescent="0.2">
      <c r="A166">
        <v>161</v>
      </c>
      <c r="B166">
        <v>15032</v>
      </c>
      <c r="C166" t="s">
        <v>586</v>
      </c>
      <c r="E166" t="str">
        <f>IFERROR(VLOOKUP(C166,Client_List!$B:$K,4,0)&amp;", "&amp;VLOOKUP(C166,Client_List!$B:$K,5,0)&amp;" AZ","")</f>
        <v>980 N Country Club Dr, Flagstaff AZ</v>
      </c>
      <c r="F166" t="str">
        <f>IFERROR(VLOOKUP(C166,Client_List!$B:$K,7,0)&amp;", "&amp;VLOOKUP(C166,Client_List!$B:$K,8,0),"")</f>
        <v>35.2144516, -111.5792097</v>
      </c>
      <c r="G166">
        <f>IFERROR(VLOOKUP(C166,Client_List!$B:$K,9,0),"")</f>
        <v>950</v>
      </c>
      <c r="H166" t="str">
        <f>IFERROR(LOOKUP(2,1/((Delivery_Log!$B$4:$B$4998=B166)*(ISNUMBER(Delivery_Log!$J$4:$J$4998))*(Delivery_Log!$J$4:$J$4998&gt;0)),Delivery_Log!$J$4:$J$4998),"")</f>
        <v/>
      </c>
      <c r="I166" t="str">
        <f>IFERROR(VLOOKUP(C166,Client_List!$B:$K,10,0),"")</f>
        <v>CANOLA OIL</v>
      </c>
      <c r="J166">
        <f>IFERROR(_xlfn.MAXIFS(Delivery_Log!$A$4:$A$4998,Delivery_Log!$B$4:$B$4998,B166),"—")</f>
        <v>46144</v>
      </c>
      <c r="K166">
        <f t="shared" ref="K166:K197" ca="1" si="30">IFERROR(IF(J166="—","",TODAY()-J166),"")</f>
        <v>4</v>
      </c>
      <c r="L166" t="str">
        <f t="shared" ref="L166:L197" ca="1" si="31">IFERROR(IF(OR(K166="",H166=""),"",MAX(G166*0.03,G166-K166*H166)),"")</f>
        <v/>
      </c>
      <c r="M166" t="str">
        <f t="shared" ref="M166:M197" ca="1" si="32">IFERROR(IF(L166="","",G166-L166),"")</f>
        <v/>
      </c>
      <c r="N166" t="str">
        <f t="shared" ref="N166:N175" ca="1" si="33">IFERROR(IF(OR(L166="",H166=""),"",MIN(21,MAX(0,(L166-G166*$C$2)/H166))),"")</f>
        <v/>
      </c>
      <c r="O166" t="e">
        <f t="shared" ref="O166:O197" ca="1" si="34">TODAY()+ROUNDUP(N166,0)</f>
        <v>#VALUE!</v>
      </c>
      <c r="P166" t="str">
        <f t="shared" ref="P166:P175" ca="1" si="35">IFERROR(IF(N166="","—",IF(N166&lt;=$E$2,"YES","—")),"—")</f>
        <v>—</v>
      </c>
      <c r="Q166">
        <f>COUNTIFS(Delivery_Log!$B$4:$B$5998,B166,Delivery_Log!$A$4:$A$5998,"&gt;="&amp;$Q$2)</f>
        <v>8</v>
      </c>
      <c r="S166" t="str">
        <f>IFERROR(_xlfn.XLOOKUP(B166,Client_List!$A$4:$A$200,Client_List!$S$4:$S$200,""),"")</f>
        <v/>
      </c>
      <c r="T166" t="str">
        <f>IFERROR(_xlfn.XLOOKUP(B166,Client_List!$A$4:$A$200,Client_List!$U$4:$U$200,""),"")</f>
        <v/>
      </c>
      <c r="U166" t="str">
        <f>IFERROR(IF(S166="","",IF(_xlfn.XLOOKUP(B166,Client_List!$A$4:$A$200,Client_List!$W$4:$W$200,999)&lt;=24,"LIVE",IF(_xlfn.XLOOKUP(B166,Client_List!$A$4:$A$200,Client_List!$W$4:$W$200,999)&lt;=72,"STALE","OLD"))),"")</f>
        <v/>
      </c>
    </row>
    <row r="167" spans="1:21" x14ac:dyDescent="0.2">
      <c r="A167">
        <v>162</v>
      </c>
      <c r="B167">
        <v>15033</v>
      </c>
      <c r="C167" t="s">
        <v>589</v>
      </c>
      <c r="E167" t="str">
        <f>IFERROR(VLOOKUP(C167,Client_List!$B:$K,4,0)&amp;", "&amp;VLOOKUP(C167,Client_List!$B:$K,5,0)&amp;" AZ","")</f>
        <v>4884 S Landing Way, Tucson AZ</v>
      </c>
      <c r="F167" t="str">
        <f>IFERROR(VLOOKUP(C167,Client_List!$B:$K,7,0)&amp;", "&amp;VLOOKUP(C167,Client_List!$B:$K,8,0),"")</f>
        <v>32.164645, -110.990036</v>
      </c>
      <c r="G167">
        <f>IFERROR(VLOOKUP(C167,Client_List!$B:$K,9,0),"")</f>
        <v>500</v>
      </c>
      <c r="H167" t="str">
        <f>IFERROR(LOOKUP(2,1/((Delivery_Log!$B$4:$B$4998=B167)*(ISNUMBER(Delivery_Log!$J$4:$J$4998))*(Delivery_Log!$J$4:$J$4998&gt;0)),Delivery_Log!$J$4:$J$4998),"")</f>
        <v/>
      </c>
      <c r="I167" t="str">
        <f>IFERROR(VLOOKUP(C167,Client_List!$B:$K,10,0),"")</f>
        <v>CANOLA OIL</v>
      </c>
      <c r="J167">
        <f>IFERROR(_xlfn.MAXIFS(Delivery_Log!$A$4:$A$4998,Delivery_Log!$B$4:$B$4998,B167),"—")</f>
        <v>46137</v>
      </c>
      <c r="K167">
        <f t="shared" ca="1" si="30"/>
        <v>11</v>
      </c>
      <c r="L167" t="str">
        <f t="shared" ca="1" si="31"/>
        <v/>
      </c>
      <c r="M167" t="str">
        <f t="shared" ca="1" si="32"/>
        <v/>
      </c>
      <c r="N167" t="str">
        <f t="shared" ca="1" si="33"/>
        <v/>
      </c>
      <c r="O167" t="e">
        <f t="shared" ca="1" si="34"/>
        <v>#VALUE!</v>
      </c>
      <c r="P167" t="str">
        <f t="shared" ca="1" si="35"/>
        <v>—</v>
      </c>
      <c r="Q167">
        <f>COUNTIFS(Delivery_Log!$B$4:$B$5998,B167,Delivery_Log!$A$4:$A$5998,"&gt;="&amp;$Q$2)</f>
        <v>9</v>
      </c>
      <c r="S167" t="str">
        <f>IFERROR(_xlfn.XLOOKUP(B167,Client_List!$A$4:$A$200,Client_List!$S$4:$S$200,""),"")</f>
        <v/>
      </c>
      <c r="T167" t="str">
        <f>IFERROR(_xlfn.XLOOKUP(B167,Client_List!$A$4:$A$200,Client_List!$U$4:$U$200,""),"")</f>
        <v/>
      </c>
      <c r="U167" t="str">
        <f>IFERROR(IF(S167="","",IF(_xlfn.XLOOKUP(B167,Client_List!$A$4:$A$200,Client_List!$W$4:$W$200,999)&lt;=24,"LIVE",IF(_xlfn.XLOOKUP(B167,Client_List!$A$4:$A$200,Client_List!$W$4:$W$200,999)&lt;=72,"STALE","OLD"))),"")</f>
        <v/>
      </c>
    </row>
    <row r="168" spans="1:21" x14ac:dyDescent="0.2">
      <c r="A168">
        <v>163</v>
      </c>
      <c r="B168">
        <v>15028</v>
      </c>
      <c r="C168" t="s">
        <v>592</v>
      </c>
      <c r="E168" t="str">
        <f>IFERROR(VLOOKUP(C168,Client_List!$B:$K,4,0)&amp;", "&amp;VLOOKUP(C168,Client_List!$B:$K,5,0)&amp;" AZ","")</f>
        <v>100 W Orange Grove Rd, Tucson AZ</v>
      </c>
      <c r="F168" t="str">
        <f>IFERROR(VLOOKUP(C168,Client_List!$B:$K,7,0)&amp;", "&amp;VLOOKUP(C168,Client_List!$B:$K,8,0),"")</f>
        <v>32.3231585, -110.9736484</v>
      </c>
      <c r="G168">
        <f>IFERROR(VLOOKUP(C168,Client_List!$B:$K,9,0),"")</f>
        <v>950</v>
      </c>
      <c r="H168" t="str">
        <f>IFERROR(LOOKUP(2,1/((Delivery_Log!$B$4:$B$4998=B168)*(ISNUMBER(Delivery_Log!$J$4:$J$4998))*(Delivery_Log!$J$4:$J$4998&gt;0)),Delivery_Log!$J$4:$J$4998),"")</f>
        <v/>
      </c>
      <c r="I168" t="str">
        <f>IFERROR(VLOOKUP(C168,Client_List!$B:$K,10,0),"")</f>
        <v>CANOLA OIL</v>
      </c>
      <c r="J168">
        <f>IFERROR(_xlfn.MAXIFS(Delivery_Log!$A$4:$A$4998,Delivery_Log!$B$4:$B$4998,B168),"—")</f>
        <v>46137</v>
      </c>
      <c r="K168">
        <f t="shared" ca="1" si="30"/>
        <v>11</v>
      </c>
      <c r="L168" t="str">
        <f t="shared" ca="1" si="31"/>
        <v/>
      </c>
      <c r="M168" t="str">
        <f t="shared" ca="1" si="32"/>
        <v/>
      </c>
      <c r="N168" t="str">
        <f t="shared" ca="1" si="33"/>
        <v/>
      </c>
      <c r="O168" t="e">
        <f t="shared" ca="1" si="34"/>
        <v>#VALUE!</v>
      </c>
      <c r="P168" t="str">
        <f t="shared" ca="1" si="35"/>
        <v>—</v>
      </c>
      <c r="Q168">
        <f>COUNTIFS(Delivery_Log!$B$4:$B$5998,B168,Delivery_Log!$A$4:$A$5998,"&gt;="&amp;$Q$2)</f>
        <v>8</v>
      </c>
      <c r="S168" t="str">
        <f>IFERROR(_xlfn.XLOOKUP(B168,Client_List!$A$4:$A$200,Client_List!$S$4:$S$200,""),"")</f>
        <v/>
      </c>
      <c r="T168" t="str">
        <f>IFERROR(_xlfn.XLOOKUP(B168,Client_List!$A$4:$A$200,Client_List!$U$4:$U$200,""),"")</f>
        <v/>
      </c>
      <c r="U168" t="str">
        <f>IFERROR(IF(S168="","",IF(_xlfn.XLOOKUP(B168,Client_List!$A$4:$A$200,Client_List!$W$4:$W$200,999)&lt;=24,"LIVE",IF(_xlfn.XLOOKUP(B168,Client_List!$A$4:$A$200,Client_List!$W$4:$W$200,999)&lt;=72,"STALE","OLD"))),"")</f>
        <v/>
      </c>
    </row>
    <row r="169" spans="1:21" x14ac:dyDescent="0.2">
      <c r="A169">
        <v>164</v>
      </c>
      <c r="B169">
        <v>15004</v>
      </c>
      <c r="C169" t="s">
        <v>595</v>
      </c>
      <c r="E169" t="str">
        <f>IFERROR(VLOOKUP(C169,Client_List!$B:$K,4,0)&amp;", "&amp;VLOOKUP(C169,Client_List!$B:$K,5,0)&amp;" AZ","")</f>
        <v>1061 S Plaza Way, Flagstaff AZ</v>
      </c>
      <c r="F169" t="str">
        <f>IFERROR(VLOOKUP(C169,Client_List!$B:$K,7,0)&amp;", "&amp;VLOOKUP(C169,Client_List!$B:$K,8,0),"")</f>
        <v>35.188986, -111.6634641</v>
      </c>
      <c r="G169">
        <f>IFERROR(VLOOKUP(C169,Client_List!$B:$K,9,0),"")</f>
        <v>700</v>
      </c>
      <c r="H169" t="str">
        <f>IFERROR(LOOKUP(2,1/((Delivery_Log!$B$4:$B$4998=B169)*(ISNUMBER(Delivery_Log!$J$4:$J$4998))*(Delivery_Log!$J$4:$J$4998&gt;0)),Delivery_Log!$J$4:$J$4998),"")</f>
        <v/>
      </c>
      <c r="I169" t="str">
        <f>IFERROR(VLOOKUP(C169,Client_List!$B:$K,10,0),"")</f>
        <v>CANOLA OIL</v>
      </c>
      <c r="J169">
        <f>IFERROR(_xlfn.MAXIFS(Delivery_Log!$A$4:$A$4998,Delivery_Log!$B$4:$B$4998,B169),"—")</f>
        <v>46144</v>
      </c>
      <c r="K169">
        <f t="shared" ca="1" si="30"/>
        <v>4</v>
      </c>
      <c r="L169" t="str">
        <f t="shared" ca="1" si="31"/>
        <v/>
      </c>
      <c r="M169" t="str">
        <f t="shared" ca="1" si="32"/>
        <v/>
      </c>
      <c r="N169" t="str">
        <f t="shared" ca="1" si="33"/>
        <v/>
      </c>
      <c r="O169" t="e">
        <f t="shared" ca="1" si="34"/>
        <v>#VALUE!</v>
      </c>
      <c r="P169" t="str">
        <f t="shared" ca="1" si="35"/>
        <v>—</v>
      </c>
      <c r="Q169">
        <f>COUNTIFS(Delivery_Log!$B$4:$B$5998,B169,Delivery_Log!$A$4:$A$5998,"&gt;="&amp;$Q$2)</f>
        <v>6</v>
      </c>
      <c r="S169" t="str">
        <f>IFERROR(_xlfn.XLOOKUP(B169,Client_List!$A$4:$A$200,Client_List!$S$4:$S$200,""),"")</f>
        <v/>
      </c>
      <c r="T169" t="str">
        <f>IFERROR(_xlfn.XLOOKUP(B169,Client_List!$A$4:$A$200,Client_List!$U$4:$U$200,""),"")</f>
        <v/>
      </c>
      <c r="U169" t="str">
        <f>IFERROR(IF(S169="","",IF(_xlfn.XLOOKUP(B169,Client_List!$A$4:$A$200,Client_List!$W$4:$W$200,999)&lt;=24,"LIVE",IF(_xlfn.XLOOKUP(B169,Client_List!$A$4:$A$200,Client_List!$W$4:$W$200,999)&lt;=72,"STALE","OLD"))),"")</f>
        <v/>
      </c>
    </row>
    <row r="170" spans="1:21" x14ac:dyDescent="0.2">
      <c r="A170">
        <v>165</v>
      </c>
      <c r="B170">
        <v>15021</v>
      </c>
      <c r="C170" t="s">
        <v>598</v>
      </c>
      <c r="E170" t="str">
        <f>IFERROR(VLOOKUP(C170,Client_List!$B:$K,4,0)&amp;", "&amp;VLOOKUP(C170,Client_List!$B:$K,5,0)&amp;" AZ","")</f>
        <v>4900 E Speedway Blvd, Tucson AZ</v>
      </c>
      <c r="F170" t="str">
        <f>IFERROR(VLOOKUP(C170,Client_List!$B:$K,7,0)&amp;", "&amp;VLOOKUP(C170,Client_List!$B:$K,8,0),"")</f>
        <v>32.2358619, -110.8879356</v>
      </c>
      <c r="G170">
        <f>IFERROR(VLOOKUP(C170,Client_List!$B:$K,9,0),"")</f>
        <v>700</v>
      </c>
      <c r="H170" t="str">
        <f>IFERROR(LOOKUP(2,1/((Delivery_Log!$B$4:$B$4998=B170)*(ISNUMBER(Delivery_Log!$J$4:$J$4998))*(Delivery_Log!$J$4:$J$4998&gt;0)),Delivery_Log!$J$4:$J$4998),"")</f>
        <v/>
      </c>
      <c r="I170" t="str">
        <f>IFERROR(VLOOKUP(C170,Client_List!$B:$K,10,0),"")</f>
        <v>CANOLA OIL</v>
      </c>
      <c r="J170">
        <f>IFERROR(_xlfn.MAXIFS(Delivery_Log!$A$4:$A$4998,Delivery_Log!$B$4:$B$4998,B170),"—")</f>
        <v>46137</v>
      </c>
      <c r="K170">
        <f t="shared" ca="1" si="30"/>
        <v>11</v>
      </c>
      <c r="L170" t="str">
        <f t="shared" ca="1" si="31"/>
        <v/>
      </c>
      <c r="M170" t="str">
        <f t="shared" ca="1" si="32"/>
        <v/>
      </c>
      <c r="N170" t="str">
        <f t="shared" ca="1" si="33"/>
        <v/>
      </c>
      <c r="O170" t="e">
        <f t="shared" ca="1" si="34"/>
        <v>#VALUE!</v>
      </c>
      <c r="P170" t="str">
        <f t="shared" ca="1" si="35"/>
        <v>—</v>
      </c>
      <c r="Q170">
        <f>COUNTIFS(Delivery_Log!$B$4:$B$5998,B170,Delivery_Log!$A$4:$A$5998,"&gt;="&amp;$Q$2)</f>
        <v>8</v>
      </c>
      <c r="S170" t="str">
        <f>IFERROR(_xlfn.XLOOKUP(B170,Client_List!$A$4:$A$200,Client_List!$S$4:$S$200,""),"")</f>
        <v/>
      </c>
      <c r="T170" t="str">
        <f>IFERROR(_xlfn.XLOOKUP(B170,Client_List!$A$4:$A$200,Client_List!$U$4:$U$200,""),"")</f>
        <v/>
      </c>
      <c r="U170" t="str">
        <f>IFERROR(IF(S170="","",IF(_xlfn.XLOOKUP(B170,Client_List!$A$4:$A$200,Client_List!$W$4:$W$200,999)&lt;=24,"LIVE",IF(_xlfn.XLOOKUP(B170,Client_List!$A$4:$A$200,Client_List!$W$4:$W$200,999)&lt;=72,"STALE","OLD"))),"")</f>
        <v/>
      </c>
    </row>
    <row r="171" spans="1:21" x14ac:dyDescent="0.2">
      <c r="A171">
        <v>166</v>
      </c>
      <c r="B171">
        <v>16052</v>
      </c>
      <c r="C171" t="s">
        <v>601</v>
      </c>
      <c r="E171" t="str">
        <f>IFERROR(VLOOKUP(C171,Client_List!$B:$K,4,0)&amp;", "&amp;VLOOKUP(C171,Client_List!$B:$K,5,0)&amp;" AZ","")</f>
        <v>120 S Montezuma St, Prescott AZ</v>
      </c>
      <c r="F171" t="str">
        <f>IFERROR(VLOOKUP(C171,Client_List!$B:$K,7,0)&amp;", "&amp;VLOOKUP(C171,Client_List!$B:$K,8,0),"")</f>
        <v>34.5413076, -112.470323</v>
      </c>
      <c r="G171">
        <f>IFERROR(VLOOKUP(C171,Client_List!$B:$K,9,0),"")</f>
        <v>1800</v>
      </c>
      <c r="H171" t="str">
        <f>IFERROR(LOOKUP(2,1/((Delivery_Log!$B$4:$B$4998=B171)*(ISNUMBER(Delivery_Log!$J$4:$J$4998))*(Delivery_Log!$J$4:$J$4998&gt;0)),Delivery_Log!$J$4:$J$4998),"")</f>
        <v/>
      </c>
      <c r="I171" t="str">
        <f>IFERROR(VLOOKUP(C171,Client_List!$B:$K,10,0),"")</f>
        <v>CANOLA OIL</v>
      </c>
      <c r="J171">
        <f>IFERROR(_xlfn.MAXIFS(Delivery_Log!$A$4:$A$4998,Delivery_Log!$B$4:$B$4998,B171),"—")</f>
        <v>46121</v>
      </c>
      <c r="K171">
        <f t="shared" ca="1" si="30"/>
        <v>27</v>
      </c>
      <c r="L171" t="str">
        <f t="shared" ca="1" si="31"/>
        <v/>
      </c>
      <c r="M171" t="str">
        <f t="shared" ca="1" si="32"/>
        <v/>
      </c>
      <c r="N171" t="str">
        <f t="shared" ca="1" si="33"/>
        <v/>
      </c>
      <c r="O171" t="e">
        <f t="shared" ca="1" si="34"/>
        <v>#VALUE!</v>
      </c>
      <c r="P171" t="str">
        <f t="shared" ca="1" si="35"/>
        <v>—</v>
      </c>
      <c r="Q171">
        <f>COUNTIFS(Delivery_Log!$B$4:$B$5998,B171,Delivery_Log!$A$4:$A$5998,"&gt;="&amp;$Q$2)</f>
        <v>4</v>
      </c>
      <c r="S171" t="str">
        <f>IFERROR(_xlfn.XLOOKUP(B171,Client_List!$A$4:$A$200,Client_List!$S$4:$S$200,""),"")</f>
        <v/>
      </c>
      <c r="T171" t="str">
        <f>IFERROR(_xlfn.XLOOKUP(B171,Client_List!$A$4:$A$200,Client_List!$U$4:$U$200,""),"")</f>
        <v/>
      </c>
      <c r="U171" t="str">
        <f>IFERROR(IF(S171="","",IF(_xlfn.XLOOKUP(B171,Client_List!$A$4:$A$200,Client_List!$W$4:$W$200,999)&lt;=24,"LIVE",IF(_xlfn.XLOOKUP(B171,Client_List!$A$4:$A$200,Client_List!$W$4:$W$200,999)&lt;=72,"STALE","OLD"))),"")</f>
        <v/>
      </c>
    </row>
    <row r="172" spans="1:21" x14ac:dyDescent="0.2">
      <c r="A172">
        <v>167</v>
      </c>
      <c r="B172">
        <v>16027</v>
      </c>
      <c r="C172" t="s">
        <v>606</v>
      </c>
      <c r="E172" t="str">
        <f>IFERROR(VLOOKUP(C172,Client_List!$B:$K,4,0)&amp;", "&amp;VLOOKUP(C172,Client_List!$B:$K,5,0)&amp;" AZ","")</f>
        <v>818 N Pinal Ave, Casa Grande AZ</v>
      </c>
      <c r="F172" t="str">
        <f>IFERROR(VLOOKUP(C172,Client_List!$B:$K,7,0)&amp;", "&amp;VLOOKUP(C172,Client_List!$B:$K,8,0),"")</f>
        <v>32.88137, -111.7569141</v>
      </c>
      <c r="G172">
        <f>IFERROR(VLOOKUP(C172,Client_List!$B:$K,9,0),"")</f>
        <v>700</v>
      </c>
      <c r="H172" t="str">
        <f>IFERROR(LOOKUP(2,1/((Delivery_Log!$B$4:$B$4998=B172)*(ISNUMBER(Delivery_Log!$J$4:$J$4998))*(Delivery_Log!$J$4:$J$4998&gt;0)),Delivery_Log!$J$4:$J$4998),"")</f>
        <v/>
      </c>
      <c r="I172" t="str">
        <f>IFERROR(VLOOKUP(C172,Client_List!$B:$K,10,0),"")</f>
        <v>FRYERS CHOICE BLEND</v>
      </c>
      <c r="J172">
        <f>IFERROR(_xlfn.MAXIFS(Delivery_Log!$A$4:$A$4998,Delivery_Log!$B$4:$B$4998,B172),"—")</f>
        <v>46137</v>
      </c>
      <c r="K172">
        <f t="shared" ca="1" si="30"/>
        <v>11</v>
      </c>
      <c r="L172" t="str">
        <f t="shared" ca="1" si="31"/>
        <v/>
      </c>
      <c r="M172" t="str">
        <f t="shared" ca="1" si="32"/>
        <v/>
      </c>
      <c r="N172" t="str">
        <f t="shared" ca="1" si="33"/>
        <v/>
      </c>
      <c r="O172" t="e">
        <f t="shared" ca="1" si="34"/>
        <v>#VALUE!</v>
      </c>
      <c r="P172" t="str">
        <f t="shared" ca="1" si="35"/>
        <v>—</v>
      </c>
      <c r="Q172">
        <f>COUNTIFS(Delivery_Log!$B$4:$B$5998,B172,Delivery_Log!$A$4:$A$5998,"&gt;="&amp;$Q$2)</f>
        <v>8</v>
      </c>
      <c r="S172" t="str">
        <f>IFERROR(_xlfn.XLOOKUP(B172,Client_List!$A$4:$A$200,Client_List!$S$4:$S$200,""),"")</f>
        <v/>
      </c>
      <c r="T172" t="str">
        <f>IFERROR(_xlfn.XLOOKUP(B172,Client_List!$A$4:$A$200,Client_List!$U$4:$U$200,""),"")</f>
        <v/>
      </c>
      <c r="U172" t="str">
        <f>IFERROR(IF(S172="","",IF(_xlfn.XLOOKUP(B172,Client_List!$A$4:$A$200,Client_List!$W$4:$W$200,999)&lt;=24,"LIVE",IF(_xlfn.XLOOKUP(B172,Client_List!$A$4:$A$200,Client_List!$W$4:$W$200,999)&lt;=72,"STALE","OLD"))),"")</f>
        <v/>
      </c>
    </row>
    <row r="173" spans="1:21" x14ac:dyDescent="0.2">
      <c r="A173">
        <v>168</v>
      </c>
      <c r="B173">
        <v>16051</v>
      </c>
      <c r="C173" t="s">
        <v>611</v>
      </c>
      <c r="D173">
        <v>1</v>
      </c>
      <c r="E173" t="str">
        <f>IFERROR(VLOOKUP(C173,Client_List!$B:$K,4,0)&amp;", "&amp;VLOOKUP(C173,Client_List!$B:$K,5,0)&amp;" AZ","")</f>
        <v>15375 W MCDOWELL RD, GOODYEAR AZ</v>
      </c>
      <c r="F173" t="str">
        <f>IFERROR(VLOOKUP(C173,Client_List!$B:$K,7,0)&amp;", "&amp;VLOOKUP(C173,Client_List!$B:$K,8,0),"")</f>
        <v>33.4640925, -112.3899888</v>
      </c>
      <c r="G173">
        <f>IFERROR(VLOOKUP(C173,Client_List!$B:$K,9,0),"")</f>
        <v>2000</v>
      </c>
      <c r="H173" t="str">
        <f>IFERROR(LOOKUP(2,1/((Delivery_Log!$B$4:$B$4998=B173)*(ISNUMBER(Delivery_Log!$J$4:$J$4998))*(Delivery_Log!$J$4:$J$4998&gt;0)),Delivery_Log!$J$4:$J$4998),"")</f>
        <v/>
      </c>
      <c r="I173" t="str">
        <f>IFERROR(VLOOKUP(C173,Client_List!$B:$K,10,0),"")</f>
        <v>CANOLA OIL</v>
      </c>
      <c r="J173">
        <f>IFERROR(_xlfn.MAXIFS(Delivery_Log!$A$4:$A$4998,Delivery_Log!$B$4:$B$4998,B173),"—")</f>
        <v>46136</v>
      </c>
      <c r="K173">
        <f t="shared" ca="1" si="30"/>
        <v>12</v>
      </c>
      <c r="L173" t="str">
        <f t="shared" ca="1" si="31"/>
        <v/>
      </c>
      <c r="M173" t="str">
        <f t="shared" ca="1" si="32"/>
        <v/>
      </c>
      <c r="N173" t="str">
        <f t="shared" ca="1" si="33"/>
        <v/>
      </c>
      <c r="O173" t="e">
        <f t="shared" ca="1" si="34"/>
        <v>#VALUE!</v>
      </c>
      <c r="P173" t="str">
        <f t="shared" ca="1" si="35"/>
        <v>—</v>
      </c>
      <c r="Q173">
        <f>COUNTIFS(Delivery_Log!$B$4:$B$5998,B173,Delivery_Log!$A$4:$A$5998,"&gt;="&amp;$Q$2)</f>
        <v>9</v>
      </c>
      <c r="S173" t="str">
        <f>IFERROR(_xlfn.XLOOKUP(B173,Client_List!$A$4:$A$200,Client_List!$S$4:$S$200,""),"")</f>
        <v/>
      </c>
      <c r="T173" t="str">
        <f>IFERROR(_xlfn.XLOOKUP(B173,Client_List!$A$4:$A$200,Client_List!$U$4:$U$200,""),"")</f>
        <v/>
      </c>
      <c r="U173" t="str">
        <f>IFERROR(IF(S173="","",IF(_xlfn.XLOOKUP(B173,Client_List!$A$4:$A$200,Client_List!$W$4:$W$200,999)&lt;=24,"LIVE",IF(_xlfn.XLOOKUP(B173,Client_List!$A$4:$A$200,Client_List!$W$4:$W$200,999)&lt;=72,"STALE","OLD"))),"")</f>
        <v/>
      </c>
    </row>
    <row r="174" spans="1:21" x14ac:dyDescent="0.2">
      <c r="A174">
        <v>169</v>
      </c>
      <c r="B174">
        <v>20089</v>
      </c>
      <c r="C174" t="s">
        <v>613</v>
      </c>
      <c r="E174" t="str">
        <f>IFERROR(VLOOKUP(C174,Client_List!$B:$K,4,0)&amp;", "&amp;VLOOKUP(C174,Client_List!$B:$K,5,0)&amp;" AZ","")</f>
        <v>7160 E PAV WAY, PRESCOTT VALLEY AZ</v>
      </c>
      <c r="F174" t="str">
        <f>IFERROR(VLOOKUP(C174,Client_List!$B:$K,7,0)&amp;", "&amp;VLOOKUP(C174,Client_List!$B:$K,8,0),"")</f>
        <v>34.5848353, -112.3389905</v>
      </c>
      <c r="G174">
        <f>IFERROR(VLOOKUP(C174,Client_List!$B:$K,9,0),"")</f>
        <v>1050</v>
      </c>
      <c r="H174" t="str">
        <f>IFERROR(LOOKUP(2,1/((Delivery_Log!$B$4:$B$4998=B174)*(ISNUMBER(Delivery_Log!$J$4:$J$4998))*(Delivery_Log!$J$4:$J$4998&gt;0)),Delivery_Log!$J$4:$J$4998),"")</f>
        <v/>
      </c>
      <c r="I174" t="str">
        <f>IFERROR(VLOOKUP(C174,Client_List!$B:$K,10,0),"")</f>
        <v>CANOLA OIL</v>
      </c>
      <c r="J174">
        <f>IFERROR(_xlfn.MAXIFS(Delivery_Log!$A$4:$A$4998,Delivery_Log!$B$4:$B$4998,B174),"—")</f>
        <v>46121</v>
      </c>
      <c r="K174">
        <f t="shared" ca="1" si="30"/>
        <v>27</v>
      </c>
      <c r="L174" t="str">
        <f t="shared" ca="1" si="31"/>
        <v/>
      </c>
      <c r="M174" t="str">
        <f t="shared" ca="1" si="32"/>
        <v/>
      </c>
      <c r="N174" t="str">
        <f t="shared" ca="1" si="33"/>
        <v/>
      </c>
      <c r="O174" t="e">
        <f t="shared" ca="1" si="34"/>
        <v>#VALUE!</v>
      </c>
      <c r="P174" t="str">
        <f t="shared" ca="1" si="35"/>
        <v>—</v>
      </c>
      <c r="Q174">
        <f>COUNTIFS(Delivery_Log!$B$4:$B$5998,B174,Delivery_Log!$A$4:$A$5998,"&gt;="&amp;$Q$2)</f>
        <v>4</v>
      </c>
      <c r="S174" t="str">
        <f>IFERROR(_xlfn.XLOOKUP(B174,Client_List!$A$4:$A$200,Client_List!$S$4:$S$200,""),"")</f>
        <v/>
      </c>
      <c r="T174" t="str">
        <f>IFERROR(_xlfn.XLOOKUP(B174,Client_List!$A$4:$A$200,Client_List!$U$4:$U$200,""),"")</f>
        <v/>
      </c>
      <c r="U174" t="str">
        <f>IFERROR(IF(S174="","",IF(_xlfn.XLOOKUP(B174,Client_List!$A$4:$A$200,Client_List!$W$4:$W$200,999)&lt;=24,"LIVE",IF(_xlfn.XLOOKUP(B174,Client_List!$A$4:$A$200,Client_List!$W$4:$W$200,999)&lt;=72,"STALE","OLD"))),"")</f>
        <v/>
      </c>
    </row>
    <row r="175" spans="1:21" x14ac:dyDescent="0.2">
      <c r="A175">
        <v>170</v>
      </c>
      <c r="B175">
        <v>16058</v>
      </c>
      <c r="C175" t="s">
        <v>181</v>
      </c>
      <c r="E175" t="str">
        <f>IFERROR(VLOOKUP(C175,Client_List!$B:$K,4,0)&amp;", "&amp;VLOOKUP(C175,Client_List!$B:$K,5,0)&amp;" AZ","")</f>
        <v>7363 E Scottsdale Mall, Scottsdale AZ</v>
      </c>
      <c r="F175" t="str">
        <f>IFERROR(VLOOKUP(C175,Client_List!$B:$K,7,0)&amp;", "&amp;VLOOKUP(C175,Client_List!$B:$K,8,0),"")</f>
        <v>33.4925, -111.923012</v>
      </c>
      <c r="G175">
        <f>IFERROR(VLOOKUP(C175,Client_List!$B:$K,9,0),"")</f>
        <v>950</v>
      </c>
      <c r="H175" t="str">
        <f>IFERROR(LOOKUP(2,1/((Delivery_Log!$B$4:$B$4998=B175)*(ISNUMBER(Delivery_Log!$J$4:$J$4998))*(Delivery_Log!$J$4:$J$4998&gt;0)),Delivery_Log!$J$4:$J$4998),"")</f>
        <v/>
      </c>
      <c r="I175" t="str">
        <f>IFERROR(VLOOKUP(C175,Client_List!$B:$K,10,0),"")</f>
        <v>FRYERS CHOICE</v>
      </c>
      <c r="J175">
        <f>IFERROR(_xlfn.MAXIFS(Delivery_Log!$A$4:$A$4998,Delivery_Log!$B$4:$B$4998,B175),"—")</f>
        <v>46142</v>
      </c>
      <c r="K175">
        <f t="shared" ca="1" si="30"/>
        <v>6</v>
      </c>
      <c r="L175" t="str">
        <f t="shared" ca="1" si="31"/>
        <v/>
      </c>
      <c r="M175" t="str">
        <f t="shared" ca="1" si="32"/>
        <v/>
      </c>
      <c r="N175" t="str">
        <f t="shared" ca="1" si="33"/>
        <v/>
      </c>
      <c r="O175" t="e">
        <f t="shared" ca="1" si="34"/>
        <v>#VALUE!</v>
      </c>
      <c r="P175" t="str">
        <f t="shared" ca="1" si="35"/>
        <v>—</v>
      </c>
      <c r="Q175">
        <f>COUNTIFS(Delivery_Log!$B$4:$B$5998,B175,Delivery_Log!$A$4:$A$5998,"&gt;="&amp;$Q$2)</f>
        <v>3</v>
      </c>
      <c r="S175" t="str">
        <f>IFERROR(_xlfn.XLOOKUP(B175,Client_List!$A$4:$A$200,Client_List!$S$4:$S$200,""),"")</f>
        <v/>
      </c>
      <c r="T175" t="str">
        <f>IFERROR(_xlfn.XLOOKUP(B175,Client_List!$A$4:$A$200,Client_List!$U$4:$U$200,""),"")</f>
        <v/>
      </c>
      <c r="U175" t="str">
        <f>IFERROR(IF(S175="","",IF(_xlfn.XLOOKUP(B175,Client_List!$A$4:$A$200,Client_List!$W$4:$W$200,999)&lt;=24,"LIVE",IF(_xlfn.XLOOKUP(B175,Client_List!$A$4:$A$200,Client_List!$W$4:$W$200,999)&lt;=72,"STALE","OLD"))),"")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651</v>
      </c>
    </row>
    <row r="2" spans="1:4" x14ac:dyDescent="0.2">
      <c r="A2" t="s">
        <v>652</v>
      </c>
      <c r="B2" t="s">
        <v>653</v>
      </c>
      <c r="C2" t="s">
        <v>654</v>
      </c>
      <c r="D2" t="s">
        <v>655</v>
      </c>
    </row>
    <row r="3" spans="1:4" x14ac:dyDescent="0.2">
      <c r="A3" t="s">
        <v>656</v>
      </c>
      <c r="B3">
        <v>10000</v>
      </c>
      <c r="C3">
        <v>152.6</v>
      </c>
      <c r="D3">
        <v>18</v>
      </c>
    </row>
    <row r="4" spans="1:4" x14ac:dyDescent="0.2">
      <c r="A4" t="s">
        <v>657</v>
      </c>
      <c r="B4">
        <v>10000</v>
      </c>
      <c r="C4">
        <v>206</v>
      </c>
      <c r="D4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658</v>
      </c>
    </row>
    <row r="2" spans="1:2" x14ac:dyDescent="0.2">
      <c r="A2" t="s">
        <v>659</v>
      </c>
      <c r="B2" t="s">
        <v>660</v>
      </c>
    </row>
    <row r="3" spans="1:2" x14ac:dyDescent="0.2">
      <c r="A3" t="s">
        <v>661</v>
      </c>
      <c r="B3">
        <v>33.5152</v>
      </c>
    </row>
    <row r="4" spans="1:2" x14ac:dyDescent="0.2">
      <c r="A4" t="s">
        <v>662</v>
      </c>
      <c r="B4">
        <v>-112.1674</v>
      </c>
    </row>
    <row r="5" spans="1:2" x14ac:dyDescent="0.2">
      <c r="A5" t="s">
        <v>663</v>
      </c>
      <c r="B5" t="s">
        <v>664</v>
      </c>
    </row>
    <row r="6" spans="1:2" x14ac:dyDescent="0.2">
      <c r="A6" t="s">
        <v>665</v>
      </c>
      <c r="B6" t="s">
        <v>666</v>
      </c>
    </row>
    <row r="7" spans="1:2" x14ac:dyDescent="0.2">
      <c r="A7" t="s">
        <v>667</v>
      </c>
      <c r="B7">
        <v>30</v>
      </c>
    </row>
    <row r="8" spans="1:2" x14ac:dyDescent="0.2">
      <c r="A8" t="s">
        <v>668</v>
      </c>
      <c r="B8">
        <v>15</v>
      </c>
    </row>
    <row r="9" spans="1:2" x14ac:dyDescent="0.2">
      <c r="A9" t="s">
        <v>669</v>
      </c>
      <c r="B9" t="s">
        <v>670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671</v>
      </c>
    </row>
    <row r="2" spans="1:6" x14ac:dyDescent="0.2">
      <c r="A2" t="s">
        <v>672</v>
      </c>
    </row>
    <row r="3" spans="1:6" x14ac:dyDescent="0.2">
      <c r="A3" t="s">
        <v>673</v>
      </c>
      <c r="B3" t="s">
        <v>633</v>
      </c>
      <c r="C3" t="s">
        <v>674</v>
      </c>
      <c r="D3" t="s">
        <v>675</v>
      </c>
      <c r="E3" t="s">
        <v>676</v>
      </c>
      <c r="F3" t="s">
        <v>28</v>
      </c>
    </row>
    <row r="4" spans="1:6" x14ac:dyDescent="0.2">
      <c r="A4" t="s">
        <v>677</v>
      </c>
      <c r="B4" t="s">
        <v>678</v>
      </c>
      <c r="C4" t="s">
        <v>679</v>
      </c>
      <c r="D4" t="s">
        <v>680</v>
      </c>
      <c r="E4" t="s">
        <v>681</v>
      </c>
      <c r="F4" t="s">
        <v>682</v>
      </c>
    </row>
    <row r="5" spans="1:6" x14ac:dyDescent="0.2">
      <c r="A5" t="s">
        <v>683</v>
      </c>
      <c r="B5" t="s">
        <v>382</v>
      </c>
      <c r="C5" t="s">
        <v>679</v>
      </c>
      <c r="D5" t="s">
        <v>680</v>
      </c>
      <c r="E5" t="s">
        <v>684</v>
      </c>
      <c r="F5" t="s">
        <v>385</v>
      </c>
    </row>
    <row r="6" spans="1:6" x14ac:dyDescent="0.2">
      <c r="A6" t="s">
        <v>685</v>
      </c>
      <c r="B6" t="s">
        <v>386</v>
      </c>
      <c r="C6" t="s">
        <v>679</v>
      </c>
      <c r="D6" t="s">
        <v>686</v>
      </c>
      <c r="E6" t="s">
        <v>684</v>
      </c>
      <c r="F6" t="s">
        <v>389</v>
      </c>
    </row>
    <row r="7" spans="1:6" x14ac:dyDescent="0.2">
      <c r="A7" t="s">
        <v>687</v>
      </c>
      <c r="B7" t="s">
        <v>390</v>
      </c>
      <c r="C7" t="s">
        <v>679</v>
      </c>
      <c r="D7" t="s">
        <v>686</v>
      </c>
      <c r="E7" t="s">
        <v>680</v>
      </c>
      <c r="F7" t="s">
        <v>393</v>
      </c>
    </row>
    <row r="8" spans="1:6" x14ac:dyDescent="0.2">
      <c r="A8" t="s">
        <v>688</v>
      </c>
      <c r="B8" t="s">
        <v>394</v>
      </c>
      <c r="C8" t="s">
        <v>679</v>
      </c>
      <c r="D8" t="s">
        <v>680</v>
      </c>
      <c r="E8" t="s">
        <v>684</v>
      </c>
      <c r="F8" t="s">
        <v>397</v>
      </c>
    </row>
    <row r="9" spans="1:6" x14ac:dyDescent="0.2">
      <c r="A9" t="s">
        <v>689</v>
      </c>
      <c r="B9" t="s">
        <v>398</v>
      </c>
      <c r="C9" t="s">
        <v>679</v>
      </c>
      <c r="D9" t="s">
        <v>680</v>
      </c>
      <c r="E9" t="s">
        <v>690</v>
      </c>
      <c r="F9" t="s">
        <v>401</v>
      </c>
    </row>
    <row r="10" spans="1:6" x14ac:dyDescent="0.2">
      <c r="A10" t="s">
        <v>691</v>
      </c>
      <c r="B10" t="s">
        <v>402</v>
      </c>
      <c r="C10" t="s">
        <v>679</v>
      </c>
      <c r="D10" t="s">
        <v>686</v>
      </c>
      <c r="E10" t="s">
        <v>680</v>
      </c>
      <c r="F10" t="s">
        <v>393</v>
      </c>
    </row>
    <row r="11" spans="1:6" x14ac:dyDescent="0.2">
      <c r="A11" t="s">
        <v>692</v>
      </c>
      <c r="B11" t="s">
        <v>405</v>
      </c>
      <c r="C11" t="s">
        <v>679</v>
      </c>
      <c r="D11" t="s">
        <v>693</v>
      </c>
      <c r="E11" t="s">
        <v>694</v>
      </c>
      <c r="F11" t="s">
        <v>409</v>
      </c>
    </row>
    <row r="12" spans="1:6" x14ac:dyDescent="0.2">
      <c r="A12" t="s">
        <v>695</v>
      </c>
      <c r="B12" t="s">
        <v>410</v>
      </c>
      <c r="C12" t="s">
        <v>679</v>
      </c>
      <c r="D12" t="s">
        <v>680</v>
      </c>
      <c r="E12" t="s">
        <v>684</v>
      </c>
      <c r="F12" t="s">
        <v>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696</v>
      </c>
    </row>
    <row r="2" spans="1:6" x14ac:dyDescent="0.2">
      <c r="A2" t="s">
        <v>697</v>
      </c>
    </row>
    <row r="3" spans="1:6" x14ac:dyDescent="0.2">
      <c r="A3" t="s">
        <v>673</v>
      </c>
      <c r="B3" t="s">
        <v>633</v>
      </c>
      <c r="C3" t="s">
        <v>698</v>
      </c>
      <c r="D3" t="s">
        <v>699</v>
      </c>
      <c r="E3" t="s">
        <v>700</v>
      </c>
      <c r="F3" t="s">
        <v>701</v>
      </c>
    </row>
    <row r="4" spans="1:6" x14ac:dyDescent="0.2">
      <c r="A4" t="s">
        <v>677</v>
      </c>
      <c r="B4" t="s">
        <v>678</v>
      </c>
      <c r="C4" t="s">
        <v>702</v>
      </c>
      <c r="F4" t="s">
        <v>703</v>
      </c>
    </row>
    <row r="5" spans="1:6" x14ac:dyDescent="0.2">
      <c r="A5" t="s">
        <v>704</v>
      </c>
      <c r="B5" t="s">
        <v>130</v>
      </c>
      <c r="C5" t="s">
        <v>702</v>
      </c>
      <c r="F5" t="s">
        <v>705</v>
      </c>
    </row>
    <row r="6" spans="1:6" x14ac:dyDescent="0.2">
      <c r="A6" t="s">
        <v>706</v>
      </c>
      <c r="B6" t="s">
        <v>167</v>
      </c>
      <c r="C6" t="s">
        <v>702</v>
      </c>
      <c r="F6" t="s">
        <v>705</v>
      </c>
    </row>
    <row r="7" spans="1:6" x14ac:dyDescent="0.2">
      <c r="A7" t="s">
        <v>707</v>
      </c>
      <c r="B7" t="s">
        <v>200</v>
      </c>
      <c r="D7" s="1">
        <v>46132</v>
      </c>
      <c r="E7" s="1">
        <v>72686</v>
      </c>
      <c r="F7" t="s">
        <v>708</v>
      </c>
    </row>
    <row r="8" spans="1:6" x14ac:dyDescent="0.2">
      <c r="A8" t="s">
        <v>709</v>
      </c>
      <c r="B8" t="s">
        <v>582</v>
      </c>
      <c r="C8" t="s">
        <v>702</v>
      </c>
      <c r="F8" t="s">
        <v>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t="s">
        <v>710</v>
      </c>
      <c r="B1" t="s">
        <v>711</v>
      </c>
      <c r="C1" t="s">
        <v>712</v>
      </c>
      <c r="D1" t="s">
        <v>713</v>
      </c>
      <c r="E1" t="s">
        <v>714</v>
      </c>
      <c r="F1" t="s">
        <v>715</v>
      </c>
      <c r="G1" t="s">
        <v>716</v>
      </c>
      <c r="H1" t="s">
        <v>717</v>
      </c>
      <c r="I1" t="s">
        <v>718</v>
      </c>
    </row>
    <row r="2" spans="1:9" x14ac:dyDescent="0.2">
      <c r="A2" t="s">
        <v>719</v>
      </c>
      <c r="C2">
        <v>325.4862296463582</v>
      </c>
      <c r="D2" t="s">
        <v>720</v>
      </c>
      <c r="E2">
        <v>533.42533019999996</v>
      </c>
      <c r="F2" t="s">
        <v>721</v>
      </c>
      <c r="G2" t="s">
        <v>722</v>
      </c>
      <c r="H2" t="s">
        <v>723</v>
      </c>
      <c r="I2" t="s">
        <v>724</v>
      </c>
    </row>
    <row r="3" spans="1:9" x14ac:dyDescent="0.2">
      <c r="A3" t="s">
        <v>725</v>
      </c>
      <c r="C3">
        <v>220.14309816133209</v>
      </c>
      <c r="D3" t="s">
        <v>720</v>
      </c>
      <c r="E3">
        <v>443.80190820000001</v>
      </c>
      <c r="F3" t="s">
        <v>721</v>
      </c>
      <c r="G3" t="s">
        <v>726</v>
      </c>
      <c r="H3" t="s">
        <v>727</v>
      </c>
      <c r="I3" t="s">
        <v>728</v>
      </c>
    </row>
    <row r="4" spans="1:9" x14ac:dyDescent="0.2">
      <c r="A4" t="s">
        <v>729</v>
      </c>
      <c r="C4">
        <v>825.94074998567567</v>
      </c>
      <c r="D4" t="s">
        <v>720</v>
      </c>
      <c r="E4">
        <v>362.47695119999997</v>
      </c>
      <c r="F4" t="s">
        <v>721</v>
      </c>
      <c r="G4" t="s">
        <v>730</v>
      </c>
      <c r="H4" t="s">
        <v>731</v>
      </c>
      <c r="I4" t="s">
        <v>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4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710</v>
      </c>
      <c r="B1" t="s">
        <v>733</v>
      </c>
      <c r="C1" t="s">
        <v>734</v>
      </c>
      <c r="D1" t="s">
        <v>735</v>
      </c>
      <c r="E1" t="s">
        <v>712</v>
      </c>
      <c r="F1" t="s">
        <v>713</v>
      </c>
      <c r="G1" t="s">
        <v>716</v>
      </c>
      <c r="H1" t="s">
        <v>717</v>
      </c>
      <c r="I1" t="s">
        <v>718</v>
      </c>
      <c r="J1" t="s">
        <v>736</v>
      </c>
      <c r="K1" t="s">
        <v>737</v>
      </c>
      <c r="L1" t="s">
        <v>738</v>
      </c>
      <c r="M1" t="s">
        <v>739</v>
      </c>
      <c r="N1" t="s">
        <v>740</v>
      </c>
    </row>
    <row r="2" spans="1:14" x14ac:dyDescent="0.2">
      <c r="A2">
        <v>124697513</v>
      </c>
      <c r="B2">
        <v>1054</v>
      </c>
      <c r="C2" t="str">
        <f>IFERROR(_xlfn.XLOOKUP(B2,Client_List!$A$4:$A$200,Client_List!$B$4:$B$200,""),"")</f>
        <v>ANG - 1054 - ANGRY CRAB SURPRISE</v>
      </c>
      <c r="D2">
        <f>IFERROR(_xlfn.XLOOKUP(TEXT(A2,"0"),Query!$A$2:$A$100,Query!$B$2:$B$100,""),"")</f>
        <v>0</v>
      </c>
      <c r="E2">
        <f>IFERROR(_xlfn.XLOOKUP(TEXT(A2,"0"),Query!$A$2:$A$100,Query!$C$2:$C$100,""),"")</f>
        <v>325.4862296463582</v>
      </c>
      <c r="F2" t="str">
        <f>IFERROR(_xlfn.XLOOKUP(TEXT(A2,"0"),Query!$A$2:$A$100,Query!$D$2:$D$100,""),"")</f>
        <v>lbs</v>
      </c>
      <c r="G2" t="str">
        <f>IFERROR(_xlfn.XLOOKUP(TEXT(A2,"0"),Query!$A$2:$A$100,Query!$G$2:$G$100,""),"")</f>
        <v>Fryers Choice</v>
      </c>
      <c r="H2" t="str">
        <f>IFERROR(_xlfn.XLOOKUP(TEXT(A2,"0"),Query!$A$2:$A$100,Query!$H$2:$H$100,""),"")</f>
        <v>2026-05-06T11:00:25Z</v>
      </c>
      <c r="I2" t="str">
        <f>IFERROR(_xlfn.XLOOKUP(TEXT(A2,"0"),Query!$A$2:$A$100,Query!$I$2:$I$100,""),"")</f>
        <v>2026-05-06T11:09:11.552Z</v>
      </c>
      <c r="J2">
        <f>IFERROR(_xlfn.XLOOKUP(B2,Client_List!$A$4:$A$200,Client_List!$J$4:$J$200,""),"")</f>
        <v>620</v>
      </c>
      <c r="K2">
        <f t="shared" ref="K2:K33" si="0">IFERROR(IF(AND(E2&lt;&gt;"",J2&lt;&gt;""),ROUND(E2/J2*100,1),""),"")</f>
        <v>52.5</v>
      </c>
      <c r="L2">
        <f t="shared" ref="L2:L33" si="1">IFERROR(IF(AND(E2&lt;&gt;"",J2&lt;&gt;""),ROUND(J2-E2,0),""),"")</f>
        <v>295</v>
      </c>
      <c r="M2" t="str">
        <f t="shared" ref="M2:M33" ca="1" si="2">IFERROR(IF(H2&lt;&gt;"",ROUND((NOW()-H2)*24,1),""),"")</f>
        <v/>
      </c>
      <c r="N2" t="s">
        <v>741</v>
      </c>
    </row>
    <row r="3" spans="1:14" x14ac:dyDescent="0.2">
      <c r="A3">
        <v>121381187</v>
      </c>
      <c r="B3">
        <v>19117</v>
      </c>
      <c r="C3" t="str">
        <f>IFERROR(_xlfn.XLOOKUP(B3,Client_List!$A$4:$A$200,Client_List!$B$4:$B$200,""),"")</f>
        <v>SUN - 19117 - SUNSHINE BREAKFAST BAR TEMPE</v>
      </c>
      <c r="D3">
        <f>IFERROR(_xlfn.XLOOKUP(TEXT(A3,"0"),Query!$A$2:$A$100,Query!$B$2:$B$100,""),"")</f>
        <v>0</v>
      </c>
      <c r="E3">
        <f>IFERROR(_xlfn.XLOOKUP(TEXT(A3,"0"),Query!$A$2:$A$100,Query!$C$2:$C$100,""),"")</f>
        <v>220.14309816133209</v>
      </c>
      <c r="F3" t="str">
        <f>IFERROR(_xlfn.XLOOKUP(TEXT(A3,"0"),Query!$A$2:$A$100,Query!$D$2:$D$100,""),"")</f>
        <v>lbs</v>
      </c>
      <c r="G3" t="str">
        <f>IFERROR(_xlfn.XLOOKUP(TEXT(A3,"0"),Query!$A$2:$A$100,Query!$G$2:$G$100,""),"")</f>
        <v>Palm Oil</v>
      </c>
      <c r="H3" t="str">
        <f>IFERROR(_xlfn.XLOOKUP(TEXT(A3,"0"),Query!$A$2:$A$100,Query!$H$2:$H$100,""),"")</f>
        <v>2026-05-06T11:00:29Z</v>
      </c>
      <c r="I3" t="str">
        <f>IFERROR(_xlfn.XLOOKUP(TEXT(A3,"0"),Query!$A$2:$A$100,Query!$I$2:$I$100,""),"")</f>
        <v>2026-05-06T11:10:40.370Z</v>
      </c>
      <c r="J3">
        <f>IFERROR(_xlfn.XLOOKUP(B3,Client_List!$A$4:$A$200,Client_List!$J$4:$J$200,""),"")</f>
        <v>500</v>
      </c>
      <c r="K3">
        <f t="shared" si="0"/>
        <v>44</v>
      </c>
      <c r="L3">
        <f t="shared" si="1"/>
        <v>280</v>
      </c>
      <c r="M3" t="str">
        <f t="shared" ca="1" si="2"/>
        <v/>
      </c>
      <c r="N3" t="s">
        <v>741</v>
      </c>
    </row>
    <row r="4" spans="1:14" x14ac:dyDescent="0.2">
      <c r="A4">
        <v>124677515</v>
      </c>
      <c r="C4">
        <f>IFERROR(_xlfn.XLOOKUP(B4,Client_List!$A$4:$A$200,Client_List!$B$4:$B$200,""),"")</f>
        <v>0</v>
      </c>
      <c r="D4">
        <f>IFERROR(_xlfn.XLOOKUP(TEXT(A4,"0"),Query!$A$2:$A$100,Query!$B$2:$B$100,""),"")</f>
        <v>0</v>
      </c>
      <c r="E4">
        <f>IFERROR(_xlfn.XLOOKUP(TEXT(A4,"0"),Query!$A$2:$A$100,Query!$C$2:$C$100,""),"")</f>
        <v>825.94074998567567</v>
      </c>
      <c r="F4" t="str">
        <f>IFERROR(_xlfn.XLOOKUP(TEXT(A4,"0"),Query!$A$2:$A$100,Query!$D$2:$D$100,""),"")</f>
        <v>lbs</v>
      </c>
      <c r="G4" t="str">
        <f>IFERROR(_xlfn.XLOOKUP(TEXT(A4,"0"),Query!$A$2:$A$100,Query!$G$2:$G$100,""),"")</f>
        <v>Canola Oil</v>
      </c>
      <c r="H4" t="str">
        <f>IFERROR(_xlfn.XLOOKUP(TEXT(A4,"0"),Query!$A$2:$A$100,Query!$H$2:$H$100,""),"")</f>
        <v>2026-05-06T11:00:42Z</v>
      </c>
      <c r="I4" t="str">
        <f>IFERROR(_xlfn.XLOOKUP(TEXT(A4,"0"),Query!$A$2:$A$100,Query!$I$2:$I$100,""),"")</f>
        <v>2026-05-06T11:11:09.331Z</v>
      </c>
      <c r="J4">
        <f>IFERROR(_xlfn.XLOOKUP(B4,Client_List!$A$4:$A$200,Client_List!$J$4:$J$200,""),"")</f>
        <v>0</v>
      </c>
      <c r="K4" t="str">
        <f t="shared" si="0"/>
        <v/>
      </c>
      <c r="L4">
        <f t="shared" si="1"/>
        <v>-826</v>
      </c>
      <c r="M4" t="str">
        <f t="shared" ca="1" si="2"/>
        <v/>
      </c>
      <c r="N4" t="s">
        <v>741</v>
      </c>
    </row>
    <row r="5" spans="1:14" x14ac:dyDescent="0.2">
      <c r="C5">
        <f>IFERROR(_xlfn.XLOOKUP(B5,Client_List!$A$4:$A$200,Client_List!$B$4:$B$200,""),"")</f>
        <v>0</v>
      </c>
      <c r="D5" t="str">
        <f>IFERROR(_xlfn.XLOOKUP(TEXT(A5,"0"),Query!$A$2:$A$100,Query!$B$2:$B$100,""),"")</f>
        <v/>
      </c>
      <c r="E5" t="str">
        <f>IFERROR(_xlfn.XLOOKUP(TEXT(A5,"0"),Query!$A$2:$A$100,Query!$C$2:$C$100,""),"")</f>
        <v/>
      </c>
      <c r="F5" t="str">
        <f>IFERROR(_xlfn.XLOOKUP(TEXT(A5,"0"),Query!$A$2:$A$100,Query!$D$2:$D$100,""),"")</f>
        <v/>
      </c>
      <c r="G5" t="str">
        <f>IFERROR(_xlfn.XLOOKUP(TEXT(A5,"0"),Query!$A$2:$A$100,Query!$G$2:$G$100,""),"")</f>
        <v/>
      </c>
      <c r="H5" t="str">
        <f>IFERROR(_xlfn.XLOOKUP(TEXT(A5,"0"),Query!$A$2:$A$100,Query!$H$2:$H$100,""),"")</f>
        <v/>
      </c>
      <c r="I5" t="str">
        <f>IFERROR(_xlfn.XLOOKUP(TEXT(A5,"0"),Query!$A$2:$A$100,Query!$I$2:$I$100,""),"")</f>
        <v/>
      </c>
      <c r="J5">
        <f>IFERROR(_xlfn.XLOOKUP(B5,Client_List!$A$4:$A$200,Client_List!$J$4:$J$200,""),"")</f>
        <v>0</v>
      </c>
      <c r="K5" t="str">
        <f t="shared" si="0"/>
        <v/>
      </c>
      <c r="L5" t="str">
        <f t="shared" si="1"/>
        <v/>
      </c>
      <c r="M5" t="str">
        <f t="shared" ca="1" si="2"/>
        <v/>
      </c>
    </row>
    <row r="6" spans="1:14" x14ac:dyDescent="0.2">
      <c r="C6">
        <f>IFERROR(_xlfn.XLOOKUP(B6,Client_List!$A$4:$A$200,Client_List!$B$4:$B$200,""),"")</f>
        <v>0</v>
      </c>
      <c r="D6" t="str">
        <f>IFERROR(_xlfn.XLOOKUP(TEXT(A6,"0"),Query!$A$2:$A$100,Query!$B$2:$B$100,""),"")</f>
        <v/>
      </c>
      <c r="E6" t="str">
        <f>IFERROR(_xlfn.XLOOKUP(TEXT(A6,"0"),Query!$A$2:$A$100,Query!$C$2:$C$100,""),"")</f>
        <v/>
      </c>
      <c r="F6" t="str">
        <f>IFERROR(_xlfn.XLOOKUP(TEXT(A6,"0"),Query!$A$2:$A$100,Query!$D$2:$D$100,""),"")</f>
        <v/>
      </c>
      <c r="G6" t="str">
        <f>IFERROR(_xlfn.XLOOKUP(TEXT(A6,"0"),Query!$A$2:$A$100,Query!$G$2:$G$100,""),"")</f>
        <v/>
      </c>
      <c r="H6" t="str">
        <f>IFERROR(_xlfn.XLOOKUP(TEXT(A6,"0"),Query!$A$2:$A$100,Query!$H$2:$H$100,""),"")</f>
        <v/>
      </c>
      <c r="I6" t="str">
        <f>IFERROR(_xlfn.XLOOKUP(TEXT(A6,"0"),Query!$A$2:$A$100,Query!$I$2:$I$100,""),"")</f>
        <v/>
      </c>
      <c r="J6">
        <f>IFERROR(_xlfn.XLOOKUP(B6,Client_List!$A$4:$A$200,Client_List!$J$4:$J$200,""),"")</f>
        <v>0</v>
      </c>
      <c r="K6" t="str">
        <f t="shared" si="0"/>
        <v/>
      </c>
      <c r="L6" t="str">
        <f t="shared" si="1"/>
        <v/>
      </c>
      <c r="M6" t="str">
        <f t="shared" ca="1" si="2"/>
        <v/>
      </c>
    </row>
    <row r="7" spans="1:14" x14ac:dyDescent="0.2">
      <c r="C7">
        <f>IFERROR(_xlfn.XLOOKUP(B7,Client_List!$A$4:$A$200,Client_List!$B$4:$B$200,""),"")</f>
        <v>0</v>
      </c>
      <c r="D7" t="str">
        <f>IFERROR(_xlfn.XLOOKUP(TEXT(A7,"0"),Query!$A$2:$A$100,Query!$B$2:$B$100,""),"")</f>
        <v/>
      </c>
      <c r="E7" t="str">
        <f>IFERROR(_xlfn.XLOOKUP(TEXT(A7,"0"),Query!$A$2:$A$100,Query!$C$2:$C$100,""),"")</f>
        <v/>
      </c>
      <c r="F7" t="str">
        <f>IFERROR(_xlfn.XLOOKUP(TEXT(A7,"0"),Query!$A$2:$A$100,Query!$D$2:$D$100,""),"")</f>
        <v/>
      </c>
      <c r="G7" t="str">
        <f>IFERROR(_xlfn.XLOOKUP(TEXT(A7,"0"),Query!$A$2:$A$100,Query!$G$2:$G$100,""),"")</f>
        <v/>
      </c>
      <c r="H7" t="str">
        <f>IFERROR(_xlfn.XLOOKUP(TEXT(A7,"0"),Query!$A$2:$A$100,Query!$H$2:$H$100,""),"")</f>
        <v/>
      </c>
      <c r="I7" t="str">
        <f>IFERROR(_xlfn.XLOOKUP(TEXT(A7,"0"),Query!$A$2:$A$100,Query!$I$2:$I$100,""),"")</f>
        <v/>
      </c>
      <c r="J7">
        <f>IFERROR(_xlfn.XLOOKUP(B7,Client_List!$A$4:$A$200,Client_List!$J$4:$J$200,""),"")</f>
        <v>0</v>
      </c>
      <c r="K7" t="str">
        <f t="shared" si="0"/>
        <v/>
      </c>
      <c r="L7" t="str">
        <f t="shared" si="1"/>
        <v/>
      </c>
      <c r="M7" t="str">
        <f t="shared" ca="1" si="2"/>
        <v/>
      </c>
    </row>
    <row r="8" spans="1:14" x14ac:dyDescent="0.2">
      <c r="C8">
        <f>IFERROR(_xlfn.XLOOKUP(B8,Client_List!$A$4:$A$200,Client_List!$B$4:$B$200,""),"")</f>
        <v>0</v>
      </c>
      <c r="D8" t="str">
        <f>IFERROR(_xlfn.XLOOKUP(TEXT(A8,"0"),Query!$A$2:$A$100,Query!$B$2:$B$100,""),"")</f>
        <v/>
      </c>
      <c r="E8" t="str">
        <f>IFERROR(_xlfn.XLOOKUP(TEXT(A8,"0"),Query!$A$2:$A$100,Query!$C$2:$C$100,""),"")</f>
        <v/>
      </c>
      <c r="F8" t="str">
        <f>IFERROR(_xlfn.XLOOKUP(TEXT(A8,"0"),Query!$A$2:$A$100,Query!$D$2:$D$100,""),"")</f>
        <v/>
      </c>
      <c r="G8" t="str">
        <f>IFERROR(_xlfn.XLOOKUP(TEXT(A8,"0"),Query!$A$2:$A$100,Query!$G$2:$G$100,""),"")</f>
        <v/>
      </c>
      <c r="H8" t="str">
        <f>IFERROR(_xlfn.XLOOKUP(TEXT(A8,"0"),Query!$A$2:$A$100,Query!$H$2:$H$100,""),"")</f>
        <v/>
      </c>
      <c r="I8" t="str">
        <f>IFERROR(_xlfn.XLOOKUP(TEXT(A8,"0"),Query!$A$2:$A$100,Query!$I$2:$I$100,""),"")</f>
        <v/>
      </c>
      <c r="J8">
        <f>IFERROR(_xlfn.XLOOKUP(B8,Client_List!$A$4:$A$200,Client_List!$J$4:$J$200,""),"")</f>
        <v>0</v>
      </c>
      <c r="K8" t="str">
        <f t="shared" si="0"/>
        <v/>
      </c>
      <c r="L8" t="str">
        <f t="shared" si="1"/>
        <v/>
      </c>
      <c r="M8" t="str">
        <f t="shared" ca="1" si="2"/>
        <v/>
      </c>
    </row>
    <row r="9" spans="1:14" x14ac:dyDescent="0.2">
      <c r="C9">
        <f>IFERROR(_xlfn.XLOOKUP(B9,Client_List!$A$4:$A$200,Client_List!$B$4:$B$200,""),"")</f>
        <v>0</v>
      </c>
      <c r="D9" t="str">
        <f>IFERROR(_xlfn.XLOOKUP(TEXT(A9,"0"),Query!$A$2:$A$100,Query!$B$2:$B$100,""),"")</f>
        <v/>
      </c>
      <c r="E9" t="str">
        <f>IFERROR(_xlfn.XLOOKUP(TEXT(A9,"0"),Query!$A$2:$A$100,Query!$C$2:$C$100,""),"")</f>
        <v/>
      </c>
      <c r="F9" t="str">
        <f>IFERROR(_xlfn.XLOOKUP(TEXT(A9,"0"),Query!$A$2:$A$100,Query!$D$2:$D$100,""),"")</f>
        <v/>
      </c>
      <c r="G9" t="str">
        <f>IFERROR(_xlfn.XLOOKUP(TEXT(A9,"0"),Query!$A$2:$A$100,Query!$G$2:$G$100,""),"")</f>
        <v/>
      </c>
      <c r="H9" t="str">
        <f>IFERROR(_xlfn.XLOOKUP(TEXT(A9,"0"),Query!$A$2:$A$100,Query!$H$2:$H$100,""),"")</f>
        <v/>
      </c>
      <c r="I9" t="str">
        <f>IFERROR(_xlfn.XLOOKUP(TEXT(A9,"0"),Query!$A$2:$A$100,Query!$I$2:$I$100,""),"")</f>
        <v/>
      </c>
      <c r="J9">
        <f>IFERROR(_xlfn.XLOOKUP(B9,Client_List!$A$4:$A$200,Client_List!$J$4:$J$200,""),"")</f>
        <v>0</v>
      </c>
      <c r="K9" t="str">
        <f t="shared" si="0"/>
        <v/>
      </c>
      <c r="L9" t="str">
        <f t="shared" si="1"/>
        <v/>
      </c>
      <c r="M9" t="str">
        <f t="shared" ca="1" si="2"/>
        <v/>
      </c>
    </row>
    <row r="10" spans="1:14" x14ac:dyDescent="0.2">
      <c r="C10">
        <f>IFERROR(_xlfn.XLOOKUP(B10,Client_List!$A$4:$A$200,Client_List!$B$4:$B$200,""),"")</f>
        <v>0</v>
      </c>
      <c r="D10" t="str">
        <f>IFERROR(_xlfn.XLOOKUP(TEXT(A10,"0"),Query!$A$2:$A$100,Query!$B$2:$B$100,""),"")</f>
        <v/>
      </c>
      <c r="E10" t="str">
        <f>IFERROR(_xlfn.XLOOKUP(TEXT(A10,"0"),Query!$A$2:$A$100,Query!$C$2:$C$100,""),"")</f>
        <v/>
      </c>
      <c r="F10" t="str">
        <f>IFERROR(_xlfn.XLOOKUP(TEXT(A10,"0"),Query!$A$2:$A$100,Query!$D$2:$D$100,""),"")</f>
        <v/>
      </c>
      <c r="G10" t="str">
        <f>IFERROR(_xlfn.XLOOKUP(TEXT(A10,"0"),Query!$A$2:$A$100,Query!$G$2:$G$100,""),"")</f>
        <v/>
      </c>
      <c r="H10" t="str">
        <f>IFERROR(_xlfn.XLOOKUP(TEXT(A10,"0"),Query!$A$2:$A$100,Query!$H$2:$H$100,""),"")</f>
        <v/>
      </c>
      <c r="I10" t="str">
        <f>IFERROR(_xlfn.XLOOKUP(TEXT(A10,"0"),Query!$A$2:$A$100,Query!$I$2:$I$100,""),"")</f>
        <v/>
      </c>
      <c r="J10">
        <f>IFERROR(_xlfn.XLOOKUP(B10,Client_List!$A$4:$A$200,Client_List!$J$4:$J$200,""),"")</f>
        <v>0</v>
      </c>
      <c r="K10" t="str">
        <f t="shared" si="0"/>
        <v/>
      </c>
      <c r="L10" t="str">
        <f t="shared" si="1"/>
        <v/>
      </c>
      <c r="M10" t="str">
        <f t="shared" ca="1" si="2"/>
        <v/>
      </c>
    </row>
    <row r="11" spans="1:14" x14ac:dyDescent="0.2">
      <c r="C11">
        <f>IFERROR(_xlfn.XLOOKUP(B11,Client_List!$A$4:$A$200,Client_List!$B$4:$B$200,""),"")</f>
        <v>0</v>
      </c>
      <c r="D11" t="str">
        <f>IFERROR(_xlfn.XLOOKUP(TEXT(A11,"0"),Query!$A$2:$A$100,Query!$B$2:$B$100,""),"")</f>
        <v/>
      </c>
      <c r="E11" t="str">
        <f>IFERROR(_xlfn.XLOOKUP(TEXT(A11,"0"),Query!$A$2:$A$100,Query!$C$2:$C$100,""),"")</f>
        <v/>
      </c>
      <c r="F11" t="str">
        <f>IFERROR(_xlfn.XLOOKUP(TEXT(A11,"0"),Query!$A$2:$A$100,Query!$D$2:$D$100,""),"")</f>
        <v/>
      </c>
      <c r="G11" t="str">
        <f>IFERROR(_xlfn.XLOOKUP(TEXT(A11,"0"),Query!$A$2:$A$100,Query!$G$2:$G$100,""),"")</f>
        <v/>
      </c>
      <c r="H11" t="str">
        <f>IFERROR(_xlfn.XLOOKUP(TEXT(A11,"0"),Query!$A$2:$A$100,Query!$H$2:$H$100,""),"")</f>
        <v/>
      </c>
      <c r="I11" t="str">
        <f>IFERROR(_xlfn.XLOOKUP(TEXT(A11,"0"),Query!$A$2:$A$100,Query!$I$2:$I$100,""),"")</f>
        <v/>
      </c>
      <c r="J11">
        <f>IFERROR(_xlfn.XLOOKUP(B11,Client_List!$A$4:$A$200,Client_List!$J$4:$J$200,""),"")</f>
        <v>0</v>
      </c>
      <c r="K11" t="str">
        <f t="shared" si="0"/>
        <v/>
      </c>
      <c r="L11" t="str">
        <f t="shared" si="1"/>
        <v/>
      </c>
      <c r="M11" t="str">
        <f t="shared" ca="1" si="2"/>
        <v/>
      </c>
    </row>
    <row r="12" spans="1:14" x14ac:dyDescent="0.2">
      <c r="C12">
        <f>IFERROR(_xlfn.XLOOKUP(B12,Client_List!$A$4:$A$200,Client_List!$B$4:$B$200,""),"")</f>
        <v>0</v>
      </c>
      <c r="D12" t="str">
        <f>IFERROR(_xlfn.XLOOKUP(TEXT(A12,"0"),Query!$A$2:$A$100,Query!$B$2:$B$100,""),"")</f>
        <v/>
      </c>
      <c r="E12" t="str">
        <f>IFERROR(_xlfn.XLOOKUP(TEXT(A12,"0"),Query!$A$2:$A$100,Query!$C$2:$C$100,""),"")</f>
        <v/>
      </c>
      <c r="F12" t="str">
        <f>IFERROR(_xlfn.XLOOKUP(TEXT(A12,"0"),Query!$A$2:$A$100,Query!$D$2:$D$100,""),"")</f>
        <v/>
      </c>
      <c r="G12" t="str">
        <f>IFERROR(_xlfn.XLOOKUP(TEXT(A12,"0"),Query!$A$2:$A$100,Query!$G$2:$G$100,""),"")</f>
        <v/>
      </c>
      <c r="H12" t="str">
        <f>IFERROR(_xlfn.XLOOKUP(TEXT(A12,"0"),Query!$A$2:$A$100,Query!$H$2:$H$100,""),"")</f>
        <v/>
      </c>
      <c r="I12" t="str">
        <f>IFERROR(_xlfn.XLOOKUP(TEXT(A12,"0"),Query!$A$2:$A$100,Query!$I$2:$I$100,""),"")</f>
        <v/>
      </c>
      <c r="J12">
        <f>IFERROR(_xlfn.XLOOKUP(B12,Client_List!$A$4:$A$200,Client_List!$J$4:$J$200,""),"")</f>
        <v>0</v>
      </c>
      <c r="K12" t="str">
        <f t="shared" si="0"/>
        <v/>
      </c>
      <c r="L12" t="str">
        <f t="shared" si="1"/>
        <v/>
      </c>
      <c r="M12" t="str">
        <f t="shared" ca="1" si="2"/>
        <v/>
      </c>
    </row>
    <row r="13" spans="1:14" x14ac:dyDescent="0.2">
      <c r="C13">
        <f>IFERROR(_xlfn.XLOOKUP(B13,Client_List!$A$4:$A$200,Client_List!$B$4:$B$200,""),"")</f>
        <v>0</v>
      </c>
      <c r="D13" t="str">
        <f>IFERROR(_xlfn.XLOOKUP(TEXT(A13,"0"),Query!$A$2:$A$100,Query!$B$2:$B$100,""),"")</f>
        <v/>
      </c>
      <c r="E13" t="str">
        <f>IFERROR(_xlfn.XLOOKUP(TEXT(A13,"0"),Query!$A$2:$A$100,Query!$C$2:$C$100,""),"")</f>
        <v/>
      </c>
      <c r="F13" t="str">
        <f>IFERROR(_xlfn.XLOOKUP(TEXT(A13,"0"),Query!$A$2:$A$100,Query!$D$2:$D$100,""),"")</f>
        <v/>
      </c>
      <c r="G13" t="str">
        <f>IFERROR(_xlfn.XLOOKUP(TEXT(A13,"0"),Query!$A$2:$A$100,Query!$G$2:$G$100,""),"")</f>
        <v/>
      </c>
      <c r="H13" t="str">
        <f>IFERROR(_xlfn.XLOOKUP(TEXT(A13,"0"),Query!$A$2:$A$100,Query!$H$2:$H$100,""),"")</f>
        <v/>
      </c>
      <c r="I13" t="str">
        <f>IFERROR(_xlfn.XLOOKUP(TEXT(A13,"0"),Query!$A$2:$A$100,Query!$I$2:$I$100,""),"")</f>
        <v/>
      </c>
      <c r="J13">
        <f>IFERROR(_xlfn.XLOOKUP(B13,Client_List!$A$4:$A$200,Client_List!$J$4:$J$200,""),"")</f>
        <v>0</v>
      </c>
      <c r="K13" t="str">
        <f t="shared" si="0"/>
        <v/>
      </c>
      <c r="L13" t="str">
        <f t="shared" si="1"/>
        <v/>
      </c>
      <c r="M13" t="str">
        <f t="shared" ca="1" si="2"/>
        <v/>
      </c>
    </row>
    <row r="14" spans="1:14" x14ac:dyDescent="0.2">
      <c r="C14">
        <f>IFERROR(_xlfn.XLOOKUP(B14,Client_List!$A$4:$A$200,Client_List!$B$4:$B$200,""),"")</f>
        <v>0</v>
      </c>
      <c r="D14" t="str">
        <f>IFERROR(_xlfn.XLOOKUP(TEXT(A14,"0"),Query!$A$2:$A$100,Query!$B$2:$B$100,""),"")</f>
        <v/>
      </c>
      <c r="E14" t="str">
        <f>IFERROR(_xlfn.XLOOKUP(TEXT(A14,"0"),Query!$A$2:$A$100,Query!$C$2:$C$100,""),"")</f>
        <v/>
      </c>
      <c r="F14" t="str">
        <f>IFERROR(_xlfn.XLOOKUP(TEXT(A14,"0"),Query!$A$2:$A$100,Query!$D$2:$D$100,""),"")</f>
        <v/>
      </c>
      <c r="G14" t="str">
        <f>IFERROR(_xlfn.XLOOKUP(TEXT(A14,"0"),Query!$A$2:$A$100,Query!$G$2:$G$100,""),"")</f>
        <v/>
      </c>
      <c r="H14" t="str">
        <f>IFERROR(_xlfn.XLOOKUP(TEXT(A14,"0"),Query!$A$2:$A$100,Query!$H$2:$H$100,""),"")</f>
        <v/>
      </c>
      <c r="I14" t="str">
        <f>IFERROR(_xlfn.XLOOKUP(TEXT(A14,"0"),Query!$A$2:$A$100,Query!$I$2:$I$100,""),"")</f>
        <v/>
      </c>
      <c r="J14">
        <f>IFERROR(_xlfn.XLOOKUP(B14,Client_List!$A$4:$A$200,Client_List!$J$4:$J$200,""),"")</f>
        <v>0</v>
      </c>
      <c r="K14" t="str">
        <f t="shared" si="0"/>
        <v/>
      </c>
      <c r="L14" t="str">
        <f t="shared" si="1"/>
        <v/>
      </c>
      <c r="M14" t="str">
        <f t="shared" ca="1" si="2"/>
        <v/>
      </c>
    </row>
    <row r="15" spans="1:14" x14ac:dyDescent="0.2">
      <c r="C15">
        <f>IFERROR(_xlfn.XLOOKUP(B15,Client_List!$A$4:$A$200,Client_List!$B$4:$B$200,""),"")</f>
        <v>0</v>
      </c>
      <c r="D15" t="str">
        <f>IFERROR(_xlfn.XLOOKUP(TEXT(A15,"0"),Query!$A$2:$A$100,Query!$B$2:$B$100,""),"")</f>
        <v/>
      </c>
      <c r="E15" t="str">
        <f>IFERROR(_xlfn.XLOOKUP(TEXT(A15,"0"),Query!$A$2:$A$100,Query!$C$2:$C$100,""),"")</f>
        <v/>
      </c>
      <c r="F15" t="str">
        <f>IFERROR(_xlfn.XLOOKUP(TEXT(A15,"0"),Query!$A$2:$A$100,Query!$D$2:$D$100,""),"")</f>
        <v/>
      </c>
      <c r="G15" t="str">
        <f>IFERROR(_xlfn.XLOOKUP(TEXT(A15,"0"),Query!$A$2:$A$100,Query!$G$2:$G$100,""),"")</f>
        <v/>
      </c>
      <c r="H15" t="str">
        <f>IFERROR(_xlfn.XLOOKUP(TEXT(A15,"0"),Query!$A$2:$A$100,Query!$H$2:$H$100,""),"")</f>
        <v/>
      </c>
      <c r="I15" t="str">
        <f>IFERROR(_xlfn.XLOOKUP(TEXT(A15,"0"),Query!$A$2:$A$100,Query!$I$2:$I$100,""),"")</f>
        <v/>
      </c>
      <c r="J15">
        <f>IFERROR(_xlfn.XLOOKUP(B15,Client_List!$A$4:$A$200,Client_List!$J$4:$J$200,""),"")</f>
        <v>0</v>
      </c>
      <c r="K15" t="str">
        <f t="shared" si="0"/>
        <v/>
      </c>
      <c r="L15" t="str">
        <f t="shared" si="1"/>
        <v/>
      </c>
      <c r="M15" t="str">
        <f t="shared" ca="1" si="2"/>
        <v/>
      </c>
    </row>
    <row r="16" spans="1:14" x14ac:dyDescent="0.2">
      <c r="C16">
        <f>IFERROR(_xlfn.XLOOKUP(B16,Client_List!$A$4:$A$200,Client_List!$B$4:$B$200,""),"")</f>
        <v>0</v>
      </c>
      <c r="D16" t="str">
        <f>IFERROR(_xlfn.XLOOKUP(TEXT(A16,"0"),Query!$A$2:$A$100,Query!$B$2:$B$100,""),"")</f>
        <v/>
      </c>
      <c r="E16" t="str">
        <f>IFERROR(_xlfn.XLOOKUP(TEXT(A16,"0"),Query!$A$2:$A$100,Query!$C$2:$C$100,""),"")</f>
        <v/>
      </c>
      <c r="F16" t="str">
        <f>IFERROR(_xlfn.XLOOKUP(TEXT(A16,"0"),Query!$A$2:$A$100,Query!$D$2:$D$100,""),"")</f>
        <v/>
      </c>
      <c r="G16" t="str">
        <f>IFERROR(_xlfn.XLOOKUP(TEXT(A16,"0"),Query!$A$2:$A$100,Query!$G$2:$G$100,""),"")</f>
        <v/>
      </c>
      <c r="H16" t="str">
        <f>IFERROR(_xlfn.XLOOKUP(TEXT(A16,"0"),Query!$A$2:$A$100,Query!$H$2:$H$100,""),"")</f>
        <v/>
      </c>
      <c r="I16" t="str">
        <f>IFERROR(_xlfn.XLOOKUP(TEXT(A16,"0"),Query!$A$2:$A$100,Query!$I$2:$I$100,""),"")</f>
        <v/>
      </c>
      <c r="J16">
        <f>IFERROR(_xlfn.XLOOKUP(B16,Client_List!$A$4:$A$200,Client_List!$J$4:$J$200,""),"")</f>
        <v>0</v>
      </c>
      <c r="K16" t="str">
        <f t="shared" si="0"/>
        <v/>
      </c>
      <c r="L16" t="str">
        <f t="shared" si="1"/>
        <v/>
      </c>
      <c r="M16" t="str">
        <f t="shared" ca="1" si="2"/>
        <v/>
      </c>
    </row>
    <row r="17" spans="3:13" x14ac:dyDescent="0.2">
      <c r="C17">
        <f>IFERROR(_xlfn.XLOOKUP(B17,Client_List!$A$4:$A$200,Client_List!$B$4:$B$200,""),"")</f>
        <v>0</v>
      </c>
      <c r="D17" t="str">
        <f>IFERROR(_xlfn.XLOOKUP(TEXT(A17,"0"),Query!$A$2:$A$100,Query!$B$2:$B$100,""),"")</f>
        <v/>
      </c>
      <c r="E17" t="str">
        <f>IFERROR(_xlfn.XLOOKUP(TEXT(A17,"0"),Query!$A$2:$A$100,Query!$C$2:$C$100,""),"")</f>
        <v/>
      </c>
      <c r="F17" t="str">
        <f>IFERROR(_xlfn.XLOOKUP(TEXT(A17,"0"),Query!$A$2:$A$100,Query!$D$2:$D$100,""),"")</f>
        <v/>
      </c>
      <c r="G17" t="str">
        <f>IFERROR(_xlfn.XLOOKUP(TEXT(A17,"0"),Query!$A$2:$A$100,Query!$G$2:$G$100,""),"")</f>
        <v/>
      </c>
      <c r="H17" t="str">
        <f>IFERROR(_xlfn.XLOOKUP(TEXT(A17,"0"),Query!$A$2:$A$100,Query!$H$2:$H$100,""),"")</f>
        <v/>
      </c>
      <c r="I17" t="str">
        <f>IFERROR(_xlfn.XLOOKUP(TEXT(A17,"0"),Query!$A$2:$A$100,Query!$I$2:$I$100,""),"")</f>
        <v/>
      </c>
      <c r="J17">
        <f>IFERROR(_xlfn.XLOOKUP(B17,Client_List!$A$4:$A$200,Client_List!$J$4:$J$200,""),"")</f>
        <v>0</v>
      </c>
      <c r="K17" t="str">
        <f t="shared" si="0"/>
        <v/>
      </c>
      <c r="L17" t="str">
        <f t="shared" si="1"/>
        <v/>
      </c>
      <c r="M17" t="str">
        <f t="shared" ca="1" si="2"/>
        <v/>
      </c>
    </row>
    <row r="18" spans="3:13" x14ac:dyDescent="0.2">
      <c r="C18">
        <f>IFERROR(_xlfn.XLOOKUP(B18,Client_List!$A$4:$A$200,Client_List!$B$4:$B$200,""),"")</f>
        <v>0</v>
      </c>
      <c r="D18" t="str">
        <f>IFERROR(_xlfn.XLOOKUP(TEXT(A18,"0"),Query!$A$2:$A$100,Query!$B$2:$B$100,""),"")</f>
        <v/>
      </c>
      <c r="E18" t="str">
        <f>IFERROR(_xlfn.XLOOKUP(TEXT(A18,"0"),Query!$A$2:$A$100,Query!$C$2:$C$100,""),"")</f>
        <v/>
      </c>
      <c r="F18" t="str">
        <f>IFERROR(_xlfn.XLOOKUP(TEXT(A18,"0"),Query!$A$2:$A$100,Query!$D$2:$D$100,""),"")</f>
        <v/>
      </c>
      <c r="G18" t="str">
        <f>IFERROR(_xlfn.XLOOKUP(TEXT(A18,"0"),Query!$A$2:$A$100,Query!$G$2:$G$100,""),"")</f>
        <v/>
      </c>
      <c r="H18" t="str">
        <f>IFERROR(_xlfn.XLOOKUP(TEXT(A18,"0"),Query!$A$2:$A$100,Query!$H$2:$H$100,""),"")</f>
        <v/>
      </c>
      <c r="I18" t="str">
        <f>IFERROR(_xlfn.XLOOKUP(TEXT(A18,"0"),Query!$A$2:$A$100,Query!$I$2:$I$100,""),"")</f>
        <v/>
      </c>
      <c r="J18">
        <f>IFERROR(_xlfn.XLOOKUP(B18,Client_List!$A$4:$A$200,Client_List!$J$4:$J$200,""),"")</f>
        <v>0</v>
      </c>
      <c r="K18" t="str">
        <f t="shared" si="0"/>
        <v/>
      </c>
      <c r="L18" t="str">
        <f t="shared" si="1"/>
        <v/>
      </c>
      <c r="M18" t="str">
        <f t="shared" ca="1" si="2"/>
        <v/>
      </c>
    </row>
    <row r="19" spans="3:13" x14ac:dyDescent="0.2">
      <c r="C19">
        <f>IFERROR(_xlfn.XLOOKUP(B19,Client_List!$A$4:$A$200,Client_List!$B$4:$B$200,""),"")</f>
        <v>0</v>
      </c>
      <c r="D19" t="str">
        <f>IFERROR(_xlfn.XLOOKUP(TEXT(A19,"0"),Query!$A$2:$A$100,Query!$B$2:$B$100,""),"")</f>
        <v/>
      </c>
      <c r="E19" t="str">
        <f>IFERROR(_xlfn.XLOOKUP(TEXT(A19,"0"),Query!$A$2:$A$100,Query!$C$2:$C$100,""),"")</f>
        <v/>
      </c>
      <c r="F19" t="str">
        <f>IFERROR(_xlfn.XLOOKUP(TEXT(A19,"0"),Query!$A$2:$A$100,Query!$D$2:$D$100,""),"")</f>
        <v/>
      </c>
      <c r="G19" t="str">
        <f>IFERROR(_xlfn.XLOOKUP(TEXT(A19,"0"),Query!$A$2:$A$100,Query!$G$2:$G$100,""),"")</f>
        <v/>
      </c>
      <c r="H19" t="str">
        <f>IFERROR(_xlfn.XLOOKUP(TEXT(A19,"0"),Query!$A$2:$A$100,Query!$H$2:$H$100,""),"")</f>
        <v/>
      </c>
      <c r="I19" t="str">
        <f>IFERROR(_xlfn.XLOOKUP(TEXT(A19,"0"),Query!$A$2:$A$100,Query!$I$2:$I$100,""),"")</f>
        <v/>
      </c>
      <c r="J19">
        <f>IFERROR(_xlfn.XLOOKUP(B19,Client_List!$A$4:$A$200,Client_List!$J$4:$J$200,""),"")</f>
        <v>0</v>
      </c>
      <c r="K19" t="str">
        <f t="shared" si="0"/>
        <v/>
      </c>
      <c r="L19" t="str">
        <f t="shared" si="1"/>
        <v/>
      </c>
      <c r="M19" t="str">
        <f t="shared" ca="1" si="2"/>
        <v/>
      </c>
    </row>
    <row r="20" spans="3:13" x14ac:dyDescent="0.2">
      <c r="C20">
        <f>IFERROR(_xlfn.XLOOKUP(B20,Client_List!$A$4:$A$200,Client_List!$B$4:$B$200,""),"")</f>
        <v>0</v>
      </c>
      <c r="D20" t="str">
        <f>IFERROR(_xlfn.XLOOKUP(TEXT(A20,"0"),Query!$A$2:$A$100,Query!$B$2:$B$100,""),"")</f>
        <v/>
      </c>
      <c r="E20" t="str">
        <f>IFERROR(_xlfn.XLOOKUP(TEXT(A20,"0"),Query!$A$2:$A$100,Query!$C$2:$C$100,""),"")</f>
        <v/>
      </c>
      <c r="F20" t="str">
        <f>IFERROR(_xlfn.XLOOKUP(TEXT(A20,"0"),Query!$A$2:$A$100,Query!$D$2:$D$100,""),"")</f>
        <v/>
      </c>
      <c r="G20" t="str">
        <f>IFERROR(_xlfn.XLOOKUP(TEXT(A20,"0"),Query!$A$2:$A$100,Query!$G$2:$G$100,""),"")</f>
        <v/>
      </c>
      <c r="H20" t="str">
        <f>IFERROR(_xlfn.XLOOKUP(TEXT(A20,"0"),Query!$A$2:$A$100,Query!$H$2:$H$100,""),"")</f>
        <v/>
      </c>
      <c r="I20" t="str">
        <f>IFERROR(_xlfn.XLOOKUP(TEXT(A20,"0"),Query!$A$2:$A$100,Query!$I$2:$I$100,""),"")</f>
        <v/>
      </c>
      <c r="J20">
        <f>IFERROR(_xlfn.XLOOKUP(B20,Client_List!$A$4:$A$200,Client_List!$J$4:$J$200,""),"")</f>
        <v>0</v>
      </c>
      <c r="K20" t="str">
        <f t="shared" si="0"/>
        <v/>
      </c>
      <c r="L20" t="str">
        <f t="shared" si="1"/>
        <v/>
      </c>
      <c r="M20" t="str">
        <f t="shared" ca="1" si="2"/>
        <v/>
      </c>
    </row>
    <row r="21" spans="3:13" x14ac:dyDescent="0.2">
      <c r="C21">
        <f>IFERROR(_xlfn.XLOOKUP(B21,Client_List!$A$4:$A$200,Client_List!$B$4:$B$200,""),"")</f>
        <v>0</v>
      </c>
      <c r="D21" t="str">
        <f>IFERROR(_xlfn.XLOOKUP(TEXT(A21,"0"),Query!$A$2:$A$100,Query!$B$2:$B$100,""),"")</f>
        <v/>
      </c>
      <c r="E21" t="str">
        <f>IFERROR(_xlfn.XLOOKUP(TEXT(A21,"0"),Query!$A$2:$A$100,Query!$C$2:$C$100,""),"")</f>
        <v/>
      </c>
      <c r="F21" t="str">
        <f>IFERROR(_xlfn.XLOOKUP(TEXT(A21,"0"),Query!$A$2:$A$100,Query!$D$2:$D$100,""),"")</f>
        <v/>
      </c>
      <c r="G21" t="str">
        <f>IFERROR(_xlfn.XLOOKUP(TEXT(A21,"0"),Query!$A$2:$A$100,Query!$G$2:$G$100,""),"")</f>
        <v/>
      </c>
      <c r="H21" t="str">
        <f>IFERROR(_xlfn.XLOOKUP(TEXT(A21,"0"),Query!$A$2:$A$100,Query!$H$2:$H$100,""),"")</f>
        <v/>
      </c>
      <c r="I21" t="str">
        <f>IFERROR(_xlfn.XLOOKUP(TEXT(A21,"0"),Query!$A$2:$A$100,Query!$I$2:$I$100,""),"")</f>
        <v/>
      </c>
      <c r="J21">
        <f>IFERROR(_xlfn.XLOOKUP(B21,Client_List!$A$4:$A$200,Client_List!$J$4:$J$200,""),"")</f>
        <v>0</v>
      </c>
      <c r="K21" t="str">
        <f t="shared" si="0"/>
        <v/>
      </c>
      <c r="L21" t="str">
        <f t="shared" si="1"/>
        <v/>
      </c>
      <c r="M21" t="str">
        <f t="shared" ca="1" si="2"/>
        <v/>
      </c>
    </row>
    <row r="22" spans="3:13" x14ac:dyDescent="0.2">
      <c r="C22">
        <f>IFERROR(_xlfn.XLOOKUP(B22,Client_List!$A$4:$A$200,Client_List!$B$4:$B$200,""),"")</f>
        <v>0</v>
      </c>
      <c r="D22" t="str">
        <f>IFERROR(_xlfn.XLOOKUP(TEXT(A22,"0"),Query!$A$2:$A$100,Query!$B$2:$B$100,""),"")</f>
        <v/>
      </c>
      <c r="E22" t="str">
        <f>IFERROR(_xlfn.XLOOKUP(TEXT(A22,"0"),Query!$A$2:$A$100,Query!$C$2:$C$100,""),"")</f>
        <v/>
      </c>
      <c r="F22" t="str">
        <f>IFERROR(_xlfn.XLOOKUP(TEXT(A22,"0"),Query!$A$2:$A$100,Query!$D$2:$D$100,""),"")</f>
        <v/>
      </c>
      <c r="G22" t="str">
        <f>IFERROR(_xlfn.XLOOKUP(TEXT(A22,"0"),Query!$A$2:$A$100,Query!$G$2:$G$100,""),"")</f>
        <v/>
      </c>
      <c r="H22" t="str">
        <f>IFERROR(_xlfn.XLOOKUP(TEXT(A22,"0"),Query!$A$2:$A$100,Query!$H$2:$H$100,""),"")</f>
        <v/>
      </c>
      <c r="I22" t="str">
        <f>IFERROR(_xlfn.XLOOKUP(TEXT(A22,"0"),Query!$A$2:$A$100,Query!$I$2:$I$100,""),"")</f>
        <v/>
      </c>
      <c r="J22">
        <f>IFERROR(_xlfn.XLOOKUP(B22,Client_List!$A$4:$A$200,Client_List!$J$4:$J$200,""),"")</f>
        <v>0</v>
      </c>
      <c r="K22" t="str">
        <f t="shared" si="0"/>
        <v/>
      </c>
      <c r="L22" t="str">
        <f t="shared" si="1"/>
        <v/>
      </c>
      <c r="M22" t="str">
        <f t="shared" ca="1" si="2"/>
        <v/>
      </c>
    </row>
    <row r="23" spans="3:13" x14ac:dyDescent="0.2">
      <c r="C23">
        <f>IFERROR(_xlfn.XLOOKUP(B23,Client_List!$A$4:$A$200,Client_List!$B$4:$B$200,""),"")</f>
        <v>0</v>
      </c>
      <c r="D23" t="str">
        <f>IFERROR(_xlfn.XLOOKUP(TEXT(A23,"0"),Query!$A$2:$A$100,Query!$B$2:$B$100,""),"")</f>
        <v/>
      </c>
      <c r="E23" t="str">
        <f>IFERROR(_xlfn.XLOOKUP(TEXT(A23,"0"),Query!$A$2:$A$100,Query!$C$2:$C$100,""),"")</f>
        <v/>
      </c>
      <c r="F23" t="str">
        <f>IFERROR(_xlfn.XLOOKUP(TEXT(A23,"0"),Query!$A$2:$A$100,Query!$D$2:$D$100,""),"")</f>
        <v/>
      </c>
      <c r="G23" t="str">
        <f>IFERROR(_xlfn.XLOOKUP(TEXT(A23,"0"),Query!$A$2:$A$100,Query!$G$2:$G$100,""),"")</f>
        <v/>
      </c>
      <c r="H23" t="str">
        <f>IFERROR(_xlfn.XLOOKUP(TEXT(A23,"0"),Query!$A$2:$A$100,Query!$H$2:$H$100,""),"")</f>
        <v/>
      </c>
      <c r="I23" t="str">
        <f>IFERROR(_xlfn.XLOOKUP(TEXT(A23,"0"),Query!$A$2:$A$100,Query!$I$2:$I$100,""),"")</f>
        <v/>
      </c>
      <c r="J23">
        <f>IFERROR(_xlfn.XLOOKUP(B23,Client_List!$A$4:$A$200,Client_List!$J$4:$J$200,""),"")</f>
        <v>0</v>
      </c>
      <c r="K23" t="str">
        <f t="shared" si="0"/>
        <v/>
      </c>
      <c r="L23" t="str">
        <f t="shared" si="1"/>
        <v/>
      </c>
      <c r="M23" t="str">
        <f t="shared" ca="1" si="2"/>
        <v/>
      </c>
    </row>
    <row r="24" spans="3:13" x14ac:dyDescent="0.2">
      <c r="C24">
        <f>IFERROR(_xlfn.XLOOKUP(B24,Client_List!$A$4:$A$200,Client_List!$B$4:$B$200,""),"")</f>
        <v>0</v>
      </c>
      <c r="D24" t="str">
        <f>IFERROR(_xlfn.XLOOKUP(TEXT(A24,"0"),Query!$A$2:$A$100,Query!$B$2:$B$100,""),"")</f>
        <v/>
      </c>
      <c r="E24" t="str">
        <f>IFERROR(_xlfn.XLOOKUP(TEXT(A24,"0"),Query!$A$2:$A$100,Query!$C$2:$C$100,""),"")</f>
        <v/>
      </c>
      <c r="F24" t="str">
        <f>IFERROR(_xlfn.XLOOKUP(TEXT(A24,"0"),Query!$A$2:$A$100,Query!$D$2:$D$100,""),"")</f>
        <v/>
      </c>
      <c r="G24" t="str">
        <f>IFERROR(_xlfn.XLOOKUP(TEXT(A24,"0"),Query!$A$2:$A$100,Query!$G$2:$G$100,""),"")</f>
        <v/>
      </c>
      <c r="H24" t="str">
        <f>IFERROR(_xlfn.XLOOKUP(TEXT(A24,"0"),Query!$A$2:$A$100,Query!$H$2:$H$100,""),"")</f>
        <v/>
      </c>
      <c r="I24" t="str">
        <f>IFERROR(_xlfn.XLOOKUP(TEXT(A24,"0"),Query!$A$2:$A$100,Query!$I$2:$I$100,""),"")</f>
        <v/>
      </c>
      <c r="J24">
        <f>IFERROR(_xlfn.XLOOKUP(B24,Client_List!$A$4:$A$200,Client_List!$J$4:$J$200,""),"")</f>
        <v>0</v>
      </c>
      <c r="K24" t="str">
        <f t="shared" si="0"/>
        <v/>
      </c>
      <c r="L24" t="str">
        <f t="shared" si="1"/>
        <v/>
      </c>
      <c r="M24" t="str">
        <f t="shared" ca="1" si="2"/>
        <v/>
      </c>
    </row>
    <row r="25" spans="3:13" x14ac:dyDescent="0.2">
      <c r="C25">
        <f>IFERROR(_xlfn.XLOOKUP(B25,Client_List!$A$4:$A$200,Client_List!$B$4:$B$200,""),"")</f>
        <v>0</v>
      </c>
      <c r="D25" t="str">
        <f>IFERROR(_xlfn.XLOOKUP(TEXT(A25,"0"),Query!$A$2:$A$100,Query!$B$2:$B$100,""),"")</f>
        <v/>
      </c>
      <c r="E25" t="str">
        <f>IFERROR(_xlfn.XLOOKUP(TEXT(A25,"0"),Query!$A$2:$A$100,Query!$C$2:$C$100,""),"")</f>
        <v/>
      </c>
      <c r="F25" t="str">
        <f>IFERROR(_xlfn.XLOOKUP(TEXT(A25,"0"),Query!$A$2:$A$100,Query!$D$2:$D$100,""),"")</f>
        <v/>
      </c>
      <c r="G25" t="str">
        <f>IFERROR(_xlfn.XLOOKUP(TEXT(A25,"0"),Query!$A$2:$A$100,Query!$G$2:$G$100,""),"")</f>
        <v/>
      </c>
      <c r="H25" t="str">
        <f>IFERROR(_xlfn.XLOOKUP(TEXT(A25,"0"),Query!$A$2:$A$100,Query!$H$2:$H$100,""),"")</f>
        <v/>
      </c>
      <c r="I25" t="str">
        <f>IFERROR(_xlfn.XLOOKUP(TEXT(A25,"0"),Query!$A$2:$A$100,Query!$I$2:$I$100,""),"")</f>
        <v/>
      </c>
      <c r="J25">
        <f>IFERROR(_xlfn.XLOOKUP(B25,Client_List!$A$4:$A$200,Client_List!$J$4:$J$200,""),"")</f>
        <v>0</v>
      </c>
      <c r="K25" t="str">
        <f t="shared" si="0"/>
        <v/>
      </c>
      <c r="L25" t="str">
        <f t="shared" si="1"/>
        <v/>
      </c>
      <c r="M25" t="str">
        <f t="shared" ca="1" si="2"/>
        <v/>
      </c>
    </row>
    <row r="26" spans="3:13" x14ac:dyDescent="0.2">
      <c r="C26">
        <f>IFERROR(_xlfn.XLOOKUP(B26,Client_List!$A$4:$A$200,Client_List!$B$4:$B$200,""),"")</f>
        <v>0</v>
      </c>
      <c r="D26" t="str">
        <f>IFERROR(_xlfn.XLOOKUP(TEXT(A26,"0"),Query!$A$2:$A$100,Query!$B$2:$B$100,""),"")</f>
        <v/>
      </c>
      <c r="E26" t="str">
        <f>IFERROR(_xlfn.XLOOKUP(TEXT(A26,"0"),Query!$A$2:$A$100,Query!$C$2:$C$100,""),"")</f>
        <v/>
      </c>
      <c r="F26" t="str">
        <f>IFERROR(_xlfn.XLOOKUP(TEXT(A26,"0"),Query!$A$2:$A$100,Query!$D$2:$D$100,""),"")</f>
        <v/>
      </c>
      <c r="G26" t="str">
        <f>IFERROR(_xlfn.XLOOKUP(TEXT(A26,"0"),Query!$A$2:$A$100,Query!$G$2:$G$100,""),"")</f>
        <v/>
      </c>
      <c r="H26" t="str">
        <f>IFERROR(_xlfn.XLOOKUP(TEXT(A26,"0"),Query!$A$2:$A$100,Query!$H$2:$H$100,""),"")</f>
        <v/>
      </c>
      <c r="I26" t="str">
        <f>IFERROR(_xlfn.XLOOKUP(TEXT(A26,"0"),Query!$A$2:$A$100,Query!$I$2:$I$100,""),"")</f>
        <v/>
      </c>
      <c r="J26">
        <f>IFERROR(_xlfn.XLOOKUP(B26,Client_List!$A$4:$A$200,Client_List!$J$4:$J$200,""),"")</f>
        <v>0</v>
      </c>
      <c r="K26" t="str">
        <f t="shared" si="0"/>
        <v/>
      </c>
      <c r="L26" t="str">
        <f t="shared" si="1"/>
        <v/>
      </c>
      <c r="M26" t="str">
        <f t="shared" ca="1" si="2"/>
        <v/>
      </c>
    </row>
    <row r="27" spans="3:13" x14ac:dyDescent="0.2">
      <c r="C27">
        <f>IFERROR(_xlfn.XLOOKUP(B27,Client_List!$A$4:$A$200,Client_List!$B$4:$B$200,""),"")</f>
        <v>0</v>
      </c>
      <c r="D27" t="str">
        <f>IFERROR(_xlfn.XLOOKUP(TEXT(A27,"0"),Query!$A$2:$A$100,Query!$B$2:$B$100,""),"")</f>
        <v/>
      </c>
      <c r="E27" t="str">
        <f>IFERROR(_xlfn.XLOOKUP(TEXT(A27,"0"),Query!$A$2:$A$100,Query!$C$2:$C$100,""),"")</f>
        <v/>
      </c>
      <c r="F27" t="str">
        <f>IFERROR(_xlfn.XLOOKUP(TEXT(A27,"0"),Query!$A$2:$A$100,Query!$D$2:$D$100,""),"")</f>
        <v/>
      </c>
      <c r="G27" t="str">
        <f>IFERROR(_xlfn.XLOOKUP(TEXT(A27,"0"),Query!$A$2:$A$100,Query!$G$2:$G$100,""),"")</f>
        <v/>
      </c>
      <c r="H27" t="str">
        <f>IFERROR(_xlfn.XLOOKUP(TEXT(A27,"0"),Query!$A$2:$A$100,Query!$H$2:$H$100,""),"")</f>
        <v/>
      </c>
      <c r="I27" t="str">
        <f>IFERROR(_xlfn.XLOOKUP(TEXT(A27,"0"),Query!$A$2:$A$100,Query!$I$2:$I$100,""),"")</f>
        <v/>
      </c>
      <c r="J27">
        <f>IFERROR(_xlfn.XLOOKUP(B27,Client_List!$A$4:$A$200,Client_List!$J$4:$J$200,""),"")</f>
        <v>0</v>
      </c>
      <c r="K27" t="str">
        <f t="shared" si="0"/>
        <v/>
      </c>
      <c r="L27" t="str">
        <f t="shared" si="1"/>
        <v/>
      </c>
      <c r="M27" t="str">
        <f t="shared" ca="1" si="2"/>
        <v/>
      </c>
    </row>
    <row r="28" spans="3:13" x14ac:dyDescent="0.2">
      <c r="C28">
        <f>IFERROR(_xlfn.XLOOKUP(B28,Client_List!$A$4:$A$200,Client_List!$B$4:$B$200,""),"")</f>
        <v>0</v>
      </c>
      <c r="D28" t="str">
        <f>IFERROR(_xlfn.XLOOKUP(TEXT(A28,"0"),Query!$A$2:$A$100,Query!$B$2:$B$100,""),"")</f>
        <v/>
      </c>
      <c r="E28" t="str">
        <f>IFERROR(_xlfn.XLOOKUP(TEXT(A28,"0"),Query!$A$2:$A$100,Query!$C$2:$C$100,""),"")</f>
        <v/>
      </c>
      <c r="F28" t="str">
        <f>IFERROR(_xlfn.XLOOKUP(TEXT(A28,"0"),Query!$A$2:$A$100,Query!$D$2:$D$100,""),"")</f>
        <v/>
      </c>
      <c r="G28" t="str">
        <f>IFERROR(_xlfn.XLOOKUP(TEXT(A28,"0"),Query!$A$2:$A$100,Query!$G$2:$G$100,""),"")</f>
        <v/>
      </c>
      <c r="H28" t="str">
        <f>IFERROR(_xlfn.XLOOKUP(TEXT(A28,"0"),Query!$A$2:$A$100,Query!$H$2:$H$100,""),"")</f>
        <v/>
      </c>
      <c r="I28" t="str">
        <f>IFERROR(_xlfn.XLOOKUP(TEXT(A28,"0"),Query!$A$2:$A$100,Query!$I$2:$I$100,""),"")</f>
        <v/>
      </c>
      <c r="J28">
        <f>IFERROR(_xlfn.XLOOKUP(B28,Client_List!$A$4:$A$200,Client_List!$J$4:$J$200,""),"")</f>
        <v>0</v>
      </c>
      <c r="K28" t="str">
        <f t="shared" si="0"/>
        <v/>
      </c>
      <c r="L28" t="str">
        <f t="shared" si="1"/>
        <v/>
      </c>
      <c r="M28" t="str">
        <f t="shared" ca="1" si="2"/>
        <v/>
      </c>
    </row>
    <row r="29" spans="3:13" x14ac:dyDescent="0.2">
      <c r="C29">
        <f>IFERROR(_xlfn.XLOOKUP(B29,Client_List!$A$4:$A$200,Client_List!$B$4:$B$200,""),"")</f>
        <v>0</v>
      </c>
      <c r="D29" t="str">
        <f>IFERROR(_xlfn.XLOOKUP(TEXT(A29,"0"),Query!$A$2:$A$100,Query!$B$2:$B$100,""),"")</f>
        <v/>
      </c>
      <c r="E29" t="str">
        <f>IFERROR(_xlfn.XLOOKUP(TEXT(A29,"0"),Query!$A$2:$A$100,Query!$C$2:$C$100,""),"")</f>
        <v/>
      </c>
      <c r="F29" t="str">
        <f>IFERROR(_xlfn.XLOOKUP(TEXT(A29,"0"),Query!$A$2:$A$100,Query!$D$2:$D$100,""),"")</f>
        <v/>
      </c>
      <c r="G29" t="str">
        <f>IFERROR(_xlfn.XLOOKUP(TEXT(A29,"0"),Query!$A$2:$A$100,Query!$G$2:$G$100,""),"")</f>
        <v/>
      </c>
      <c r="H29" t="str">
        <f>IFERROR(_xlfn.XLOOKUP(TEXT(A29,"0"),Query!$A$2:$A$100,Query!$H$2:$H$100,""),"")</f>
        <v/>
      </c>
      <c r="I29" t="str">
        <f>IFERROR(_xlfn.XLOOKUP(TEXT(A29,"0"),Query!$A$2:$A$100,Query!$I$2:$I$100,""),"")</f>
        <v/>
      </c>
      <c r="J29">
        <f>IFERROR(_xlfn.XLOOKUP(B29,Client_List!$A$4:$A$200,Client_List!$J$4:$J$200,""),"")</f>
        <v>0</v>
      </c>
      <c r="K29" t="str">
        <f t="shared" si="0"/>
        <v/>
      </c>
      <c r="L29" t="str">
        <f t="shared" si="1"/>
        <v/>
      </c>
      <c r="M29" t="str">
        <f t="shared" ca="1" si="2"/>
        <v/>
      </c>
    </row>
    <row r="30" spans="3:13" x14ac:dyDescent="0.2">
      <c r="C30">
        <f>IFERROR(_xlfn.XLOOKUP(B30,Client_List!$A$4:$A$200,Client_List!$B$4:$B$200,""),"")</f>
        <v>0</v>
      </c>
      <c r="D30" t="str">
        <f>IFERROR(_xlfn.XLOOKUP(TEXT(A30,"0"),Query!$A$2:$A$100,Query!$B$2:$B$100,""),"")</f>
        <v/>
      </c>
      <c r="E30" t="str">
        <f>IFERROR(_xlfn.XLOOKUP(TEXT(A30,"0"),Query!$A$2:$A$100,Query!$C$2:$C$100,""),"")</f>
        <v/>
      </c>
      <c r="F30" t="str">
        <f>IFERROR(_xlfn.XLOOKUP(TEXT(A30,"0"),Query!$A$2:$A$100,Query!$D$2:$D$100,""),"")</f>
        <v/>
      </c>
      <c r="G30" t="str">
        <f>IFERROR(_xlfn.XLOOKUP(TEXT(A30,"0"),Query!$A$2:$A$100,Query!$G$2:$G$100,""),"")</f>
        <v/>
      </c>
      <c r="H30" t="str">
        <f>IFERROR(_xlfn.XLOOKUP(TEXT(A30,"0"),Query!$A$2:$A$100,Query!$H$2:$H$100,""),"")</f>
        <v/>
      </c>
      <c r="I30" t="str">
        <f>IFERROR(_xlfn.XLOOKUP(TEXT(A30,"0"),Query!$A$2:$A$100,Query!$I$2:$I$100,""),"")</f>
        <v/>
      </c>
      <c r="J30">
        <f>IFERROR(_xlfn.XLOOKUP(B30,Client_List!$A$4:$A$200,Client_List!$J$4:$J$200,""),"")</f>
        <v>0</v>
      </c>
      <c r="K30" t="str">
        <f t="shared" si="0"/>
        <v/>
      </c>
      <c r="L30" t="str">
        <f t="shared" si="1"/>
        <v/>
      </c>
      <c r="M30" t="str">
        <f t="shared" ca="1" si="2"/>
        <v/>
      </c>
    </row>
    <row r="31" spans="3:13" x14ac:dyDescent="0.2">
      <c r="C31">
        <f>IFERROR(_xlfn.XLOOKUP(B31,Client_List!$A$4:$A$200,Client_List!$B$4:$B$200,""),"")</f>
        <v>0</v>
      </c>
      <c r="D31" t="str">
        <f>IFERROR(_xlfn.XLOOKUP(TEXT(A31,"0"),Query!$A$2:$A$100,Query!$B$2:$B$100,""),"")</f>
        <v/>
      </c>
      <c r="E31" t="str">
        <f>IFERROR(_xlfn.XLOOKUP(TEXT(A31,"0"),Query!$A$2:$A$100,Query!$C$2:$C$100,""),"")</f>
        <v/>
      </c>
      <c r="F31" t="str">
        <f>IFERROR(_xlfn.XLOOKUP(TEXT(A31,"0"),Query!$A$2:$A$100,Query!$D$2:$D$100,""),"")</f>
        <v/>
      </c>
      <c r="G31" t="str">
        <f>IFERROR(_xlfn.XLOOKUP(TEXT(A31,"0"),Query!$A$2:$A$100,Query!$G$2:$G$100,""),"")</f>
        <v/>
      </c>
      <c r="H31" t="str">
        <f>IFERROR(_xlfn.XLOOKUP(TEXT(A31,"0"),Query!$A$2:$A$100,Query!$H$2:$H$100,""),"")</f>
        <v/>
      </c>
      <c r="I31" t="str">
        <f>IFERROR(_xlfn.XLOOKUP(TEXT(A31,"0"),Query!$A$2:$A$100,Query!$I$2:$I$100,""),"")</f>
        <v/>
      </c>
      <c r="J31">
        <f>IFERROR(_xlfn.XLOOKUP(B31,Client_List!$A$4:$A$200,Client_List!$J$4:$J$200,""),"")</f>
        <v>0</v>
      </c>
      <c r="K31" t="str">
        <f t="shared" si="0"/>
        <v/>
      </c>
      <c r="L31" t="str">
        <f t="shared" si="1"/>
        <v/>
      </c>
      <c r="M31" t="str">
        <f t="shared" ca="1" si="2"/>
        <v/>
      </c>
    </row>
    <row r="32" spans="3:13" x14ac:dyDescent="0.2">
      <c r="C32">
        <f>IFERROR(_xlfn.XLOOKUP(B32,Client_List!$A$4:$A$200,Client_List!$B$4:$B$200,""),"")</f>
        <v>0</v>
      </c>
      <c r="D32" t="str">
        <f>IFERROR(_xlfn.XLOOKUP(TEXT(A32,"0"),Query!$A$2:$A$100,Query!$B$2:$B$100,""),"")</f>
        <v/>
      </c>
      <c r="E32" t="str">
        <f>IFERROR(_xlfn.XLOOKUP(TEXT(A32,"0"),Query!$A$2:$A$100,Query!$C$2:$C$100,""),"")</f>
        <v/>
      </c>
      <c r="F32" t="str">
        <f>IFERROR(_xlfn.XLOOKUP(TEXT(A32,"0"),Query!$A$2:$A$100,Query!$D$2:$D$100,""),"")</f>
        <v/>
      </c>
      <c r="G32" t="str">
        <f>IFERROR(_xlfn.XLOOKUP(TEXT(A32,"0"),Query!$A$2:$A$100,Query!$G$2:$G$100,""),"")</f>
        <v/>
      </c>
      <c r="H32" t="str">
        <f>IFERROR(_xlfn.XLOOKUP(TEXT(A32,"0"),Query!$A$2:$A$100,Query!$H$2:$H$100,""),"")</f>
        <v/>
      </c>
      <c r="I32" t="str">
        <f>IFERROR(_xlfn.XLOOKUP(TEXT(A32,"0"),Query!$A$2:$A$100,Query!$I$2:$I$100,""),"")</f>
        <v/>
      </c>
      <c r="J32">
        <f>IFERROR(_xlfn.XLOOKUP(B32,Client_List!$A$4:$A$200,Client_List!$J$4:$J$200,""),"")</f>
        <v>0</v>
      </c>
      <c r="K32" t="str">
        <f t="shared" si="0"/>
        <v/>
      </c>
      <c r="L32" t="str">
        <f t="shared" si="1"/>
        <v/>
      </c>
      <c r="M32" t="str">
        <f t="shared" ca="1" si="2"/>
        <v/>
      </c>
    </row>
    <row r="33" spans="3:13" x14ac:dyDescent="0.2">
      <c r="C33">
        <f>IFERROR(_xlfn.XLOOKUP(B33,Client_List!$A$4:$A$200,Client_List!$B$4:$B$200,""),"")</f>
        <v>0</v>
      </c>
      <c r="D33" t="str">
        <f>IFERROR(_xlfn.XLOOKUP(TEXT(A33,"0"),Query!$A$2:$A$100,Query!$B$2:$B$100,""),"")</f>
        <v/>
      </c>
      <c r="E33" t="str">
        <f>IFERROR(_xlfn.XLOOKUP(TEXT(A33,"0"),Query!$A$2:$A$100,Query!$C$2:$C$100,""),"")</f>
        <v/>
      </c>
      <c r="F33" t="str">
        <f>IFERROR(_xlfn.XLOOKUP(TEXT(A33,"0"),Query!$A$2:$A$100,Query!$D$2:$D$100,""),"")</f>
        <v/>
      </c>
      <c r="G33" t="str">
        <f>IFERROR(_xlfn.XLOOKUP(TEXT(A33,"0"),Query!$A$2:$A$100,Query!$G$2:$G$100,""),"")</f>
        <v/>
      </c>
      <c r="H33" t="str">
        <f>IFERROR(_xlfn.XLOOKUP(TEXT(A33,"0"),Query!$A$2:$A$100,Query!$H$2:$H$100,""),"")</f>
        <v/>
      </c>
      <c r="I33" t="str">
        <f>IFERROR(_xlfn.XLOOKUP(TEXT(A33,"0"),Query!$A$2:$A$100,Query!$I$2:$I$100,""),"")</f>
        <v/>
      </c>
      <c r="J33">
        <f>IFERROR(_xlfn.XLOOKUP(B33,Client_List!$A$4:$A$200,Client_List!$J$4:$J$200,""),"")</f>
        <v>0</v>
      </c>
      <c r="K33" t="str">
        <f t="shared" si="0"/>
        <v/>
      </c>
      <c r="L33" t="str">
        <f t="shared" si="1"/>
        <v/>
      </c>
      <c r="M33" t="str">
        <f t="shared" ca="1" si="2"/>
        <v/>
      </c>
    </row>
    <row r="34" spans="3:13" x14ac:dyDescent="0.2">
      <c r="C34">
        <f>IFERROR(_xlfn.XLOOKUP(B34,Client_List!$A$4:$A$200,Client_List!$B$4:$B$200,""),"")</f>
        <v>0</v>
      </c>
      <c r="D34" t="str">
        <f>IFERROR(_xlfn.XLOOKUP(TEXT(A34,"0"),Query!$A$2:$A$100,Query!$B$2:$B$100,""),"")</f>
        <v/>
      </c>
      <c r="E34" t="str">
        <f>IFERROR(_xlfn.XLOOKUP(TEXT(A34,"0"),Query!$A$2:$A$100,Query!$C$2:$C$100,""),"")</f>
        <v/>
      </c>
      <c r="F34" t="str">
        <f>IFERROR(_xlfn.XLOOKUP(TEXT(A34,"0"),Query!$A$2:$A$100,Query!$D$2:$D$100,""),"")</f>
        <v/>
      </c>
      <c r="G34" t="str">
        <f>IFERROR(_xlfn.XLOOKUP(TEXT(A34,"0"),Query!$A$2:$A$100,Query!$G$2:$G$100,""),"")</f>
        <v/>
      </c>
      <c r="H34" t="str">
        <f>IFERROR(_xlfn.XLOOKUP(TEXT(A34,"0"),Query!$A$2:$A$100,Query!$H$2:$H$100,""),"")</f>
        <v/>
      </c>
      <c r="I34" t="str">
        <f>IFERROR(_xlfn.XLOOKUP(TEXT(A34,"0"),Query!$A$2:$A$100,Query!$I$2:$I$100,""),"")</f>
        <v/>
      </c>
      <c r="J34">
        <f>IFERROR(_xlfn.XLOOKUP(B34,Client_List!$A$4:$A$200,Client_List!$J$4:$J$200,""),"")</f>
        <v>0</v>
      </c>
      <c r="K34" t="str">
        <f t="shared" ref="K34:K65" si="3">IFERROR(IF(AND(E34&lt;&gt;"",J34&lt;&gt;""),ROUND(E34/J34*100,1),""),"")</f>
        <v/>
      </c>
      <c r="L34" t="str">
        <f t="shared" ref="L34:L54" si="4">IFERROR(IF(AND(E34&lt;&gt;"",J34&lt;&gt;""),ROUND(J34-E34,0),""),"")</f>
        <v/>
      </c>
      <c r="M34" t="str">
        <f t="shared" ref="M34:M54" ca="1" si="5">IFERROR(IF(H34&lt;&gt;"",ROUND((NOW()-H34)*24,1),""),"")</f>
        <v/>
      </c>
    </row>
    <row r="35" spans="3:13" x14ac:dyDescent="0.2">
      <c r="C35">
        <f>IFERROR(_xlfn.XLOOKUP(B35,Client_List!$A$4:$A$200,Client_List!$B$4:$B$200,""),"")</f>
        <v>0</v>
      </c>
      <c r="D35" t="str">
        <f>IFERROR(_xlfn.XLOOKUP(TEXT(A35,"0"),Query!$A$2:$A$100,Query!$B$2:$B$100,""),"")</f>
        <v/>
      </c>
      <c r="E35" t="str">
        <f>IFERROR(_xlfn.XLOOKUP(TEXT(A35,"0"),Query!$A$2:$A$100,Query!$C$2:$C$100,""),"")</f>
        <v/>
      </c>
      <c r="F35" t="str">
        <f>IFERROR(_xlfn.XLOOKUP(TEXT(A35,"0"),Query!$A$2:$A$100,Query!$D$2:$D$100,""),"")</f>
        <v/>
      </c>
      <c r="G35" t="str">
        <f>IFERROR(_xlfn.XLOOKUP(TEXT(A35,"0"),Query!$A$2:$A$100,Query!$G$2:$G$100,""),"")</f>
        <v/>
      </c>
      <c r="H35" t="str">
        <f>IFERROR(_xlfn.XLOOKUP(TEXT(A35,"0"),Query!$A$2:$A$100,Query!$H$2:$H$100,""),"")</f>
        <v/>
      </c>
      <c r="I35" t="str">
        <f>IFERROR(_xlfn.XLOOKUP(TEXT(A35,"0"),Query!$A$2:$A$100,Query!$I$2:$I$100,""),"")</f>
        <v/>
      </c>
      <c r="J35">
        <f>IFERROR(_xlfn.XLOOKUP(B35,Client_List!$A$4:$A$200,Client_List!$J$4:$J$200,""),"")</f>
        <v>0</v>
      </c>
      <c r="K35" t="str">
        <f t="shared" si="3"/>
        <v/>
      </c>
      <c r="L35" t="str">
        <f t="shared" si="4"/>
        <v/>
      </c>
      <c r="M35" t="str">
        <f t="shared" ca="1" si="5"/>
        <v/>
      </c>
    </row>
    <row r="36" spans="3:13" x14ac:dyDescent="0.2">
      <c r="C36">
        <f>IFERROR(_xlfn.XLOOKUP(B36,Client_List!$A$4:$A$200,Client_List!$B$4:$B$200,""),"")</f>
        <v>0</v>
      </c>
      <c r="D36" t="str">
        <f>IFERROR(_xlfn.XLOOKUP(TEXT(A36,"0"),Query!$A$2:$A$100,Query!$B$2:$B$100,""),"")</f>
        <v/>
      </c>
      <c r="E36" t="str">
        <f>IFERROR(_xlfn.XLOOKUP(TEXT(A36,"0"),Query!$A$2:$A$100,Query!$C$2:$C$100,""),"")</f>
        <v/>
      </c>
      <c r="F36" t="str">
        <f>IFERROR(_xlfn.XLOOKUP(TEXT(A36,"0"),Query!$A$2:$A$100,Query!$D$2:$D$100,""),"")</f>
        <v/>
      </c>
      <c r="G36" t="str">
        <f>IFERROR(_xlfn.XLOOKUP(TEXT(A36,"0"),Query!$A$2:$A$100,Query!$G$2:$G$100,""),"")</f>
        <v/>
      </c>
      <c r="H36" t="str">
        <f>IFERROR(_xlfn.XLOOKUP(TEXT(A36,"0"),Query!$A$2:$A$100,Query!$H$2:$H$100,""),"")</f>
        <v/>
      </c>
      <c r="I36" t="str">
        <f>IFERROR(_xlfn.XLOOKUP(TEXT(A36,"0"),Query!$A$2:$A$100,Query!$I$2:$I$100,""),"")</f>
        <v/>
      </c>
      <c r="J36">
        <f>IFERROR(_xlfn.XLOOKUP(B36,Client_List!$A$4:$A$200,Client_List!$J$4:$J$200,""),"")</f>
        <v>0</v>
      </c>
      <c r="K36" t="str">
        <f t="shared" si="3"/>
        <v/>
      </c>
      <c r="L36" t="str">
        <f t="shared" si="4"/>
        <v/>
      </c>
      <c r="M36" t="str">
        <f t="shared" ca="1" si="5"/>
        <v/>
      </c>
    </row>
    <row r="37" spans="3:13" x14ac:dyDescent="0.2">
      <c r="C37">
        <f>IFERROR(_xlfn.XLOOKUP(B37,Client_List!$A$4:$A$200,Client_List!$B$4:$B$200,""),"")</f>
        <v>0</v>
      </c>
      <c r="D37" t="str">
        <f>IFERROR(_xlfn.XLOOKUP(TEXT(A37,"0"),Query!$A$2:$A$100,Query!$B$2:$B$100,""),"")</f>
        <v/>
      </c>
      <c r="E37" t="str">
        <f>IFERROR(_xlfn.XLOOKUP(TEXT(A37,"0"),Query!$A$2:$A$100,Query!$C$2:$C$100,""),"")</f>
        <v/>
      </c>
      <c r="F37" t="str">
        <f>IFERROR(_xlfn.XLOOKUP(TEXT(A37,"0"),Query!$A$2:$A$100,Query!$D$2:$D$100,""),"")</f>
        <v/>
      </c>
      <c r="G37" t="str">
        <f>IFERROR(_xlfn.XLOOKUP(TEXT(A37,"0"),Query!$A$2:$A$100,Query!$G$2:$G$100,""),"")</f>
        <v/>
      </c>
      <c r="H37" t="str">
        <f>IFERROR(_xlfn.XLOOKUP(TEXT(A37,"0"),Query!$A$2:$A$100,Query!$H$2:$H$100,""),"")</f>
        <v/>
      </c>
      <c r="I37" t="str">
        <f>IFERROR(_xlfn.XLOOKUP(TEXT(A37,"0"),Query!$A$2:$A$100,Query!$I$2:$I$100,""),"")</f>
        <v/>
      </c>
      <c r="J37">
        <f>IFERROR(_xlfn.XLOOKUP(B37,Client_List!$A$4:$A$200,Client_List!$J$4:$J$200,""),"")</f>
        <v>0</v>
      </c>
      <c r="K37" t="str">
        <f t="shared" si="3"/>
        <v/>
      </c>
      <c r="L37" t="str">
        <f t="shared" si="4"/>
        <v/>
      </c>
      <c r="M37" t="str">
        <f t="shared" ca="1" si="5"/>
        <v/>
      </c>
    </row>
    <row r="38" spans="3:13" x14ac:dyDescent="0.2">
      <c r="C38">
        <f>IFERROR(_xlfn.XLOOKUP(B38,Client_List!$A$4:$A$200,Client_List!$B$4:$B$200,""),"")</f>
        <v>0</v>
      </c>
      <c r="D38" t="str">
        <f>IFERROR(_xlfn.XLOOKUP(TEXT(A38,"0"),Query!$A$2:$A$100,Query!$B$2:$B$100,""),"")</f>
        <v/>
      </c>
      <c r="E38" t="str">
        <f>IFERROR(_xlfn.XLOOKUP(TEXT(A38,"0"),Query!$A$2:$A$100,Query!$C$2:$C$100,""),"")</f>
        <v/>
      </c>
      <c r="F38" t="str">
        <f>IFERROR(_xlfn.XLOOKUP(TEXT(A38,"0"),Query!$A$2:$A$100,Query!$D$2:$D$100,""),"")</f>
        <v/>
      </c>
      <c r="G38" t="str">
        <f>IFERROR(_xlfn.XLOOKUP(TEXT(A38,"0"),Query!$A$2:$A$100,Query!$G$2:$G$100,""),"")</f>
        <v/>
      </c>
      <c r="H38" t="str">
        <f>IFERROR(_xlfn.XLOOKUP(TEXT(A38,"0"),Query!$A$2:$A$100,Query!$H$2:$H$100,""),"")</f>
        <v/>
      </c>
      <c r="I38" t="str">
        <f>IFERROR(_xlfn.XLOOKUP(TEXT(A38,"0"),Query!$A$2:$A$100,Query!$I$2:$I$100,""),"")</f>
        <v/>
      </c>
      <c r="J38">
        <f>IFERROR(_xlfn.XLOOKUP(B38,Client_List!$A$4:$A$200,Client_List!$J$4:$J$200,""),"")</f>
        <v>0</v>
      </c>
      <c r="K38" t="str">
        <f t="shared" si="3"/>
        <v/>
      </c>
      <c r="L38" t="str">
        <f t="shared" si="4"/>
        <v/>
      </c>
      <c r="M38" t="str">
        <f t="shared" ca="1" si="5"/>
        <v/>
      </c>
    </row>
    <row r="39" spans="3:13" x14ac:dyDescent="0.2">
      <c r="C39">
        <f>IFERROR(_xlfn.XLOOKUP(B39,Client_List!$A$4:$A$200,Client_List!$B$4:$B$200,""),"")</f>
        <v>0</v>
      </c>
      <c r="D39" t="str">
        <f>IFERROR(_xlfn.XLOOKUP(TEXT(A39,"0"),Query!$A$2:$A$100,Query!$B$2:$B$100,""),"")</f>
        <v/>
      </c>
      <c r="E39" t="str">
        <f>IFERROR(_xlfn.XLOOKUP(TEXT(A39,"0"),Query!$A$2:$A$100,Query!$C$2:$C$100,""),"")</f>
        <v/>
      </c>
      <c r="F39" t="str">
        <f>IFERROR(_xlfn.XLOOKUP(TEXT(A39,"0"),Query!$A$2:$A$100,Query!$D$2:$D$100,""),"")</f>
        <v/>
      </c>
      <c r="G39" t="str">
        <f>IFERROR(_xlfn.XLOOKUP(TEXT(A39,"0"),Query!$A$2:$A$100,Query!$G$2:$G$100,""),"")</f>
        <v/>
      </c>
      <c r="H39" t="str">
        <f>IFERROR(_xlfn.XLOOKUP(TEXT(A39,"0"),Query!$A$2:$A$100,Query!$H$2:$H$100,""),"")</f>
        <v/>
      </c>
      <c r="I39" t="str">
        <f>IFERROR(_xlfn.XLOOKUP(TEXT(A39,"0"),Query!$A$2:$A$100,Query!$I$2:$I$100,""),"")</f>
        <v/>
      </c>
      <c r="J39">
        <f>IFERROR(_xlfn.XLOOKUP(B39,Client_List!$A$4:$A$200,Client_List!$J$4:$J$200,""),"")</f>
        <v>0</v>
      </c>
      <c r="K39" t="str">
        <f t="shared" si="3"/>
        <v/>
      </c>
      <c r="L39" t="str">
        <f t="shared" si="4"/>
        <v/>
      </c>
      <c r="M39" t="str">
        <f t="shared" ca="1" si="5"/>
        <v/>
      </c>
    </row>
    <row r="40" spans="3:13" x14ac:dyDescent="0.2">
      <c r="C40">
        <f>IFERROR(_xlfn.XLOOKUP(B40,Client_List!$A$4:$A$200,Client_List!$B$4:$B$200,""),"")</f>
        <v>0</v>
      </c>
      <c r="D40" t="str">
        <f>IFERROR(_xlfn.XLOOKUP(TEXT(A40,"0"),Query!$A$2:$A$100,Query!$B$2:$B$100,""),"")</f>
        <v/>
      </c>
      <c r="E40" t="str">
        <f>IFERROR(_xlfn.XLOOKUP(TEXT(A40,"0"),Query!$A$2:$A$100,Query!$C$2:$C$100,""),"")</f>
        <v/>
      </c>
      <c r="F40" t="str">
        <f>IFERROR(_xlfn.XLOOKUP(TEXT(A40,"0"),Query!$A$2:$A$100,Query!$D$2:$D$100,""),"")</f>
        <v/>
      </c>
      <c r="G40" t="str">
        <f>IFERROR(_xlfn.XLOOKUP(TEXT(A40,"0"),Query!$A$2:$A$100,Query!$G$2:$G$100,""),"")</f>
        <v/>
      </c>
      <c r="H40" t="str">
        <f>IFERROR(_xlfn.XLOOKUP(TEXT(A40,"0"),Query!$A$2:$A$100,Query!$H$2:$H$100,""),"")</f>
        <v/>
      </c>
      <c r="I40" t="str">
        <f>IFERROR(_xlfn.XLOOKUP(TEXT(A40,"0"),Query!$A$2:$A$100,Query!$I$2:$I$100,""),"")</f>
        <v/>
      </c>
      <c r="J40">
        <f>IFERROR(_xlfn.XLOOKUP(B40,Client_List!$A$4:$A$200,Client_List!$J$4:$J$200,""),"")</f>
        <v>0</v>
      </c>
      <c r="K40" t="str">
        <f t="shared" si="3"/>
        <v/>
      </c>
      <c r="L40" t="str">
        <f t="shared" si="4"/>
        <v/>
      </c>
      <c r="M40" t="str">
        <f t="shared" ca="1" si="5"/>
        <v/>
      </c>
    </row>
    <row r="41" spans="3:13" x14ac:dyDescent="0.2">
      <c r="C41">
        <f>IFERROR(_xlfn.XLOOKUP(B41,Client_List!$A$4:$A$200,Client_List!$B$4:$B$200,""),"")</f>
        <v>0</v>
      </c>
      <c r="D41" t="str">
        <f>IFERROR(_xlfn.XLOOKUP(TEXT(A41,"0"),Query!$A$2:$A$100,Query!$B$2:$B$100,""),"")</f>
        <v/>
      </c>
      <c r="E41" t="str">
        <f>IFERROR(_xlfn.XLOOKUP(TEXT(A41,"0"),Query!$A$2:$A$100,Query!$C$2:$C$100,""),"")</f>
        <v/>
      </c>
      <c r="F41" t="str">
        <f>IFERROR(_xlfn.XLOOKUP(TEXT(A41,"0"),Query!$A$2:$A$100,Query!$D$2:$D$100,""),"")</f>
        <v/>
      </c>
      <c r="G41" t="str">
        <f>IFERROR(_xlfn.XLOOKUP(TEXT(A41,"0"),Query!$A$2:$A$100,Query!$G$2:$G$100,""),"")</f>
        <v/>
      </c>
      <c r="H41" t="str">
        <f>IFERROR(_xlfn.XLOOKUP(TEXT(A41,"0"),Query!$A$2:$A$100,Query!$H$2:$H$100,""),"")</f>
        <v/>
      </c>
      <c r="I41" t="str">
        <f>IFERROR(_xlfn.XLOOKUP(TEXT(A41,"0"),Query!$A$2:$A$100,Query!$I$2:$I$100,""),"")</f>
        <v/>
      </c>
      <c r="J41">
        <f>IFERROR(_xlfn.XLOOKUP(B41,Client_List!$A$4:$A$200,Client_List!$J$4:$J$200,""),"")</f>
        <v>0</v>
      </c>
      <c r="K41" t="str">
        <f t="shared" si="3"/>
        <v/>
      </c>
      <c r="L41" t="str">
        <f t="shared" si="4"/>
        <v/>
      </c>
      <c r="M41" t="str">
        <f t="shared" ca="1" si="5"/>
        <v/>
      </c>
    </row>
    <row r="42" spans="3:13" x14ac:dyDescent="0.2">
      <c r="C42">
        <f>IFERROR(_xlfn.XLOOKUP(B42,Client_List!$A$4:$A$200,Client_List!$B$4:$B$200,""),"")</f>
        <v>0</v>
      </c>
      <c r="D42" t="str">
        <f>IFERROR(_xlfn.XLOOKUP(TEXT(A42,"0"),Query!$A$2:$A$100,Query!$B$2:$B$100,""),"")</f>
        <v/>
      </c>
      <c r="E42" t="str">
        <f>IFERROR(_xlfn.XLOOKUP(TEXT(A42,"0"),Query!$A$2:$A$100,Query!$C$2:$C$100,""),"")</f>
        <v/>
      </c>
      <c r="F42" t="str">
        <f>IFERROR(_xlfn.XLOOKUP(TEXT(A42,"0"),Query!$A$2:$A$100,Query!$D$2:$D$100,""),"")</f>
        <v/>
      </c>
      <c r="G42" t="str">
        <f>IFERROR(_xlfn.XLOOKUP(TEXT(A42,"0"),Query!$A$2:$A$100,Query!$G$2:$G$100,""),"")</f>
        <v/>
      </c>
      <c r="H42" t="str">
        <f>IFERROR(_xlfn.XLOOKUP(TEXT(A42,"0"),Query!$A$2:$A$100,Query!$H$2:$H$100,""),"")</f>
        <v/>
      </c>
      <c r="I42" t="str">
        <f>IFERROR(_xlfn.XLOOKUP(TEXT(A42,"0"),Query!$A$2:$A$100,Query!$I$2:$I$100,""),"")</f>
        <v/>
      </c>
      <c r="J42">
        <f>IFERROR(_xlfn.XLOOKUP(B42,Client_List!$A$4:$A$200,Client_List!$J$4:$J$200,""),"")</f>
        <v>0</v>
      </c>
      <c r="K42" t="str">
        <f t="shared" si="3"/>
        <v/>
      </c>
      <c r="L42" t="str">
        <f t="shared" si="4"/>
        <v/>
      </c>
      <c r="M42" t="str">
        <f t="shared" ca="1" si="5"/>
        <v/>
      </c>
    </row>
    <row r="43" spans="3:13" x14ac:dyDescent="0.2">
      <c r="C43">
        <f>IFERROR(_xlfn.XLOOKUP(B43,Client_List!$A$4:$A$200,Client_List!$B$4:$B$200,""),"")</f>
        <v>0</v>
      </c>
      <c r="D43" t="str">
        <f>IFERROR(_xlfn.XLOOKUP(TEXT(A43,"0"),Query!$A$2:$A$100,Query!$B$2:$B$100,""),"")</f>
        <v/>
      </c>
      <c r="E43" t="str">
        <f>IFERROR(_xlfn.XLOOKUP(TEXT(A43,"0"),Query!$A$2:$A$100,Query!$C$2:$C$100,""),"")</f>
        <v/>
      </c>
      <c r="F43" t="str">
        <f>IFERROR(_xlfn.XLOOKUP(TEXT(A43,"0"),Query!$A$2:$A$100,Query!$D$2:$D$100,""),"")</f>
        <v/>
      </c>
      <c r="G43" t="str">
        <f>IFERROR(_xlfn.XLOOKUP(TEXT(A43,"0"),Query!$A$2:$A$100,Query!$G$2:$G$100,""),"")</f>
        <v/>
      </c>
      <c r="H43" t="str">
        <f>IFERROR(_xlfn.XLOOKUP(TEXT(A43,"0"),Query!$A$2:$A$100,Query!$H$2:$H$100,""),"")</f>
        <v/>
      </c>
      <c r="I43" t="str">
        <f>IFERROR(_xlfn.XLOOKUP(TEXT(A43,"0"),Query!$A$2:$A$100,Query!$I$2:$I$100,""),"")</f>
        <v/>
      </c>
      <c r="J43">
        <f>IFERROR(_xlfn.XLOOKUP(B43,Client_List!$A$4:$A$200,Client_List!$J$4:$J$200,""),"")</f>
        <v>0</v>
      </c>
      <c r="K43" t="str">
        <f t="shared" si="3"/>
        <v/>
      </c>
      <c r="L43" t="str">
        <f t="shared" si="4"/>
        <v/>
      </c>
      <c r="M43" t="str">
        <f t="shared" ca="1" si="5"/>
        <v/>
      </c>
    </row>
    <row r="44" spans="3:13" x14ac:dyDescent="0.2">
      <c r="C44">
        <f>IFERROR(_xlfn.XLOOKUP(B44,Client_List!$A$4:$A$200,Client_List!$B$4:$B$200,""),"")</f>
        <v>0</v>
      </c>
      <c r="D44" t="str">
        <f>IFERROR(_xlfn.XLOOKUP(TEXT(A44,"0"),Query!$A$2:$A$100,Query!$B$2:$B$100,""),"")</f>
        <v/>
      </c>
      <c r="E44" t="str">
        <f>IFERROR(_xlfn.XLOOKUP(TEXT(A44,"0"),Query!$A$2:$A$100,Query!$C$2:$C$100,""),"")</f>
        <v/>
      </c>
      <c r="F44" t="str">
        <f>IFERROR(_xlfn.XLOOKUP(TEXT(A44,"0"),Query!$A$2:$A$100,Query!$D$2:$D$100,""),"")</f>
        <v/>
      </c>
      <c r="G44" t="str">
        <f>IFERROR(_xlfn.XLOOKUP(TEXT(A44,"0"),Query!$A$2:$A$100,Query!$G$2:$G$100,""),"")</f>
        <v/>
      </c>
      <c r="H44" t="str">
        <f>IFERROR(_xlfn.XLOOKUP(TEXT(A44,"0"),Query!$A$2:$A$100,Query!$H$2:$H$100,""),"")</f>
        <v/>
      </c>
      <c r="I44" t="str">
        <f>IFERROR(_xlfn.XLOOKUP(TEXT(A44,"0"),Query!$A$2:$A$100,Query!$I$2:$I$100,""),"")</f>
        <v/>
      </c>
      <c r="J44">
        <f>IFERROR(_xlfn.XLOOKUP(B44,Client_List!$A$4:$A$200,Client_List!$J$4:$J$200,""),"")</f>
        <v>0</v>
      </c>
      <c r="K44" t="str">
        <f t="shared" si="3"/>
        <v/>
      </c>
      <c r="L44" t="str">
        <f t="shared" si="4"/>
        <v/>
      </c>
      <c r="M44" t="str">
        <f t="shared" ca="1" si="5"/>
        <v/>
      </c>
    </row>
    <row r="45" spans="3:13" x14ac:dyDescent="0.2">
      <c r="C45">
        <f>IFERROR(_xlfn.XLOOKUP(B45,Client_List!$A$4:$A$200,Client_List!$B$4:$B$200,""),"")</f>
        <v>0</v>
      </c>
      <c r="D45" t="str">
        <f>IFERROR(_xlfn.XLOOKUP(TEXT(A45,"0"),Query!$A$2:$A$100,Query!$B$2:$B$100,""),"")</f>
        <v/>
      </c>
      <c r="E45" t="str">
        <f>IFERROR(_xlfn.XLOOKUP(TEXT(A45,"0"),Query!$A$2:$A$100,Query!$C$2:$C$100,""),"")</f>
        <v/>
      </c>
      <c r="F45" t="str">
        <f>IFERROR(_xlfn.XLOOKUP(TEXT(A45,"0"),Query!$A$2:$A$100,Query!$D$2:$D$100,""),"")</f>
        <v/>
      </c>
      <c r="G45" t="str">
        <f>IFERROR(_xlfn.XLOOKUP(TEXT(A45,"0"),Query!$A$2:$A$100,Query!$G$2:$G$100,""),"")</f>
        <v/>
      </c>
      <c r="H45" t="str">
        <f>IFERROR(_xlfn.XLOOKUP(TEXT(A45,"0"),Query!$A$2:$A$100,Query!$H$2:$H$100,""),"")</f>
        <v/>
      </c>
      <c r="I45" t="str">
        <f>IFERROR(_xlfn.XLOOKUP(TEXT(A45,"0"),Query!$A$2:$A$100,Query!$I$2:$I$100,""),"")</f>
        <v/>
      </c>
      <c r="J45">
        <f>IFERROR(_xlfn.XLOOKUP(B45,Client_List!$A$4:$A$200,Client_List!$J$4:$J$200,""),"")</f>
        <v>0</v>
      </c>
      <c r="K45" t="str">
        <f t="shared" si="3"/>
        <v/>
      </c>
      <c r="L45" t="str">
        <f t="shared" si="4"/>
        <v/>
      </c>
      <c r="M45" t="str">
        <f t="shared" ca="1" si="5"/>
        <v/>
      </c>
    </row>
    <row r="46" spans="3:13" x14ac:dyDescent="0.2">
      <c r="C46">
        <f>IFERROR(_xlfn.XLOOKUP(B46,Client_List!$A$4:$A$200,Client_List!$B$4:$B$200,""),"")</f>
        <v>0</v>
      </c>
      <c r="D46" t="str">
        <f>IFERROR(_xlfn.XLOOKUP(TEXT(A46,"0"),Query!$A$2:$A$100,Query!$B$2:$B$100,""),"")</f>
        <v/>
      </c>
      <c r="E46" t="str">
        <f>IFERROR(_xlfn.XLOOKUP(TEXT(A46,"0"),Query!$A$2:$A$100,Query!$C$2:$C$100,""),"")</f>
        <v/>
      </c>
      <c r="F46" t="str">
        <f>IFERROR(_xlfn.XLOOKUP(TEXT(A46,"0"),Query!$A$2:$A$100,Query!$D$2:$D$100,""),"")</f>
        <v/>
      </c>
      <c r="G46" t="str">
        <f>IFERROR(_xlfn.XLOOKUP(TEXT(A46,"0"),Query!$A$2:$A$100,Query!$G$2:$G$100,""),"")</f>
        <v/>
      </c>
      <c r="H46" t="str">
        <f>IFERROR(_xlfn.XLOOKUP(TEXT(A46,"0"),Query!$A$2:$A$100,Query!$H$2:$H$100,""),"")</f>
        <v/>
      </c>
      <c r="I46" t="str">
        <f>IFERROR(_xlfn.XLOOKUP(TEXT(A46,"0"),Query!$A$2:$A$100,Query!$I$2:$I$100,""),"")</f>
        <v/>
      </c>
      <c r="J46">
        <f>IFERROR(_xlfn.XLOOKUP(B46,Client_List!$A$4:$A$200,Client_List!$J$4:$J$200,""),"")</f>
        <v>0</v>
      </c>
      <c r="K46" t="str">
        <f t="shared" si="3"/>
        <v/>
      </c>
      <c r="L46" t="str">
        <f t="shared" si="4"/>
        <v/>
      </c>
      <c r="M46" t="str">
        <f t="shared" ca="1" si="5"/>
        <v/>
      </c>
    </row>
    <row r="47" spans="3:13" x14ac:dyDescent="0.2">
      <c r="C47">
        <f>IFERROR(_xlfn.XLOOKUP(B47,Client_List!$A$4:$A$200,Client_List!$B$4:$B$200,""),"")</f>
        <v>0</v>
      </c>
      <c r="D47" t="str">
        <f>IFERROR(_xlfn.XLOOKUP(TEXT(A47,"0"),Query!$A$2:$A$100,Query!$B$2:$B$100,""),"")</f>
        <v/>
      </c>
      <c r="E47" t="str">
        <f>IFERROR(_xlfn.XLOOKUP(TEXT(A47,"0"),Query!$A$2:$A$100,Query!$C$2:$C$100,""),"")</f>
        <v/>
      </c>
      <c r="F47" t="str">
        <f>IFERROR(_xlfn.XLOOKUP(TEXT(A47,"0"),Query!$A$2:$A$100,Query!$D$2:$D$100,""),"")</f>
        <v/>
      </c>
      <c r="G47" t="str">
        <f>IFERROR(_xlfn.XLOOKUP(TEXT(A47,"0"),Query!$A$2:$A$100,Query!$G$2:$G$100,""),"")</f>
        <v/>
      </c>
      <c r="H47" t="str">
        <f>IFERROR(_xlfn.XLOOKUP(TEXT(A47,"0"),Query!$A$2:$A$100,Query!$H$2:$H$100,""),"")</f>
        <v/>
      </c>
      <c r="I47" t="str">
        <f>IFERROR(_xlfn.XLOOKUP(TEXT(A47,"0"),Query!$A$2:$A$100,Query!$I$2:$I$100,""),"")</f>
        <v/>
      </c>
      <c r="J47">
        <f>IFERROR(_xlfn.XLOOKUP(B47,Client_List!$A$4:$A$200,Client_List!$J$4:$J$200,""),"")</f>
        <v>0</v>
      </c>
      <c r="K47" t="str">
        <f t="shared" si="3"/>
        <v/>
      </c>
      <c r="L47" t="str">
        <f t="shared" si="4"/>
        <v/>
      </c>
      <c r="M47" t="str">
        <f t="shared" ca="1" si="5"/>
        <v/>
      </c>
    </row>
    <row r="48" spans="3:13" x14ac:dyDescent="0.2">
      <c r="C48">
        <f>IFERROR(_xlfn.XLOOKUP(B48,Client_List!$A$4:$A$200,Client_List!$B$4:$B$200,""),"")</f>
        <v>0</v>
      </c>
      <c r="D48" t="str">
        <f>IFERROR(_xlfn.XLOOKUP(TEXT(A48,"0"),Query!$A$2:$A$100,Query!$B$2:$B$100,""),"")</f>
        <v/>
      </c>
      <c r="E48" t="str">
        <f>IFERROR(_xlfn.XLOOKUP(TEXT(A48,"0"),Query!$A$2:$A$100,Query!$C$2:$C$100,""),"")</f>
        <v/>
      </c>
      <c r="F48" t="str">
        <f>IFERROR(_xlfn.XLOOKUP(TEXT(A48,"0"),Query!$A$2:$A$100,Query!$D$2:$D$100,""),"")</f>
        <v/>
      </c>
      <c r="G48" t="str">
        <f>IFERROR(_xlfn.XLOOKUP(TEXT(A48,"0"),Query!$A$2:$A$100,Query!$G$2:$G$100,""),"")</f>
        <v/>
      </c>
      <c r="H48" t="str">
        <f>IFERROR(_xlfn.XLOOKUP(TEXT(A48,"0"),Query!$A$2:$A$100,Query!$H$2:$H$100,""),"")</f>
        <v/>
      </c>
      <c r="I48" t="str">
        <f>IFERROR(_xlfn.XLOOKUP(TEXT(A48,"0"),Query!$A$2:$A$100,Query!$I$2:$I$100,""),"")</f>
        <v/>
      </c>
      <c r="J48">
        <f>IFERROR(_xlfn.XLOOKUP(B48,Client_List!$A$4:$A$200,Client_List!$J$4:$J$200,""),"")</f>
        <v>0</v>
      </c>
      <c r="K48" t="str">
        <f t="shared" si="3"/>
        <v/>
      </c>
      <c r="L48" t="str">
        <f t="shared" si="4"/>
        <v/>
      </c>
      <c r="M48" t="str">
        <f t="shared" ca="1" si="5"/>
        <v/>
      </c>
    </row>
    <row r="49" spans="3:13" x14ac:dyDescent="0.2">
      <c r="C49">
        <f>IFERROR(_xlfn.XLOOKUP(B49,Client_List!$A$4:$A$200,Client_List!$B$4:$B$200,""),"")</f>
        <v>0</v>
      </c>
      <c r="D49" t="str">
        <f>IFERROR(_xlfn.XLOOKUP(TEXT(A49,"0"),Query!$A$2:$A$100,Query!$B$2:$B$100,""),"")</f>
        <v/>
      </c>
      <c r="E49" t="str">
        <f>IFERROR(_xlfn.XLOOKUP(TEXT(A49,"0"),Query!$A$2:$A$100,Query!$C$2:$C$100,""),"")</f>
        <v/>
      </c>
      <c r="F49" t="str">
        <f>IFERROR(_xlfn.XLOOKUP(TEXT(A49,"0"),Query!$A$2:$A$100,Query!$D$2:$D$100,""),"")</f>
        <v/>
      </c>
      <c r="G49" t="str">
        <f>IFERROR(_xlfn.XLOOKUP(TEXT(A49,"0"),Query!$A$2:$A$100,Query!$G$2:$G$100,""),"")</f>
        <v/>
      </c>
      <c r="H49" t="str">
        <f>IFERROR(_xlfn.XLOOKUP(TEXT(A49,"0"),Query!$A$2:$A$100,Query!$H$2:$H$100,""),"")</f>
        <v/>
      </c>
      <c r="I49" t="str">
        <f>IFERROR(_xlfn.XLOOKUP(TEXT(A49,"0"),Query!$A$2:$A$100,Query!$I$2:$I$100,""),"")</f>
        <v/>
      </c>
      <c r="J49">
        <f>IFERROR(_xlfn.XLOOKUP(B49,Client_List!$A$4:$A$200,Client_List!$J$4:$J$200,""),"")</f>
        <v>0</v>
      </c>
      <c r="K49" t="str">
        <f t="shared" si="3"/>
        <v/>
      </c>
      <c r="L49" t="str">
        <f t="shared" si="4"/>
        <v/>
      </c>
      <c r="M49" t="str">
        <f t="shared" ca="1" si="5"/>
        <v/>
      </c>
    </row>
    <row r="50" spans="3:13" x14ac:dyDescent="0.2">
      <c r="C50">
        <f>IFERROR(_xlfn.XLOOKUP(B50,Client_List!$A$4:$A$200,Client_List!$B$4:$B$200,""),"")</f>
        <v>0</v>
      </c>
      <c r="D50" t="str">
        <f>IFERROR(_xlfn.XLOOKUP(TEXT(A50,"0"),Query!$A$2:$A$100,Query!$B$2:$B$100,""),"")</f>
        <v/>
      </c>
      <c r="E50" t="str">
        <f>IFERROR(_xlfn.XLOOKUP(TEXT(A50,"0"),Query!$A$2:$A$100,Query!$C$2:$C$100,""),"")</f>
        <v/>
      </c>
      <c r="F50" t="str">
        <f>IFERROR(_xlfn.XLOOKUP(TEXT(A50,"0"),Query!$A$2:$A$100,Query!$D$2:$D$100,""),"")</f>
        <v/>
      </c>
      <c r="G50" t="str">
        <f>IFERROR(_xlfn.XLOOKUP(TEXT(A50,"0"),Query!$A$2:$A$100,Query!$G$2:$G$100,""),"")</f>
        <v/>
      </c>
      <c r="H50" t="str">
        <f>IFERROR(_xlfn.XLOOKUP(TEXT(A50,"0"),Query!$A$2:$A$100,Query!$H$2:$H$100,""),"")</f>
        <v/>
      </c>
      <c r="I50" t="str">
        <f>IFERROR(_xlfn.XLOOKUP(TEXT(A50,"0"),Query!$A$2:$A$100,Query!$I$2:$I$100,""),"")</f>
        <v/>
      </c>
      <c r="J50">
        <f>IFERROR(_xlfn.XLOOKUP(B50,Client_List!$A$4:$A$200,Client_List!$J$4:$J$200,""),"")</f>
        <v>0</v>
      </c>
      <c r="K50" t="str">
        <f t="shared" si="3"/>
        <v/>
      </c>
      <c r="L50" t="str">
        <f t="shared" si="4"/>
        <v/>
      </c>
      <c r="M50" t="str">
        <f t="shared" ca="1" si="5"/>
        <v/>
      </c>
    </row>
    <row r="51" spans="3:13" x14ac:dyDescent="0.2">
      <c r="C51">
        <f>IFERROR(_xlfn.XLOOKUP(B51,Client_List!$A$4:$A$200,Client_List!$B$4:$B$200,""),"")</f>
        <v>0</v>
      </c>
      <c r="D51" t="str">
        <f>IFERROR(_xlfn.XLOOKUP(TEXT(A51,"0"),Query!$A$2:$A$100,Query!$B$2:$B$100,""),"")</f>
        <v/>
      </c>
      <c r="E51" t="str">
        <f>IFERROR(_xlfn.XLOOKUP(TEXT(A51,"0"),Query!$A$2:$A$100,Query!$C$2:$C$100,""),"")</f>
        <v/>
      </c>
      <c r="F51" t="str">
        <f>IFERROR(_xlfn.XLOOKUP(TEXT(A51,"0"),Query!$A$2:$A$100,Query!$D$2:$D$100,""),"")</f>
        <v/>
      </c>
      <c r="G51" t="str">
        <f>IFERROR(_xlfn.XLOOKUP(TEXT(A51,"0"),Query!$A$2:$A$100,Query!$G$2:$G$100,""),"")</f>
        <v/>
      </c>
      <c r="H51" t="str">
        <f>IFERROR(_xlfn.XLOOKUP(TEXT(A51,"0"),Query!$A$2:$A$100,Query!$H$2:$H$100,""),"")</f>
        <v/>
      </c>
      <c r="I51" t="str">
        <f>IFERROR(_xlfn.XLOOKUP(TEXT(A51,"0"),Query!$A$2:$A$100,Query!$I$2:$I$100,""),"")</f>
        <v/>
      </c>
      <c r="J51">
        <f>IFERROR(_xlfn.XLOOKUP(B51,Client_List!$A$4:$A$200,Client_List!$J$4:$J$200,""),"")</f>
        <v>0</v>
      </c>
      <c r="K51" t="str">
        <f t="shared" si="3"/>
        <v/>
      </c>
      <c r="L51" t="str">
        <f t="shared" si="4"/>
        <v/>
      </c>
      <c r="M51" t="str">
        <f t="shared" ca="1" si="5"/>
        <v/>
      </c>
    </row>
    <row r="52" spans="3:13" x14ac:dyDescent="0.2">
      <c r="C52">
        <f>IFERROR(_xlfn.XLOOKUP(B52,Client_List!$A$4:$A$200,Client_List!$B$4:$B$200,""),"")</f>
        <v>0</v>
      </c>
      <c r="D52" t="str">
        <f>IFERROR(_xlfn.XLOOKUP(TEXT(A52,"0"),Query!$A$2:$A$100,Query!$B$2:$B$100,""),"")</f>
        <v/>
      </c>
      <c r="E52" t="str">
        <f>IFERROR(_xlfn.XLOOKUP(TEXT(A52,"0"),Query!$A$2:$A$100,Query!$C$2:$C$100,""),"")</f>
        <v/>
      </c>
      <c r="F52" t="str">
        <f>IFERROR(_xlfn.XLOOKUP(TEXT(A52,"0"),Query!$A$2:$A$100,Query!$D$2:$D$100,""),"")</f>
        <v/>
      </c>
      <c r="G52" t="str">
        <f>IFERROR(_xlfn.XLOOKUP(TEXT(A52,"0"),Query!$A$2:$A$100,Query!$G$2:$G$100,""),"")</f>
        <v/>
      </c>
      <c r="H52" t="str">
        <f>IFERROR(_xlfn.XLOOKUP(TEXT(A52,"0"),Query!$A$2:$A$100,Query!$H$2:$H$100,""),"")</f>
        <v/>
      </c>
      <c r="I52" t="str">
        <f>IFERROR(_xlfn.XLOOKUP(TEXT(A52,"0"),Query!$A$2:$A$100,Query!$I$2:$I$100,""),"")</f>
        <v/>
      </c>
      <c r="J52">
        <f>IFERROR(_xlfn.XLOOKUP(B52,Client_List!$A$4:$A$200,Client_List!$J$4:$J$200,""),"")</f>
        <v>0</v>
      </c>
      <c r="K52" t="str">
        <f t="shared" si="3"/>
        <v/>
      </c>
      <c r="L52" t="str">
        <f t="shared" si="4"/>
        <v/>
      </c>
      <c r="M52" t="str">
        <f t="shared" ca="1" si="5"/>
        <v/>
      </c>
    </row>
    <row r="53" spans="3:13" x14ac:dyDescent="0.2">
      <c r="C53">
        <f>IFERROR(_xlfn.XLOOKUP(B53,Client_List!$A$4:$A$200,Client_List!$B$4:$B$200,""),"")</f>
        <v>0</v>
      </c>
      <c r="D53" t="str">
        <f>IFERROR(_xlfn.XLOOKUP(TEXT(A53,"0"),Query!$A$2:$A$100,Query!$B$2:$B$100,""),"")</f>
        <v/>
      </c>
      <c r="E53" t="str">
        <f>IFERROR(_xlfn.XLOOKUP(TEXT(A53,"0"),Query!$A$2:$A$100,Query!$C$2:$C$100,""),"")</f>
        <v/>
      </c>
      <c r="F53" t="str">
        <f>IFERROR(_xlfn.XLOOKUP(TEXT(A53,"0"),Query!$A$2:$A$100,Query!$D$2:$D$100,""),"")</f>
        <v/>
      </c>
      <c r="G53" t="str">
        <f>IFERROR(_xlfn.XLOOKUP(TEXT(A53,"0"),Query!$A$2:$A$100,Query!$G$2:$G$100,""),"")</f>
        <v/>
      </c>
      <c r="H53" t="str">
        <f>IFERROR(_xlfn.XLOOKUP(TEXT(A53,"0"),Query!$A$2:$A$100,Query!$H$2:$H$100,""),"")</f>
        <v/>
      </c>
      <c r="I53" t="str">
        <f>IFERROR(_xlfn.XLOOKUP(TEXT(A53,"0"),Query!$A$2:$A$100,Query!$I$2:$I$100,""),"")</f>
        <v/>
      </c>
      <c r="J53">
        <f>IFERROR(_xlfn.XLOOKUP(B53,Client_List!$A$4:$A$200,Client_List!$J$4:$J$200,""),"")</f>
        <v>0</v>
      </c>
      <c r="K53" t="str">
        <f t="shared" si="3"/>
        <v/>
      </c>
      <c r="L53" t="str">
        <f t="shared" si="4"/>
        <v/>
      </c>
      <c r="M53" t="str">
        <f t="shared" ca="1" si="5"/>
        <v/>
      </c>
    </row>
    <row r="54" spans="3:13" x14ac:dyDescent="0.2">
      <c r="C54">
        <f>IFERROR(_xlfn.XLOOKUP(B54,Client_List!$A$4:$A$200,Client_List!$B$4:$B$200,""),"")</f>
        <v>0</v>
      </c>
      <c r="D54" t="str">
        <f>IFERROR(_xlfn.XLOOKUP(TEXT(A54,"0"),Query!$A$2:$A$100,Query!$B$2:$B$100,""),"")</f>
        <v/>
      </c>
      <c r="E54" t="str">
        <f>IFERROR(_xlfn.XLOOKUP(TEXT(A54,"0"),Query!$A$2:$A$100,Query!$C$2:$C$100,""),"")</f>
        <v/>
      </c>
      <c r="F54" t="str">
        <f>IFERROR(_xlfn.XLOOKUP(TEXT(A54,"0"),Query!$A$2:$A$100,Query!$D$2:$D$100,""),"")</f>
        <v/>
      </c>
      <c r="G54" t="str">
        <f>IFERROR(_xlfn.XLOOKUP(TEXT(A54,"0"),Query!$A$2:$A$100,Query!$G$2:$G$100,""),"")</f>
        <v/>
      </c>
      <c r="H54" t="str">
        <f>IFERROR(_xlfn.XLOOKUP(TEXT(A54,"0"),Query!$A$2:$A$100,Query!$H$2:$H$100,""),"")</f>
        <v/>
      </c>
      <c r="I54" t="str">
        <f>IFERROR(_xlfn.XLOOKUP(TEXT(A54,"0"),Query!$A$2:$A$100,Query!$I$2:$I$100,""),"")</f>
        <v/>
      </c>
      <c r="J54">
        <f>IFERROR(_xlfn.XLOOKUP(B54,Client_List!$A$4:$A$200,Client_List!$J$4:$J$200,""),"")</f>
        <v>0</v>
      </c>
      <c r="K54" t="str">
        <f t="shared" si="3"/>
        <v/>
      </c>
      <c r="L54" t="str">
        <f t="shared" si="4"/>
        <v/>
      </c>
      <c r="M54" t="str">
        <f t="shared" ca="1" si="5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Delivery_Log</vt:lpstr>
      <vt:lpstr>Client_List</vt:lpstr>
      <vt:lpstr>Optimizer_Input</vt:lpstr>
      <vt:lpstr>Trucks</vt:lpstr>
      <vt:lpstr>Depot</vt:lpstr>
      <vt:lpstr>Client_Time_Windows</vt:lpstr>
      <vt:lpstr>Client_Closures</vt:lpstr>
      <vt:lpstr>Query</vt:lpstr>
      <vt:lpstr>Anova_Live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Herrera Pinto</cp:lastModifiedBy>
  <dcterms:created xsi:type="dcterms:W3CDTF">2026-05-06T19:51:57Z</dcterms:created>
  <dcterms:modified xsi:type="dcterms:W3CDTF">2026-05-06T19:52:22Z</dcterms:modified>
</cp:coreProperties>
</file>